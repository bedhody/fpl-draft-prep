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yers" sheetId="1" state="visible" r:id="rId1"/>
    <sheet name="xPts model" sheetId="2" state="visible" r:id="rId2"/>
    <sheet name="Assumptions" sheetId="3" state="visible" r:id="rId3"/>
    <sheet name="Data dictionary" sheetId="4" state="visible" r:id="rId4"/>
    <sheet name="Teams 25-26" sheetId="5" state="visible" r:id="rId5"/>
    <sheet name="Fixtures 26-27" sheetId="6" state="visible" r:id="rId6"/>
    <sheet name="Model - calibration" sheetId="7" state="visible" r:id="rId7"/>
    <sheet name="Model - forecast" sheetId="8" state="visible" r:id="rId8"/>
    <sheet name="Model - head to head" sheetId="9" state="visible" r:id="rId9"/>
    <sheet name="Match review" sheetId="10" state="visible" r:id="rId10"/>
  </sheets>
  <definedNames>
    <definedName name="_xlnm._FilterDatabase" localSheetId="0" hidden="1">'Players'!$A$1:$EP$720</definedName>
    <definedName name="_xlnm._FilterDatabase" localSheetId="1" hidden="1">'xPts model'!$A$1:$BJ$720</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3">
    <font>
      <name val="Calibri"/>
      <family val="2"/>
      <color theme="1"/>
      <sz val="11"/>
      <scheme val="minor"/>
    </font>
    <font>
      <b val="1"/>
    </font>
    <font>
      <b val="1"/>
      <color rgb="00FFFFFF"/>
    </font>
  </fonts>
  <fills count="7">
    <fill>
      <patternFill/>
    </fill>
    <fill>
      <patternFill patternType="gray125"/>
    </fill>
    <fill>
      <patternFill patternType="solid">
        <fgColor rgb="00404040"/>
      </patternFill>
    </fill>
    <fill>
      <patternFill patternType="solid">
        <fgColor rgb="00DDEBF7"/>
      </patternFill>
    </fill>
    <fill>
      <patternFill patternType="solid">
        <fgColor rgb="00F2F2F2"/>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15">
    <xf numFmtId="0" fontId="0" fillId="0" borderId="0" pivotButton="0" quotePrefix="0" xfId="0"/>
    <xf numFmtId="0" fontId="2" fillId="2" borderId="0" applyAlignment="1" pivotButton="0" quotePrefix="0" xfId="0">
      <alignment vertical="bottom" wrapText="1"/>
    </xf>
    <xf numFmtId="1" fontId="0" fillId="0" borderId="0" pivotButton="0" quotePrefix="0" xfId="0"/>
    <xf numFmtId="164" fontId="0" fillId="4" borderId="0" pivotButton="0" quotePrefix="0" xfId="0"/>
    <xf numFmtId="1" fontId="0" fillId="5" borderId="0" pivotButton="0" quotePrefix="0" xfId="0"/>
    <xf numFmtId="0" fontId="0" fillId="5" borderId="0" pivotButton="0" quotePrefix="0" xfId="0"/>
    <xf numFmtId="0" fontId="0" fillId="3" borderId="0" pivotButton="0" quotePrefix="0" xfId="0"/>
    <xf numFmtId="165" fontId="0" fillId="4" borderId="0" pivotButton="0" quotePrefix="0" xfId="0"/>
    <xf numFmtId="1" fontId="0" fillId="4" borderId="0" pivotButton="0" quotePrefix="0" xfId="0"/>
    <xf numFmtId="0" fontId="0" fillId="6" borderId="0" pivotButton="0" quotePrefix="0" xfId="0"/>
    <xf numFmtId="164" fontId="0" fillId="6"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P7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t="inlineStr">
        <is>
          <t>Player</t>
        </is>
      </c>
      <c r="B1" t="inlineStr">
        <is>
          <t>Team 26/27</t>
        </is>
      </c>
      <c r="C1" t="inlineStr">
        <is>
          <t>Pos</t>
        </is>
      </c>
      <c r="D1" t="inlineStr">
        <is>
          <t>Pos 25/26</t>
        </is>
      </c>
      <c r="E1" t="inlineStr">
        <is>
          <t>Price 26/27</t>
        </is>
      </c>
      <c r="F1" t="inlineStr">
        <is>
          <t>Draftable</t>
        </is>
      </c>
      <c r="G1" t="inlineStr">
        <is>
          <t>Played 25/26</t>
        </is>
      </c>
      <c r="H1" t="inlineStr">
        <is>
          <t>Age</t>
        </is>
      </c>
      <c r="I1" t="inlineStr">
        <is>
          <t>Status</t>
        </is>
      </c>
      <c r="J1" t="inlineStr">
        <is>
          <t>News</t>
        </is>
      </c>
      <c r="K1" t="inlineStr">
        <is>
          <t>Chance next GW %</t>
        </is>
      </c>
      <c r="L1" t="inlineStr">
        <is>
          <t>Opta ID</t>
        </is>
      </c>
      <c r="M1" t="inlineStr">
        <is>
          <t>FPL ID</t>
        </is>
      </c>
      <c r="N1" t="inlineStr">
        <is>
          <t>Pens order</t>
        </is>
      </c>
      <c r="O1" t="inlineStr">
        <is>
          <t>Corners/IFK order</t>
        </is>
      </c>
      <c r="P1" t="inlineStr">
        <is>
          <t>Direct FK order</t>
        </is>
      </c>
      <c r="Q1" t="inlineStr">
        <is>
          <t>Mins</t>
        </is>
      </c>
      <c r="R1" t="inlineStr">
        <is>
          <t>Apps</t>
        </is>
      </c>
      <c r="S1" t="inlineStr">
        <is>
          <t>Starts</t>
        </is>
      </c>
      <c r="T1" t="inlineStr">
        <is>
          <t>90s</t>
        </is>
      </c>
      <c r="U1" t="inlineStr">
        <is>
          <t>Mins per app</t>
        </is>
      </c>
      <c r="V1" t="inlineStr">
        <is>
          <t>FPL points</t>
        </is>
      </c>
      <c r="W1" t="inlineStr">
        <is>
          <t>FPL pts/90</t>
        </is>
      </c>
      <c r="X1" t="inlineStr">
        <is>
          <t>Goals</t>
        </is>
      </c>
      <c r="Y1" t="inlineStr">
        <is>
          <t>Assists (FPL)</t>
        </is>
      </c>
      <c r="Z1" t="inlineStr">
        <is>
          <t>Assists (Opta)</t>
        </is>
      </c>
      <c r="AA1" t="inlineStr">
        <is>
          <t>Clean sheets</t>
        </is>
      </c>
      <c r="AB1" t="inlineStr">
        <is>
          <t>Goals conceded</t>
        </is>
      </c>
      <c r="AC1" t="inlineStr">
        <is>
          <t>Bonus</t>
        </is>
      </c>
      <c r="AD1" t="inlineStr">
        <is>
          <t>Bonus (new rules)</t>
        </is>
      </c>
      <c r="AE1" t="inlineStr">
        <is>
          <t>Bonus change</t>
        </is>
      </c>
      <c r="AF1" t="inlineStr">
        <is>
          <t>BPS</t>
        </is>
      </c>
      <c r="AG1" t="inlineStr">
        <is>
          <t>BPS (new rules)</t>
        </is>
      </c>
      <c r="AH1" t="inlineStr">
        <is>
          <t>BPS change</t>
        </is>
      </c>
      <c r="AI1" t="inlineStr">
        <is>
          <t>Points (new rules)</t>
        </is>
      </c>
      <c r="AJ1" t="inlineStr">
        <is>
          <t>Bonus per point</t>
        </is>
      </c>
      <c r="AK1" t="inlineStr">
        <is>
          <t>Bonus per non-bonus point</t>
        </is>
      </c>
      <c r="AL1" t="inlineStr">
        <is>
          <t>DefCon actions</t>
        </is>
      </c>
      <c r="AM1" t="inlineStr">
        <is>
          <t>DefCon actions/90</t>
        </is>
      </c>
      <c r="AN1" t="inlineStr">
        <is>
          <t>DefCon matches</t>
        </is>
      </c>
      <c r="AO1" t="inlineStr">
        <is>
          <t>DefCon points</t>
        </is>
      </c>
      <c r="AP1" t="inlineStr">
        <is>
          <t>DefCon hit rate</t>
        </is>
      </c>
      <c r="AQ1" t="inlineStr">
        <is>
          <t>DefCon rate at 10</t>
        </is>
      </c>
      <c r="AR1" t="inlineStr">
        <is>
          <t>DefCon rate at 12</t>
        </is>
      </c>
      <c r="AS1" t="inlineStr">
        <is>
          <t>Start rate</t>
        </is>
      </c>
      <c r="AT1" t="inlineStr">
        <is>
          <t>60+ min rate</t>
        </is>
      </c>
      <c r="AU1" t="inlineStr">
        <is>
          <t>Blanks</t>
        </is>
      </c>
      <c r="AV1" t="inlineStr">
        <is>
          <t>Hauls</t>
        </is>
      </c>
      <c r="AW1" t="inlineStr">
        <is>
          <t>Points SD</t>
        </is>
      </c>
      <c r="AX1" t="inlineStr">
        <is>
          <t>Best GW</t>
        </is>
      </c>
      <c r="AY1" t="inlineStr">
        <is>
          <t>xG (Opta)</t>
        </is>
      </c>
      <c r="AZ1" t="inlineStr">
        <is>
          <t>xG (Understat)</t>
        </is>
      </c>
      <c r="BA1" t="inlineStr">
        <is>
          <t>xG (blend)</t>
        </is>
      </c>
      <c r="BB1" t="inlineStr">
        <is>
          <t>npxG (Understat)</t>
        </is>
      </c>
      <c r="BC1" t="inlineStr">
        <is>
          <t>xG/90 (Opta)</t>
        </is>
      </c>
      <c r="BD1" t="inlineStr">
        <is>
          <t>xG/90 (Understat)</t>
        </is>
      </c>
      <c r="BE1" t="inlineStr">
        <is>
          <t>xG/90 (blend)</t>
        </is>
      </c>
      <c r="BF1" t="inlineStr">
        <is>
          <t>xGOT</t>
        </is>
      </c>
      <c r="BG1" t="inlineStr">
        <is>
          <t>xGOT/90</t>
        </is>
      </c>
      <c r="BH1" t="inlineStr">
        <is>
          <t>Placement ratio</t>
        </is>
      </c>
      <c r="BI1" t="inlineStr">
        <is>
          <t>Placement sample xG</t>
        </is>
      </c>
      <c r="BJ1" t="inlineStr">
        <is>
          <t>Adjusted xGOT</t>
        </is>
      </c>
      <c r="BK1" t="inlineStr">
        <is>
          <t>Adjusted xGOT/90</t>
        </is>
      </c>
      <c r="BL1" t="inlineStr">
        <is>
          <t>Goals - xG</t>
        </is>
      </c>
      <c r="BM1" t="inlineStr">
        <is>
          <t>xGOT - xG</t>
        </is>
      </c>
      <c r="BN1" t="inlineStr">
        <is>
          <t>Goals - xGOT</t>
        </is>
      </c>
      <c r="BO1" t="inlineStr">
        <is>
          <t>xG model gap</t>
        </is>
      </c>
      <c r="BP1" t="inlineStr">
        <is>
          <t>Shots</t>
        </is>
      </c>
      <c r="BQ1" t="inlineStr">
        <is>
          <t>Shots on target</t>
        </is>
      </c>
      <c r="BR1" t="inlineStr">
        <is>
          <t>Big chances missed</t>
        </is>
      </c>
      <c r="BS1" t="inlineStr">
        <is>
          <t>Touches in box</t>
        </is>
      </c>
      <c r="BT1" t="inlineStr">
        <is>
          <t>Touches in box/90</t>
        </is>
      </c>
      <c r="BU1" t="inlineStr">
        <is>
          <t>Pen goals</t>
        </is>
      </c>
      <c r="BV1" t="inlineStr">
        <is>
          <t>Headed goals</t>
        </is>
      </c>
      <c r="BW1" t="inlineStr">
        <is>
          <t>xA (Opta)</t>
        </is>
      </c>
      <c r="BX1" t="inlineStr">
        <is>
          <t>xA (Understat)</t>
        </is>
      </c>
      <c r="BY1" t="inlineStr">
        <is>
          <t>xA (blend)</t>
        </is>
      </c>
      <c r="BZ1" t="inlineStr">
        <is>
          <t>xA/90 (blend)</t>
        </is>
      </c>
      <c r="CA1" t="inlineStr">
        <is>
          <t>xGI (blend)</t>
        </is>
      </c>
      <c r="CB1" t="inlineStr">
        <is>
          <t>xGI/90 (blend)</t>
        </is>
      </c>
      <c r="CC1" t="inlineStr">
        <is>
          <t>Key passes</t>
        </is>
      </c>
      <c r="CD1" t="inlineStr">
        <is>
          <t>Big chances created</t>
        </is>
      </c>
      <c r="CE1" t="inlineStr">
        <is>
          <t>Chances created</t>
        </is>
      </c>
      <c r="CF1" t="inlineStr">
        <is>
          <t>Crosses (acc)</t>
        </is>
      </c>
      <c r="CG1" t="inlineStr">
        <is>
          <t>Through balls (acc)</t>
        </is>
      </c>
      <c r="CH1" t="inlineStr">
        <is>
          <t>Corners taken</t>
        </is>
      </c>
      <c r="CI1" t="inlineStr">
        <is>
          <t>xGChain</t>
        </is>
      </c>
      <c r="CJ1" t="inlineStr">
        <is>
          <t>xGBuildup</t>
        </is>
      </c>
      <c r="CK1" t="inlineStr">
        <is>
          <t>CBI</t>
        </is>
      </c>
      <c r="CL1" t="inlineStr">
        <is>
          <t>Recoveries</t>
        </is>
      </c>
      <c r="CM1" t="inlineStr">
        <is>
          <t>Tackles</t>
        </is>
      </c>
      <c r="CN1" t="inlineStr">
        <is>
          <t>Tackles won</t>
        </is>
      </c>
      <c r="CO1" t="inlineStr">
        <is>
          <t>Interceptions</t>
        </is>
      </c>
      <c r="CP1" t="inlineStr">
        <is>
          <t>Clearances</t>
        </is>
      </c>
      <c r="CQ1" t="inlineStr">
        <is>
          <t>Blocks</t>
        </is>
      </c>
      <c r="CR1" t="inlineStr">
        <is>
          <t>Duels won</t>
        </is>
      </c>
      <c r="CS1" t="inlineStr">
        <is>
          <t>Aerials won</t>
        </is>
      </c>
      <c r="CT1" t="inlineStr">
        <is>
          <t>Poss won att 3rd/90</t>
        </is>
      </c>
      <c r="CU1" t="inlineStr">
        <is>
          <t>Errors -&gt; goal</t>
        </is>
      </c>
      <c r="CV1" t="inlineStr">
        <is>
          <t>Errors -&gt; shot</t>
        </is>
      </c>
      <c r="CW1" t="inlineStr">
        <is>
          <t>xGC (Opta)</t>
        </is>
      </c>
      <c r="CX1" t="inlineStr">
        <is>
          <t>xGC/90</t>
        </is>
      </c>
      <c r="CY1" t="inlineStr">
        <is>
          <t>Saves</t>
        </is>
      </c>
      <c r="CZ1" t="inlineStr">
        <is>
          <t>Save %</t>
        </is>
      </c>
      <c r="DA1" t="inlineStr">
        <is>
          <t>Goals prevented</t>
        </is>
      </c>
      <c r="DB1" t="inlineStr">
        <is>
          <t>Pens saved</t>
        </is>
      </c>
      <c r="DC1" t="inlineStr">
        <is>
          <t>High claims</t>
        </is>
      </c>
      <c r="DD1" t="inlineStr">
        <is>
          <t>Punches</t>
        </is>
      </c>
      <c r="DE1" t="inlineStr">
        <is>
          <t>FotMob rating</t>
        </is>
      </c>
      <c r="DF1" t="inlineStr">
        <is>
          <t>Yellows</t>
        </is>
      </c>
      <c r="DG1" t="inlineStr">
        <is>
          <t>Reds</t>
        </is>
      </c>
      <c r="DH1" t="inlineStr">
        <is>
          <t>Fouls</t>
        </is>
      </c>
      <c r="DI1" t="inlineStr">
        <is>
          <t>Fouled</t>
        </is>
      </c>
      <c r="DJ1" t="inlineStr">
        <is>
          <t>Pens won</t>
        </is>
      </c>
      <c r="DK1" t="inlineStr">
        <is>
          <t>Pens conceded</t>
        </is>
      </c>
      <c r="DL1" t="inlineStr">
        <is>
          <t>Dribbles won</t>
        </is>
      </c>
      <c r="DM1" t="inlineStr">
        <is>
          <t>Dispossessed</t>
        </is>
      </c>
      <c r="DN1" t="inlineStr">
        <is>
          <t>Offsides</t>
        </is>
      </c>
      <c r="DO1" t="inlineStr">
        <is>
          <t>Selected by %</t>
        </is>
      </c>
      <c r="DP1" t="inlineStr">
        <is>
          <t>Solio season pts</t>
        </is>
      </c>
      <c r="DQ1" t="inlineStr">
        <is>
          <t>Solio H1 pts (GW1-19)</t>
        </is>
      </c>
      <c r="DR1" t="inlineStr">
        <is>
          <t>Solio naive x2</t>
        </is>
      </c>
      <c r="DS1" t="inlineStr">
        <is>
          <t>Solio correction</t>
        </is>
      </c>
      <c r="DT1" t="inlineStr">
        <is>
          <t>Solio xMins (season)</t>
        </is>
      </c>
      <c r="DU1" t="inlineStr">
        <is>
          <t>Solio xMins (settled)</t>
        </is>
      </c>
      <c r="DV1" t="inlineStr">
        <is>
          <t>Solio xMins pattern</t>
        </is>
      </c>
      <c r="DW1" t="inlineStr">
        <is>
          <t>ADP</t>
        </is>
      </c>
      <c r="DX1" t="inlineStr">
        <is>
          <t>ADP (8-team only)</t>
        </is>
      </c>
      <c r="DY1" t="inlineStr">
        <is>
          <t>ADP (last 7 days)</t>
        </is>
      </c>
      <c r="DZ1" t="inlineStr">
        <is>
          <t>ADP move</t>
        </is>
      </c>
      <c r="EA1" t="inlineStr">
        <is>
          <t>Times drafted (recent)</t>
        </is>
      </c>
      <c r="EB1" t="inlineStr">
        <is>
          <t>ADP spread</t>
        </is>
      </c>
      <c r="EC1" t="inlineStr">
        <is>
          <t>ADP earliest</t>
        </is>
      </c>
      <c r="ED1" t="inlineStr">
        <is>
          <t>ADP latest</t>
        </is>
      </c>
      <c r="EE1" t="inlineStr">
        <is>
          <t>Times drafted</t>
        </is>
      </c>
      <c r="EF1" t="inlineStr">
        <is>
          <t>ADP reliable</t>
        </is>
      </c>
      <c r="EG1" t="inlineStr">
        <is>
          <t>Drafted %</t>
        </is>
      </c>
      <c r="EH1" t="inlineStr">
        <is>
          <t>Auto-pick %</t>
        </is>
      </c>
      <c r="EI1" t="inlineStr">
        <is>
          <t>FPL draft rank</t>
        </is>
      </c>
      <c r="EJ1" t="inlineStr">
        <is>
          <t>Mins per shot</t>
        </is>
      </c>
      <c r="EK1" t="inlineStr">
        <is>
          <t>Mins per touch in box</t>
        </is>
      </c>
      <c r="EL1" t="inlineStr">
        <is>
          <t>Mins per chance created</t>
        </is>
      </c>
      <c r="EM1" t="inlineStr">
        <is>
          <t>Mins per xG (blend)</t>
        </is>
      </c>
      <c r="EN1" t="inlineStr">
        <is>
          <t>Mins per xA (blend)</t>
        </is>
      </c>
      <c r="EO1" t="inlineStr">
        <is>
          <t>Mins per xGI (blend)</t>
        </is>
      </c>
      <c r="EP1" t="inlineStr">
        <is>
          <t>Mins per point</t>
        </is>
      </c>
    </row>
    <row r="2">
      <c r="A2" t="inlineStr">
        <is>
          <t>Erling Haaland</t>
        </is>
      </c>
      <c r="B2" t="inlineStr">
        <is>
          <t>MCI</t>
        </is>
      </c>
      <c r="C2" t="inlineStr">
        <is>
          <t>FWD</t>
        </is>
      </c>
      <c r="D2" t="inlineStr">
        <is>
          <t>FWD</t>
        </is>
      </c>
      <c r="E2" t="n">
        <v>15.5</v>
      </c>
      <c r="F2" t="b">
        <v>1</v>
      </c>
      <c r="G2" t="b">
        <v>1</v>
      </c>
      <c r="H2" t="n">
        <v>26.1</v>
      </c>
      <c r="I2" t="inlineStr">
        <is>
          <t>a</t>
        </is>
      </c>
      <c r="L2" t="inlineStr">
        <is>
          <t>p223094</t>
        </is>
      </c>
      <c r="M2" t="n">
        <v>411</v>
      </c>
      <c r="N2" t="n">
        <v>1</v>
      </c>
      <c r="Q2" t="n">
        <v>2953</v>
      </c>
      <c r="R2" t="n">
        <v>35</v>
      </c>
      <c r="S2" t="n">
        <v>34</v>
      </c>
      <c r="T2" t="n">
        <v>32.811</v>
      </c>
      <c r="U2" t="n">
        <v>84.40000000000001</v>
      </c>
      <c r="V2" t="n">
        <v>239</v>
      </c>
      <c r="W2" t="n">
        <v>7.284</v>
      </c>
      <c r="X2" t="n">
        <v>27</v>
      </c>
      <c r="Y2" t="n">
        <v>8</v>
      </c>
      <c r="Z2" t="n">
        <v>8</v>
      </c>
      <c r="AA2" t="n">
        <v>13</v>
      </c>
      <c r="AB2" t="n">
        <v>32</v>
      </c>
      <c r="AC2" t="n">
        <v>43</v>
      </c>
      <c r="AD2" t="n">
        <v>43</v>
      </c>
      <c r="AE2" t="n">
        <v>0</v>
      </c>
      <c r="AF2" t="n">
        <v>952</v>
      </c>
      <c r="AG2" t="n">
        <v>943</v>
      </c>
      <c r="AH2" t="n">
        <v>-9</v>
      </c>
      <c r="AI2" t="n">
        <v>239</v>
      </c>
      <c r="AJ2" t="n">
        <v>0.18</v>
      </c>
      <c r="AK2" t="n">
        <v>0.219</v>
      </c>
      <c r="AL2" t="n">
        <v>104</v>
      </c>
      <c r="AM2" t="n">
        <v>3.17</v>
      </c>
      <c r="AN2" t="n">
        <v>0</v>
      </c>
      <c r="AO2" t="n">
        <v>0</v>
      </c>
      <c r="AP2" t="n">
        <v>0</v>
      </c>
      <c r="AQ2" t="n">
        <v>0</v>
      </c>
      <c r="AR2" t="n">
        <v>0</v>
      </c>
      <c r="AS2" t="n">
        <v>0.895</v>
      </c>
      <c r="AT2" t="n">
        <v>0.9429999999999999</v>
      </c>
      <c r="AU2" t="n">
        <v>13</v>
      </c>
      <c r="AV2" t="n">
        <v>10</v>
      </c>
      <c r="AW2" t="n">
        <v>4.99</v>
      </c>
      <c r="AX2" t="n">
        <v>16</v>
      </c>
      <c r="AY2" t="n">
        <v>25.5</v>
      </c>
      <c r="AZ2" t="n">
        <v>28.795</v>
      </c>
      <c r="BA2" t="n">
        <v>27.148</v>
      </c>
      <c r="BB2" t="n">
        <v>25.751</v>
      </c>
      <c r="BC2" t="n">
        <v>0.777</v>
      </c>
      <c r="BD2" t="n">
        <v>0.878</v>
      </c>
      <c r="BE2" t="n">
        <v>0.827</v>
      </c>
      <c r="BF2" t="n">
        <v>23.3</v>
      </c>
      <c r="BG2" t="n">
        <v>0.71</v>
      </c>
      <c r="BH2" t="n">
        <v>0.958</v>
      </c>
      <c r="BI2" t="n">
        <v>105.51</v>
      </c>
      <c r="BJ2" t="n">
        <v>24.419</v>
      </c>
      <c r="BK2" t="n">
        <v>0.744</v>
      </c>
      <c r="BL2" t="n">
        <v>-0.148</v>
      </c>
      <c r="BM2" t="n">
        <v>-2.2</v>
      </c>
      <c r="BN2" t="n">
        <v>3.7</v>
      </c>
      <c r="BO2" t="n">
        <v>-3.295</v>
      </c>
      <c r="BP2" t="n">
        <v>126</v>
      </c>
      <c r="BQ2" t="n">
        <v>59</v>
      </c>
      <c r="BR2" t="n">
        <v>30</v>
      </c>
      <c r="BS2" t="n">
        <v>213</v>
      </c>
      <c r="BT2" t="n">
        <v>6.492</v>
      </c>
      <c r="BU2" t="n">
        <v>3</v>
      </c>
      <c r="BV2" t="n">
        <v>3</v>
      </c>
      <c r="BW2" t="n">
        <v>2.67</v>
      </c>
      <c r="BX2" t="n">
        <v>5.508</v>
      </c>
      <c r="BY2" t="n">
        <v>4.089</v>
      </c>
      <c r="BZ2" t="n">
        <v>0.125</v>
      </c>
      <c r="CA2" t="n">
        <v>31.237</v>
      </c>
      <c r="CB2" t="n">
        <v>0.952</v>
      </c>
      <c r="CC2" t="n">
        <v>25</v>
      </c>
      <c r="CD2" t="n">
        <v>9</v>
      </c>
      <c r="CE2" t="n">
        <v>25</v>
      </c>
      <c r="CF2" t="n">
        <v>1</v>
      </c>
      <c r="CG2" t="n">
        <v>6</v>
      </c>
      <c r="CI2" t="n">
        <v>32.735</v>
      </c>
      <c r="CJ2" t="n">
        <v>5.164</v>
      </c>
      <c r="CK2" t="n">
        <v>48</v>
      </c>
      <c r="CL2" t="n">
        <v>41</v>
      </c>
      <c r="CM2" t="n">
        <v>15</v>
      </c>
      <c r="CN2" t="n">
        <v>9</v>
      </c>
      <c r="CO2" t="n">
        <v>5</v>
      </c>
      <c r="CP2" t="n">
        <v>42</v>
      </c>
      <c r="CQ2" t="n">
        <v>1</v>
      </c>
      <c r="CR2" t="n">
        <v>130</v>
      </c>
      <c r="CS2" t="n">
        <v>73</v>
      </c>
      <c r="CT2" t="n">
        <v>0.4</v>
      </c>
      <c r="CW2" t="n">
        <v>38.6</v>
      </c>
      <c r="CX2" t="n">
        <v>1.176</v>
      </c>
      <c r="CY2" t="n">
        <v>0</v>
      </c>
      <c r="DB2" t="n">
        <v>0</v>
      </c>
      <c r="DE2" t="n">
        <v>7.68</v>
      </c>
      <c r="DF2" t="n">
        <v>2</v>
      </c>
      <c r="DG2" t="n">
        <v>0</v>
      </c>
      <c r="DH2" t="n">
        <v>24</v>
      </c>
      <c r="DI2" t="n">
        <v>25</v>
      </c>
      <c r="DL2" t="n">
        <v>17</v>
      </c>
      <c r="DM2" t="n">
        <v>23</v>
      </c>
      <c r="DN2" t="n">
        <v>5</v>
      </c>
      <c r="DO2" t="n">
        <v>73.40000000000001</v>
      </c>
      <c r="DP2" t="n">
        <v>249.31</v>
      </c>
      <c r="DQ2" t="n">
        <v>124.38</v>
      </c>
      <c r="DR2" t="n">
        <v>248.76</v>
      </c>
      <c r="DS2" t="n">
        <v>0.55</v>
      </c>
      <c r="DT2" t="n">
        <v>3204</v>
      </c>
      <c r="DU2" t="n">
        <v>84.31</v>
      </c>
      <c r="DV2" t="inlineStr">
        <is>
          <t>flat</t>
        </is>
      </c>
      <c r="DW2" t="n">
        <v>1.23</v>
      </c>
      <c r="DX2" t="n">
        <v>1.1</v>
      </c>
      <c r="DY2" t="n">
        <v>1.06</v>
      </c>
      <c r="DZ2" t="n">
        <v>-0.17</v>
      </c>
      <c r="EA2" t="n">
        <v>1473</v>
      </c>
      <c r="EB2" t="n">
        <v>3.32</v>
      </c>
      <c r="EC2" t="n">
        <v>0.5</v>
      </c>
      <c r="ED2" t="n">
        <v>113.33</v>
      </c>
      <c r="EE2" t="n">
        <v>3095</v>
      </c>
      <c r="EF2" t="b">
        <v>1</v>
      </c>
      <c r="EG2" t="n">
        <v>99.7</v>
      </c>
      <c r="EH2" t="n">
        <v>36.3</v>
      </c>
      <c r="EI2" t="n">
        <v>1</v>
      </c>
      <c r="EJ2" t="n">
        <v>23.4</v>
      </c>
      <c r="EK2" t="n">
        <v>13.9</v>
      </c>
      <c r="EL2" t="n">
        <v>118.1</v>
      </c>
      <c r="EM2" t="n">
        <v>108.8</v>
      </c>
      <c r="EN2" t="n">
        <v>722.2</v>
      </c>
      <c r="EO2" t="n">
        <v>94.5</v>
      </c>
      <c r="EP2" t="n">
        <v>12.4</v>
      </c>
    </row>
    <row r="3">
      <c r="A3" t="inlineStr">
        <is>
          <t>Bruno Fernandes</t>
        </is>
      </c>
      <c r="B3" t="inlineStr">
        <is>
          <t>MUN</t>
        </is>
      </c>
      <c r="C3" t="inlineStr">
        <is>
          <t>MID</t>
        </is>
      </c>
      <c r="D3" t="inlineStr">
        <is>
          <t>MID</t>
        </is>
      </c>
      <c r="E3" t="n">
        <v>12</v>
      </c>
      <c r="F3" t="b">
        <v>1</v>
      </c>
      <c r="G3" t="b">
        <v>1</v>
      </c>
      <c r="H3" t="n">
        <v>32</v>
      </c>
      <c r="I3" t="inlineStr">
        <is>
          <t>a</t>
        </is>
      </c>
      <c r="L3" t="inlineStr">
        <is>
          <t>p141746</t>
        </is>
      </c>
      <c r="M3" t="n">
        <v>426</v>
      </c>
      <c r="N3" t="n">
        <v>1</v>
      </c>
      <c r="O3" t="n">
        <v>1</v>
      </c>
      <c r="P3" t="n">
        <v>1</v>
      </c>
      <c r="Q3" t="n">
        <v>3065</v>
      </c>
      <c r="R3" t="n">
        <v>35</v>
      </c>
      <c r="S3" t="n">
        <v>35</v>
      </c>
      <c r="T3" t="n">
        <v>34.056</v>
      </c>
      <c r="U3" t="n">
        <v>87.59999999999999</v>
      </c>
      <c r="V3" t="n">
        <v>235</v>
      </c>
      <c r="W3" t="n">
        <v>6.9</v>
      </c>
      <c r="X3" t="n">
        <v>9</v>
      </c>
      <c r="Y3" t="n">
        <v>24</v>
      </c>
      <c r="Z3" t="n">
        <v>21</v>
      </c>
      <c r="AA3" t="n">
        <v>7</v>
      </c>
      <c r="AB3" t="n">
        <v>46</v>
      </c>
      <c r="AC3" t="n">
        <v>41</v>
      </c>
      <c r="AD3" t="n">
        <v>43</v>
      </c>
      <c r="AE3" t="n">
        <v>2</v>
      </c>
      <c r="AF3" t="n">
        <v>1008</v>
      </c>
      <c r="AG3" t="n">
        <v>994</v>
      </c>
      <c r="AH3" t="n">
        <v>-14</v>
      </c>
      <c r="AI3" t="n">
        <v>237</v>
      </c>
      <c r="AJ3" t="n">
        <v>0.174</v>
      </c>
      <c r="AK3" t="n">
        <v>0.211</v>
      </c>
      <c r="AL3" t="n">
        <v>287</v>
      </c>
      <c r="AM3" t="n">
        <v>8.427</v>
      </c>
      <c r="AN3" t="n">
        <v>5</v>
      </c>
      <c r="AO3" t="n">
        <v>10</v>
      </c>
      <c r="AP3" t="n">
        <v>0.143</v>
      </c>
      <c r="AQ3" t="n">
        <v>0.314</v>
      </c>
      <c r="AR3" t="n">
        <v>0.143</v>
      </c>
      <c r="AS3" t="n">
        <v>0.921</v>
      </c>
      <c r="AT3" t="n">
        <v>0.971</v>
      </c>
      <c r="AU3" t="n">
        <v>8</v>
      </c>
      <c r="AV3" t="n">
        <v>12</v>
      </c>
      <c r="AW3" t="n">
        <v>4.67</v>
      </c>
      <c r="AX3" t="n">
        <v>18</v>
      </c>
      <c r="AY3" t="n">
        <v>10.79</v>
      </c>
      <c r="AZ3" t="n">
        <v>11.932</v>
      </c>
      <c r="BA3" t="n">
        <v>11.361</v>
      </c>
      <c r="BB3" t="n">
        <v>7.365</v>
      </c>
      <c r="BC3" t="n">
        <v>0.317</v>
      </c>
      <c r="BD3" t="n">
        <v>0.35</v>
      </c>
      <c r="BE3" t="n">
        <v>0.334</v>
      </c>
      <c r="BF3" t="n">
        <v>9.1</v>
      </c>
      <c r="BG3" t="n">
        <v>0.267</v>
      </c>
      <c r="BH3" t="n">
        <v>0.954</v>
      </c>
      <c r="BI3" t="n">
        <v>39.78</v>
      </c>
      <c r="BJ3" t="n">
        <v>10.298</v>
      </c>
      <c r="BK3" t="n">
        <v>0.302</v>
      </c>
      <c r="BL3" t="n">
        <v>-2.361</v>
      </c>
      <c r="BM3" t="n">
        <v>-1.69</v>
      </c>
      <c r="BN3" t="n">
        <v>-0.1</v>
      </c>
      <c r="BO3" t="n">
        <v>-1.142</v>
      </c>
      <c r="BP3" t="n">
        <v>85</v>
      </c>
      <c r="BQ3" t="n">
        <v>24</v>
      </c>
      <c r="BR3" t="n">
        <v>8</v>
      </c>
      <c r="BS3" t="n">
        <v>91</v>
      </c>
      <c r="BT3" t="n">
        <v>2.672</v>
      </c>
      <c r="BU3" t="n">
        <v>4</v>
      </c>
      <c r="BW3" t="n">
        <v>12.28</v>
      </c>
      <c r="BX3" t="n">
        <v>17.757</v>
      </c>
      <c r="BY3" t="n">
        <v>15.019</v>
      </c>
      <c r="BZ3" t="n">
        <v>0.441</v>
      </c>
      <c r="CA3" t="n">
        <v>26.379</v>
      </c>
      <c r="CB3" t="n">
        <v>0.775</v>
      </c>
      <c r="CC3" t="n">
        <v>137</v>
      </c>
      <c r="CD3" t="n">
        <v>33</v>
      </c>
      <c r="CE3" t="n">
        <v>136</v>
      </c>
      <c r="CF3" t="n">
        <v>55</v>
      </c>
      <c r="CG3" t="n">
        <v>15</v>
      </c>
      <c r="CH3" t="n">
        <v>90</v>
      </c>
      <c r="CI3" t="n">
        <v>25.944</v>
      </c>
      <c r="CJ3" t="n">
        <v>11.664</v>
      </c>
      <c r="CK3" t="n">
        <v>67</v>
      </c>
      <c r="CL3" t="n">
        <v>167</v>
      </c>
      <c r="CM3" t="n">
        <v>53</v>
      </c>
      <c r="CN3" t="n">
        <v>32</v>
      </c>
      <c r="CO3" t="n">
        <v>20</v>
      </c>
      <c r="CP3" t="n">
        <v>42</v>
      </c>
      <c r="CQ3" t="n">
        <v>5</v>
      </c>
      <c r="CR3" t="n">
        <v>124</v>
      </c>
      <c r="CS3" t="n">
        <v>21</v>
      </c>
      <c r="CT3" t="n">
        <v>0.5</v>
      </c>
      <c r="CV3" t="n">
        <v>3</v>
      </c>
      <c r="CW3" t="n">
        <v>44.42</v>
      </c>
      <c r="CX3" t="n">
        <v>1.304</v>
      </c>
      <c r="CY3" t="n">
        <v>0</v>
      </c>
      <c r="DB3" t="n">
        <v>0</v>
      </c>
      <c r="DE3" t="n">
        <v>8.029999999999999</v>
      </c>
      <c r="DF3" t="n">
        <v>5</v>
      </c>
      <c r="DG3" t="n">
        <v>0</v>
      </c>
      <c r="DH3" t="n">
        <v>25</v>
      </c>
      <c r="DI3" t="n">
        <v>35</v>
      </c>
      <c r="DK3" t="n">
        <v>1</v>
      </c>
      <c r="DL3" t="n">
        <v>15</v>
      </c>
      <c r="DM3" t="n">
        <v>30</v>
      </c>
      <c r="DN3" t="n">
        <v>4</v>
      </c>
      <c r="DO3" t="n">
        <v>48</v>
      </c>
      <c r="DP3" t="n">
        <v>226.84</v>
      </c>
      <c r="DQ3" t="n">
        <v>113.42</v>
      </c>
      <c r="DR3" t="n">
        <v>226.84</v>
      </c>
      <c r="DS3" t="n">
        <v>0</v>
      </c>
      <c r="DT3" t="n">
        <v>3342</v>
      </c>
      <c r="DU3" t="n">
        <v>87.95999999999999</v>
      </c>
      <c r="DV3" t="inlineStr">
        <is>
          <t>flat</t>
        </is>
      </c>
      <c r="DW3" t="n">
        <v>2.46</v>
      </c>
      <c r="DX3" t="n">
        <v>2.27</v>
      </c>
      <c r="DY3" t="n">
        <v>2.32</v>
      </c>
      <c r="DZ3" t="n">
        <v>-0.14</v>
      </c>
      <c r="EA3" t="n">
        <v>1455</v>
      </c>
      <c r="EB3" t="n">
        <v>3.12</v>
      </c>
      <c r="EC3" t="n">
        <v>0.5</v>
      </c>
      <c r="ED3" t="n">
        <v>102.67</v>
      </c>
      <c r="EE3" t="n">
        <v>3114</v>
      </c>
      <c r="EF3" t="b">
        <v>1</v>
      </c>
      <c r="EG3" t="n">
        <v>99.90000000000001</v>
      </c>
      <c r="EH3" t="n">
        <v>36</v>
      </c>
      <c r="EI3" t="n">
        <v>2</v>
      </c>
      <c r="EJ3" t="n">
        <v>36.1</v>
      </c>
      <c r="EK3" t="n">
        <v>33.7</v>
      </c>
      <c r="EL3" t="n">
        <v>22.5</v>
      </c>
      <c r="EM3" t="n">
        <v>269.8</v>
      </c>
      <c r="EN3" t="n">
        <v>204.1</v>
      </c>
      <c r="EO3" t="n">
        <v>116.2</v>
      </c>
      <c r="EP3" t="n">
        <v>13</v>
      </c>
    </row>
    <row r="4">
      <c r="A4" t="inlineStr">
        <is>
          <t>Gabriel Magalhães</t>
        </is>
      </c>
      <c r="B4" t="inlineStr">
        <is>
          <t>ARS</t>
        </is>
      </c>
      <c r="C4" t="inlineStr">
        <is>
          <t>DEF</t>
        </is>
      </c>
      <c r="D4" t="inlineStr">
        <is>
          <t>DEF</t>
        </is>
      </c>
      <c r="E4" t="n">
        <v>8</v>
      </c>
      <c r="F4" t="b">
        <v>1</v>
      </c>
      <c r="G4" t="b">
        <v>1</v>
      </c>
      <c r="H4" t="n">
        <v>28.7</v>
      </c>
      <c r="I4" t="inlineStr">
        <is>
          <t>a</t>
        </is>
      </c>
      <c r="L4" t="inlineStr">
        <is>
          <t>p226597</t>
        </is>
      </c>
      <c r="M4" t="n">
        <v>4</v>
      </c>
      <c r="Q4" t="n">
        <v>2750</v>
      </c>
      <c r="R4" t="n">
        <v>32</v>
      </c>
      <c r="S4" t="n">
        <v>30</v>
      </c>
      <c r="T4" t="n">
        <v>30.556</v>
      </c>
      <c r="U4" t="n">
        <v>85.90000000000001</v>
      </c>
      <c r="V4" t="n">
        <v>209</v>
      </c>
      <c r="W4" t="n">
        <v>6.84</v>
      </c>
      <c r="X4" t="n">
        <v>3</v>
      </c>
      <c r="Y4" t="n">
        <v>5</v>
      </c>
      <c r="Z4" t="n">
        <v>4</v>
      </c>
      <c r="AA4" t="n">
        <v>18</v>
      </c>
      <c r="AB4" t="n">
        <v>20</v>
      </c>
      <c r="AC4" t="n">
        <v>30</v>
      </c>
      <c r="AD4" t="n">
        <v>24</v>
      </c>
      <c r="AE4" t="n">
        <v>-6</v>
      </c>
      <c r="AF4" t="n">
        <v>724</v>
      </c>
      <c r="AG4" t="n">
        <v>683</v>
      </c>
      <c r="AH4" t="n">
        <v>-41</v>
      </c>
      <c r="AI4" t="n">
        <v>203</v>
      </c>
      <c r="AJ4" t="n">
        <v>0.144</v>
      </c>
      <c r="AK4" t="n">
        <v>0.168</v>
      </c>
      <c r="AL4" t="n">
        <v>277</v>
      </c>
      <c r="AM4" t="n">
        <v>9.065</v>
      </c>
      <c r="AN4" t="n">
        <v>11</v>
      </c>
      <c r="AO4" t="n">
        <v>22</v>
      </c>
      <c r="AP4" t="n">
        <v>0.367</v>
      </c>
      <c r="AQ4" t="n">
        <v>0.367</v>
      </c>
      <c r="AR4" t="n">
        <v>0.233</v>
      </c>
      <c r="AS4" t="n">
        <v>0.789</v>
      </c>
      <c r="AT4" t="n">
        <v>0.9379999999999999</v>
      </c>
      <c r="AU4" t="n">
        <v>8</v>
      </c>
      <c r="AV4" t="n">
        <v>6</v>
      </c>
      <c r="AW4" t="n">
        <v>4.43</v>
      </c>
      <c r="AX4" t="n">
        <v>15</v>
      </c>
      <c r="AY4" t="n">
        <v>2.94</v>
      </c>
      <c r="AZ4" t="n">
        <v>4.649</v>
      </c>
      <c r="BA4" t="n">
        <v>3.795</v>
      </c>
      <c r="BB4" t="n">
        <v>4.649</v>
      </c>
      <c r="BC4" t="n">
        <v>0.096</v>
      </c>
      <c r="BD4" t="n">
        <v>0.152</v>
      </c>
      <c r="BE4" t="n">
        <v>0.124</v>
      </c>
      <c r="BF4" t="n">
        <v>2.4</v>
      </c>
      <c r="BG4" t="n">
        <v>0.079</v>
      </c>
      <c r="BH4" t="n">
        <v>0.8159999999999999</v>
      </c>
      <c r="BI4" t="n">
        <v>15.16</v>
      </c>
      <c r="BJ4" t="n">
        <v>2.399</v>
      </c>
      <c r="BK4" t="n">
        <v>0.079</v>
      </c>
      <c r="BL4" t="n">
        <v>-0.795</v>
      </c>
      <c r="BM4" t="n">
        <v>-0.54</v>
      </c>
      <c r="BN4" t="n">
        <v>0.6</v>
      </c>
      <c r="BO4" t="n">
        <v>-1.709</v>
      </c>
      <c r="BP4" t="n">
        <v>27</v>
      </c>
      <c r="BQ4" t="n">
        <v>7</v>
      </c>
      <c r="BR4" t="n">
        <v>4</v>
      </c>
      <c r="BS4" t="n">
        <v>46</v>
      </c>
      <c r="BT4" t="n">
        <v>1.505</v>
      </c>
      <c r="BV4" t="n">
        <v>1</v>
      </c>
      <c r="BW4" t="n">
        <v>1.75</v>
      </c>
      <c r="BX4" t="n">
        <v>2.725</v>
      </c>
      <c r="BY4" t="n">
        <v>2.238</v>
      </c>
      <c r="BZ4" t="n">
        <v>0.073</v>
      </c>
      <c r="CA4" t="n">
        <v>6.032</v>
      </c>
      <c r="CB4" t="n">
        <v>0.197</v>
      </c>
      <c r="CC4" t="n">
        <v>7</v>
      </c>
      <c r="CD4" t="n">
        <v>5</v>
      </c>
      <c r="CE4" t="n">
        <v>7</v>
      </c>
      <c r="CF4" t="n">
        <v>1</v>
      </c>
      <c r="CG4" t="n">
        <v>2</v>
      </c>
      <c r="CI4" t="n">
        <v>8.894</v>
      </c>
      <c r="CJ4" t="n">
        <v>8.31</v>
      </c>
      <c r="CK4" t="n">
        <v>239</v>
      </c>
      <c r="CL4" t="n">
        <v>64</v>
      </c>
      <c r="CM4" t="n">
        <v>38</v>
      </c>
      <c r="CN4" t="n">
        <v>20</v>
      </c>
      <c r="CO4" t="n">
        <v>23</v>
      </c>
      <c r="CP4" t="n">
        <v>182</v>
      </c>
      <c r="CQ4" t="n">
        <v>34</v>
      </c>
      <c r="CR4" t="n">
        <v>171</v>
      </c>
      <c r="CS4" t="n">
        <v>99</v>
      </c>
      <c r="CT4" t="n">
        <v>0.1</v>
      </c>
      <c r="CU4" t="n">
        <v>1</v>
      </c>
      <c r="CV4" t="n">
        <v>2</v>
      </c>
      <c r="CW4" t="n">
        <v>22.01</v>
      </c>
      <c r="CX4" t="n">
        <v>0.72</v>
      </c>
      <c r="CY4" t="n">
        <v>0</v>
      </c>
      <c r="DB4" t="n">
        <v>0</v>
      </c>
      <c r="DE4" t="n">
        <v>7.32</v>
      </c>
      <c r="DF4" t="n">
        <v>4</v>
      </c>
      <c r="DG4" t="n">
        <v>0</v>
      </c>
      <c r="DH4" t="n">
        <v>21</v>
      </c>
      <c r="DI4" t="n">
        <v>34</v>
      </c>
      <c r="DL4" t="n">
        <v>1</v>
      </c>
      <c r="DM4" t="n">
        <v>4</v>
      </c>
      <c r="DN4" t="n">
        <v>0</v>
      </c>
      <c r="DO4" t="n">
        <v>27.2</v>
      </c>
      <c r="DP4" t="n">
        <v>185.19</v>
      </c>
      <c r="DQ4" t="n">
        <v>92.84999999999999</v>
      </c>
      <c r="DR4" t="n">
        <v>185.7</v>
      </c>
      <c r="DS4" t="n">
        <v>-0.51</v>
      </c>
      <c r="DT4" t="n">
        <v>3283</v>
      </c>
      <c r="DU4" t="n">
        <v>86.40000000000001</v>
      </c>
      <c r="DV4" t="inlineStr">
        <is>
          <t>flat</t>
        </is>
      </c>
      <c r="DW4" t="n">
        <v>7.56</v>
      </c>
      <c r="DX4" t="n">
        <v>6.97</v>
      </c>
      <c r="DY4" t="n">
        <v>8.039999999999999</v>
      </c>
      <c r="DZ4" t="n">
        <v>0.48</v>
      </c>
      <c r="EA4" t="n">
        <v>1475</v>
      </c>
      <c r="EB4" t="n">
        <v>5.06</v>
      </c>
      <c r="EC4" t="n">
        <v>1</v>
      </c>
      <c r="ED4" t="n">
        <v>117.33</v>
      </c>
      <c r="EE4" t="n">
        <v>3242</v>
      </c>
      <c r="EF4" t="b">
        <v>1</v>
      </c>
      <c r="EG4" t="n">
        <v>99.8</v>
      </c>
      <c r="EH4" t="n">
        <v>33.4</v>
      </c>
      <c r="EI4" t="n">
        <v>7</v>
      </c>
      <c r="EJ4" t="n">
        <v>101.9</v>
      </c>
      <c r="EK4" t="n">
        <v>59.8</v>
      </c>
      <c r="EL4" t="n">
        <v>392.9</v>
      </c>
      <c r="EM4" t="n">
        <v>724.7</v>
      </c>
      <c r="EN4" t="n">
        <v>1229</v>
      </c>
      <c r="EO4" t="n">
        <v>455.9</v>
      </c>
      <c r="EP4" t="n">
        <v>13.2</v>
      </c>
    </row>
    <row r="5">
      <c r="A5" t="inlineStr">
        <is>
          <t>Antoine Semenyo</t>
        </is>
      </c>
      <c r="B5" t="inlineStr">
        <is>
          <t>MCI</t>
        </is>
      </c>
      <c r="C5" t="inlineStr">
        <is>
          <t>MID</t>
        </is>
      </c>
      <c r="D5" t="inlineStr">
        <is>
          <t>MID</t>
        </is>
      </c>
      <c r="E5" t="n">
        <v>8.5</v>
      </c>
      <c r="F5" t="b">
        <v>1</v>
      </c>
      <c r="G5" t="b">
        <v>1</v>
      </c>
      <c r="H5" t="n">
        <v>26.6</v>
      </c>
      <c r="I5" t="inlineStr">
        <is>
          <t>a</t>
        </is>
      </c>
      <c r="L5" t="inlineStr">
        <is>
          <t>p437730</t>
        </is>
      </c>
      <c r="M5" t="n">
        <v>397</v>
      </c>
      <c r="N5" t="n">
        <v>3</v>
      </c>
      <c r="Q5" t="n">
        <v>3200</v>
      </c>
      <c r="R5" t="n">
        <v>37</v>
      </c>
      <c r="S5" t="n">
        <v>37</v>
      </c>
      <c r="T5" t="n">
        <v>35.556</v>
      </c>
      <c r="U5" t="n">
        <v>86.5</v>
      </c>
      <c r="V5" t="n">
        <v>202</v>
      </c>
      <c r="W5" t="n">
        <v>5.681</v>
      </c>
      <c r="X5" t="n">
        <v>17</v>
      </c>
      <c r="Y5" t="n">
        <v>6</v>
      </c>
      <c r="Z5" t="n">
        <v>4</v>
      </c>
      <c r="AA5" t="n">
        <v>12</v>
      </c>
      <c r="AB5" t="n">
        <v>52</v>
      </c>
      <c r="AC5" t="n">
        <v>18</v>
      </c>
      <c r="AD5" t="n">
        <v>19</v>
      </c>
      <c r="AE5" t="n">
        <v>1</v>
      </c>
      <c r="AF5" t="n">
        <v>678</v>
      </c>
      <c r="AG5" t="n">
        <v>672</v>
      </c>
      <c r="AH5" t="n">
        <v>-6</v>
      </c>
      <c r="AI5" t="n">
        <v>203</v>
      </c>
      <c r="AJ5" t="n">
        <v>0.089</v>
      </c>
      <c r="AK5" t="n">
        <v>0.098</v>
      </c>
      <c r="AL5" t="n">
        <v>236</v>
      </c>
      <c r="AM5" t="n">
        <v>6.637</v>
      </c>
      <c r="AN5" t="n">
        <v>3</v>
      </c>
      <c r="AO5" t="n">
        <v>6</v>
      </c>
      <c r="AP5" t="n">
        <v>0.081</v>
      </c>
      <c r="AQ5" t="n">
        <v>0.108</v>
      </c>
      <c r="AR5" t="n">
        <v>0.081</v>
      </c>
      <c r="AS5" t="n">
        <v>0.974</v>
      </c>
      <c r="AT5" t="n">
        <v>0.946</v>
      </c>
      <c r="AU5" t="n">
        <v>12</v>
      </c>
      <c r="AV5" t="n">
        <v>5</v>
      </c>
      <c r="AW5" t="n">
        <v>4.32</v>
      </c>
      <c r="AX5" t="n">
        <v>18</v>
      </c>
      <c r="AY5" t="n">
        <v>11.1</v>
      </c>
      <c r="AZ5" t="n">
        <v>12.837</v>
      </c>
      <c r="BA5" t="n">
        <v>11.968</v>
      </c>
      <c r="BB5" t="n">
        <v>11.314</v>
      </c>
      <c r="BC5" t="n">
        <v>0.312</v>
      </c>
      <c r="BD5" t="n">
        <v>0.361</v>
      </c>
      <c r="BE5" t="n">
        <v>0.337</v>
      </c>
      <c r="BF5" t="n">
        <v>13</v>
      </c>
      <c r="BG5" t="n">
        <v>0.366</v>
      </c>
      <c r="BH5" t="n">
        <v>1.141</v>
      </c>
      <c r="BI5" t="n">
        <v>25.66</v>
      </c>
      <c r="BJ5" t="n">
        <v>12.663</v>
      </c>
      <c r="BK5" t="n">
        <v>0.356</v>
      </c>
      <c r="BL5" t="n">
        <v>5.032</v>
      </c>
      <c r="BM5" t="n">
        <v>1.9</v>
      </c>
      <c r="BN5" t="n">
        <v>4</v>
      </c>
      <c r="BO5" t="n">
        <v>-1.737</v>
      </c>
      <c r="BP5" t="n">
        <v>83</v>
      </c>
      <c r="BQ5" t="n">
        <v>41</v>
      </c>
      <c r="BR5" t="n">
        <v>7</v>
      </c>
      <c r="BS5" t="n">
        <v>176</v>
      </c>
      <c r="BT5" t="n">
        <v>4.95</v>
      </c>
      <c r="BU5" t="n">
        <v>1</v>
      </c>
      <c r="BW5" t="n">
        <v>3.12</v>
      </c>
      <c r="BX5" t="n">
        <v>4.13</v>
      </c>
      <c r="BY5" t="n">
        <v>3.625</v>
      </c>
      <c r="BZ5" t="n">
        <v>0.102</v>
      </c>
      <c r="CA5" t="n">
        <v>15.593</v>
      </c>
      <c r="CB5" t="n">
        <v>0.439</v>
      </c>
      <c r="CC5" t="n">
        <v>38</v>
      </c>
      <c r="CD5" t="n">
        <v>8</v>
      </c>
      <c r="CE5" t="n">
        <v>39</v>
      </c>
      <c r="CF5" t="n">
        <v>8</v>
      </c>
      <c r="CG5" t="n">
        <v>2</v>
      </c>
      <c r="CI5" t="n">
        <v>20.871</v>
      </c>
      <c r="CJ5" t="n">
        <v>7.894</v>
      </c>
      <c r="CK5" t="n">
        <v>49</v>
      </c>
      <c r="CL5" t="n">
        <v>142</v>
      </c>
      <c r="CM5" t="n">
        <v>45</v>
      </c>
      <c r="CN5" t="n">
        <v>32</v>
      </c>
      <c r="CO5" t="n">
        <v>13</v>
      </c>
      <c r="CP5" t="n">
        <v>29</v>
      </c>
      <c r="CQ5" t="n">
        <v>7</v>
      </c>
      <c r="CR5" t="n">
        <v>184</v>
      </c>
      <c r="CS5" t="n">
        <v>59</v>
      </c>
      <c r="CT5" t="n">
        <v>0.7</v>
      </c>
      <c r="CV5" t="n">
        <v>2</v>
      </c>
      <c r="CW5" t="n">
        <v>47.67</v>
      </c>
      <c r="CX5" t="n">
        <v>1.341</v>
      </c>
      <c r="CY5" t="n">
        <v>0</v>
      </c>
      <c r="DB5" t="n">
        <v>0</v>
      </c>
      <c r="DE5" t="n">
        <v>7.34</v>
      </c>
      <c r="DF5" t="n">
        <v>7</v>
      </c>
      <c r="DG5" t="n">
        <v>0</v>
      </c>
      <c r="DH5" t="n">
        <v>56</v>
      </c>
      <c r="DI5" t="n">
        <v>21</v>
      </c>
      <c r="DK5" t="n">
        <v>1</v>
      </c>
      <c r="DL5" t="n">
        <v>59</v>
      </c>
      <c r="DM5" t="n">
        <v>63</v>
      </c>
      <c r="DN5" t="n">
        <v>19</v>
      </c>
      <c r="DO5" t="n">
        <v>27.5</v>
      </c>
      <c r="DP5" t="n">
        <v>182.2</v>
      </c>
      <c r="DQ5" t="n">
        <v>91.09999999999999</v>
      </c>
      <c r="DR5" t="n">
        <v>182.2</v>
      </c>
      <c r="DS5" t="n">
        <v>0</v>
      </c>
      <c r="DT5" t="n">
        <v>3106</v>
      </c>
      <c r="DU5" t="n">
        <v>81.75</v>
      </c>
      <c r="DV5" t="inlineStr">
        <is>
          <t>flat</t>
        </is>
      </c>
      <c r="DW5" t="n">
        <v>7.24</v>
      </c>
      <c r="DX5" t="n">
        <v>6.55</v>
      </c>
      <c r="DY5" t="n">
        <v>6.75</v>
      </c>
      <c r="DZ5" t="n">
        <v>-0.49</v>
      </c>
      <c r="EA5" t="n">
        <v>1512</v>
      </c>
      <c r="EB5" t="n">
        <v>5.9</v>
      </c>
      <c r="EC5" t="n">
        <v>0.8</v>
      </c>
      <c r="ED5" t="n">
        <v>101.33</v>
      </c>
      <c r="EE5" t="n">
        <v>3116</v>
      </c>
      <c r="EF5" t="b">
        <v>1</v>
      </c>
      <c r="EG5" t="n">
        <v>99.90000000000001</v>
      </c>
      <c r="EH5" t="n">
        <v>36</v>
      </c>
      <c r="EI5" t="n">
        <v>6</v>
      </c>
      <c r="EJ5" t="n">
        <v>38.6</v>
      </c>
      <c r="EK5" t="n">
        <v>18.2</v>
      </c>
      <c r="EL5" t="n">
        <v>82.09999999999999</v>
      </c>
      <c r="EM5" t="n">
        <v>267.4</v>
      </c>
      <c r="EN5" t="n">
        <v>882.7</v>
      </c>
      <c r="EO5" t="n">
        <v>205.2</v>
      </c>
      <c r="EP5" t="n">
        <v>15.8</v>
      </c>
    </row>
    <row r="6">
      <c r="A6" t="inlineStr">
        <is>
          <t>Morgan Gibbs-White</t>
        </is>
      </c>
      <c r="B6" t="inlineStr">
        <is>
          <t>NFO</t>
        </is>
      </c>
      <c r="C6" t="inlineStr">
        <is>
          <t>MID</t>
        </is>
      </c>
      <c r="D6" t="inlineStr">
        <is>
          <t>MID</t>
        </is>
      </c>
      <c r="E6" t="n">
        <v>8</v>
      </c>
      <c r="F6" t="b">
        <v>1</v>
      </c>
      <c r="G6" t="b">
        <v>1</v>
      </c>
      <c r="H6" t="n">
        <v>26.6</v>
      </c>
      <c r="I6" t="inlineStr">
        <is>
          <t>a</t>
        </is>
      </c>
      <c r="L6" t="inlineStr">
        <is>
          <t>p222531</t>
        </is>
      </c>
      <c r="M6" t="n">
        <v>480</v>
      </c>
      <c r="N6" t="n">
        <v>2</v>
      </c>
      <c r="P6" t="n">
        <v>1</v>
      </c>
      <c r="Q6" t="n">
        <v>3101</v>
      </c>
      <c r="R6" t="n">
        <v>37</v>
      </c>
      <c r="S6" t="n">
        <v>35</v>
      </c>
      <c r="T6" t="n">
        <v>34.456</v>
      </c>
      <c r="U6" t="n">
        <v>83.8</v>
      </c>
      <c r="V6" t="n">
        <v>188</v>
      </c>
      <c r="W6" t="n">
        <v>5.456</v>
      </c>
      <c r="X6" t="n">
        <v>15</v>
      </c>
      <c r="Y6" t="n">
        <v>4</v>
      </c>
      <c r="Z6" t="n">
        <v>4</v>
      </c>
      <c r="AA6" t="n">
        <v>10</v>
      </c>
      <c r="AB6" t="n">
        <v>45</v>
      </c>
      <c r="AC6" t="n">
        <v>18</v>
      </c>
      <c r="AD6" t="n">
        <v>18</v>
      </c>
      <c r="AE6" t="n">
        <v>0</v>
      </c>
      <c r="AF6" t="n">
        <v>712</v>
      </c>
      <c r="AG6" t="n">
        <v>702</v>
      </c>
      <c r="AH6" t="n">
        <v>-10</v>
      </c>
      <c r="AI6" t="n">
        <v>188</v>
      </c>
      <c r="AJ6" t="n">
        <v>0.096</v>
      </c>
      <c r="AK6" t="n">
        <v>0.106</v>
      </c>
      <c r="AL6" t="n">
        <v>178</v>
      </c>
      <c r="AM6" t="n">
        <v>5.166</v>
      </c>
      <c r="AN6" t="n">
        <v>1</v>
      </c>
      <c r="AO6" t="n">
        <v>2</v>
      </c>
      <c r="AP6" t="n">
        <v>0.029</v>
      </c>
      <c r="AQ6" t="n">
        <v>0.029</v>
      </c>
      <c r="AR6" t="n">
        <v>0.029</v>
      </c>
      <c r="AS6" t="n">
        <v>0.921</v>
      </c>
      <c r="AT6" t="n">
        <v>0.946</v>
      </c>
      <c r="AU6" t="n">
        <v>15</v>
      </c>
      <c r="AV6" t="n">
        <v>3</v>
      </c>
      <c r="AW6" t="n">
        <v>4.06</v>
      </c>
      <c r="AX6" t="n">
        <v>20</v>
      </c>
      <c r="AY6" t="n">
        <v>10.81</v>
      </c>
      <c r="AZ6" t="n">
        <v>11.672</v>
      </c>
      <c r="BA6" t="n">
        <v>11.241</v>
      </c>
      <c r="BB6" t="n">
        <v>10.911</v>
      </c>
      <c r="BC6" t="n">
        <v>0.314</v>
      </c>
      <c r="BD6" t="n">
        <v>0.339</v>
      </c>
      <c r="BE6" t="n">
        <v>0.326</v>
      </c>
      <c r="BF6" t="n">
        <v>12.9</v>
      </c>
      <c r="BG6" t="n">
        <v>0.374</v>
      </c>
      <c r="BH6" t="n">
        <v>0.989</v>
      </c>
      <c r="BI6" t="n">
        <v>30.54</v>
      </c>
      <c r="BJ6" t="n">
        <v>10.687</v>
      </c>
      <c r="BK6" t="n">
        <v>0.31</v>
      </c>
      <c r="BL6" t="n">
        <v>3.759</v>
      </c>
      <c r="BM6" t="n">
        <v>2.09</v>
      </c>
      <c r="BN6" t="n">
        <v>2.1</v>
      </c>
      <c r="BO6" t="n">
        <v>-0.862</v>
      </c>
      <c r="BP6" t="n">
        <v>83</v>
      </c>
      <c r="BQ6" t="n">
        <v>32</v>
      </c>
      <c r="BR6" t="n">
        <v>10</v>
      </c>
      <c r="BS6" t="n">
        <v>126</v>
      </c>
      <c r="BT6" t="n">
        <v>3.657</v>
      </c>
      <c r="BU6" t="n">
        <v>1</v>
      </c>
      <c r="BV6" t="n">
        <v>3</v>
      </c>
      <c r="BW6" t="n">
        <v>2.91</v>
      </c>
      <c r="BX6" t="n">
        <v>4.504</v>
      </c>
      <c r="BY6" t="n">
        <v>3.707</v>
      </c>
      <c r="BZ6" t="n">
        <v>0.108</v>
      </c>
      <c r="CA6" t="n">
        <v>14.948</v>
      </c>
      <c r="CB6" t="n">
        <v>0.434</v>
      </c>
      <c r="CC6" t="n">
        <v>48</v>
      </c>
      <c r="CD6" t="n">
        <v>5</v>
      </c>
      <c r="CE6" t="n">
        <v>49</v>
      </c>
      <c r="CF6" t="n">
        <v>9</v>
      </c>
      <c r="CG6" t="n">
        <v>1</v>
      </c>
      <c r="CH6" t="n">
        <v>1</v>
      </c>
      <c r="CI6" t="n">
        <v>17.265</v>
      </c>
      <c r="CJ6" t="n">
        <v>5.414</v>
      </c>
      <c r="CK6" t="n">
        <v>48</v>
      </c>
      <c r="CL6" t="n">
        <v>110</v>
      </c>
      <c r="CM6" t="n">
        <v>20</v>
      </c>
      <c r="CN6" t="n">
        <v>15</v>
      </c>
      <c r="CO6" t="n">
        <v>13</v>
      </c>
      <c r="CP6" t="n">
        <v>32</v>
      </c>
      <c r="CQ6" t="n">
        <v>3</v>
      </c>
      <c r="CR6" t="n">
        <v>130</v>
      </c>
      <c r="CS6" t="n">
        <v>41</v>
      </c>
      <c r="CT6" t="n">
        <v>0.6</v>
      </c>
      <c r="CU6" t="n">
        <v>1</v>
      </c>
      <c r="CV6" t="n">
        <v>4</v>
      </c>
      <c r="CW6" t="n">
        <v>49.7</v>
      </c>
      <c r="CX6" t="n">
        <v>1.442</v>
      </c>
      <c r="CY6" t="n">
        <v>0</v>
      </c>
      <c r="DB6" t="n">
        <v>0</v>
      </c>
      <c r="DE6" t="n">
        <v>7.15</v>
      </c>
      <c r="DF6" t="n">
        <v>1</v>
      </c>
      <c r="DG6" t="n">
        <v>0</v>
      </c>
      <c r="DH6" t="n">
        <v>26</v>
      </c>
      <c r="DI6" t="n">
        <v>41</v>
      </c>
      <c r="DJ6" t="n">
        <v>1</v>
      </c>
      <c r="DL6" t="n">
        <v>30</v>
      </c>
      <c r="DM6" t="n">
        <v>37</v>
      </c>
      <c r="DN6" t="n">
        <v>5</v>
      </c>
      <c r="DO6" t="n">
        <v>11.6</v>
      </c>
      <c r="DP6" t="n">
        <v>182.08</v>
      </c>
      <c r="DQ6" t="n">
        <v>91.04000000000001</v>
      </c>
      <c r="DR6" t="n">
        <v>182.08</v>
      </c>
      <c r="DS6" t="n">
        <v>0</v>
      </c>
      <c r="DT6" t="n">
        <v>3301</v>
      </c>
      <c r="DU6" t="n">
        <v>86.86</v>
      </c>
      <c r="DV6" t="inlineStr">
        <is>
          <t>flat</t>
        </is>
      </c>
      <c r="DW6" t="n">
        <v>17.37</v>
      </c>
      <c r="DX6" t="n">
        <v>14.7</v>
      </c>
      <c r="DY6" t="n">
        <v>17.33</v>
      </c>
      <c r="DZ6" t="n">
        <v>-0.03</v>
      </c>
      <c r="EA6" t="n">
        <v>1268</v>
      </c>
      <c r="EB6" t="n">
        <v>11.79</v>
      </c>
      <c r="EC6" t="n">
        <v>1.33</v>
      </c>
      <c r="ED6" t="n">
        <v>118.67</v>
      </c>
      <c r="EE6" t="n">
        <v>2152</v>
      </c>
      <c r="EF6" t="b">
        <v>1</v>
      </c>
      <c r="EG6" t="n">
        <v>99.90000000000001</v>
      </c>
      <c r="EH6" t="n">
        <v>55.8</v>
      </c>
      <c r="EI6" t="n">
        <v>8</v>
      </c>
      <c r="EJ6" t="n">
        <v>37.4</v>
      </c>
      <c r="EK6" t="n">
        <v>24.6</v>
      </c>
      <c r="EL6" t="n">
        <v>63.3</v>
      </c>
      <c r="EM6" t="n">
        <v>275.9</v>
      </c>
      <c r="EN6" t="n">
        <v>836.5</v>
      </c>
      <c r="EO6" t="n">
        <v>207.5</v>
      </c>
      <c r="EP6" t="n">
        <v>16.5</v>
      </c>
    </row>
    <row r="7">
      <c r="A7" t="inlineStr">
        <is>
          <t>Declan Rice</t>
        </is>
      </c>
      <c r="B7" t="inlineStr">
        <is>
          <t>ARS</t>
        </is>
      </c>
      <c r="C7" t="inlineStr">
        <is>
          <t>MID</t>
        </is>
      </c>
      <c r="D7" t="inlineStr">
        <is>
          <t>MID</t>
        </is>
      </c>
      <c r="E7" t="n">
        <v>7.5</v>
      </c>
      <c r="F7" t="b">
        <v>1</v>
      </c>
      <c r="G7" t="b">
        <v>1</v>
      </c>
      <c r="H7" t="n">
        <v>27.6</v>
      </c>
      <c r="I7" t="inlineStr">
        <is>
          <t>a</t>
        </is>
      </c>
      <c r="L7" t="inlineStr">
        <is>
          <t>p204480</t>
        </is>
      </c>
      <c r="M7" t="n">
        <v>13</v>
      </c>
      <c r="O7" t="n">
        <v>1</v>
      </c>
      <c r="P7" t="n">
        <v>1</v>
      </c>
      <c r="Q7" t="n">
        <v>3093</v>
      </c>
      <c r="R7" t="n">
        <v>36</v>
      </c>
      <c r="S7" t="n">
        <v>35</v>
      </c>
      <c r="T7" t="n">
        <v>34.367</v>
      </c>
      <c r="U7" t="n">
        <v>85.90000000000001</v>
      </c>
      <c r="V7" t="n">
        <v>184</v>
      </c>
      <c r="W7" t="n">
        <v>5.354</v>
      </c>
      <c r="X7" t="n">
        <v>4</v>
      </c>
      <c r="Y7" t="n">
        <v>9</v>
      </c>
      <c r="Z7" t="n">
        <v>5</v>
      </c>
      <c r="AA7" t="n">
        <v>18</v>
      </c>
      <c r="AB7" t="n">
        <v>25</v>
      </c>
      <c r="AC7" t="n">
        <v>23</v>
      </c>
      <c r="AD7" t="n">
        <v>24</v>
      </c>
      <c r="AE7" t="n">
        <v>1</v>
      </c>
      <c r="AF7" t="n">
        <v>790</v>
      </c>
      <c r="AG7" t="n">
        <v>769</v>
      </c>
      <c r="AH7" t="n">
        <v>-21</v>
      </c>
      <c r="AI7" t="n">
        <v>185</v>
      </c>
      <c r="AJ7" t="n">
        <v>0.125</v>
      </c>
      <c r="AK7" t="n">
        <v>0.143</v>
      </c>
      <c r="AL7" t="n">
        <v>376</v>
      </c>
      <c r="AM7" t="n">
        <v>10.941</v>
      </c>
      <c r="AN7" t="n">
        <v>14</v>
      </c>
      <c r="AO7" t="n">
        <v>28</v>
      </c>
      <c r="AP7" t="n">
        <v>0.4</v>
      </c>
      <c r="AQ7" t="n">
        <v>0.6</v>
      </c>
      <c r="AR7" t="n">
        <v>0.4</v>
      </c>
      <c r="AS7" t="n">
        <v>0.921</v>
      </c>
      <c r="AT7" t="n">
        <v>0.972</v>
      </c>
      <c r="AU7" t="n">
        <v>6</v>
      </c>
      <c r="AV7" t="n">
        <v>4</v>
      </c>
      <c r="AW7" t="n">
        <v>3.59</v>
      </c>
      <c r="AX7" t="n">
        <v>17</v>
      </c>
      <c r="AY7" t="n">
        <v>3.15</v>
      </c>
      <c r="AZ7" t="n">
        <v>3.721</v>
      </c>
      <c r="BA7" t="n">
        <v>3.435</v>
      </c>
      <c r="BB7" t="n">
        <v>3.721</v>
      </c>
      <c r="BC7" t="n">
        <v>0.092</v>
      </c>
      <c r="BD7" t="n">
        <v>0.108</v>
      </c>
      <c r="BE7" t="n">
        <v>0.1</v>
      </c>
      <c r="BF7" t="n">
        <v>4.5</v>
      </c>
      <c r="BG7" t="n">
        <v>0.131</v>
      </c>
      <c r="BH7" t="n">
        <v>1.132</v>
      </c>
      <c r="BI7" t="n">
        <v>12.59</v>
      </c>
      <c r="BJ7" t="n">
        <v>3.565</v>
      </c>
      <c r="BK7" t="n">
        <v>0.104</v>
      </c>
      <c r="BL7" t="n">
        <v>0.5649999999999999</v>
      </c>
      <c r="BM7" t="n">
        <v>1.35</v>
      </c>
      <c r="BN7" t="n">
        <v>-0.5</v>
      </c>
      <c r="BO7" t="n">
        <v>-0.571</v>
      </c>
      <c r="BP7" t="n">
        <v>40</v>
      </c>
      <c r="BQ7" t="n">
        <v>13</v>
      </c>
      <c r="BR7" t="n">
        <v>3</v>
      </c>
      <c r="BS7" t="n">
        <v>56</v>
      </c>
      <c r="BT7" t="n">
        <v>1.629</v>
      </c>
      <c r="BV7" t="n">
        <v>1</v>
      </c>
      <c r="BW7" t="n">
        <v>7.32</v>
      </c>
      <c r="BX7" t="n">
        <v>8.159000000000001</v>
      </c>
      <c r="BY7" t="n">
        <v>7.74</v>
      </c>
      <c r="BZ7" t="n">
        <v>0.225</v>
      </c>
      <c r="CA7" t="n">
        <v>11.175</v>
      </c>
      <c r="CB7" t="n">
        <v>0.325</v>
      </c>
      <c r="CC7" t="n">
        <v>63</v>
      </c>
      <c r="CD7" t="n">
        <v>17</v>
      </c>
      <c r="CE7" t="n">
        <v>63</v>
      </c>
      <c r="CF7" t="n">
        <v>47</v>
      </c>
      <c r="CG7" t="n">
        <v>5</v>
      </c>
      <c r="CH7" t="n">
        <v>95</v>
      </c>
      <c r="CI7" t="n">
        <v>18.491</v>
      </c>
      <c r="CJ7" t="n">
        <v>12.957</v>
      </c>
      <c r="CK7" t="n">
        <v>127</v>
      </c>
      <c r="CL7" t="n">
        <v>180</v>
      </c>
      <c r="CM7" t="n">
        <v>69</v>
      </c>
      <c r="CN7" t="n">
        <v>35</v>
      </c>
      <c r="CO7" t="n">
        <v>37</v>
      </c>
      <c r="CP7" t="n">
        <v>78</v>
      </c>
      <c r="CQ7" t="n">
        <v>12</v>
      </c>
      <c r="CR7" t="n">
        <v>145</v>
      </c>
      <c r="CS7" t="n">
        <v>50</v>
      </c>
      <c r="CT7" t="n">
        <v>0.3</v>
      </c>
      <c r="CU7" t="n">
        <v>1</v>
      </c>
      <c r="CW7" t="n">
        <v>23.87</v>
      </c>
      <c r="CX7" t="n">
        <v>0.695</v>
      </c>
      <c r="CY7" t="n">
        <v>0</v>
      </c>
      <c r="DB7" t="n">
        <v>0</v>
      </c>
      <c r="DE7" t="n">
        <v>7.56</v>
      </c>
      <c r="DF7" t="n">
        <v>3</v>
      </c>
      <c r="DG7" t="n">
        <v>0</v>
      </c>
      <c r="DH7" t="n">
        <v>26</v>
      </c>
      <c r="DI7" t="n">
        <v>11</v>
      </c>
      <c r="DL7" t="n">
        <v>14</v>
      </c>
      <c r="DM7" t="n">
        <v>18</v>
      </c>
      <c r="DN7" t="n">
        <v>1</v>
      </c>
      <c r="DO7" t="n">
        <v>21.6</v>
      </c>
      <c r="DP7" t="n">
        <v>152.45</v>
      </c>
      <c r="DQ7" t="n">
        <v>75.39</v>
      </c>
      <c r="DR7" t="n">
        <v>150.78</v>
      </c>
      <c r="DS7" t="n">
        <v>1.67</v>
      </c>
      <c r="DT7" t="n">
        <v>3106</v>
      </c>
      <c r="DU7" t="n">
        <v>81.75</v>
      </c>
      <c r="DV7" t="inlineStr">
        <is>
          <t>flat</t>
        </is>
      </c>
      <c r="DW7" t="n">
        <v>15.01</v>
      </c>
      <c r="DX7" t="n">
        <v>14.33</v>
      </c>
      <c r="DY7" t="n">
        <v>15.11</v>
      </c>
      <c r="DZ7" t="n">
        <v>0.1</v>
      </c>
      <c r="EA7" t="n">
        <v>1509</v>
      </c>
      <c r="EB7" t="n">
        <v>8.43</v>
      </c>
      <c r="EC7" t="n">
        <v>1.14</v>
      </c>
      <c r="ED7" t="n">
        <v>110.67</v>
      </c>
      <c r="EE7" t="n">
        <v>3060</v>
      </c>
      <c r="EF7" t="b">
        <v>1</v>
      </c>
      <c r="EG7" t="n">
        <v>99.90000000000001</v>
      </c>
      <c r="EH7" t="n">
        <v>37.1</v>
      </c>
      <c r="EI7" t="n">
        <v>13</v>
      </c>
      <c r="EJ7" t="n">
        <v>77.3</v>
      </c>
      <c r="EK7" t="n">
        <v>55.2</v>
      </c>
      <c r="EL7" t="n">
        <v>49.1</v>
      </c>
      <c r="EM7" t="n">
        <v>900.3</v>
      </c>
      <c r="EN7" t="n">
        <v>399.6</v>
      </c>
      <c r="EO7" t="n">
        <v>276.8</v>
      </c>
      <c r="EP7" t="n">
        <v>16.8</v>
      </c>
    </row>
    <row r="8">
      <c r="A8" t="inlineStr">
        <is>
          <t>Igor Thiago</t>
        </is>
      </c>
      <c r="B8" t="inlineStr">
        <is>
          <t>BRE</t>
        </is>
      </c>
      <c r="C8" t="inlineStr">
        <is>
          <t>FWD</t>
        </is>
      </c>
      <c r="D8" t="inlineStr">
        <is>
          <t>FWD</t>
        </is>
      </c>
      <c r="E8" t="n">
        <v>8</v>
      </c>
      <c r="F8" t="b">
        <v>1</v>
      </c>
      <c r="G8" t="b">
        <v>1</v>
      </c>
      <c r="H8" t="n">
        <v>25.2</v>
      </c>
      <c r="I8" t="inlineStr">
        <is>
          <t>a</t>
        </is>
      </c>
      <c r="L8" t="inlineStr">
        <is>
          <t>p502500</t>
        </is>
      </c>
      <c r="M8" t="n">
        <v>106</v>
      </c>
      <c r="N8" t="n">
        <v>1</v>
      </c>
      <c r="Q8" t="n">
        <v>3282</v>
      </c>
      <c r="R8" t="n">
        <v>38</v>
      </c>
      <c r="S8" t="n">
        <v>37</v>
      </c>
      <c r="T8" t="n">
        <v>36.467</v>
      </c>
      <c r="U8" t="n">
        <v>86.40000000000001</v>
      </c>
      <c r="V8" t="n">
        <v>181</v>
      </c>
      <c r="W8" t="n">
        <v>4.963</v>
      </c>
      <c r="X8" t="n">
        <v>22</v>
      </c>
      <c r="Y8" t="n">
        <v>1</v>
      </c>
      <c r="Z8" t="n">
        <v>1</v>
      </c>
      <c r="AA8" t="n">
        <v>10</v>
      </c>
      <c r="AB8" t="n">
        <v>50</v>
      </c>
      <c r="AC8" t="n">
        <v>22</v>
      </c>
      <c r="AD8" t="n">
        <v>22</v>
      </c>
      <c r="AE8" t="n">
        <v>0</v>
      </c>
      <c r="AF8" t="n">
        <v>710</v>
      </c>
      <c r="AG8" t="n">
        <v>694</v>
      </c>
      <c r="AH8" t="n">
        <v>-16</v>
      </c>
      <c r="AI8" t="n">
        <v>181</v>
      </c>
      <c r="AJ8" t="n">
        <v>0.122</v>
      </c>
      <c r="AK8" t="n">
        <v>0.138</v>
      </c>
      <c r="AL8" t="n">
        <v>214</v>
      </c>
      <c r="AM8" t="n">
        <v>5.868</v>
      </c>
      <c r="AN8" t="n">
        <v>1</v>
      </c>
      <c r="AO8" t="n">
        <v>2</v>
      </c>
      <c r="AP8" t="n">
        <v>0.027</v>
      </c>
      <c r="AQ8" t="n">
        <v>0.054</v>
      </c>
      <c r="AR8" t="n">
        <v>0.027</v>
      </c>
      <c r="AS8" t="n">
        <v>0.974</v>
      </c>
      <c r="AT8" t="n">
        <v>0.974</v>
      </c>
      <c r="AU8" t="n">
        <v>21</v>
      </c>
      <c r="AV8" t="n">
        <v>6</v>
      </c>
      <c r="AW8" t="n">
        <v>4.26</v>
      </c>
      <c r="AX8" t="n">
        <v>17</v>
      </c>
      <c r="AY8" t="n">
        <v>20.6</v>
      </c>
      <c r="AZ8" t="n">
        <v>24.69</v>
      </c>
      <c r="BA8" t="n">
        <v>22.645</v>
      </c>
      <c r="BB8" t="n">
        <v>17.839</v>
      </c>
      <c r="BC8" t="n">
        <v>0.5649999999999999</v>
      </c>
      <c r="BD8" t="n">
        <v>0.677</v>
      </c>
      <c r="BE8" t="n">
        <v>0.621</v>
      </c>
      <c r="BF8" t="n">
        <v>20.1</v>
      </c>
      <c r="BG8" t="n">
        <v>0.551</v>
      </c>
      <c r="BH8" t="n">
        <v>0.978</v>
      </c>
      <c r="BI8" t="n">
        <v>20.73</v>
      </c>
      <c r="BJ8" t="n">
        <v>20.148</v>
      </c>
      <c r="BK8" t="n">
        <v>0.553</v>
      </c>
      <c r="BL8" t="n">
        <v>-0.645</v>
      </c>
      <c r="BM8" t="n">
        <v>-0.5</v>
      </c>
      <c r="BN8" t="n">
        <v>1.9</v>
      </c>
      <c r="BO8" t="n">
        <v>-4.09</v>
      </c>
      <c r="BP8" t="n">
        <v>84</v>
      </c>
      <c r="BQ8" t="n">
        <v>43</v>
      </c>
      <c r="BR8" t="n">
        <v>20</v>
      </c>
      <c r="BS8" t="n">
        <v>169</v>
      </c>
      <c r="BT8" t="n">
        <v>4.634</v>
      </c>
      <c r="BU8" t="n">
        <v>8</v>
      </c>
      <c r="BV8" t="n">
        <v>2</v>
      </c>
      <c r="BW8" t="n">
        <v>1.83</v>
      </c>
      <c r="BX8" t="n">
        <v>3.45</v>
      </c>
      <c r="BY8" t="n">
        <v>2.64</v>
      </c>
      <c r="BZ8" t="n">
        <v>0.07199999999999999</v>
      </c>
      <c r="CA8" t="n">
        <v>25.285</v>
      </c>
      <c r="CB8" t="n">
        <v>0.6929999999999999</v>
      </c>
      <c r="CC8" t="n">
        <v>24</v>
      </c>
      <c r="CD8" t="n">
        <v>6</v>
      </c>
      <c r="CE8" t="n">
        <v>24</v>
      </c>
      <c r="CF8" t="n">
        <v>7</v>
      </c>
      <c r="CG8" t="n">
        <v>2</v>
      </c>
      <c r="CI8" t="n">
        <v>22.693</v>
      </c>
      <c r="CJ8" t="n">
        <v>4.928</v>
      </c>
      <c r="CK8" t="n">
        <v>84</v>
      </c>
      <c r="CL8" t="n">
        <v>93</v>
      </c>
      <c r="CM8" t="n">
        <v>37</v>
      </c>
      <c r="CN8" t="n">
        <v>22</v>
      </c>
      <c r="CO8" t="n">
        <v>12</v>
      </c>
      <c r="CP8" t="n">
        <v>64</v>
      </c>
      <c r="CQ8" t="n">
        <v>8</v>
      </c>
      <c r="CR8" t="n">
        <v>203</v>
      </c>
      <c r="CS8" t="n">
        <v>112</v>
      </c>
      <c r="CT8" t="n">
        <v>0.4</v>
      </c>
      <c r="CV8" t="n">
        <v>2</v>
      </c>
      <c r="CW8" t="n">
        <v>53.17</v>
      </c>
      <c r="CX8" t="n">
        <v>1.458</v>
      </c>
      <c r="CY8" t="n">
        <v>0</v>
      </c>
      <c r="DB8" t="n">
        <v>0</v>
      </c>
      <c r="DE8" t="n">
        <v>7.14</v>
      </c>
      <c r="DF8" t="n">
        <v>7</v>
      </c>
      <c r="DG8" t="n">
        <v>0</v>
      </c>
      <c r="DH8" t="n">
        <v>73</v>
      </c>
      <c r="DI8" t="n">
        <v>26</v>
      </c>
      <c r="DL8" t="n">
        <v>29</v>
      </c>
      <c r="DM8" t="n">
        <v>42</v>
      </c>
      <c r="DN8" t="n">
        <v>23</v>
      </c>
      <c r="DO8" t="n">
        <v>16.1</v>
      </c>
      <c r="DP8" t="n">
        <v>167.6</v>
      </c>
      <c r="DQ8" t="n">
        <v>83.8</v>
      </c>
      <c r="DR8" t="n">
        <v>167.6</v>
      </c>
      <c r="DS8" t="n">
        <v>0</v>
      </c>
      <c r="DT8" t="n">
        <v>3209</v>
      </c>
      <c r="DU8" t="n">
        <v>84.45</v>
      </c>
      <c r="DV8" t="inlineStr">
        <is>
          <t>flat</t>
        </is>
      </c>
      <c r="DW8" t="n">
        <v>12.17</v>
      </c>
      <c r="DX8" t="n">
        <v>10.77</v>
      </c>
      <c r="DY8" t="n">
        <v>11.56</v>
      </c>
      <c r="DZ8" t="n">
        <v>-0.61</v>
      </c>
      <c r="EA8" t="n">
        <v>1522</v>
      </c>
      <c r="EB8" t="n">
        <v>8.58</v>
      </c>
      <c r="EC8" t="n">
        <v>0.5</v>
      </c>
      <c r="ED8" t="n">
        <v>114.67</v>
      </c>
      <c r="EE8" t="n">
        <v>2989</v>
      </c>
      <c r="EF8" t="b">
        <v>1</v>
      </c>
      <c r="EG8" t="n">
        <v>99.90000000000001</v>
      </c>
      <c r="EH8" t="n">
        <v>38.6</v>
      </c>
      <c r="EI8" t="n">
        <v>9</v>
      </c>
      <c r="EJ8" t="n">
        <v>39.1</v>
      </c>
      <c r="EK8" t="n">
        <v>19.4</v>
      </c>
      <c r="EL8" t="n">
        <v>136.8</v>
      </c>
      <c r="EM8" t="n">
        <v>144.9</v>
      </c>
      <c r="EN8" t="n">
        <v>1243.2</v>
      </c>
      <c r="EO8" t="n">
        <v>129.8</v>
      </c>
      <c r="EP8" t="n">
        <v>18.1</v>
      </c>
    </row>
    <row r="9">
      <c r="A9" t="inlineStr">
        <is>
          <t>Elliot Anderson</t>
        </is>
      </c>
      <c r="B9" t="inlineStr">
        <is>
          <t>MCI</t>
        </is>
      </c>
      <c r="C9" t="inlineStr">
        <is>
          <t>MID</t>
        </is>
      </c>
      <c r="D9" t="inlineStr">
        <is>
          <t>MID</t>
        </is>
      </c>
      <c r="E9" t="n">
        <v>6.5</v>
      </c>
      <c r="F9" t="b">
        <v>1</v>
      </c>
      <c r="G9" t="b">
        <v>1</v>
      </c>
      <c r="H9" t="n">
        <v>23.8</v>
      </c>
      <c r="I9" t="inlineStr">
        <is>
          <t>a</t>
        </is>
      </c>
      <c r="L9" t="inlineStr">
        <is>
          <t>p215379</t>
        </is>
      </c>
      <c r="M9" t="n">
        <v>481</v>
      </c>
      <c r="O9" t="n">
        <v>3</v>
      </c>
      <c r="Q9" t="n">
        <v>3332</v>
      </c>
      <c r="R9" t="n">
        <v>38</v>
      </c>
      <c r="S9" t="n">
        <v>37</v>
      </c>
      <c r="T9" t="n">
        <v>37.022</v>
      </c>
      <c r="U9" t="n">
        <v>87.7</v>
      </c>
      <c r="V9" t="n">
        <v>180</v>
      </c>
      <c r="W9" t="n">
        <v>4.862</v>
      </c>
      <c r="X9" t="n">
        <v>4</v>
      </c>
      <c r="Y9" t="n">
        <v>5</v>
      </c>
      <c r="Z9" t="n">
        <v>4</v>
      </c>
      <c r="AA9" t="n">
        <v>10</v>
      </c>
      <c r="AB9" t="n">
        <v>50</v>
      </c>
      <c r="AC9" t="n">
        <v>16</v>
      </c>
      <c r="AD9" t="n">
        <v>18</v>
      </c>
      <c r="AE9" t="n">
        <v>2</v>
      </c>
      <c r="AF9" t="n">
        <v>795</v>
      </c>
      <c r="AG9" t="n">
        <v>775</v>
      </c>
      <c r="AH9" t="n">
        <v>-20</v>
      </c>
      <c r="AI9" t="n">
        <v>182</v>
      </c>
      <c r="AJ9" t="n">
        <v>0.089</v>
      </c>
      <c r="AK9" t="n">
        <v>0.098</v>
      </c>
      <c r="AL9" t="n">
        <v>515</v>
      </c>
      <c r="AM9" t="n">
        <v>13.911</v>
      </c>
      <c r="AN9" t="n">
        <v>26</v>
      </c>
      <c r="AO9" t="n">
        <v>52</v>
      </c>
      <c r="AP9" t="n">
        <v>0.703</v>
      </c>
      <c r="AQ9" t="n">
        <v>0.892</v>
      </c>
      <c r="AR9" t="n">
        <v>0.703</v>
      </c>
      <c r="AS9" t="n">
        <v>0.974</v>
      </c>
      <c r="AT9" t="n">
        <v>0.974</v>
      </c>
      <c r="AU9" t="n">
        <v>10</v>
      </c>
      <c r="AV9" t="n">
        <v>3</v>
      </c>
      <c r="AW9" t="n">
        <v>3.01</v>
      </c>
      <c r="AX9" t="n">
        <v>12</v>
      </c>
      <c r="AY9" t="n">
        <v>2.94</v>
      </c>
      <c r="AZ9" t="n">
        <v>3.444</v>
      </c>
      <c r="BA9" t="n">
        <v>3.192</v>
      </c>
      <c r="BB9" t="n">
        <v>2.683</v>
      </c>
      <c r="BC9" t="n">
        <v>0.079</v>
      </c>
      <c r="BD9" t="n">
        <v>0.093</v>
      </c>
      <c r="BE9" t="n">
        <v>0.08599999999999999</v>
      </c>
      <c r="BF9" t="n">
        <v>2.4</v>
      </c>
      <c r="BG9" t="n">
        <v>0.065</v>
      </c>
      <c r="BH9" t="n">
        <v>0.902</v>
      </c>
      <c r="BI9" t="n">
        <v>7.75</v>
      </c>
      <c r="BJ9" t="n">
        <v>2.651</v>
      </c>
      <c r="BK9" t="n">
        <v>0.07199999999999999</v>
      </c>
      <c r="BL9" t="n">
        <v>0.8080000000000001</v>
      </c>
      <c r="BM9" t="n">
        <v>-0.54</v>
      </c>
      <c r="BN9" t="n">
        <v>1.6</v>
      </c>
      <c r="BO9" t="n">
        <v>-0.504</v>
      </c>
      <c r="BP9" t="n">
        <v>44</v>
      </c>
      <c r="BQ9" t="n">
        <v>10</v>
      </c>
      <c r="BR9" t="n">
        <v>1</v>
      </c>
      <c r="BS9" t="n">
        <v>62</v>
      </c>
      <c r="BT9" t="n">
        <v>1.675</v>
      </c>
      <c r="BU9" t="n">
        <v>1</v>
      </c>
      <c r="BW9" t="n">
        <v>4.79</v>
      </c>
      <c r="BX9" t="n">
        <v>4.843</v>
      </c>
      <c r="BY9" t="n">
        <v>4.816</v>
      </c>
      <c r="BZ9" t="n">
        <v>0.13</v>
      </c>
      <c r="CA9" t="n">
        <v>8.007999999999999</v>
      </c>
      <c r="CB9" t="n">
        <v>0.216</v>
      </c>
      <c r="CC9" t="n">
        <v>55</v>
      </c>
      <c r="CD9" t="n">
        <v>9</v>
      </c>
      <c r="CE9" t="n">
        <v>54</v>
      </c>
      <c r="CF9" t="n">
        <v>51</v>
      </c>
      <c r="CG9" t="n">
        <v>2</v>
      </c>
      <c r="CH9" t="n">
        <v>87</v>
      </c>
      <c r="CI9" t="n">
        <v>16.283</v>
      </c>
      <c r="CJ9" t="n">
        <v>11.958</v>
      </c>
      <c r="CK9" t="n">
        <v>106</v>
      </c>
      <c r="CL9" t="n">
        <v>306</v>
      </c>
      <c r="CM9" t="n">
        <v>103</v>
      </c>
      <c r="CN9" t="n">
        <v>63</v>
      </c>
      <c r="CO9" t="n">
        <v>41</v>
      </c>
      <c r="CP9" t="n">
        <v>49</v>
      </c>
      <c r="CQ9" t="n">
        <v>16</v>
      </c>
      <c r="CR9" t="n">
        <v>297</v>
      </c>
      <c r="CS9" t="n">
        <v>66</v>
      </c>
      <c r="CT9" t="n">
        <v>0.7</v>
      </c>
      <c r="CV9" t="n">
        <v>4</v>
      </c>
      <c r="CW9" t="n">
        <v>53.65</v>
      </c>
      <c r="CX9" t="n">
        <v>1.449</v>
      </c>
      <c r="CY9" t="n">
        <v>0</v>
      </c>
      <c r="DB9" t="n">
        <v>0</v>
      </c>
      <c r="DE9" t="n">
        <v>7.51</v>
      </c>
      <c r="DF9" t="n">
        <v>8</v>
      </c>
      <c r="DG9" t="n">
        <v>0</v>
      </c>
      <c r="DH9" t="n">
        <v>57</v>
      </c>
      <c r="DI9" t="n">
        <v>80</v>
      </c>
      <c r="DK9" t="n">
        <v>1</v>
      </c>
      <c r="DL9" t="n">
        <v>50</v>
      </c>
      <c r="DM9" t="n">
        <v>62</v>
      </c>
      <c r="DN9" t="n">
        <v>2</v>
      </c>
      <c r="DO9" t="n">
        <v>11.1</v>
      </c>
      <c r="DP9" t="n">
        <v>116.9</v>
      </c>
      <c r="DQ9" t="n">
        <v>63.21</v>
      </c>
      <c r="DR9" t="n">
        <v>126.42</v>
      </c>
      <c r="DS9" t="n">
        <v>-9.52</v>
      </c>
      <c r="DT9" t="n">
        <v>2096</v>
      </c>
      <c r="DU9" t="n">
        <v>55.17</v>
      </c>
      <c r="DV9" t="inlineStr">
        <is>
          <t>flat</t>
        </is>
      </c>
      <c r="DW9" t="n">
        <v>33.68</v>
      </c>
      <c r="DX9" t="n">
        <v>31.37</v>
      </c>
      <c r="DY9" t="n">
        <v>34.6</v>
      </c>
      <c r="DZ9" t="n">
        <v>0.92</v>
      </c>
      <c r="EA9" t="n">
        <v>1544</v>
      </c>
      <c r="EB9" t="n">
        <v>16.01</v>
      </c>
      <c r="EC9" t="n">
        <v>1.6</v>
      </c>
      <c r="ED9" t="n">
        <v>113.14</v>
      </c>
      <c r="EE9" t="n">
        <v>3363</v>
      </c>
      <c r="EF9" t="b">
        <v>1</v>
      </c>
      <c r="EG9" t="n">
        <v>98.90000000000001</v>
      </c>
      <c r="EH9" t="n">
        <v>30.2</v>
      </c>
      <c r="EI9" t="n">
        <v>31</v>
      </c>
      <c r="EJ9" t="n">
        <v>75.7</v>
      </c>
      <c r="EK9" t="n">
        <v>53.7</v>
      </c>
      <c r="EL9" t="n">
        <v>61.7</v>
      </c>
      <c r="EM9" t="n">
        <v>1043.8</v>
      </c>
      <c r="EN9" t="n">
        <v>691.8</v>
      </c>
      <c r="EO9" t="n">
        <v>416.1</v>
      </c>
      <c r="EP9" t="n">
        <v>18.5</v>
      </c>
    </row>
    <row r="10">
      <c r="A10" t="inlineStr">
        <is>
          <t>Marc Guéhi</t>
        </is>
      </c>
      <c r="B10" t="inlineStr">
        <is>
          <t>MCI</t>
        </is>
      </c>
      <c r="C10" t="inlineStr">
        <is>
          <t>DEF</t>
        </is>
      </c>
      <c r="D10" t="inlineStr">
        <is>
          <t>DEF</t>
        </is>
      </c>
      <c r="E10" t="n">
        <v>6</v>
      </c>
      <c r="F10" t="b">
        <v>1</v>
      </c>
      <c r="G10" t="b">
        <v>1</v>
      </c>
      <c r="H10" t="n">
        <v>26.1</v>
      </c>
      <c r="I10" t="inlineStr">
        <is>
          <t>a</t>
        </is>
      </c>
      <c r="L10" t="inlineStr">
        <is>
          <t>p209036</t>
        </is>
      </c>
      <c r="M10" t="n">
        <v>388</v>
      </c>
      <c r="Q10" t="n">
        <v>3150</v>
      </c>
      <c r="R10" t="n">
        <v>35</v>
      </c>
      <c r="S10" t="n">
        <v>35</v>
      </c>
      <c r="T10" t="n">
        <v>35</v>
      </c>
      <c r="U10" t="n">
        <v>90</v>
      </c>
      <c r="V10" t="n">
        <v>179</v>
      </c>
      <c r="W10" t="n">
        <v>5.114</v>
      </c>
      <c r="X10" t="n">
        <v>3</v>
      </c>
      <c r="Y10" t="n">
        <v>5</v>
      </c>
      <c r="Z10" t="n">
        <v>3</v>
      </c>
      <c r="AA10" t="n">
        <v>14</v>
      </c>
      <c r="AB10" t="n">
        <v>35</v>
      </c>
      <c r="AC10" t="n">
        <v>14</v>
      </c>
      <c r="AD10" t="n">
        <v>12</v>
      </c>
      <c r="AE10" t="n">
        <v>-2</v>
      </c>
      <c r="AF10" t="n">
        <v>688</v>
      </c>
      <c r="AG10" t="n">
        <v>647</v>
      </c>
      <c r="AH10" t="n">
        <v>-41</v>
      </c>
      <c r="AI10" t="n">
        <v>177</v>
      </c>
      <c r="AJ10" t="n">
        <v>0.078</v>
      </c>
      <c r="AK10" t="n">
        <v>0.08500000000000001</v>
      </c>
      <c r="AL10" t="n">
        <v>278</v>
      </c>
      <c r="AM10" t="n">
        <v>7.943</v>
      </c>
      <c r="AN10" t="n">
        <v>11</v>
      </c>
      <c r="AO10" t="n">
        <v>22</v>
      </c>
      <c r="AP10" t="n">
        <v>0.314</v>
      </c>
      <c r="AQ10" t="n">
        <v>0.314</v>
      </c>
      <c r="AR10" t="n">
        <v>0.114</v>
      </c>
      <c r="AS10" t="n">
        <v>0.921</v>
      </c>
      <c r="AT10" t="n">
        <v>1</v>
      </c>
      <c r="AU10" t="n">
        <v>12</v>
      </c>
      <c r="AV10" t="n">
        <v>4</v>
      </c>
      <c r="AW10" t="n">
        <v>4</v>
      </c>
      <c r="AX10" t="n">
        <v>15</v>
      </c>
      <c r="AY10" t="n">
        <v>4.05</v>
      </c>
      <c r="AZ10" t="n">
        <v>4.697</v>
      </c>
      <c r="BA10" t="n">
        <v>4.374</v>
      </c>
      <c r="BB10" t="n">
        <v>4.697</v>
      </c>
      <c r="BC10" t="n">
        <v>0.116</v>
      </c>
      <c r="BD10" t="n">
        <v>0.134</v>
      </c>
      <c r="BE10" t="n">
        <v>0.125</v>
      </c>
      <c r="BF10" t="n">
        <v>4</v>
      </c>
      <c r="BG10" t="n">
        <v>0.114</v>
      </c>
      <c r="BH10" t="n">
        <v>1.084</v>
      </c>
      <c r="BI10" t="n">
        <v>7.96</v>
      </c>
      <c r="BJ10" t="n">
        <v>4.39</v>
      </c>
      <c r="BK10" t="n">
        <v>0.125</v>
      </c>
      <c r="BL10" t="n">
        <v>-1.374</v>
      </c>
      <c r="BM10" t="n">
        <v>-0.05</v>
      </c>
      <c r="BN10" t="n">
        <v>-1</v>
      </c>
      <c r="BO10" t="n">
        <v>-0.647</v>
      </c>
      <c r="BP10" t="n">
        <v>32</v>
      </c>
      <c r="BQ10" t="n">
        <v>9</v>
      </c>
      <c r="BR10" t="n">
        <v>6</v>
      </c>
      <c r="BS10" t="n">
        <v>62</v>
      </c>
      <c r="BT10" t="n">
        <v>1.771</v>
      </c>
      <c r="BV10" t="n">
        <v>1</v>
      </c>
      <c r="BW10" t="n">
        <v>2.37</v>
      </c>
      <c r="BX10" t="n">
        <v>2.727</v>
      </c>
      <c r="BY10" t="n">
        <v>2.548</v>
      </c>
      <c r="BZ10" t="n">
        <v>0.073</v>
      </c>
      <c r="CA10" t="n">
        <v>6.922</v>
      </c>
      <c r="CB10" t="n">
        <v>0.198</v>
      </c>
      <c r="CC10" t="n">
        <v>18</v>
      </c>
      <c r="CD10" t="n">
        <v>5</v>
      </c>
      <c r="CE10" t="n">
        <v>18</v>
      </c>
      <c r="CF10" t="n">
        <v>3</v>
      </c>
      <c r="CG10" t="n">
        <v>3</v>
      </c>
      <c r="CH10" t="n">
        <v>2</v>
      </c>
      <c r="CI10" t="n">
        <v>17.673</v>
      </c>
      <c r="CJ10" t="n">
        <v>15.488</v>
      </c>
      <c r="CK10" t="n">
        <v>232</v>
      </c>
      <c r="CL10" t="n">
        <v>139</v>
      </c>
      <c r="CM10" t="n">
        <v>46</v>
      </c>
      <c r="CN10" t="n">
        <v>31</v>
      </c>
      <c r="CO10" t="n">
        <v>50</v>
      </c>
      <c r="CP10" t="n">
        <v>164</v>
      </c>
      <c r="CQ10" t="n">
        <v>23</v>
      </c>
      <c r="CR10" t="n">
        <v>194</v>
      </c>
      <c r="CS10" t="n">
        <v>103</v>
      </c>
      <c r="CT10" t="n">
        <v>0.1</v>
      </c>
      <c r="CU10" t="n">
        <v>2</v>
      </c>
      <c r="CV10" t="n">
        <v>0</v>
      </c>
      <c r="CW10" t="n">
        <v>44.58</v>
      </c>
      <c r="CX10" t="n">
        <v>1.274</v>
      </c>
      <c r="CY10" t="n">
        <v>0</v>
      </c>
      <c r="DB10" t="n">
        <v>0</v>
      </c>
      <c r="DE10" t="n">
        <v>7.37</v>
      </c>
      <c r="DF10" t="n">
        <v>6</v>
      </c>
      <c r="DG10" t="n">
        <v>0</v>
      </c>
      <c r="DH10" t="n">
        <v>25</v>
      </c>
      <c r="DI10" t="n">
        <v>38</v>
      </c>
      <c r="DJ10" t="n">
        <v>1</v>
      </c>
      <c r="DL10" t="n">
        <v>7</v>
      </c>
      <c r="DM10" t="n">
        <v>18</v>
      </c>
      <c r="DO10" t="n">
        <v>22.6</v>
      </c>
      <c r="DP10" t="n">
        <v>116.75</v>
      </c>
      <c r="DQ10" t="n">
        <v>58.17</v>
      </c>
      <c r="DR10" t="n">
        <v>116.34</v>
      </c>
      <c r="DS10" t="n">
        <v>0.41</v>
      </c>
      <c r="DT10" t="n">
        <v>2611</v>
      </c>
      <c r="DU10" t="n">
        <v>68.7</v>
      </c>
      <c r="DV10" t="inlineStr">
        <is>
          <t>flat</t>
        </is>
      </c>
      <c r="DW10" t="n">
        <v>32.73</v>
      </c>
      <c r="DX10" t="n">
        <v>34.4</v>
      </c>
      <c r="DY10" t="n">
        <v>29.35</v>
      </c>
      <c r="DZ10" t="n">
        <v>-3.38</v>
      </c>
      <c r="EA10" t="n">
        <v>1622</v>
      </c>
      <c r="EB10" t="n">
        <v>11.58</v>
      </c>
      <c r="EC10" t="n">
        <v>1</v>
      </c>
      <c r="ED10" t="n">
        <v>100</v>
      </c>
      <c r="EE10" t="n">
        <v>3874</v>
      </c>
      <c r="EF10" t="b">
        <v>1</v>
      </c>
      <c r="EG10" t="n">
        <v>99.90000000000001</v>
      </c>
      <c r="EH10" t="n">
        <v>20.5</v>
      </c>
      <c r="EI10" t="n">
        <v>56</v>
      </c>
      <c r="EJ10" t="n">
        <v>98.40000000000001</v>
      </c>
      <c r="EK10" t="n">
        <v>50.8</v>
      </c>
      <c r="EL10" t="n">
        <v>175</v>
      </c>
      <c r="EM10" t="n">
        <v>720.2</v>
      </c>
      <c r="EN10" t="n">
        <v>1236.1</v>
      </c>
      <c r="EO10" t="n">
        <v>455.1</v>
      </c>
      <c r="EP10" t="n">
        <v>17.6</v>
      </c>
    </row>
    <row r="11">
      <c r="A11" t="inlineStr">
        <is>
          <t>João Pedro</t>
        </is>
      </c>
      <c r="B11" t="inlineStr">
        <is>
          <t>CHE</t>
        </is>
      </c>
      <c r="C11" t="inlineStr">
        <is>
          <t>FWD</t>
        </is>
      </c>
      <c r="D11" t="inlineStr">
        <is>
          <t>FWD</t>
        </is>
      </c>
      <c r="E11" t="n">
        <v>7.5</v>
      </c>
      <c r="F11" t="b">
        <v>1</v>
      </c>
      <c r="G11" t="b">
        <v>1</v>
      </c>
      <c r="H11" t="n">
        <v>24.9</v>
      </c>
      <c r="I11" t="inlineStr">
        <is>
          <t>a</t>
        </is>
      </c>
      <c r="L11" t="inlineStr">
        <is>
          <t>p475168</t>
        </is>
      </c>
      <c r="M11" t="n">
        <v>165</v>
      </c>
      <c r="Q11" t="n">
        <v>2658</v>
      </c>
      <c r="R11" t="n">
        <v>35</v>
      </c>
      <c r="S11" t="n">
        <v>31</v>
      </c>
      <c r="T11" t="n">
        <v>29.533</v>
      </c>
      <c r="U11" t="n">
        <v>75.90000000000001</v>
      </c>
      <c r="V11" t="n">
        <v>177</v>
      </c>
      <c r="W11" t="n">
        <v>5.993</v>
      </c>
      <c r="X11" t="n">
        <v>15</v>
      </c>
      <c r="Y11" t="n">
        <v>9</v>
      </c>
      <c r="Z11" t="n">
        <v>5</v>
      </c>
      <c r="AA11" t="n">
        <v>10</v>
      </c>
      <c r="AB11" t="n">
        <v>36</v>
      </c>
      <c r="AC11" t="n">
        <v>30</v>
      </c>
      <c r="AD11" t="n">
        <v>30</v>
      </c>
      <c r="AE11" t="n">
        <v>0</v>
      </c>
      <c r="AF11" t="n">
        <v>715</v>
      </c>
      <c r="AG11" t="n">
        <v>710</v>
      </c>
      <c r="AH11" t="n">
        <v>-5</v>
      </c>
      <c r="AI11" t="n">
        <v>177</v>
      </c>
      <c r="AJ11" t="n">
        <v>0.169</v>
      </c>
      <c r="AK11" t="n">
        <v>0.204</v>
      </c>
      <c r="AL11" t="n">
        <v>138</v>
      </c>
      <c r="AM11" t="n">
        <v>4.673</v>
      </c>
      <c r="AN11" t="n">
        <v>0</v>
      </c>
      <c r="AO11" t="n">
        <v>0</v>
      </c>
      <c r="AP11" t="n">
        <v>0</v>
      </c>
      <c r="AQ11" t="n">
        <v>0.032</v>
      </c>
      <c r="AR11" t="n">
        <v>0</v>
      </c>
      <c r="AS11" t="n">
        <v>0.8159999999999999</v>
      </c>
      <c r="AT11" t="n">
        <v>0.857</v>
      </c>
      <c r="AU11" t="n">
        <v>20</v>
      </c>
      <c r="AV11" t="n">
        <v>5</v>
      </c>
      <c r="AW11" t="n">
        <v>4.56</v>
      </c>
      <c r="AX11" t="n">
        <v>19</v>
      </c>
      <c r="AY11" t="n">
        <v>14.91</v>
      </c>
      <c r="AZ11" t="n">
        <v>15.724</v>
      </c>
      <c r="BA11" t="n">
        <v>15.317</v>
      </c>
      <c r="BB11" t="n">
        <v>15.724</v>
      </c>
      <c r="BC11" t="n">
        <v>0.505</v>
      </c>
      <c r="BD11" t="n">
        <v>0.532</v>
      </c>
      <c r="BE11" t="n">
        <v>0.519</v>
      </c>
      <c r="BF11" t="n">
        <v>15.2</v>
      </c>
      <c r="BG11" t="n">
        <v>0.515</v>
      </c>
      <c r="BH11" t="n">
        <v>1.003</v>
      </c>
      <c r="BI11" t="n">
        <v>35.88</v>
      </c>
      <c r="BJ11" t="n">
        <v>14.951</v>
      </c>
      <c r="BK11" t="n">
        <v>0.506</v>
      </c>
      <c r="BL11" t="n">
        <v>-0.317</v>
      </c>
      <c r="BM11" t="n">
        <v>0.29</v>
      </c>
      <c r="BN11" t="n">
        <v>-0.2</v>
      </c>
      <c r="BO11" t="n">
        <v>-0.8139999999999999</v>
      </c>
      <c r="BP11" t="n">
        <v>73</v>
      </c>
      <c r="BQ11" t="n">
        <v>28</v>
      </c>
      <c r="BR11" t="n">
        <v>12</v>
      </c>
      <c r="BS11" t="n">
        <v>145</v>
      </c>
      <c r="BT11" t="n">
        <v>4.91</v>
      </c>
      <c r="BV11" t="n">
        <v>3</v>
      </c>
      <c r="BW11" t="n">
        <v>1.96</v>
      </c>
      <c r="BX11" t="n">
        <v>3.984</v>
      </c>
      <c r="BY11" t="n">
        <v>2.972</v>
      </c>
      <c r="BZ11" t="n">
        <v>0.101</v>
      </c>
      <c r="CA11" t="n">
        <v>18.289</v>
      </c>
      <c r="CB11" t="n">
        <v>0.619</v>
      </c>
      <c r="CC11" t="n">
        <v>29</v>
      </c>
      <c r="CD11" t="n">
        <v>6</v>
      </c>
      <c r="CE11" t="n">
        <v>29</v>
      </c>
      <c r="CF11" t="n">
        <v>1</v>
      </c>
      <c r="CG11" t="n">
        <v>5</v>
      </c>
      <c r="CI11" t="n">
        <v>19.28</v>
      </c>
      <c r="CJ11" t="n">
        <v>4.796</v>
      </c>
      <c r="CK11" t="n">
        <v>39</v>
      </c>
      <c r="CL11" t="n">
        <v>72</v>
      </c>
      <c r="CM11" t="n">
        <v>27</v>
      </c>
      <c r="CN11" t="n">
        <v>18</v>
      </c>
      <c r="CO11" t="n">
        <v>7</v>
      </c>
      <c r="CP11" t="n">
        <v>27</v>
      </c>
      <c r="CQ11" t="n">
        <v>5</v>
      </c>
      <c r="CR11" t="n">
        <v>196</v>
      </c>
      <c r="CS11" t="n">
        <v>74</v>
      </c>
      <c r="CT11" t="n">
        <v>0.5</v>
      </c>
      <c r="CU11" t="n">
        <v>0</v>
      </c>
      <c r="CW11" t="n">
        <v>37.25</v>
      </c>
      <c r="CX11" t="n">
        <v>1.261</v>
      </c>
      <c r="CY11" t="n">
        <v>0</v>
      </c>
      <c r="DB11" t="n">
        <v>0</v>
      </c>
      <c r="DE11" t="n">
        <v>7.18</v>
      </c>
      <c r="DF11" t="n">
        <v>5</v>
      </c>
      <c r="DG11" t="n">
        <v>0</v>
      </c>
      <c r="DH11" t="n">
        <v>38</v>
      </c>
      <c r="DI11" t="n">
        <v>56</v>
      </c>
      <c r="DJ11" t="n">
        <v>3</v>
      </c>
      <c r="DL11" t="n">
        <v>40</v>
      </c>
      <c r="DM11" t="n">
        <v>55</v>
      </c>
      <c r="DN11" t="n">
        <v>16</v>
      </c>
      <c r="DO11" t="n">
        <v>55.9</v>
      </c>
      <c r="DP11" t="n">
        <v>176.3</v>
      </c>
      <c r="DQ11" t="n">
        <v>88.23</v>
      </c>
      <c r="DR11" t="n">
        <v>176.46</v>
      </c>
      <c r="DS11" t="n">
        <v>-0.16</v>
      </c>
      <c r="DT11" t="n">
        <v>2890</v>
      </c>
      <c r="DU11" t="n">
        <v>76.05</v>
      </c>
      <c r="DV11" t="inlineStr">
        <is>
          <t>flat</t>
        </is>
      </c>
      <c r="DW11" t="n">
        <v>8.779999999999999</v>
      </c>
      <c r="DX11" t="n">
        <v>8.83</v>
      </c>
      <c r="DY11" t="n">
        <v>7.46</v>
      </c>
      <c r="DZ11" t="n">
        <v>-1.33</v>
      </c>
      <c r="EA11" t="n">
        <v>1635</v>
      </c>
      <c r="EB11" t="n">
        <v>6.04</v>
      </c>
      <c r="EC11" t="n">
        <v>0.8</v>
      </c>
      <c r="ED11" t="n">
        <v>120</v>
      </c>
      <c r="EE11" t="n">
        <v>4154</v>
      </c>
      <c r="EF11" t="b">
        <v>1</v>
      </c>
      <c r="EG11" t="n">
        <v>100</v>
      </c>
      <c r="EH11" t="n">
        <v>14.8</v>
      </c>
      <c r="EI11" t="n">
        <v>14</v>
      </c>
      <c r="EJ11" t="n">
        <v>36.4</v>
      </c>
      <c r="EK11" t="n">
        <v>18.3</v>
      </c>
      <c r="EL11" t="n">
        <v>91.7</v>
      </c>
      <c r="EM11" t="n">
        <v>173.5</v>
      </c>
      <c r="EN11" t="n">
        <v>894.4</v>
      </c>
      <c r="EO11" t="n">
        <v>145.3</v>
      </c>
      <c r="EP11" t="n">
        <v>15</v>
      </c>
    </row>
    <row r="12">
      <c r="A12" t="inlineStr">
        <is>
          <t>Virgil van Dijk</t>
        </is>
      </c>
      <c r="B12" t="inlineStr">
        <is>
          <t>LIV</t>
        </is>
      </c>
      <c r="C12" t="inlineStr">
        <is>
          <t>DEF</t>
        </is>
      </c>
      <c r="D12" t="inlineStr">
        <is>
          <t>DEF</t>
        </is>
      </c>
      <c r="E12" t="n">
        <v>6.5</v>
      </c>
      <c r="F12" t="b">
        <v>1</v>
      </c>
      <c r="G12" t="b">
        <v>1</v>
      </c>
      <c r="H12" t="n">
        <v>35.1</v>
      </c>
      <c r="I12" t="inlineStr">
        <is>
          <t>a</t>
        </is>
      </c>
      <c r="L12" t="inlineStr">
        <is>
          <t>p97032</t>
        </is>
      </c>
      <c r="M12" t="n">
        <v>356</v>
      </c>
      <c r="Q12" t="n">
        <v>3420</v>
      </c>
      <c r="R12" t="n">
        <v>38</v>
      </c>
      <c r="S12" t="n">
        <v>38</v>
      </c>
      <c r="T12" t="n">
        <v>38</v>
      </c>
      <c r="U12" t="n">
        <v>90</v>
      </c>
      <c r="V12" t="n">
        <v>175</v>
      </c>
      <c r="W12" t="n">
        <v>4.605</v>
      </c>
      <c r="X12" t="n">
        <v>6</v>
      </c>
      <c r="Y12" t="n">
        <v>1</v>
      </c>
      <c r="AA12" t="n">
        <v>10</v>
      </c>
      <c r="AB12" t="n">
        <v>53</v>
      </c>
      <c r="AC12" t="n">
        <v>10</v>
      </c>
      <c r="AD12" t="n">
        <v>9</v>
      </c>
      <c r="AE12" t="n">
        <v>-1</v>
      </c>
      <c r="AF12" t="n">
        <v>593</v>
      </c>
      <c r="AG12" t="n">
        <v>534</v>
      </c>
      <c r="AH12" t="n">
        <v>-59</v>
      </c>
      <c r="AI12" t="n">
        <v>174</v>
      </c>
      <c r="AJ12" t="n">
        <v>0.057</v>
      </c>
      <c r="AK12" t="n">
        <v>0.061</v>
      </c>
      <c r="AL12" t="n">
        <v>352</v>
      </c>
      <c r="AM12" t="n">
        <v>9.263</v>
      </c>
      <c r="AN12" t="n">
        <v>16</v>
      </c>
      <c r="AO12" t="n">
        <v>32</v>
      </c>
      <c r="AP12" t="n">
        <v>0.421</v>
      </c>
      <c r="AQ12" t="n">
        <v>0.421</v>
      </c>
      <c r="AR12" t="n">
        <v>0.289</v>
      </c>
      <c r="AS12" t="n">
        <v>1</v>
      </c>
      <c r="AT12" t="n">
        <v>1</v>
      </c>
      <c r="AU12" t="n">
        <v>14</v>
      </c>
      <c r="AV12" t="n">
        <v>3</v>
      </c>
      <c r="AW12" t="n">
        <v>3.77</v>
      </c>
      <c r="AX12" t="n">
        <v>17</v>
      </c>
      <c r="AY12" t="n">
        <v>3.77</v>
      </c>
      <c r="AZ12" t="n">
        <v>4.891</v>
      </c>
      <c r="BA12" t="n">
        <v>4.331</v>
      </c>
      <c r="BB12" t="n">
        <v>4.891</v>
      </c>
      <c r="BC12" t="n">
        <v>0.099</v>
      </c>
      <c r="BD12" t="n">
        <v>0.129</v>
      </c>
      <c r="BE12" t="n">
        <v>0.114</v>
      </c>
      <c r="BF12" t="n">
        <v>4.9</v>
      </c>
      <c r="BG12" t="n">
        <v>0.129</v>
      </c>
      <c r="BH12" t="n">
        <v>0.991</v>
      </c>
      <c r="BI12" t="n">
        <v>11.37</v>
      </c>
      <c r="BJ12" t="n">
        <v>3.737</v>
      </c>
      <c r="BK12" t="n">
        <v>0.098</v>
      </c>
      <c r="BL12" t="n">
        <v>1.669</v>
      </c>
      <c r="BM12" t="n">
        <v>1.13</v>
      </c>
      <c r="BN12" t="n">
        <v>1.1</v>
      </c>
      <c r="BO12" t="n">
        <v>-1.121</v>
      </c>
      <c r="BP12" t="n">
        <v>30</v>
      </c>
      <c r="BQ12" t="n">
        <v>14</v>
      </c>
      <c r="BR12" t="n">
        <v>8</v>
      </c>
      <c r="BS12" t="n">
        <v>71</v>
      </c>
      <c r="BT12" t="n">
        <v>1.868</v>
      </c>
      <c r="BV12" t="n">
        <v>5</v>
      </c>
      <c r="BW12" t="n">
        <v>1.44</v>
      </c>
      <c r="BX12" t="n">
        <v>0.329</v>
      </c>
      <c r="BY12" t="n">
        <v>0.884</v>
      </c>
      <c r="BZ12" t="n">
        <v>0.023</v>
      </c>
      <c r="CA12" t="n">
        <v>5.215</v>
      </c>
      <c r="CB12" t="n">
        <v>0.137</v>
      </c>
      <c r="CC12" t="n">
        <v>11</v>
      </c>
      <c r="CE12" t="n">
        <v>12</v>
      </c>
      <c r="CG12" t="n">
        <v>1</v>
      </c>
      <c r="CI12" t="n">
        <v>12.486</v>
      </c>
      <c r="CJ12" t="n">
        <v>11.383</v>
      </c>
      <c r="CK12" t="n">
        <v>329</v>
      </c>
      <c r="CL12" t="n">
        <v>87</v>
      </c>
      <c r="CM12" t="n">
        <v>23</v>
      </c>
      <c r="CN12" t="n">
        <v>13</v>
      </c>
      <c r="CO12" t="n">
        <v>28</v>
      </c>
      <c r="CP12" t="n">
        <v>275</v>
      </c>
      <c r="CQ12" t="n">
        <v>26</v>
      </c>
      <c r="CR12" t="n">
        <v>216</v>
      </c>
      <c r="CS12" t="n">
        <v>174</v>
      </c>
      <c r="CT12" t="n">
        <v>0.1</v>
      </c>
      <c r="CU12" t="n">
        <v>2</v>
      </c>
      <c r="CV12" t="n">
        <v>2</v>
      </c>
      <c r="CW12" t="n">
        <v>47.63</v>
      </c>
      <c r="CX12" t="n">
        <v>1.253</v>
      </c>
      <c r="CY12" t="n">
        <v>0</v>
      </c>
      <c r="DB12" t="n">
        <v>0</v>
      </c>
      <c r="DE12" t="n">
        <v>7.26</v>
      </c>
      <c r="DF12" t="n">
        <v>4</v>
      </c>
      <c r="DG12" t="n">
        <v>0</v>
      </c>
      <c r="DH12" t="n">
        <v>19</v>
      </c>
      <c r="DI12" t="n">
        <v>18</v>
      </c>
      <c r="DK12" t="n">
        <v>1</v>
      </c>
      <c r="DL12" t="n">
        <v>2</v>
      </c>
      <c r="DM12" t="n">
        <v>1</v>
      </c>
      <c r="DN12" t="n">
        <v>1</v>
      </c>
      <c r="DO12" t="n">
        <v>16.9</v>
      </c>
      <c r="DP12" t="n">
        <v>158.96</v>
      </c>
      <c r="DQ12" t="n">
        <v>79.48</v>
      </c>
      <c r="DR12" t="n">
        <v>158.96</v>
      </c>
      <c r="DS12" t="n">
        <v>0</v>
      </c>
      <c r="DT12" t="n">
        <v>3340</v>
      </c>
      <c r="DU12" t="n">
        <v>87.90000000000001</v>
      </c>
      <c r="DV12" t="inlineStr">
        <is>
          <t>flat</t>
        </is>
      </c>
      <c r="DW12" t="n">
        <v>24.92</v>
      </c>
      <c r="DX12" t="n">
        <v>25.44</v>
      </c>
      <c r="DY12" t="n">
        <v>23.63</v>
      </c>
      <c r="DZ12" t="n">
        <v>-1.29</v>
      </c>
      <c r="EA12" t="n">
        <v>1617</v>
      </c>
      <c r="EB12" t="n">
        <v>9.390000000000001</v>
      </c>
      <c r="EC12" t="n">
        <v>0.8</v>
      </c>
      <c r="ED12" t="n">
        <v>88</v>
      </c>
      <c r="EE12" t="n">
        <v>3851</v>
      </c>
      <c r="EF12" t="b">
        <v>1</v>
      </c>
      <c r="EG12" t="n">
        <v>99.90000000000001</v>
      </c>
      <c r="EH12" t="n">
        <v>20.9</v>
      </c>
      <c r="EI12" t="n">
        <v>32</v>
      </c>
      <c r="EJ12" t="n">
        <v>114</v>
      </c>
      <c r="EK12" t="n">
        <v>48.2</v>
      </c>
      <c r="EL12" t="n">
        <v>285</v>
      </c>
      <c r="EM12" t="n">
        <v>789.7</v>
      </c>
      <c r="EN12" t="n">
        <v>3867.6</v>
      </c>
      <c r="EO12" t="n">
        <v>655.8</v>
      </c>
      <c r="EP12" t="n">
        <v>19.5</v>
      </c>
    </row>
    <row r="13">
      <c r="A13" t="inlineStr">
        <is>
          <t>Marcos Senesi</t>
        </is>
      </c>
      <c r="B13" t="inlineStr">
        <is>
          <t>TOT</t>
        </is>
      </c>
      <c r="C13" t="inlineStr">
        <is>
          <t>DEF</t>
        </is>
      </c>
      <c r="D13" t="inlineStr">
        <is>
          <t>DEF</t>
        </is>
      </c>
      <c r="E13" t="n">
        <v>6</v>
      </c>
      <c r="F13" t="b">
        <v>1</v>
      </c>
      <c r="G13" t="b">
        <v>1</v>
      </c>
      <c r="H13" t="n">
        <v>29.3</v>
      </c>
      <c r="I13" t="inlineStr">
        <is>
          <t>a</t>
        </is>
      </c>
      <c r="L13" t="inlineStr">
        <is>
          <t>p221466</t>
        </is>
      </c>
      <c r="M13" t="n">
        <v>498</v>
      </c>
      <c r="Q13" t="n">
        <v>3288</v>
      </c>
      <c r="R13" t="n">
        <v>37</v>
      </c>
      <c r="S13" t="n">
        <v>37</v>
      </c>
      <c r="T13" t="n">
        <v>36.533</v>
      </c>
      <c r="U13" t="n">
        <v>88.90000000000001</v>
      </c>
      <c r="V13" t="n">
        <v>175</v>
      </c>
      <c r="W13" t="n">
        <v>4.79</v>
      </c>
      <c r="X13" t="n">
        <v>0</v>
      </c>
      <c r="Y13" t="n">
        <v>6</v>
      </c>
      <c r="Z13" t="n">
        <v>5</v>
      </c>
      <c r="AA13" t="n">
        <v>11</v>
      </c>
      <c r="AB13" t="n">
        <v>53</v>
      </c>
      <c r="AC13" t="n">
        <v>14</v>
      </c>
      <c r="AD13" t="n">
        <v>12</v>
      </c>
      <c r="AE13" t="n">
        <v>-2</v>
      </c>
      <c r="AF13" t="n">
        <v>571</v>
      </c>
      <c r="AG13" t="n">
        <v>508</v>
      </c>
      <c r="AH13" t="n">
        <v>-63</v>
      </c>
      <c r="AI13" t="n">
        <v>173</v>
      </c>
      <c r="AJ13" t="n">
        <v>0.08</v>
      </c>
      <c r="AK13" t="n">
        <v>0.08699999999999999</v>
      </c>
      <c r="AL13" t="n">
        <v>419</v>
      </c>
      <c r="AM13" t="n">
        <v>11.469</v>
      </c>
      <c r="AN13" t="n">
        <v>26</v>
      </c>
      <c r="AO13" t="n">
        <v>52</v>
      </c>
      <c r="AP13" t="n">
        <v>0.703</v>
      </c>
      <c r="AQ13" t="n">
        <v>0.703</v>
      </c>
      <c r="AR13" t="n">
        <v>0.432</v>
      </c>
      <c r="AS13" t="n">
        <v>0.974</v>
      </c>
      <c r="AT13" t="n">
        <v>1</v>
      </c>
      <c r="AU13" t="n">
        <v>13</v>
      </c>
      <c r="AV13" t="n">
        <v>4</v>
      </c>
      <c r="AW13" t="n">
        <v>3.58</v>
      </c>
      <c r="AX13" t="n">
        <v>14</v>
      </c>
      <c r="AY13" t="n">
        <v>1.53</v>
      </c>
      <c r="AZ13" t="n">
        <v>1.851</v>
      </c>
      <c r="BA13" t="n">
        <v>1.69</v>
      </c>
      <c r="BB13" t="n">
        <v>1.851</v>
      </c>
      <c r="BC13" t="n">
        <v>0.042</v>
      </c>
      <c r="BD13" t="n">
        <v>0.051</v>
      </c>
      <c r="BE13" t="n">
        <v>0.046</v>
      </c>
      <c r="BF13" t="n">
        <v>0.5</v>
      </c>
      <c r="BG13" t="n">
        <v>0.014</v>
      </c>
      <c r="BH13" t="n">
        <v>0.799</v>
      </c>
      <c r="BI13" t="n">
        <v>6.01</v>
      </c>
      <c r="BJ13" t="n">
        <v>1.223</v>
      </c>
      <c r="BK13" t="n">
        <v>0.033</v>
      </c>
      <c r="BL13" t="n">
        <v>-1.69</v>
      </c>
      <c r="BM13" t="n">
        <v>-1.03</v>
      </c>
      <c r="BN13" t="n">
        <v>-0.5</v>
      </c>
      <c r="BO13" t="n">
        <v>-0.321</v>
      </c>
      <c r="BP13" t="n">
        <v>17</v>
      </c>
      <c r="BQ13" t="n">
        <v>5</v>
      </c>
      <c r="BR13" t="n">
        <v>2</v>
      </c>
      <c r="BS13" t="n">
        <v>53</v>
      </c>
      <c r="BT13" t="n">
        <v>1.451</v>
      </c>
      <c r="BW13" t="n">
        <v>4.72</v>
      </c>
      <c r="BX13" t="n">
        <v>4.027</v>
      </c>
      <c r="BY13" t="n">
        <v>4.373</v>
      </c>
      <c r="BZ13" t="n">
        <v>0.12</v>
      </c>
      <c r="CA13" t="n">
        <v>6.064</v>
      </c>
      <c r="CB13" t="n">
        <v>0.166</v>
      </c>
      <c r="CC13" t="n">
        <v>24</v>
      </c>
      <c r="CD13" t="n">
        <v>7</v>
      </c>
      <c r="CE13" t="n">
        <v>24</v>
      </c>
      <c r="CF13" t="n">
        <v>8</v>
      </c>
      <c r="CG13" t="n">
        <v>10</v>
      </c>
      <c r="CI13" t="n">
        <v>14.265</v>
      </c>
      <c r="CJ13" t="n">
        <v>10.906</v>
      </c>
      <c r="CK13" t="n">
        <v>357</v>
      </c>
      <c r="CL13" t="n">
        <v>155</v>
      </c>
      <c r="CM13" t="n">
        <v>62</v>
      </c>
      <c r="CN13" t="n">
        <v>35</v>
      </c>
      <c r="CO13" t="n">
        <v>56</v>
      </c>
      <c r="CP13" t="n">
        <v>253</v>
      </c>
      <c r="CQ13" t="n">
        <v>47</v>
      </c>
      <c r="CR13" t="n">
        <v>196</v>
      </c>
      <c r="CS13" t="n">
        <v>92</v>
      </c>
      <c r="CT13" t="n">
        <v>0.1</v>
      </c>
      <c r="CV13" t="n">
        <v>2</v>
      </c>
      <c r="CW13" t="n">
        <v>54.77</v>
      </c>
      <c r="CX13" t="n">
        <v>1.499</v>
      </c>
      <c r="CY13" t="n">
        <v>0</v>
      </c>
      <c r="DB13" t="n">
        <v>0</v>
      </c>
      <c r="DE13" t="n">
        <v>7.19</v>
      </c>
      <c r="DF13" t="n">
        <v>8</v>
      </c>
      <c r="DG13" t="n">
        <v>0</v>
      </c>
      <c r="DH13" t="n">
        <v>34</v>
      </c>
      <c r="DI13" t="n">
        <v>37</v>
      </c>
      <c r="DJ13" t="n">
        <v>1</v>
      </c>
      <c r="DL13" t="n">
        <v>6</v>
      </c>
      <c r="DM13" t="n">
        <v>14</v>
      </c>
      <c r="DN13" t="n">
        <v>1</v>
      </c>
      <c r="DO13" t="n">
        <v>10.2</v>
      </c>
      <c r="DP13" t="n">
        <v>71.48</v>
      </c>
      <c r="DQ13" t="n">
        <v>35.74</v>
      </c>
      <c r="DR13" t="n">
        <v>71.48</v>
      </c>
      <c r="DS13" t="n">
        <v>0</v>
      </c>
      <c r="DT13" t="n">
        <v>1573</v>
      </c>
      <c r="DU13" t="n">
        <v>41.4</v>
      </c>
      <c r="DV13" t="inlineStr">
        <is>
          <t>flat</t>
        </is>
      </c>
      <c r="DW13" t="n">
        <v>49.73</v>
      </c>
      <c r="DX13" t="n">
        <v>48.99</v>
      </c>
      <c r="DY13" t="n">
        <v>49.65</v>
      </c>
      <c r="DZ13" t="n">
        <v>-0.08</v>
      </c>
      <c r="EA13" t="n">
        <v>1488</v>
      </c>
      <c r="EB13" t="n">
        <v>16.74</v>
      </c>
      <c r="EC13" t="n">
        <v>9</v>
      </c>
      <c r="ED13" t="n">
        <v>119</v>
      </c>
      <c r="EE13" t="n">
        <v>2815</v>
      </c>
      <c r="EF13" t="b">
        <v>1</v>
      </c>
      <c r="EG13" t="n">
        <v>98.90000000000001</v>
      </c>
      <c r="EH13" t="n">
        <v>41.6</v>
      </c>
      <c r="EI13" t="n">
        <v>57</v>
      </c>
      <c r="EJ13" t="n">
        <v>193.4</v>
      </c>
      <c r="EK13" t="n">
        <v>62</v>
      </c>
      <c r="EL13" t="n">
        <v>137</v>
      </c>
      <c r="EM13" t="n">
        <v>1945.2</v>
      </c>
      <c r="EN13" t="n">
        <v>751.8</v>
      </c>
      <c r="EO13" t="n">
        <v>542.2</v>
      </c>
      <c r="EP13" t="n">
        <v>18.8</v>
      </c>
    </row>
    <row r="14">
      <c r="A14" t="inlineStr">
        <is>
          <t>James Tarkowski</t>
        </is>
      </c>
      <c r="B14" t="inlineStr">
        <is>
          <t>EVE</t>
        </is>
      </c>
      <c r="C14" t="inlineStr">
        <is>
          <t>DEF</t>
        </is>
      </c>
      <c r="D14" t="inlineStr">
        <is>
          <t>DEF</t>
        </is>
      </c>
      <c r="E14" t="n">
        <v>6</v>
      </c>
      <c r="F14" t="b">
        <v>1</v>
      </c>
      <c r="G14" t="b">
        <v>1</v>
      </c>
      <c r="H14" t="n">
        <v>33.8</v>
      </c>
      <c r="I14" t="inlineStr">
        <is>
          <t>a</t>
        </is>
      </c>
      <c r="L14" t="inlineStr">
        <is>
          <t>p17761</t>
        </is>
      </c>
      <c r="M14" t="n">
        <v>229</v>
      </c>
      <c r="Q14" t="n">
        <v>3330</v>
      </c>
      <c r="R14" t="n">
        <v>37</v>
      </c>
      <c r="S14" t="n">
        <v>37</v>
      </c>
      <c r="T14" t="n">
        <v>37</v>
      </c>
      <c r="U14" t="n">
        <v>90</v>
      </c>
      <c r="V14" t="n">
        <v>170</v>
      </c>
      <c r="W14" t="n">
        <v>4.595</v>
      </c>
      <c r="X14" t="n">
        <v>2</v>
      </c>
      <c r="Y14" t="n">
        <v>3</v>
      </c>
      <c r="Z14" t="n">
        <v>3</v>
      </c>
      <c r="AA14" t="n">
        <v>11</v>
      </c>
      <c r="AB14" t="n">
        <v>48</v>
      </c>
      <c r="AC14" t="n">
        <v>12</v>
      </c>
      <c r="AD14" t="n">
        <v>12</v>
      </c>
      <c r="AE14" t="n">
        <v>0</v>
      </c>
      <c r="AF14" t="n">
        <v>592</v>
      </c>
      <c r="AG14" t="n">
        <v>538</v>
      </c>
      <c r="AH14" t="n">
        <v>-54</v>
      </c>
      <c r="AI14" t="n">
        <v>170</v>
      </c>
      <c r="AJ14" t="n">
        <v>0.07099999999999999</v>
      </c>
      <c r="AK14" t="n">
        <v>0.076</v>
      </c>
      <c r="AL14" t="n">
        <v>376</v>
      </c>
      <c r="AM14" t="n">
        <v>10.162</v>
      </c>
      <c r="AN14" t="n">
        <v>22</v>
      </c>
      <c r="AO14" t="n">
        <v>44</v>
      </c>
      <c r="AP14" t="n">
        <v>0.595</v>
      </c>
      <c r="AQ14" t="n">
        <v>0.595</v>
      </c>
      <c r="AR14" t="n">
        <v>0.351</v>
      </c>
      <c r="AS14" t="n">
        <v>0.974</v>
      </c>
      <c r="AT14" t="n">
        <v>1</v>
      </c>
      <c r="AU14" t="n">
        <v>11</v>
      </c>
      <c r="AV14" t="n">
        <v>3</v>
      </c>
      <c r="AW14" t="n">
        <v>3.74</v>
      </c>
      <c r="AX14" t="n">
        <v>15</v>
      </c>
      <c r="AY14" t="n">
        <v>2.53</v>
      </c>
      <c r="AZ14" t="n">
        <v>2.869</v>
      </c>
      <c r="BA14" t="n">
        <v>2.7</v>
      </c>
      <c r="BB14" t="n">
        <v>2.869</v>
      </c>
      <c r="BC14" t="n">
        <v>0.068</v>
      </c>
      <c r="BD14" t="n">
        <v>0.078</v>
      </c>
      <c r="BE14" t="n">
        <v>0.073</v>
      </c>
      <c r="BF14" t="n">
        <v>3.2</v>
      </c>
      <c r="BG14" t="n">
        <v>0.08599999999999999</v>
      </c>
      <c r="BH14" t="n">
        <v>0.8120000000000001</v>
      </c>
      <c r="BI14" t="n">
        <v>9.369999999999999</v>
      </c>
      <c r="BJ14" t="n">
        <v>2.054</v>
      </c>
      <c r="BK14" t="n">
        <v>0.056</v>
      </c>
      <c r="BL14" t="n">
        <v>-0.7</v>
      </c>
      <c r="BM14" t="n">
        <v>0.67</v>
      </c>
      <c r="BN14" t="n">
        <v>-1.2</v>
      </c>
      <c r="BO14" t="n">
        <v>-0.339</v>
      </c>
      <c r="BP14" t="n">
        <v>21</v>
      </c>
      <c r="BQ14" t="n">
        <v>10</v>
      </c>
      <c r="BR14" t="n">
        <v>4</v>
      </c>
      <c r="BS14" t="n">
        <v>84</v>
      </c>
      <c r="BT14" t="n">
        <v>2.27</v>
      </c>
      <c r="BV14" t="n">
        <v>1</v>
      </c>
      <c r="BW14" t="n">
        <v>2.1</v>
      </c>
      <c r="BX14" t="n">
        <v>2.057</v>
      </c>
      <c r="BY14" t="n">
        <v>2.078</v>
      </c>
      <c r="BZ14" t="n">
        <v>0.056</v>
      </c>
      <c r="CA14" t="n">
        <v>4.778</v>
      </c>
      <c r="CB14" t="n">
        <v>0.129</v>
      </c>
      <c r="CC14" t="n">
        <v>18</v>
      </c>
      <c r="CD14" t="n">
        <v>2</v>
      </c>
      <c r="CE14" t="n">
        <v>18</v>
      </c>
      <c r="CF14" t="n">
        <v>2</v>
      </c>
      <c r="CG14" t="n">
        <v>3</v>
      </c>
      <c r="CI14" t="n">
        <v>6.824</v>
      </c>
      <c r="CJ14" t="n">
        <v>5.569</v>
      </c>
      <c r="CK14" t="n">
        <v>325</v>
      </c>
      <c r="CL14" t="n">
        <v>90</v>
      </c>
      <c r="CM14" t="n">
        <v>51</v>
      </c>
      <c r="CN14" t="n">
        <v>29</v>
      </c>
      <c r="CO14" t="n">
        <v>32</v>
      </c>
      <c r="CP14" t="n">
        <v>242</v>
      </c>
      <c r="CQ14" t="n">
        <v>52</v>
      </c>
      <c r="CR14" t="n">
        <v>234</v>
      </c>
      <c r="CS14" t="n">
        <v>147</v>
      </c>
      <c r="CT14" t="n">
        <v>0.1</v>
      </c>
      <c r="CU14" t="n">
        <v>1</v>
      </c>
      <c r="CV14" t="n">
        <v>7</v>
      </c>
      <c r="CW14" t="n">
        <v>53.54</v>
      </c>
      <c r="CX14" t="n">
        <v>1.447</v>
      </c>
      <c r="CY14" t="n">
        <v>0</v>
      </c>
      <c r="DB14" t="n">
        <v>0</v>
      </c>
      <c r="DE14" t="n">
        <v>7.13</v>
      </c>
      <c r="DF14" t="n">
        <v>8</v>
      </c>
      <c r="DG14" t="n">
        <v>0</v>
      </c>
      <c r="DH14" t="n">
        <v>32</v>
      </c>
      <c r="DI14" t="n">
        <v>35</v>
      </c>
      <c r="DK14" t="n">
        <v>1</v>
      </c>
      <c r="DL14" t="n">
        <v>4</v>
      </c>
      <c r="DM14" t="n">
        <v>1</v>
      </c>
      <c r="DN14" t="n">
        <v>2</v>
      </c>
      <c r="DO14" t="n">
        <v>9.699999999999999</v>
      </c>
      <c r="DP14" t="n">
        <v>150.34</v>
      </c>
      <c r="DQ14" t="n">
        <v>75.17</v>
      </c>
      <c r="DR14" t="n">
        <v>150.34</v>
      </c>
      <c r="DS14" t="n">
        <v>0</v>
      </c>
      <c r="DT14" t="n">
        <v>3266</v>
      </c>
      <c r="DU14" t="n">
        <v>85.95</v>
      </c>
      <c r="DV14" t="inlineStr">
        <is>
          <t>flat</t>
        </is>
      </c>
      <c r="DW14" t="n">
        <v>48.45</v>
      </c>
      <c r="DX14" t="n">
        <v>48.13</v>
      </c>
      <c r="DY14" t="n">
        <v>47.51</v>
      </c>
      <c r="DZ14" t="n">
        <v>-0.93</v>
      </c>
      <c r="EA14" t="n">
        <v>1519</v>
      </c>
      <c r="EB14" t="n">
        <v>15.58</v>
      </c>
      <c r="EC14" t="n">
        <v>5.33</v>
      </c>
      <c r="ED14" t="n">
        <v>118.67</v>
      </c>
      <c r="EE14" t="n">
        <v>3130</v>
      </c>
      <c r="EF14" t="b">
        <v>1</v>
      </c>
      <c r="EG14" t="n">
        <v>99.59999999999999</v>
      </c>
      <c r="EH14" t="n">
        <v>35.5</v>
      </c>
      <c r="EI14" t="n">
        <v>58</v>
      </c>
      <c r="EJ14" t="n">
        <v>158.6</v>
      </c>
      <c r="EK14" t="n">
        <v>39.6</v>
      </c>
      <c r="EL14" t="n">
        <v>185</v>
      </c>
      <c r="EM14" t="n">
        <v>1233.5</v>
      </c>
      <c r="EN14" t="n">
        <v>1602.2</v>
      </c>
      <c r="EO14" t="n">
        <v>697</v>
      </c>
      <c r="EP14" t="n">
        <v>19.6</v>
      </c>
    </row>
    <row r="15">
      <c r="A15" t="inlineStr">
        <is>
          <t>Morgan Rogers</t>
        </is>
      </c>
      <c r="B15" t="inlineStr">
        <is>
          <t>CHE</t>
        </is>
      </c>
      <c r="C15" t="inlineStr">
        <is>
          <t>MID</t>
        </is>
      </c>
      <c r="D15" t="inlineStr">
        <is>
          <t>MID</t>
        </is>
      </c>
      <c r="E15" t="n">
        <v>7.5</v>
      </c>
      <c r="F15" t="b">
        <v>1</v>
      </c>
      <c r="G15" t="b">
        <v>1</v>
      </c>
      <c r="H15" t="n">
        <v>24.1</v>
      </c>
      <c r="I15" t="inlineStr">
        <is>
          <t>a</t>
        </is>
      </c>
      <c r="L15" t="inlineStr">
        <is>
          <t>p244850</t>
        </is>
      </c>
      <c r="M15" t="n">
        <v>40</v>
      </c>
      <c r="Q15" t="n">
        <v>3280</v>
      </c>
      <c r="R15" t="n">
        <v>37</v>
      </c>
      <c r="S15" t="n">
        <v>37</v>
      </c>
      <c r="T15" t="n">
        <v>36.444</v>
      </c>
      <c r="U15" t="n">
        <v>88.59999999999999</v>
      </c>
      <c r="V15" t="n">
        <v>169</v>
      </c>
      <c r="W15" t="n">
        <v>4.637</v>
      </c>
      <c r="X15" t="n">
        <v>10</v>
      </c>
      <c r="Y15" t="n">
        <v>8</v>
      </c>
      <c r="Z15" t="n">
        <v>6</v>
      </c>
      <c r="AA15" t="n">
        <v>9</v>
      </c>
      <c r="AB15" t="n">
        <v>48</v>
      </c>
      <c r="AC15" t="n">
        <v>17</v>
      </c>
      <c r="AD15" t="n">
        <v>17</v>
      </c>
      <c r="AE15" t="n">
        <v>0</v>
      </c>
      <c r="AF15" t="n">
        <v>605</v>
      </c>
      <c r="AG15" t="n">
        <v>591</v>
      </c>
      <c r="AH15" t="n">
        <v>-14</v>
      </c>
      <c r="AI15" t="n">
        <v>169</v>
      </c>
      <c r="AJ15" t="n">
        <v>0.101</v>
      </c>
      <c r="AK15" t="n">
        <v>0.112</v>
      </c>
      <c r="AL15" t="n">
        <v>230</v>
      </c>
      <c r="AM15" t="n">
        <v>6.311</v>
      </c>
      <c r="AN15" t="n">
        <v>1</v>
      </c>
      <c r="AO15" t="n">
        <v>2</v>
      </c>
      <c r="AP15" t="n">
        <v>0.027</v>
      </c>
      <c r="AQ15" t="n">
        <v>0.135</v>
      </c>
      <c r="AR15" t="n">
        <v>0.027</v>
      </c>
      <c r="AS15" t="n">
        <v>0.974</v>
      </c>
      <c r="AT15" t="n">
        <v>1</v>
      </c>
      <c r="AU15" t="n">
        <v>18</v>
      </c>
      <c r="AV15" t="n">
        <v>5</v>
      </c>
      <c r="AW15" t="n">
        <v>4.14</v>
      </c>
      <c r="AX15" t="n">
        <v>15</v>
      </c>
      <c r="AY15" t="n">
        <v>6.84</v>
      </c>
      <c r="AZ15" t="n">
        <v>7.146</v>
      </c>
      <c r="BA15" t="n">
        <v>6.993</v>
      </c>
      <c r="BB15" t="n">
        <v>7.146</v>
      </c>
      <c r="BC15" t="n">
        <v>0.188</v>
      </c>
      <c r="BD15" t="n">
        <v>0.196</v>
      </c>
      <c r="BE15" t="n">
        <v>0.192</v>
      </c>
      <c r="BF15" t="n">
        <v>8.1</v>
      </c>
      <c r="BG15" t="n">
        <v>0.222</v>
      </c>
      <c r="BH15" t="n">
        <v>1.116</v>
      </c>
      <c r="BI15" t="n">
        <v>14.68</v>
      </c>
      <c r="BJ15" t="n">
        <v>7.63</v>
      </c>
      <c r="BK15" t="n">
        <v>0.209</v>
      </c>
      <c r="BL15" t="n">
        <v>3.007</v>
      </c>
      <c r="BM15" t="n">
        <v>1.26</v>
      </c>
      <c r="BN15" t="n">
        <v>1.9</v>
      </c>
      <c r="BO15" t="n">
        <v>-0.306</v>
      </c>
      <c r="BP15" t="n">
        <v>84</v>
      </c>
      <c r="BQ15" t="n">
        <v>32</v>
      </c>
      <c r="BR15" t="n">
        <v>4</v>
      </c>
      <c r="BS15" t="n">
        <v>181</v>
      </c>
      <c r="BT15" t="n">
        <v>4.966</v>
      </c>
      <c r="BW15" t="n">
        <v>4.32</v>
      </c>
      <c r="BX15" t="n">
        <v>7.475</v>
      </c>
      <c r="BY15" t="n">
        <v>5.898</v>
      </c>
      <c r="BZ15" t="n">
        <v>0.162</v>
      </c>
      <c r="CA15" t="n">
        <v>12.89</v>
      </c>
      <c r="CB15" t="n">
        <v>0.354</v>
      </c>
      <c r="CC15" t="n">
        <v>48</v>
      </c>
      <c r="CD15" t="n">
        <v>13</v>
      </c>
      <c r="CE15" t="n">
        <v>47</v>
      </c>
      <c r="CF15" t="n">
        <v>3</v>
      </c>
      <c r="CG15" t="n">
        <v>5</v>
      </c>
      <c r="CH15" t="n">
        <v>1</v>
      </c>
      <c r="CI15" t="n">
        <v>18.205</v>
      </c>
      <c r="CJ15" t="n">
        <v>7.18</v>
      </c>
      <c r="CK15" t="n">
        <v>49</v>
      </c>
      <c r="CL15" t="n">
        <v>139</v>
      </c>
      <c r="CM15" t="n">
        <v>42</v>
      </c>
      <c r="CN15" t="n">
        <v>23</v>
      </c>
      <c r="CO15" t="n">
        <v>13</v>
      </c>
      <c r="CP15" t="n">
        <v>32</v>
      </c>
      <c r="CQ15" t="n">
        <v>3</v>
      </c>
      <c r="CR15" t="n">
        <v>158</v>
      </c>
      <c r="CS15" t="n">
        <v>26</v>
      </c>
      <c r="CT15" t="n">
        <v>0.7</v>
      </c>
      <c r="CV15" t="n">
        <v>2</v>
      </c>
      <c r="CW15" t="n">
        <v>51.55</v>
      </c>
      <c r="CX15" t="n">
        <v>1.414</v>
      </c>
      <c r="CY15" t="n">
        <v>0</v>
      </c>
      <c r="DB15" t="n">
        <v>0</v>
      </c>
      <c r="DE15" t="n">
        <v>7</v>
      </c>
      <c r="DF15" t="n">
        <v>7</v>
      </c>
      <c r="DG15" t="n">
        <v>0</v>
      </c>
      <c r="DH15" t="n">
        <v>46</v>
      </c>
      <c r="DI15" t="n">
        <v>49</v>
      </c>
      <c r="DK15" t="n">
        <v>1</v>
      </c>
      <c r="DL15" t="n">
        <v>42</v>
      </c>
      <c r="DM15" t="n">
        <v>80</v>
      </c>
      <c r="DN15" t="n">
        <v>3</v>
      </c>
      <c r="DO15" t="n">
        <v>26.1</v>
      </c>
      <c r="DP15" t="n">
        <v>159.75</v>
      </c>
      <c r="DQ15" t="n">
        <v>79.56999999999999</v>
      </c>
      <c r="DR15" t="n">
        <v>159.14</v>
      </c>
      <c r="DS15" t="n">
        <v>0.61</v>
      </c>
      <c r="DT15" t="n">
        <v>2890</v>
      </c>
      <c r="DU15" t="n">
        <v>76.05</v>
      </c>
      <c r="DV15" t="inlineStr">
        <is>
          <t>flat</t>
        </is>
      </c>
      <c r="DW15" t="n">
        <v>16.73</v>
      </c>
      <c r="DX15" t="n">
        <v>15.52</v>
      </c>
      <c r="DY15" t="n">
        <v>16.45</v>
      </c>
      <c r="DZ15" t="n">
        <v>-0.28</v>
      </c>
      <c r="EA15" t="n">
        <v>1499</v>
      </c>
      <c r="EB15" t="n">
        <v>9.31</v>
      </c>
      <c r="EC15" t="n">
        <v>1.14</v>
      </c>
      <c r="ED15" t="n">
        <v>114.67</v>
      </c>
      <c r="EE15" t="n">
        <v>3098</v>
      </c>
      <c r="EF15" t="b">
        <v>1</v>
      </c>
      <c r="EG15" t="n">
        <v>99.90000000000001</v>
      </c>
      <c r="EH15" t="n">
        <v>36.4</v>
      </c>
      <c r="EI15" t="n">
        <v>15</v>
      </c>
      <c r="EJ15" t="n">
        <v>39</v>
      </c>
      <c r="EK15" t="n">
        <v>18.1</v>
      </c>
      <c r="EL15" t="n">
        <v>69.8</v>
      </c>
      <c r="EM15" t="n">
        <v>469</v>
      </c>
      <c r="EN15" t="n">
        <v>556.2</v>
      </c>
      <c r="EO15" t="n">
        <v>254.5</v>
      </c>
      <c r="EP15" t="n">
        <v>19.4</v>
      </c>
    </row>
    <row r="16">
      <c r="A16" t="inlineStr">
        <is>
          <t>Harry Wilson</t>
        </is>
      </c>
      <c r="B16" t="inlineStr">
        <is>
          <t>LEE</t>
        </is>
      </c>
      <c r="C16" t="inlineStr">
        <is>
          <t>MID</t>
        </is>
      </c>
      <c r="D16" t="inlineStr">
        <is>
          <t>MID</t>
        </is>
      </c>
      <c r="E16" t="n">
        <v>6.5</v>
      </c>
      <c r="F16" t="b">
        <v>1</v>
      </c>
      <c r="G16" t="b">
        <v>1</v>
      </c>
      <c r="H16" t="n">
        <v>29.4</v>
      </c>
      <c r="I16" t="inlineStr">
        <is>
          <t>a</t>
        </is>
      </c>
      <c r="L16" t="inlineStr">
        <is>
          <t>p153682</t>
        </is>
      </c>
      <c r="M16" t="n">
        <v>260</v>
      </c>
      <c r="O16" t="n">
        <v>2</v>
      </c>
      <c r="Q16" t="n">
        <v>2674</v>
      </c>
      <c r="R16" t="n">
        <v>36</v>
      </c>
      <c r="S16" t="n">
        <v>32</v>
      </c>
      <c r="T16" t="n">
        <v>29.711</v>
      </c>
      <c r="U16" t="n">
        <v>74.3</v>
      </c>
      <c r="V16" t="n">
        <v>168</v>
      </c>
      <c r="W16" t="n">
        <v>5.654</v>
      </c>
      <c r="X16" t="n">
        <v>10</v>
      </c>
      <c r="Y16" t="n">
        <v>9</v>
      </c>
      <c r="Z16" t="n">
        <v>7</v>
      </c>
      <c r="AA16" t="n">
        <v>9</v>
      </c>
      <c r="AB16" t="n">
        <v>38</v>
      </c>
      <c r="AC16" t="n">
        <v>21</v>
      </c>
      <c r="AD16" t="n">
        <v>21</v>
      </c>
      <c r="AE16" t="n">
        <v>0</v>
      </c>
      <c r="AF16" t="n">
        <v>637</v>
      </c>
      <c r="AG16" t="n">
        <v>624</v>
      </c>
      <c r="AH16" t="n">
        <v>-13</v>
      </c>
      <c r="AI16" t="n">
        <v>168</v>
      </c>
      <c r="AJ16" t="n">
        <v>0.125</v>
      </c>
      <c r="AK16" t="n">
        <v>0.143</v>
      </c>
      <c r="AL16" t="n">
        <v>177</v>
      </c>
      <c r="AM16" t="n">
        <v>5.957</v>
      </c>
      <c r="AN16" t="n">
        <v>1</v>
      </c>
      <c r="AO16" t="n">
        <v>2</v>
      </c>
      <c r="AP16" t="n">
        <v>0.031</v>
      </c>
      <c r="AQ16" t="n">
        <v>0.062</v>
      </c>
      <c r="AR16" t="n">
        <v>0.031</v>
      </c>
      <c r="AS16" t="n">
        <v>0.842</v>
      </c>
      <c r="AT16" t="n">
        <v>0.833</v>
      </c>
      <c r="AU16" t="n">
        <v>18</v>
      </c>
      <c r="AV16" t="n">
        <v>5</v>
      </c>
      <c r="AW16" t="n">
        <v>3.94</v>
      </c>
      <c r="AX16" t="n">
        <v>16</v>
      </c>
      <c r="AY16" t="n">
        <v>5.88</v>
      </c>
      <c r="AZ16" t="n">
        <v>5.76</v>
      </c>
      <c r="BA16" t="n">
        <v>5.82</v>
      </c>
      <c r="BB16" t="n">
        <v>5.76</v>
      </c>
      <c r="BC16" t="n">
        <v>0.198</v>
      </c>
      <c r="BD16" t="n">
        <v>0.194</v>
      </c>
      <c r="BE16" t="n">
        <v>0.196</v>
      </c>
      <c r="BF16" t="n">
        <v>8.9</v>
      </c>
      <c r="BG16" t="n">
        <v>0.3</v>
      </c>
      <c r="BH16" t="n">
        <v>1.236</v>
      </c>
      <c r="BI16" t="n">
        <v>15.55</v>
      </c>
      <c r="BJ16" t="n">
        <v>7.266</v>
      </c>
      <c r="BK16" t="n">
        <v>0.245</v>
      </c>
      <c r="BL16" t="n">
        <v>4.18</v>
      </c>
      <c r="BM16" t="n">
        <v>3.02</v>
      </c>
      <c r="BN16" t="n">
        <v>1.1</v>
      </c>
      <c r="BO16" t="n">
        <v>0.12</v>
      </c>
      <c r="BP16" t="n">
        <v>78</v>
      </c>
      <c r="BQ16" t="n">
        <v>25</v>
      </c>
      <c r="BR16" t="n">
        <v>1</v>
      </c>
      <c r="BS16" t="n">
        <v>105</v>
      </c>
      <c r="BT16" t="n">
        <v>3.534</v>
      </c>
      <c r="BW16" t="n">
        <v>4.77</v>
      </c>
      <c r="BX16" t="n">
        <v>5.504</v>
      </c>
      <c r="BY16" t="n">
        <v>5.137</v>
      </c>
      <c r="BZ16" t="n">
        <v>0.173</v>
      </c>
      <c r="CA16" t="n">
        <v>10.957</v>
      </c>
      <c r="CB16" t="n">
        <v>0.369</v>
      </c>
      <c r="CC16" t="n">
        <v>37</v>
      </c>
      <c r="CD16" t="n">
        <v>8</v>
      </c>
      <c r="CE16" t="n">
        <v>39</v>
      </c>
      <c r="CF16" t="n">
        <v>32</v>
      </c>
      <c r="CG16" t="n">
        <v>6</v>
      </c>
      <c r="CH16" t="n">
        <v>70</v>
      </c>
      <c r="CI16" t="n">
        <v>11.092</v>
      </c>
      <c r="CJ16" t="n">
        <v>4.133</v>
      </c>
      <c r="CK16" t="n">
        <v>66</v>
      </c>
      <c r="CL16" t="n">
        <v>82</v>
      </c>
      <c r="CM16" t="n">
        <v>29</v>
      </c>
      <c r="CN16" t="n">
        <v>19</v>
      </c>
      <c r="CO16" t="n">
        <v>15</v>
      </c>
      <c r="CP16" t="n">
        <v>48</v>
      </c>
      <c r="CQ16" t="n">
        <v>3</v>
      </c>
      <c r="CR16" t="n">
        <v>89</v>
      </c>
      <c r="CS16" t="n">
        <v>5</v>
      </c>
      <c r="CT16" t="n">
        <v>0.3</v>
      </c>
      <c r="CV16" t="n">
        <v>2</v>
      </c>
      <c r="CW16" t="n">
        <v>40.14</v>
      </c>
      <c r="CX16" t="n">
        <v>1.351</v>
      </c>
      <c r="CY16" t="n">
        <v>0</v>
      </c>
      <c r="DB16" t="n">
        <v>0</v>
      </c>
      <c r="DE16" t="n">
        <v>7.14</v>
      </c>
      <c r="DF16" t="n">
        <v>7</v>
      </c>
      <c r="DG16" t="n">
        <v>0</v>
      </c>
      <c r="DH16" t="n">
        <v>13</v>
      </c>
      <c r="DI16" t="n">
        <v>37</v>
      </c>
      <c r="DL16" t="n">
        <v>18</v>
      </c>
      <c r="DM16" t="n">
        <v>23</v>
      </c>
      <c r="DN16" t="n">
        <v>13</v>
      </c>
      <c r="DO16" t="n">
        <v>7.9</v>
      </c>
      <c r="DP16" t="n">
        <v>146.08</v>
      </c>
      <c r="DQ16" t="n">
        <v>73.04000000000001</v>
      </c>
      <c r="DR16" t="n">
        <v>146.08</v>
      </c>
      <c r="DS16" t="n">
        <v>0</v>
      </c>
      <c r="DT16" t="n">
        <v>2810</v>
      </c>
      <c r="DU16" t="n">
        <v>73.95</v>
      </c>
      <c r="DV16" t="inlineStr">
        <is>
          <t>flat</t>
        </is>
      </c>
      <c r="DW16" t="n">
        <v>46.77</v>
      </c>
      <c r="DX16" t="n">
        <v>43.66</v>
      </c>
      <c r="DY16" t="n">
        <v>47.42</v>
      </c>
      <c r="DZ16" t="n">
        <v>0.65</v>
      </c>
      <c r="EA16" t="n">
        <v>1411</v>
      </c>
      <c r="EB16" t="n">
        <v>20.28</v>
      </c>
      <c r="EC16" t="n">
        <v>0.8</v>
      </c>
      <c r="ED16" t="n">
        <v>120</v>
      </c>
      <c r="EE16" t="n">
        <v>2610</v>
      </c>
      <c r="EF16" t="b">
        <v>1</v>
      </c>
      <c r="EG16" t="n">
        <v>96.7</v>
      </c>
      <c r="EH16" t="n">
        <v>44.6</v>
      </c>
      <c r="EI16" t="n">
        <v>33</v>
      </c>
      <c r="EJ16" t="n">
        <v>34.3</v>
      </c>
      <c r="EK16" t="n">
        <v>25.5</v>
      </c>
      <c r="EL16" t="n">
        <v>68.59999999999999</v>
      </c>
      <c r="EM16" t="n">
        <v>459.5</v>
      </c>
      <c r="EN16" t="n">
        <v>520.6</v>
      </c>
      <c r="EO16" t="n">
        <v>244.1</v>
      </c>
      <c r="EP16" t="n">
        <v>15.9</v>
      </c>
    </row>
    <row r="17">
      <c r="A17" t="inlineStr">
        <is>
          <t>Ollie Watkins</t>
        </is>
      </c>
      <c r="B17" t="inlineStr">
        <is>
          <t>AVL</t>
        </is>
      </c>
      <c r="C17" t="inlineStr">
        <is>
          <t>FWD</t>
        </is>
      </c>
      <c r="D17" t="inlineStr">
        <is>
          <t>FWD</t>
        </is>
      </c>
      <c r="E17" t="n">
        <v>8</v>
      </c>
      <c r="F17" t="b">
        <v>1</v>
      </c>
      <c r="G17" t="b">
        <v>1</v>
      </c>
      <c r="H17" t="n">
        <v>30.6</v>
      </c>
      <c r="I17" t="inlineStr">
        <is>
          <t>a</t>
        </is>
      </c>
      <c r="L17" t="inlineStr">
        <is>
          <t>p178301</t>
        </is>
      </c>
      <c r="M17" t="n">
        <v>55</v>
      </c>
      <c r="N17" t="n">
        <v>2</v>
      </c>
      <c r="Q17" t="n">
        <v>2833</v>
      </c>
      <c r="R17" t="n">
        <v>37</v>
      </c>
      <c r="S17" t="n">
        <v>33</v>
      </c>
      <c r="T17" t="n">
        <v>31.478</v>
      </c>
      <c r="U17" t="n">
        <v>76.59999999999999</v>
      </c>
      <c r="V17" t="n">
        <v>167</v>
      </c>
      <c r="W17" t="n">
        <v>5.305</v>
      </c>
      <c r="X17" t="n">
        <v>16</v>
      </c>
      <c r="Y17" t="n">
        <v>4</v>
      </c>
      <c r="Z17" t="n">
        <v>3</v>
      </c>
      <c r="AA17" t="n">
        <v>9</v>
      </c>
      <c r="AB17" t="n">
        <v>38</v>
      </c>
      <c r="AC17" t="n">
        <v>26</v>
      </c>
      <c r="AD17" t="n">
        <v>26</v>
      </c>
      <c r="AE17" t="n">
        <v>0</v>
      </c>
      <c r="AF17" t="n">
        <v>623</v>
      </c>
      <c r="AG17" t="n">
        <v>618</v>
      </c>
      <c r="AH17" t="n">
        <v>-5</v>
      </c>
      <c r="AI17" t="n">
        <v>167</v>
      </c>
      <c r="AJ17" t="n">
        <v>0.156</v>
      </c>
      <c r="AK17" t="n">
        <v>0.184</v>
      </c>
      <c r="AL17" t="n">
        <v>94</v>
      </c>
      <c r="AM17" t="n">
        <v>2.986</v>
      </c>
      <c r="AN17" t="n">
        <v>0</v>
      </c>
      <c r="AO17" t="n">
        <v>0</v>
      </c>
      <c r="AP17" t="n">
        <v>0</v>
      </c>
      <c r="AQ17" t="n">
        <v>0</v>
      </c>
      <c r="AR17" t="n">
        <v>0</v>
      </c>
      <c r="AS17" t="n">
        <v>0.868</v>
      </c>
      <c r="AT17" t="n">
        <v>0.865</v>
      </c>
      <c r="AU17" t="n">
        <v>24</v>
      </c>
      <c r="AV17" t="n">
        <v>5</v>
      </c>
      <c r="AW17" t="n">
        <v>4.42</v>
      </c>
      <c r="AX17" t="n">
        <v>16</v>
      </c>
      <c r="AY17" t="n">
        <v>15.4</v>
      </c>
      <c r="AZ17" t="n">
        <v>18.828</v>
      </c>
      <c r="BA17" t="n">
        <v>17.114</v>
      </c>
      <c r="BB17" t="n">
        <v>18.828</v>
      </c>
      <c r="BC17" t="n">
        <v>0.489</v>
      </c>
      <c r="BD17" t="n">
        <v>0.598</v>
      </c>
      <c r="BE17" t="n">
        <v>0.544</v>
      </c>
      <c r="BF17" t="n">
        <v>15.8</v>
      </c>
      <c r="BG17" t="n">
        <v>0.502</v>
      </c>
      <c r="BH17" t="n">
        <v>1.025</v>
      </c>
      <c r="BI17" t="n">
        <v>63.41</v>
      </c>
      <c r="BJ17" t="n">
        <v>15.786</v>
      </c>
      <c r="BK17" t="n">
        <v>0.501</v>
      </c>
      <c r="BL17" t="n">
        <v>-1.114</v>
      </c>
      <c r="BM17" t="n">
        <v>0.4</v>
      </c>
      <c r="BN17" t="n">
        <v>0.2</v>
      </c>
      <c r="BO17" t="n">
        <v>-3.428</v>
      </c>
      <c r="BP17" t="n">
        <v>83</v>
      </c>
      <c r="BQ17" t="n">
        <v>38</v>
      </c>
      <c r="BR17" t="n">
        <v>19</v>
      </c>
      <c r="BS17" t="n">
        <v>177</v>
      </c>
      <c r="BT17" t="n">
        <v>5.623</v>
      </c>
      <c r="BV17" t="n">
        <v>4</v>
      </c>
      <c r="BW17" t="n">
        <v>1.18</v>
      </c>
      <c r="BX17" t="n">
        <v>2.816</v>
      </c>
      <c r="BY17" t="n">
        <v>1.998</v>
      </c>
      <c r="BZ17" t="n">
        <v>0.063</v>
      </c>
      <c r="CA17" t="n">
        <v>19.112</v>
      </c>
      <c r="CB17" t="n">
        <v>0.607</v>
      </c>
      <c r="CC17" t="n">
        <v>23</v>
      </c>
      <c r="CD17" t="n">
        <v>4</v>
      </c>
      <c r="CE17" t="n">
        <v>23</v>
      </c>
      <c r="CF17" t="n">
        <v>2</v>
      </c>
      <c r="CH17" t="n">
        <v>0</v>
      </c>
      <c r="CI17" t="n">
        <v>21.746</v>
      </c>
      <c r="CJ17" t="n">
        <v>4.341</v>
      </c>
      <c r="CK17" t="n">
        <v>23</v>
      </c>
      <c r="CL17" t="n">
        <v>49</v>
      </c>
      <c r="CM17" t="n">
        <v>22</v>
      </c>
      <c r="CN17" t="n">
        <v>14</v>
      </c>
      <c r="CO17" t="n">
        <v>6</v>
      </c>
      <c r="CP17" t="n">
        <v>15</v>
      </c>
      <c r="CQ17" t="n">
        <v>2</v>
      </c>
      <c r="CR17" t="n">
        <v>116</v>
      </c>
      <c r="CS17" t="n">
        <v>36</v>
      </c>
      <c r="CT17" t="n">
        <v>0.5</v>
      </c>
      <c r="CW17" t="n">
        <v>43.39</v>
      </c>
      <c r="CX17" t="n">
        <v>1.378</v>
      </c>
      <c r="CY17" t="n">
        <v>0</v>
      </c>
      <c r="DB17" t="n">
        <v>0</v>
      </c>
      <c r="DE17" t="n">
        <v>6.97</v>
      </c>
      <c r="DF17" t="n">
        <v>4</v>
      </c>
      <c r="DG17" t="n">
        <v>0</v>
      </c>
      <c r="DH17" t="n">
        <v>35</v>
      </c>
      <c r="DI17" t="n">
        <v>32</v>
      </c>
      <c r="DJ17" t="n">
        <v>0</v>
      </c>
      <c r="DL17" t="n">
        <v>26</v>
      </c>
      <c r="DM17" t="n">
        <v>43</v>
      </c>
      <c r="DN17" t="n">
        <v>24</v>
      </c>
      <c r="DO17" t="n">
        <v>12.6</v>
      </c>
      <c r="DP17" t="n">
        <v>167.14</v>
      </c>
      <c r="DQ17" t="n">
        <v>83.7</v>
      </c>
      <c r="DR17" t="n">
        <v>167.4</v>
      </c>
      <c r="DS17" t="n">
        <v>-0.26</v>
      </c>
      <c r="DT17" t="n">
        <v>2679</v>
      </c>
      <c r="DU17" t="n">
        <v>70.5</v>
      </c>
      <c r="DV17" t="inlineStr">
        <is>
          <t>flat</t>
        </is>
      </c>
      <c r="DW17" t="n">
        <v>13.66</v>
      </c>
      <c r="DX17" t="n">
        <v>11.89</v>
      </c>
      <c r="DY17" t="n">
        <v>12.81</v>
      </c>
      <c r="DZ17" t="n">
        <v>-0.85</v>
      </c>
      <c r="EA17" t="n">
        <v>1497</v>
      </c>
      <c r="EB17" t="n">
        <v>9.359999999999999</v>
      </c>
      <c r="EC17" t="n">
        <v>1</v>
      </c>
      <c r="ED17" t="n">
        <v>112</v>
      </c>
      <c r="EE17" t="n">
        <v>2853</v>
      </c>
      <c r="EF17" t="b">
        <v>1</v>
      </c>
      <c r="EG17" t="n">
        <v>99.90000000000001</v>
      </c>
      <c r="EH17" t="n">
        <v>41.4</v>
      </c>
      <c r="EI17" t="n">
        <v>10</v>
      </c>
      <c r="EJ17" t="n">
        <v>34.1</v>
      </c>
      <c r="EK17" t="n">
        <v>16</v>
      </c>
      <c r="EL17" t="n">
        <v>123.2</v>
      </c>
      <c r="EM17" t="n">
        <v>165.5</v>
      </c>
      <c r="EN17" t="n">
        <v>1417.9</v>
      </c>
      <c r="EO17" t="n">
        <v>148.2</v>
      </c>
      <c r="EP17" t="n">
        <v>17</v>
      </c>
    </row>
    <row r="18">
      <c r="A18" t="inlineStr">
        <is>
          <t>Adrien Truffert</t>
        </is>
      </c>
      <c r="B18" t="inlineStr">
        <is>
          <t>BOU</t>
        </is>
      </c>
      <c r="C18" t="inlineStr">
        <is>
          <t>DEF</t>
        </is>
      </c>
      <c r="D18" t="inlineStr">
        <is>
          <t>DEF</t>
        </is>
      </c>
      <c r="E18" t="n">
        <v>5.5</v>
      </c>
      <c r="F18" t="b">
        <v>1</v>
      </c>
      <c r="G18" t="b">
        <v>1</v>
      </c>
      <c r="H18" t="n">
        <v>24.8</v>
      </c>
      <c r="I18" t="inlineStr">
        <is>
          <t>a</t>
        </is>
      </c>
      <c r="L18" t="inlineStr">
        <is>
          <t>p494521</t>
        </is>
      </c>
      <c r="M18" t="n">
        <v>61</v>
      </c>
      <c r="Q18" t="n">
        <v>3378</v>
      </c>
      <c r="R18" t="n">
        <v>38</v>
      </c>
      <c r="S18" t="n">
        <v>38</v>
      </c>
      <c r="T18" t="n">
        <v>37.533</v>
      </c>
      <c r="U18" t="n">
        <v>88.90000000000001</v>
      </c>
      <c r="V18" t="n">
        <v>165</v>
      </c>
      <c r="W18" t="n">
        <v>4.396</v>
      </c>
      <c r="X18" t="n">
        <v>1</v>
      </c>
      <c r="Y18" t="n">
        <v>6</v>
      </c>
      <c r="Z18" t="n">
        <v>5</v>
      </c>
      <c r="AA18" t="n">
        <v>11</v>
      </c>
      <c r="AB18" t="n">
        <v>51</v>
      </c>
      <c r="AC18" t="n">
        <v>19</v>
      </c>
      <c r="AD18" t="n">
        <v>19</v>
      </c>
      <c r="AE18" t="n">
        <v>0</v>
      </c>
      <c r="AF18" t="n">
        <v>607</v>
      </c>
      <c r="AG18" t="n">
        <v>567</v>
      </c>
      <c r="AH18" t="n">
        <v>-40</v>
      </c>
      <c r="AI18" t="n">
        <v>165</v>
      </c>
      <c r="AJ18" t="n">
        <v>0.115</v>
      </c>
      <c r="AK18" t="n">
        <v>0.13</v>
      </c>
      <c r="AL18" t="n">
        <v>301</v>
      </c>
      <c r="AM18" t="n">
        <v>8.02</v>
      </c>
      <c r="AN18" t="n">
        <v>12</v>
      </c>
      <c r="AO18" t="n">
        <v>24</v>
      </c>
      <c r="AP18" t="n">
        <v>0.316</v>
      </c>
      <c r="AQ18" t="n">
        <v>0.316</v>
      </c>
      <c r="AR18" t="n">
        <v>0.132</v>
      </c>
      <c r="AS18" t="n">
        <v>1</v>
      </c>
      <c r="AT18" t="n">
        <v>1</v>
      </c>
      <c r="AU18" t="n">
        <v>12</v>
      </c>
      <c r="AV18" t="n">
        <v>3</v>
      </c>
      <c r="AW18" t="n">
        <v>3.1</v>
      </c>
      <c r="AX18" t="n">
        <v>11</v>
      </c>
      <c r="AY18" t="n">
        <v>1.35</v>
      </c>
      <c r="AZ18" t="n">
        <v>1.989</v>
      </c>
      <c r="BA18" t="n">
        <v>1.669</v>
      </c>
      <c r="BB18" t="n">
        <v>1.989</v>
      </c>
      <c r="BC18" t="n">
        <v>0.036</v>
      </c>
      <c r="BD18" t="n">
        <v>0.053</v>
      </c>
      <c r="BE18" t="n">
        <v>0.044</v>
      </c>
      <c r="BF18" t="n">
        <v>1.6</v>
      </c>
      <c r="BG18" t="n">
        <v>0.043</v>
      </c>
      <c r="BH18" t="n">
        <v>1.027</v>
      </c>
      <c r="BI18" t="n">
        <v>1.35</v>
      </c>
      <c r="BJ18" t="n">
        <v>1.386</v>
      </c>
      <c r="BK18" t="n">
        <v>0.037</v>
      </c>
      <c r="BL18" t="n">
        <v>-0.669</v>
      </c>
      <c r="BM18" t="n">
        <v>0.25</v>
      </c>
      <c r="BN18" t="n">
        <v>-0.6</v>
      </c>
      <c r="BO18" t="n">
        <v>-0.639</v>
      </c>
      <c r="BP18" t="n">
        <v>16</v>
      </c>
      <c r="BQ18" t="n">
        <v>6</v>
      </c>
      <c r="BR18" t="n">
        <v>1</v>
      </c>
      <c r="BS18" t="n">
        <v>53</v>
      </c>
      <c r="BT18" t="n">
        <v>1.412</v>
      </c>
      <c r="BW18" t="n">
        <v>3.07</v>
      </c>
      <c r="BX18" t="n">
        <v>4.408</v>
      </c>
      <c r="BY18" t="n">
        <v>3.739</v>
      </c>
      <c r="BZ18" t="n">
        <v>0.1</v>
      </c>
      <c r="CA18" t="n">
        <v>5.408</v>
      </c>
      <c r="CB18" t="n">
        <v>0.144</v>
      </c>
      <c r="CC18" t="n">
        <v>33</v>
      </c>
      <c r="CD18" t="n">
        <v>4</v>
      </c>
      <c r="CE18" t="n">
        <v>32</v>
      </c>
      <c r="CF18" t="n">
        <v>34</v>
      </c>
      <c r="CH18" t="n">
        <v>1</v>
      </c>
      <c r="CI18" t="n">
        <v>15.239</v>
      </c>
      <c r="CJ18" t="n">
        <v>9.959</v>
      </c>
      <c r="CK18" t="n">
        <v>199</v>
      </c>
      <c r="CL18" t="n">
        <v>188</v>
      </c>
      <c r="CM18" t="n">
        <v>102</v>
      </c>
      <c r="CN18" t="n">
        <v>52</v>
      </c>
      <c r="CO18" t="n">
        <v>48</v>
      </c>
      <c r="CP18" t="n">
        <v>143</v>
      </c>
      <c r="CQ18" t="n">
        <v>10</v>
      </c>
      <c r="CR18" t="n">
        <v>212</v>
      </c>
      <c r="CS18" t="n">
        <v>44</v>
      </c>
      <c r="CT18" t="n">
        <v>0.2</v>
      </c>
      <c r="CU18" t="n">
        <v>1</v>
      </c>
      <c r="CV18" t="n">
        <v>2</v>
      </c>
      <c r="CW18" t="n">
        <v>54.42</v>
      </c>
      <c r="CX18" t="n">
        <v>1.45</v>
      </c>
      <c r="CY18" t="n">
        <v>0</v>
      </c>
      <c r="DB18" t="n">
        <v>0</v>
      </c>
      <c r="DE18" t="n">
        <v>7.18</v>
      </c>
      <c r="DF18" t="n">
        <v>5</v>
      </c>
      <c r="DG18" t="n">
        <v>0</v>
      </c>
      <c r="DH18" t="n">
        <v>39</v>
      </c>
      <c r="DI18" t="n">
        <v>32</v>
      </c>
      <c r="DL18" t="n">
        <v>33</v>
      </c>
      <c r="DM18" t="n">
        <v>24</v>
      </c>
      <c r="DO18" t="n">
        <v>4.9</v>
      </c>
      <c r="DP18" t="n">
        <v>140.24</v>
      </c>
      <c r="DQ18" t="n">
        <v>70.12</v>
      </c>
      <c r="DR18" t="n">
        <v>140.24</v>
      </c>
      <c r="DS18" t="n">
        <v>0</v>
      </c>
      <c r="DT18" t="n">
        <v>3266</v>
      </c>
      <c r="DU18" t="n">
        <v>85.95</v>
      </c>
      <c r="DV18" t="inlineStr">
        <is>
          <t>flat</t>
        </is>
      </c>
      <c r="DW18" t="n">
        <v>65.5</v>
      </c>
      <c r="DX18" t="n">
        <v>65.42</v>
      </c>
      <c r="DY18" t="n">
        <v>65.06</v>
      </c>
      <c r="DZ18" t="n">
        <v>-0.44</v>
      </c>
      <c r="EA18" t="n">
        <v>1441</v>
      </c>
      <c r="EB18" t="n">
        <v>17.67</v>
      </c>
      <c r="EC18" t="n">
        <v>8</v>
      </c>
      <c r="ED18" t="n">
        <v>120</v>
      </c>
      <c r="EE18" t="n">
        <v>2497</v>
      </c>
      <c r="EF18" t="b">
        <v>1</v>
      </c>
      <c r="EG18" t="n">
        <v>97.90000000000001</v>
      </c>
      <c r="EH18" t="n">
        <v>47.7</v>
      </c>
      <c r="EI18" t="n">
        <v>111</v>
      </c>
      <c r="EJ18" t="n">
        <v>211.1</v>
      </c>
      <c r="EK18" t="n">
        <v>63.7</v>
      </c>
      <c r="EL18" t="n">
        <v>105.6</v>
      </c>
      <c r="EM18" t="n">
        <v>2023.5</v>
      </c>
      <c r="EN18" t="n">
        <v>903.4</v>
      </c>
      <c r="EO18" t="n">
        <v>624.6</v>
      </c>
      <c r="EP18" t="n">
        <v>20.5</v>
      </c>
    </row>
    <row r="19">
      <c r="A19" t="inlineStr">
        <is>
          <t>David Raya</t>
        </is>
      </c>
      <c r="B19" t="inlineStr">
        <is>
          <t>ARS</t>
        </is>
      </c>
      <c r="C19" t="inlineStr">
        <is>
          <t>GKP</t>
        </is>
      </c>
      <c r="D19" t="inlineStr">
        <is>
          <t>GKP</t>
        </is>
      </c>
      <c r="E19" t="n">
        <v>6</v>
      </c>
      <c r="F19" t="b">
        <v>1</v>
      </c>
      <c r="G19" t="b">
        <v>1</v>
      </c>
      <c r="H19" t="n">
        <v>30.9</v>
      </c>
      <c r="I19" t="inlineStr">
        <is>
          <t>a</t>
        </is>
      </c>
      <c r="L19" t="inlineStr">
        <is>
          <t>p154561</t>
        </is>
      </c>
      <c r="M19" t="n">
        <v>1</v>
      </c>
      <c r="Q19" t="n">
        <v>3330</v>
      </c>
      <c r="R19" t="n">
        <v>37</v>
      </c>
      <c r="S19" t="n">
        <v>37</v>
      </c>
      <c r="T19" t="n">
        <v>37</v>
      </c>
      <c r="U19" t="n">
        <v>90</v>
      </c>
      <c r="V19" t="n">
        <v>162</v>
      </c>
      <c r="W19" t="n">
        <v>4.378</v>
      </c>
      <c r="X19" t="n">
        <v>0</v>
      </c>
      <c r="Y19" t="n">
        <v>0</v>
      </c>
      <c r="AA19" t="n">
        <v>19</v>
      </c>
      <c r="AB19" t="n">
        <v>26</v>
      </c>
      <c r="AC19" t="n">
        <v>11</v>
      </c>
      <c r="AD19" t="n">
        <v>11</v>
      </c>
      <c r="AE19" t="n">
        <v>0</v>
      </c>
      <c r="AF19" t="n">
        <v>633</v>
      </c>
      <c r="AG19" t="n">
        <v>624</v>
      </c>
      <c r="AH19" t="n">
        <v>-9</v>
      </c>
      <c r="AI19" t="n">
        <v>162</v>
      </c>
      <c r="AJ19" t="n">
        <v>0.068</v>
      </c>
      <c r="AK19" t="n">
        <v>0.073</v>
      </c>
      <c r="AL19" t="n">
        <v>0</v>
      </c>
      <c r="AM19" t="n">
        <v>0</v>
      </c>
      <c r="AN19" t="n">
        <v>0</v>
      </c>
      <c r="AO19" t="n">
        <v>0</v>
      </c>
      <c r="AP19" t="n">
        <v>0</v>
      </c>
      <c r="AQ19" t="n">
        <v>0</v>
      </c>
      <c r="AR19" t="n">
        <v>0</v>
      </c>
      <c r="AS19" t="n">
        <v>0.974</v>
      </c>
      <c r="AT19" t="n">
        <v>1</v>
      </c>
      <c r="AU19" t="n">
        <v>15</v>
      </c>
      <c r="AV19" t="n">
        <v>2</v>
      </c>
      <c r="AW19" t="n">
        <v>2.79</v>
      </c>
      <c r="AX19" t="n">
        <v>10</v>
      </c>
      <c r="AY19" t="n">
        <v>0</v>
      </c>
      <c r="AZ19" t="n">
        <v>0</v>
      </c>
      <c r="BA19" t="n">
        <v>0</v>
      </c>
      <c r="BB19" t="n">
        <v>0</v>
      </c>
      <c r="BC19" t="n">
        <v>0</v>
      </c>
      <c r="BD19" t="n">
        <v>0</v>
      </c>
      <c r="BE19" t="n">
        <v>0</v>
      </c>
      <c r="BH19" t="n">
        <v>0.986</v>
      </c>
      <c r="BI19" t="n">
        <v>0.11</v>
      </c>
      <c r="BJ19" t="n">
        <v>0</v>
      </c>
      <c r="BK19" t="n">
        <v>0</v>
      </c>
      <c r="BL19" t="n">
        <v>0</v>
      </c>
      <c r="BO19" t="n">
        <v>0</v>
      </c>
      <c r="BW19" t="n">
        <v>0.07000000000000001</v>
      </c>
      <c r="BX19" t="n">
        <v>0.149</v>
      </c>
      <c r="BY19" t="n">
        <v>0.11</v>
      </c>
      <c r="BZ19" t="n">
        <v>0.003</v>
      </c>
      <c r="CA19" t="n">
        <v>0.11</v>
      </c>
      <c r="CB19" t="n">
        <v>0.003</v>
      </c>
      <c r="CC19" t="n">
        <v>3</v>
      </c>
      <c r="CE19" t="n">
        <v>3</v>
      </c>
      <c r="CI19" t="n">
        <v>6.412</v>
      </c>
      <c r="CJ19" t="n">
        <v>6.322</v>
      </c>
      <c r="CK19" t="n">
        <v>37</v>
      </c>
      <c r="CL19" t="n">
        <v>304</v>
      </c>
      <c r="CM19" t="n">
        <v>1</v>
      </c>
      <c r="CN19" t="n">
        <v>1</v>
      </c>
      <c r="CO19" t="n">
        <v>1</v>
      </c>
      <c r="CP19" t="n">
        <v>37</v>
      </c>
      <c r="CR19" t="n">
        <v>25</v>
      </c>
      <c r="CS19" t="n">
        <v>10</v>
      </c>
      <c r="CU19" t="n">
        <v>1</v>
      </c>
      <c r="CV19" t="n">
        <v>3</v>
      </c>
      <c r="CW19" t="n">
        <v>27.56</v>
      </c>
      <c r="CX19" t="n">
        <v>0.745</v>
      </c>
      <c r="CY19" t="n">
        <v>60</v>
      </c>
      <c r="CZ19" t="n">
        <v>69.8</v>
      </c>
      <c r="DA19" t="n">
        <v>-1.1</v>
      </c>
      <c r="DB19" t="n">
        <v>0</v>
      </c>
      <c r="DC19" t="n">
        <v>39</v>
      </c>
      <c r="DD19" t="n">
        <v>10</v>
      </c>
      <c r="DE19" t="n">
        <v>7.21</v>
      </c>
      <c r="DF19" t="n">
        <v>1</v>
      </c>
      <c r="DG19" t="n">
        <v>0</v>
      </c>
      <c r="DI19" t="n">
        <v>14</v>
      </c>
      <c r="DL19" t="n">
        <v>1</v>
      </c>
      <c r="DO19" t="n">
        <v>31.2</v>
      </c>
      <c r="DP19" t="n">
        <v>149.74</v>
      </c>
      <c r="DQ19" t="n">
        <v>74.87</v>
      </c>
      <c r="DR19" t="n">
        <v>149.74</v>
      </c>
      <c r="DS19" t="n">
        <v>0</v>
      </c>
      <c r="DT19" t="n">
        <v>3385</v>
      </c>
      <c r="DU19" t="n">
        <v>89.09</v>
      </c>
      <c r="DV19" t="inlineStr">
        <is>
          <t>flat</t>
        </is>
      </c>
      <c r="DW19" t="n">
        <v>27.19</v>
      </c>
      <c r="DX19" t="n">
        <v>28.81</v>
      </c>
      <c r="DY19" t="n">
        <v>24.86</v>
      </c>
      <c r="DZ19" t="n">
        <v>-2.32</v>
      </c>
      <c r="EA19" t="n">
        <v>1614</v>
      </c>
      <c r="EB19" t="n">
        <v>13.8</v>
      </c>
      <c r="EC19" t="n">
        <v>0.67</v>
      </c>
      <c r="ED19" t="n">
        <v>118.86</v>
      </c>
      <c r="EE19" t="n">
        <v>4019</v>
      </c>
      <c r="EF19" t="b">
        <v>1</v>
      </c>
      <c r="EG19" t="n">
        <v>99.90000000000001</v>
      </c>
      <c r="EH19" t="n">
        <v>17.5</v>
      </c>
      <c r="EI19" t="n">
        <v>59</v>
      </c>
      <c r="EL19" t="n">
        <v>1110</v>
      </c>
      <c r="EN19" t="n">
        <v>30356.3</v>
      </c>
      <c r="EO19" t="n">
        <v>30356.3</v>
      </c>
      <c r="EP19" t="n">
        <v>20.6</v>
      </c>
    </row>
    <row r="20">
      <c r="A20" t="inlineStr">
        <is>
          <t>Dominik Szoboszlai</t>
        </is>
      </c>
      <c r="B20" t="inlineStr">
        <is>
          <t>LIV</t>
        </is>
      </c>
      <c r="C20" t="inlineStr">
        <is>
          <t>MID</t>
        </is>
      </c>
      <c r="D20" t="inlineStr">
        <is>
          <t>MID</t>
        </is>
      </c>
      <c r="E20" t="n">
        <v>7</v>
      </c>
      <c r="F20" t="b">
        <v>1</v>
      </c>
      <c r="G20" t="b">
        <v>1</v>
      </c>
      <c r="H20" t="n">
        <v>25.8</v>
      </c>
      <c r="I20" t="inlineStr">
        <is>
          <t>a</t>
        </is>
      </c>
      <c r="L20" t="inlineStr">
        <is>
          <t>p424876</t>
        </is>
      </c>
      <c r="M20" t="n">
        <v>368</v>
      </c>
      <c r="N20" t="n">
        <v>2</v>
      </c>
      <c r="O20" t="n">
        <v>1</v>
      </c>
      <c r="P20" t="n">
        <v>1</v>
      </c>
      <c r="Q20" t="n">
        <v>3232</v>
      </c>
      <c r="R20" t="n">
        <v>36</v>
      </c>
      <c r="S20" t="n">
        <v>36</v>
      </c>
      <c r="T20" t="n">
        <v>35.911</v>
      </c>
      <c r="U20" t="n">
        <v>89.8</v>
      </c>
      <c r="V20" t="n">
        <v>160</v>
      </c>
      <c r="W20" t="n">
        <v>4.455</v>
      </c>
      <c r="X20" t="n">
        <v>6</v>
      </c>
      <c r="Y20" t="n">
        <v>7</v>
      </c>
      <c r="Z20" t="n">
        <v>7</v>
      </c>
      <c r="AA20" t="n">
        <v>9</v>
      </c>
      <c r="AB20" t="n">
        <v>52</v>
      </c>
      <c r="AC20" t="n">
        <v>21</v>
      </c>
      <c r="AD20" t="n">
        <v>21</v>
      </c>
      <c r="AE20" t="n">
        <v>0</v>
      </c>
      <c r="AF20" t="n">
        <v>780</v>
      </c>
      <c r="AG20" t="n">
        <v>762</v>
      </c>
      <c r="AH20" t="n">
        <v>-18</v>
      </c>
      <c r="AI20" t="n">
        <v>160</v>
      </c>
      <c r="AJ20" t="n">
        <v>0.131</v>
      </c>
      <c r="AK20" t="n">
        <v>0.151</v>
      </c>
      <c r="AL20" t="n">
        <v>338</v>
      </c>
      <c r="AM20" t="n">
        <v>9.412000000000001</v>
      </c>
      <c r="AN20" t="n">
        <v>10</v>
      </c>
      <c r="AO20" t="n">
        <v>20</v>
      </c>
      <c r="AP20" t="n">
        <v>0.278</v>
      </c>
      <c r="AQ20" t="n">
        <v>0.389</v>
      </c>
      <c r="AR20" t="n">
        <v>0.278</v>
      </c>
      <c r="AS20" t="n">
        <v>0.947</v>
      </c>
      <c r="AT20" t="n">
        <v>1</v>
      </c>
      <c r="AU20" t="n">
        <v>14</v>
      </c>
      <c r="AV20" t="n">
        <v>5</v>
      </c>
      <c r="AW20" t="n">
        <v>3.75</v>
      </c>
      <c r="AX20" t="n">
        <v>13</v>
      </c>
      <c r="AY20" t="n">
        <v>4.76</v>
      </c>
      <c r="AZ20" t="n">
        <v>4.724</v>
      </c>
      <c r="BA20" t="n">
        <v>4.742</v>
      </c>
      <c r="BB20" t="n">
        <v>3.963</v>
      </c>
      <c r="BC20" t="n">
        <v>0.133</v>
      </c>
      <c r="BD20" t="n">
        <v>0.132</v>
      </c>
      <c r="BE20" t="n">
        <v>0.132</v>
      </c>
      <c r="BF20" t="n">
        <v>4.2</v>
      </c>
      <c r="BG20" t="n">
        <v>0.117</v>
      </c>
      <c r="BH20" t="n">
        <v>0.797</v>
      </c>
      <c r="BI20" t="n">
        <v>15.34</v>
      </c>
      <c r="BJ20" t="n">
        <v>3.793</v>
      </c>
      <c r="BK20" t="n">
        <v>0.106</v>
      </c>
      <c r="BL20" t="n">
        <v>1.258</v>
      </c>
      <c r="BM20" t="n">
        <v>-0.5600000000000001</v>
      </c>
      <c r="BN20" t="n">
        <v>1.8</v>
      </c>
      <c r="BO20" t="n">
        <v>0.036</v>
      </c>
      <c r="BP20" t="n">
        <v>71</v>
      </c>
      <c r="BQ20" t="n">
        <v>23</v>
      </c>
      <c r="BR20" t="n">
        <v>4</v>
      </c>
      <c r="BS20" t="n">
        <v>69</v>
      </c>
      <c r="BT20" t="n">
        <v>1.921</v>
      </c>
      <c r="BW20" t="n">
        <v>6.83</v>
      </c>
      <c r="BX20" t="n">
        <v>8.835000000000001</v>
      </c>
      <c r="BY20" t="n">
        <v>7.833</v>
      </c>
      <c r="BZ20" t="n">
        <v>0.218</v>
      </c>
      <c r="CA20" t="n">
        <v>12.575</v>
      </c>
      <c r="CB20" t="n">
        <v>0.35</v>
      </c>
      <c r="CC20" t="n">
        <v>78</v>
      </c>
      <c r="CD20" t="n">
        <v>14</v>
      </c>
      <c r="CE20" t="n">
        <v>78</v>
      </c>
      <c r="CF20" t="n">
        <v>68</v>
      </c>
      <c r="CG20" t="n">
        <v>2</v>
      </c>
      <c r="CH20" t="n">
        <v>104</v>
      </c>
      <c r="CI20" t="n">
        <v>21.543</v>
      </c>
      <c r="CJ20" t="n">
        <v>15.062</v>
      </c>
      <c r="CK20" t="n">
        <v>96</v>
      </c>
      <c r="CL20" t="n">
        <v>186</v>
      </c>
      <c r="CM20" t="n">
        <v>56</v>
      </c>
      <c r="CN20" t="n">
        <v>32</v>
      </c>
      <c r="CO20" t="n">
        <v>30</v>
      </c>
      <c r="CP20" t="n">
        <v>58</v>
      </c>
      <c r="CQ20" t="n">
        <v>8</v>
      </c>
      <c r="CR20" t="n">
        <v>131</v>
      </c>
      <c r="CS20" t="n">
        <v>19</v>
      </c>
      <c r="CT20" t="n">
        <v>0.6</v>
      </c>
      <c r="CU20" t="n">
        <v>2</v>
      </c>
      <c r="CV20" t="n">
        <v>5</v>
      </c>
      <c r="CW20" t="n">
        <v>45.63</v>
      </c>
      <c r="CX20" t="n">
        <v>1.271</v>
      </c>
      <c r="CY20" t="n">
        <v>0</v>
      </c>
      <c r="DB20" t="n">
        <v>0</v>
      </c>
      <c r="DE20" t="n">
        <v>7.5</v>
      </c>
      <c r="DF20" t="n">
        <v>8</v>
      </c>
      <c r="DG20" t="n">
        <v>1</v>
      </c>
      <c r="DH20" t="n">
        <v>41</v>
      </c>
      <c r="DI20" t="n">
        <v>30</v>
      </c>
      <c r="DL20" t="n">
        <v>26</v>
      </c>
      <c r="DM20" t="n">
        <v>27</v>
      </c>
      <c r="DN20" t="n">
        <v>2</v>
      </c>
      <c r="DO20" t="n">
        <v>42.7</v>
      </c>
      <c r="DP20" t="n">
        <v>184.21</v>
      </c>
      <c r="DQ20" t="n">
        <v>92.09999999999999</v>
      </c>
      <c r="DR20" t="n">
        <v>184.2</v>
      </c>
      <c r="DS20" t="n">
        <v>0.01</v>
      </c>
      <c r="DT20" t="n">
        <v>3344</v>
      </c>
      <c r="DU20" t="n">
        <v>88</v>
      </c>
      <c r="DV20" t="inlineStr">
        <is>
          <t>flat</t>
        </is>
      </c>
      <c r="DW20" t="n">
        <v>19.4</v>
      </c>
      <c r="DX20" t="n">
        <v>18.89</v>
      </c>
      <c r="DY20" t="n">
        <v>19.18</v>
      </c>
      <c r="DZ20" t="n">
        <v>-0.22</v>
      </c>
      <c r="EA20" t="n">
        <v>1607</v>
      </c>
      <c r="EB20" t="n">
        <v>9.15</v>
      </c>
      <c r="EC20" t="n">
        <v>1</v>
      </c>
      <c r="ED20" t="n">
        <v>80</v>
      </c>
      <c r="EE20" t="n">
        <v>3829</v>
      </c>
      <c r="EF20" t="b">
        <v>1</v>
      </c>
      <c r="EG20" t="n">
        <v>99.90000000000001</v>
      </c>
      <c r="EH20" t="n">
        <v>21.4</v>
      </c>
      <c r="EI20" t="n">
        <v>23</v>
      </c>
      <c r="EJ20" t="n">
        <v>45.5</v>
      </c>
      <c r="EK20" t="n">
        <v>46.8</v>
      </c>
      <c r="EL20" t="n">
        <v>41.4</v>
      </c>
      <c r="EM20" t="n">
        <v>681.6</v>
      </c>
      <c r="EN20" t="n">
        <v>412.6</v>
      </c>
      <c r="EO20" t="n">
        <v>257</v>
      </c>
      <c r="EP20" t="n">
        <v>20.2</v>
      </c>
    </row>
    <row r="21">
      <c r="A21" t="inlineStr">
        <is>
          <t>Nico O'Reilly</t>
        </is>
      </c>
      <c r="B21" t="inlineStr">
        <is>
          <t>MCI</t>
        </is>
      </c>
      <c r="C21" t="inlineStr">
        <is>
          <t>DEF</t>
        </is>
      </c>
      <c r="D21" t="inlineStr">
        <is>
          <t>DEF</t>
        </is>
      </c>
      <c r="E21" t="n">
        <v>6.5</v>
      </c>
      <c r="F21" t="b">
        <v>1</v>
      </c>
      <c r="G21" t="b">
        <v>1</v>
      </c>
      <c r="H21" t="n">
        <v>21.4</v>
      </c>
      <c r="I21" t="inlineStr">
        <is>
          <t>a</t>
        </is>
      </c>
      <c r="L21" t="inlineStr">
        <is>
          <t>p472769</t>
        </is>
      </c>
      <c r="M21" t="n">
        <v>387</v>
      </c>
      <c r="Q21" t="n">
        <v>2643</v>
      </c>
      <c r="R21" t="n">
        <v>34</v>
      </c>
      <c r="S21" t="n">
        <v>29</v>
      </c>
      <c r="T21" t="n">
        <v>29.367</v>
      </c>
      <c r="U21" t="n">
        <v>77.7</v>
      </c>
      <c r="V21" t="n">
        <v>160</v>
      </c>
      <c r="W21" t="n">
        <v>5.448</v>
      </c>
      <c r="X21" t="n">
        <v>5</v>
      </c>
      <c r="Y21" t="n">
        <v>4</v>
      </c>
      <c r="Z21" t="n">
        <v>3</v>
      </c>
      <c r="AA21" t="n">
        <v>14</v>
      </c>
      <c r="AB21" t="n">
        <v>25</v>
      </c>
      <c r="AC21" t="n">
        <v>10</v>
      </c>
      <c r="AD21" t="n">
        <v>11</v>
      </c>
      <c r="AE21" t="n">
        <v>1</v>
      </c>
      <c r="AF21" t="n">
        <v>567</v>
      </c>
      <c r="AG21" t="n">
        <v>549</v>
      </c>
      <c r="AH21" t="n">
        <v>-18</v>
      </c>
      <c r="AI21" t="n">
        <v>161</v>
      </c>
      <c r="AJ21" t="n">
        <v>0.062</v>
      </c>
      <c r="AK21" t="n">
        <v>0.067</v>
      </c>
      <c r="AL21" t="n">
        <v>172</v>
      </c>
      <c r="AM21" t="n">
        <v>5.857</v>
      </c>
      <c r="AN21" t="n">
        <v>1</v>
      </c>
      <c r="AO21" t="n">
        <v>2</v>
      </c>
      <c r="AP21" t="n">
        <v>0.034</v>
      </c>
      <c r="AQ21" t="n">
        <v>0.034</v>
      </c>
      <c r="AR21" t="n">
        <v>0</v>
      </c>
      <c r="AS21" t="n">
        <v>0.763</v>
      </c>
      <c r="AT21" t="n">
        <v>0.824</v>
      </c>
      <c r="AU21" t="n">
        <v>16</v>
      </c>
      <c r="AV21" t="n">
        <v>5</v>
      </c>
      <c r="AW21" t="n">
        <v>4.41</v>
      </c>
      <c r="AX21" t="n">
        <v>17</v>
      </c>
      <c r="AY21" t="n">
        <v>6.12</v>
      </c>
      <c r="AZ21" t="n">
        <v>6.727</v>
      </c>
      <c r="BA21" t="n">
        <v>6.424</v>
      </c>
      <c r="BB21" t="n">
        <v>6.727</v>
      </c>
      <c r="BC21" t="n">
        <v>0.208</v>
      </c>
      <c r="BD21" t="n">
        <v>0.229</v>
      </c>
      <c r="BE21" t="n">
        <v>0.219</v>
      </c>
      <c r="BF21" t="n">
        <v>6.2</v>
      </c>
      <c r="BG21" t="n">
        <v>0.211</v>
      </c>
      <c r="BH21" t="n">
        <v>1.039</v>
      </c>
      <c r="BI21" t="n">
        <v>7.4</v>
      </c>
      <c r="BJ21" t="n">
        <v>6.358</v>
      </c>
      <c r="BK21" t="n">
        <v>0.217</v>
      </c>
      <c r="BL21" t="n">
        <v>-1.424</v>
      </c>
      <c r="BM21" t="n">
        <v>0.08</v>
      </c>
      <c r="BN21" t="n">
        <v>-1.2</v>
      </c>
      <c r="BO21" t="n">
        <v>-0.607</v>
      </c>
      <c r="BP21" t="n">
        <v>41</v>
      </c>
      <c r="BQ21" t="n">
        <v>15</v>
      </c>
      <c r="BR21" t="n">
        <v>7</v>
      </c>
      <c r="BS21" t="n">
        <v>103</v>
      </c>
      <c r="BT21" t="n">
        <v>3.507</v>
      </c>
      <c r="BV21" t="n">
        <v>2</v>
      </c>
      <c r="BW21" t="n">
        <v>2.67</v>
      </c>
      <c r="BX21" t="n">
        <v>3.847</v>
      </c>
      <c r="BY21" t="n">
        <v>3.259</v>
      </c>
      <c r="BZ21" t="n">
        <v>0.111</v>
      </c>
      <c r="CA21" t="n">
        <v>9.682</v>
      </c>
      <c r="CB21" t="n">
        <v>0.33</v>
      </c>
      <c r="CC21" t="n">
        <v>23</v>
      </c>
      <c r="CD21" t="n">
        <v>6</v>
      </c>
      <c r="CE21" t="n">
        <v>23</v>
      </c>
      <c r="CF21" t="n">
        <v>9</v>
      </c>
      <c r="CG21" t="n">
        <v>1</v>
      </c>
      <c r="CI21" t="n">
        <v>21.241</v>
      </c>
      <c r="CJ21" t="n">
        <v>14.798</v>
      </c>
      <c r="CK21" t="n">
        <v>105</v>
      </c>
      <c r="CL21" t="n">
        <v>108</v>
      </c>
      <c r="CM21" t="n">
        <v>67</v>
      </c>
      <c r="CN21" t="n">
        <v>36</v>
      </c>
      <c r="CO21" t="n">
        <v>20</v>
      </c>
      <c r="CP21" t="n">
        <v>72</v>
      </c>
      <c r="CQ21" t="n">
        <v>12</v>
      </c>
      <c r="CR21" t="n">
        <v>161</v>
      </c>
      <c r="CS21" t="n">
        <v>51</v>
      </c>
      <c r="CT21" t="n">
        <v>0.4</v>
      </c>
      <c r="CV21" t="n">
        <v>1</v>
      </c>
      <c r="CW21" t="n">
        <v>34.97</v>
      </c>
      <c r="CX21" t="n">
        <v>1.191</v>
      </c>
      <c r="CY21" t="n">
        <v>0</v>
      </c>
      <c r="DB21" t="n">
        <v>0</v>
      </c>
      <c r="DE21" t="n">
        <v>7.17</v>
      </c>
      <c r="DF21" t="n">
        <v>5</v>
      </c>
      <c r="DG21" t="n">
        <v>0</v>
      </c>
      <c r="DH21" t="n">
        <v>45</v>
      </c>
      <c r="DI21" t="n">
        <v>18</v>
      </c>
      <c r="DL21" t="n">
        <v>24</v>
      </c>
      <c r="DM21" t="n">
        <v>34</v>
      </c>
      <c r="DN21" t="n">
        <v>1</v>
      </c>
      <c r="DO21" t="n">
        <v>22.2</v>
      </c>
      <c r="DP21" t="n">
        <v>142.55</v>
      </c>
      <c r="DQ21" t="n">
        <v>71.97</v>
      </c>
      <c r="DR21" t="n">
        <v>143.94</v>
      </c>
      <c r="DS21" t="n">
        <v>-1.39</v>
      </c>
      <c r="DT21" t="n">
        <v>2753</v>
      </c>
      <c r="DU21" t="n">
        <v>72.45</v>
      </c>
      <c r="DV21" t="inlineStr">
        <is>
          <t>flat</t>
        </is>
      </c>
      <c r="DW21" t="n">
        <v>26.77</v>
      </c>
      <c r="DX21" t="n">
        <v>27.34</v>
      </c>
      <c r="DY21" t="n">
        <v>25.31</v>
      </c>
      <c r="DZ21" t="n">
        <v>-1.47</v>
      </c>
      <c r="EA21" t="n">
        <v>1632</v>
      </c>
      <c r="EB21" t="n">
        <v>9.09</v>
      </c>
      <c r="EC21" t="n">
        <v>2</v>
      </c>
      <c r="ED21" t="n">
        <v>78.67</v>
      </c>
      <c r="EE21" t="n">
        <v>3836</v>
      </c>
      <c r="EF21" t="b">
        <v>1</v>
      </c>
      <c r="EG21" t="n">
        <v>99.90000000000001</v>
      </c>
      <c r="EH21" t="n">
        <v>21.2</v>
      </c>
      <c r="EI21" t="n">
        <v>34</v>
      </c>
      <c r="EJ21" t="n">
        <v>64.5</v>
      </c>
      <c r="EK21" t="n">
        <v>25.7</v>
      </c>
      <c r="EL21" t="n">
        <v>114.9</v>
      </c>
      <c r="EM21" t="n">
        <v>411.5</v>
      </c>
      <c r="EN21" t="n">
        <v>811.1</v>
      </c>
      <c r="EO21" t="n">
        <v>273</v>
      </c>
      <c r="EP21" t="n">
        <v>16.5</v>
      </c>
    </row>
    <row r="22">
      <c r="A22" t="inlineStr">
        <is>
          <t>James Garner</t>
        </is>
      </c>
      <c r="B22" t="inlineStr">
        <is>
          <t>EVE</t>
        </is>
      </c>
      <c r="C22" t="inlineStr">
        <is>
          <t>MID</t>
        </is>
      </c>
      <c r="D22" t="inlineStr">
        <is>
          <t>MID</t>
        </is>
      </c>
      <c r="E22" t="n">
        <v>6</v>
      </c>
      <c r="F22" t="b">
        <v>1</v>
      </c>
      <c r="G22" t="b">
        <v>1</v>
      </c>
      <c r="H22" t="n">
        <v>25.4</v>
      </c>
      <c r="I22" t="inlineStr">
        <is>
          <t>i</t>
        </is>
      </c>
      <c r="J22" t="inlineStr">
        <is>
          <t>Groin injury - Expected back 22 Aug</t>
        </is>
      </c>
      <c r="K22" t="n">
        <v>0</v>
      </c>
      <c r="L22" t="inlineStr">
        <is>
          <t>p232928</t>
        </is>
      </c>
      <c r="M22" t="n">
        <v>239</v>
      </c>
      <c r="N22" t="n">
        <v>3</v>
      </c>
      <c r="O22" t="n">
        <v>1</v>
      </c>
      <c r="P22" t="n">
        <v>1</v>
      </c>
      <c r="Q22" t="n">
        <v>3413</v>
      </c>
      <c r="R22" t="n">
        <v>38</v>
      </c>
      <c r="S22" t="n">
        <v>38</v>
      </c>
      <c r="T22" t="n">
        <v>37.922</v>
      </c>
      <c r="U22" t="n">
        <v>89.8</v>
      </c>
      <c r="V22" t="n">
        <v>159</v>
      </c>
      <c r="W22" t="n">
        <v>4.193</v>
      </c>
      <c r="X22" t="n">
        <v>2</v>
      </c>
      <c r="Y22" t="n">
        <v>7</v>
      </c>
      <c r="Z22" t="n">
        <v>7</v>
      </c>
      <c r="AA22" t="n">
        <v>11</v>
      </c>
      <c r="AB22" t="n">
        <v>50</v>
      </c>
      <c r="AC22" t="n">
        <v>13</v>
      </c>
      <c r="AD22" t="n">
        <v>12</v>
      </c>
      <c r="AE22" t="n">
        <v>-1</v>
      </c>
      <c r="AF22" t="n">
        <v>818</v>
      </c>
      <c r="AG22" t="n">
        <v>788</v>
      </c>
      <c r="AH22" t="n">
        <v>-30</v>
      </c>
      <c r="AI22" t="n">
        <v>158</v>
      </c>
      <c r="AJ22" t="n">
        <v>0.082</v>
      </c>
      <c r="AK22" t="n">
        <v>0.089</v>
      </c>
      <c r="AL22" t="n">
        <v>458</v>
      </c>
      <c r="AM22" t="n">
        <v>12.077</v>
      </c>
      <c r="AN22" t="n">
        <v>20</v>
      </c>
      <c r="AO22" t="n">
        <v>40</v>
      </c>
      <c r="AP22" t="n">
        <v>0.526</v>
      </c>
      <c r="AQ22" t="n">
        <v>0.632</v>
      </c>
      <c r="AR22" t="n">
        <v>0.526</v>
      </c>
      <c r="AS22" t="n">
        <v>1</v>
      </c>
      <c r="AT22" t="n">
        <v>1</v>
      </c>
      <c r="AU22" t="n">
        <v>10</v>
      </c>
      <c r="AV22" t="n">
        <v>3</v>
      </c>
      <c r="AW22" t="n">
        <v>2.89</v>
      </c>
      <c r="AX22" t="n">
        <v>16</v>
      </c>
      <c r="AY22" t="n">
        <v>2.1</v>
      </c>
      <c r="AZ22" t="n">
        <v>2.076</v>
      </c>
      <c r="BA22" t="n">
        <v>2.088</v>
      </c>
      <c r="BB22" t="n">
        <v>2.076</v>
      </c>
      <c r="BC22" t="n">
        <v>0.055</v>
      </c>
      <c r="BD22" t="n">
        <v>0.055</v>
      </c>
      <c r="BE22" t="n">
        <v>0.055</v>
      </c>
      <c r="BF22" t="n">
        <v>1.3</v>
      </c>
      <c r="BG22" t="n">
        <v>0.034</v>
      </c>
      <c r="BH22" t="n">
        <v>0.916</v>
      </c>
      <c r="BI22" t="n">
        <v>6.09</v>
      </c>
      <c r="BJ22" t="n">
        <v>1.923</v>
      </c>
      <c r="BK22" t="n">
        <v>0.051</v>
      </c>
      <c r="BL22" t="n">
        <v>-0.08799999999999999</v>
      </c>
      <c r="BM22" t="n">
        <v>-0.8</v>
      </c>
      <c r="BN22" t="n">
        <v>0.7</v>
      </c>
      <c r="BO22" t="n">
        <v>0.024</v>
      </c>
      <c r="BP22" t="n">
        <v>45</v>
      </c>
      <c r="BQ22" t="n">
        <v>14</v>
      </c>
      <c r="BS22" t="n">
        <v>27</v>
      </c>
      <c r="BT22" t="n">
        <v>0.712</v>
      </c>
      <c r="BW22" t="n">
        <v>6.18</v>
      </c>
      <c r="BX22" t="n">
        <v>6.067</v>
      </c>
      <c r="BY22" t="n">
        <v>6.123</v>
      </c>
      <c r="BZ22" t="n">
        <v>0.161</v>
      </c>
      <c r="CA22" t="n">
        <v>8.211</v>
      </c>
      <c r="CB22" t="n">
        <v>0.217</v>
      </c>
      <c r="CC22" t="n">
        <v>56</v>
      </c>
      <c r="CD22" t="n">
        <v>12</v>
      </c>
      <c r="CE22" t="n">
        <v>56</v>
      </c>
      <c r="CF22" t="n">
        <v>53</v>
      </c>
      <c r="CG22" t="n">
        <v>3</v>
      </c>
      <c r="CH22" t="n">
        <v>110</v>
      </c>
      <c r="CI22" t="n">
        <v>11.283</v>
      </c>
      <c r="CJ22" t="n">
        <v>8.333</v>
      </c>
      <c r="CK22" t="n">
        <v>154</v>
      </c>
      <c r="CL22" t="n">
        <v>185</v>
      </c>
      <c r="CM22" t="n">
        <v>119</v>
      </c>
      <c r="CN22" t="n">
        <v>71</v>
      </c>
      <c r="CO22" t="n">
        <v>59</v>
      </c>
      <c r="CP22" t="n">
        <v>85</v>
      </c>
      <c r="CQ22" t="n">
        <v>10</v>
      </c>
      <c r="CR22" t="n">
        <v>209</v>
      </c>
      <c r="CS22" t="n">
        <v>30</v>
      </c>
      <c r="CT22" t="n">
        <v>0.4</v>
      </c>
      <c r="CV22" t="n">
        <v>1</v>
      </c>
      <c r="CW22" t="n">
        <v>56.18</v>
      </c>
      <c r="CX22" t="n">
        <v>1.481</v>
      </c>
      <c r="CY22" t="n">
        <v>0</v>
      </c>
      <c r="DB22" t="n">
        <v>0</v>
      </c>
      <c r="DE22" t="n">
        <v>7.4</v>
      </c>
      <c r="DF22" t="n">
        <v>12</v>
      </c>
      <c r="DG22" t="n">
        <v>0</v>
      </c>
      <c r="DH22" t="n">
        <v>39</v>
      </c>
      <c r="DI22" t="n">
        <v>42</v>
      </c>
      <c r="DL22" t="n">
        <v>18</v>
      </c>
      <c r="DM22" t="n">
        <v>15</v>
      </c>
      <c r="DO22" t="n">
        <v>0.4</v>
      </c>
      <c r="DP22" t="n">
        <v>137.8</v>
      </c>
      <c r="DQ22" t="n">
        <v>65.66</v>
      </c>
      <c r="DR22" t="n">
        <v>131.32</v>
      </c>
      <c r="DS22" t="n">
        <v>6.48</v>
      </c>
      <c r="DT22" t="n">
        <v>3310</v>
      </c>
      <c r="DU22" t="n">
        <v>87.09999999999999</v>
      </c>
      <c r="DV22" t="inlineStr">
        <is>
          <t>flat</t>
        </is>
      </c>
      <c r="DW22" t="n">
        <v>77.58</v>
      </c>
      <c r="DX22" t="n">
        <v>79.36</v>
      </c>
      <c r="DY22" t="n">
        <v>78.01000000000001</v>
      </c>
      <c r="DZ22" t="n">
        <v>0.43</v>
      </c>
      <c r="EA22" t="n">
        <v>431</v>
      </c>
      <c r="EB22" t="n">
        <v>21.43</v>
      </c>
      <c r="EC22" t="n">
        <v>9.779999999999999</v>
      </c>
      <c r="ED22" t="n">
        <v>120</v>
      </c>
      <c r="EE22" t="n">
        <v>827</v>
      </c>
      <c r="EF22" t="b">
        <v>1</v>
      </c>
      <c r="EG22" t="n">
        <v>20.4</v>
      </c>
      <c r="EH22" t="n">
        <v>16.7</v>
      </c>
      <c r="EI22" t="n">
        <v>60</v>
      </c>
      <c r="EJ22" t="n">
        <v>75.8</v>
      </c>
      <c r="EK22" t="n">
        <v>126.4</v>
      </c>
      <c r="EL22" t="n">
        <v>60.9</v>
      </c>
      <c r="EM22" t="n">
        <v>1634.7</v>
      </c>
      <c r="EN22" t="n">
        <v>557.4</v>
      </c>
      <c r="EO22" t="n">
        <v>415.7</v>
      </c>
      <c r="EP22" t="n">
        <v>21.5</v>
      </c>
    </row>
    <row r="23">
      <c r="A23" t="inlineStr">
        <is>
          <t>Enzo Fernández</t>
        </is>
      </c>
      <c r="B23" t="inlineStr">
        <is>
          <t>CHE</t>
        </is>
      </c>
      <c r="C23" t="inlineStr">
        <is>
          <t>MID</t>
        </is>
      </c>
      <c r="D23" t="inlineStr">
        <is>
          <t>MID</t>
        </is>
      </c>
      <c r="E23" t="n">
        <v>7</v>
      </c>
      <c r="F23" t="b">
        <v>1</v>
      </c>
      <c r="G23" t="b">
        <v>1</v>
      </c>
      <c r="H23" t="n">
        <v>25.6</v>
      </c>
      <c r="I23" t="inlineStr">
        <is>
          <t>a</t>
        </is>
      </c>
      <c r="L23" t="inlineStr">
        <is>
          <t>p448047</t>
        </is>
      </c>
      <c r="M23" t="n">
        <v>155</v>
      </c>
      <c r="N23" t="n">
        <v>2</v>
      </c>
      <c r="O23" t="n">
        <v>2</v>
      </c>
      <c r="P23" t="n">
        <v>2</v>
      </c>
      <c r="Q23" t="n">
        <v>3114</v>
      </c>
      <c r="R23" t="n">
        <v>36</v>
      </c>
      <c r="S23" t="n">
        <v>35</v>
      </c>
      <c r="T23" t="n">
        <v>34.6</v>
      </c>
      <c r="U23" t="n">
        <v>86.5</v>
      </c>
      <c r="V23" t="n">
        <v>157</v>
      </c>
      <c r="W23" t="n">
        <v>4.538</v>
      </c>
      <c r="X23" t="n">
        <v>10</v>
      </c>
      <c r="Y23" t="n">
        <v>5</v>
      </c>
      <c r="Z23" t="n">
        <v>4</v>
      </c>
      <c r="AA23" t="n">
        <v>8</v>
      </c>
      <c r="AB23" t="n">
        <v>46</v>
      </c>
      <c r="AC23" t="n">
        <v>19</v>
      </c>
      <c r="AD23" t="n">
        <v>19</v>
      </c>
      <c r="AE23" t="n">
        <v>0</v>
      </c>
      <c r="AF23" t="n">
        <v>700</v>
      </c>
      <c r="AG23" t="n">
        <v>697</v>
      </c>
      <c r="AH23" t="n">
        <v>-3</v>
      </c>
      <c r="AI23" t="n">
        <v>157</v>
      </c>
      <c r="AJ23" t="n">
        <v>0.121</v>
      </c>
      <c r="AK23" t="n">
        <v>0.138</v>
      </c>
      <c r="AL23" t="n">
        <v>244</v>
      </c>
      <c r="AM23" t="n">
        <v>7.052</v>
      </c>
      <c r="AN23" t="n">
        <v>2</v>
      </c>
      <c r="AO23" t="n">
        <v>4</v>
      </c>
      <c r="AP23" t="n">
        <v>0.057</v>
      </c>
      <c r="AQ23" t="n">
        <v>0.171</v>
      </c>
      <c r="AR23" t="n">
        <v>0.057</v>
      </c>
      <c r="AS23" t="n">
        <v>0.921</v>
      </c>
      <c r="AT23" t="n">
        <v>0.972</v>
      </c>
      <c r="AU23" t="n">
        <v>19</v>
      </c>
      <c r="AV23" t="n">
        <v>5</v>
      </c>
      <c r="AW23" t="n">
        <v>3.76</v>
      </c>
      <c r="AX23" t="n">
        <v>13</v>
      </c>
      <c r="AY23" t="n">
        <v>11.26</v>
      </c>
      <c r="AZ23" t="n">
        <v>11.917</v>
      </c>
      <c r="BA23" t="n">
        <v>11.589</v>
      </c>
      <c r="BB23" t="n">
        <v>10.395</v>
      </c>
      <c r="BC23" t="n">
        <v>0.325</v>
      </c>
      <c r="BD23" t="n">
        <v>0.344</v>
      </c>
      <c r="BE23" t="n">
        <v>0.335</v>
      </c>
      <c r="BF23" t="n">
        <v>12.4</v>
      </c>
      <c r="BG23" t="n">
        <v>0.358</v>
      </c>
      <c r="BH23" t="n">
        <v>1.06</v>
      </c>
      <c r="BI23" t="n">
        <v>23.99</v>
      </c>
      <c r="BJ23" t="n">
        <v>11.932</v>
      </c>
      <c r="BK23" t="n">
        <v>0.345</v>
      </c>
      <c r="BL23" t="n">
        <v>-1.589</v>
      </c>
      <c r="BM23" t="n">
        <v>1.14</v>
      </c>
      <c r="BN23" t="n">
        <v>-2.4</v>
      </c>
      <c r="BO23" t="n">
        <v>-0.657</v>
      </c>
      <c r="BP23" t="n">
        <v>72</v>
      </c>
      <c r="BQ23" t="n">
        <v>31</v>
      </c>
      <c r="BR23" t="n">
        <v>9</v>
      </c>
      <c r="BS23" t="n">
        <v>102</v>
      </c>
      <c r="BT23" t="n">
        <v>2.948</v>
      </c>
      <c r="BU23" t="n">
        <v>2</v>
      </c>
      <c r="BV23" t="n">
        <v>1</v>
      </c>
      <c r="BW23" t="n">
        <v>7.26</v>
      </c>
      <c r="BX23" t="n">
        <v>8.866</v>
      </c>
      <c r="BY23" t="n">
        <v>8.063000000000001</v>
      </c>
      <c r="BZ23" t="n">
        <v>0.233</v>
      </c>
      <c r="CA23" t="n">
        <v>19.652</v>
      </c>
      <c r="CB23" t="n">
        <v>0.5679999999999999</v>
      </c>
      <c r="CC23" t="n">
        <v>68</v>
      </c>
      <c r="CD23" t="n">
        <v>11</v>
      </c>
      <c r="CE23" t="n">
        <v>68</v>
      </c>
      <c r="CF23" t="n">
        <v>16</v>
      </c>
      <c r="CG23" t="n">
        <v>11</v>
      </c>
      <c r="CH23" t="n">
        <v>55</v>
      </c>
      <c r="CI23" t="n">
        <v>27.902</v>
      </c>
      <c r="CJ23" t="n">
        <v>16.16</v>
      </c>
      <c r="CK23" t="n">
        <v>51</v>
      </c>
      <c r="CL23" t="n">
        <v>140</v>
      </c>
      <c r="CM23" t="n">
        <v>53</v>
      </c>
      <c r="CN23" t="n">
        <v>22</v>
      </c>
      <c r="CO23" t="n">
        <v>21</v>
      </c>
      <c r="CP23" t="n">
        <v>28</v>
      </c>
      <c r="CQ23" t="n">
        <v>2</v>
      </c>
      <c r="CR23" t="n">
        <v>137</v>
      </c>
      <c r="CS23" t="n">
        <v>26</v>
      </c>
      <c r="CT23" t="n">
        <v>0.4</v>
      </c>
      <c r="CW23" t="n">
        <v>44.89</v>
      </c>
      <c r="CX23" t="n">
        <v>1.297</v>
      </c>
      <c r="CY23" t="n">
        <v>0</v>
      </c>
      <c r="DB23" t="n">
        <v>0</v>
      </c>
      <c r="DE23" t="n">
        <v>7.3</v>
      </c>
      <c r="DF23" t="n">
        <v>10</v>
      </c>
      <c r="DG23" t="n">
        <v>0</v>
      </c>
      <c r="DH23" t="n">
        <v>36</v>
      </c>
      <c r="DI23" t="n">
        <v>45</v>
      </c>
      <c r="DL23" t="n">
        <v>13</v>
      </c>
      <c r="DM23" t="n">
        <v>41</v>
      </c>
      <c r="DN23" t="n">
        <v>1</v>
      </c>
      <c r="DO23" t="n">
        <v>5.6</v>
      </c>
      <c r="DP23" t="n">
        <v>150.5</v>
      </c>
      <c r="DQ23" t="n">
        <v>74.84999999999999</v>
      </c>
      <c r="DR23" t="n">
        <v>149.7</v>
      </c>
      <c r="DS23" t="n">
        <v>0.8</v>
      </c>
      <c r="DT23" t="n">
        <v>3146</v>
      </c>
      <c r="DU23" t="n">
        <v>82.8</v>
      </c>
      <c r="DV23" t="inlineStr">
        <is>
          <t>flat</t>
        </is>
      </c>
      <c r="DW23" t="n">
        <v>36.86</v>
      </c>
      <c r="DX23" t="n">
        <v>33.88</v>
      </c>
      <c r="DY23" t="n">
        <v>37.22</v>
      </c>
      <c r="DZ23" t="n">
        <v>0.36</v>
      </c>
      <c r="EA23" t="n">
        <v>1415</v>
      </c>
      <c r="EB23" t="n">
        <v>20.1</v>
      </c>
      <c r="EC23" t="n">
        <v>1.5</v>
      </c>
      <c r="ED23" t="n">
        <v>120</v>
      </c>
      <c r="EE23" t="n">
        <v>2487</v>
      </c>
      <c r="EF23" t="b">
        <v>1</v>
      </c>
      <c r="EG23" t="n">
        <v>98.5</v>
      </c>
      <c r="EH23" t="n">
        <v>48.2</v>
      </c>
      <c r="EI23" t="n">
        <v>24</v>
      </c>
      <c r="EJ23" t="n">
        <v>43.2</v>
      </c>
      <c r="EK23" t="n">
        <v>30.5</v>
      </c>
      <c r="EL23" t="n">
        <v>45.8</v>
      </c>
      <c r="EM23" t="n">
        <v>268.7</v>
      </c>
      <c r="EN23" t="n">
        <v>386.2</v>
      </c>
      <c r="EO23" t="n">
        <v>158.5</v>
      </c>
      <c r="EP23" t="n">
        <v>19.8</v>
      </c>
    </row>
    <row r="24">
      <c r="A24" t="inlineStr">
        <is>
          <t>Bukayo Saka</t>
        </is>
      </c>
      <c r="B24" t="inlineStr">
        <is>
          <t>ARS</t>
        </is>
      </c>
      <c r="C24" t="inlineStr">
        <is>
          <t>MID</t>
        </is>
      </c>
      <c r="D24" t="inlineStr">
        <is>
          <t>MID</t>
        </is>
      </c>
      <c r="E24" t="n">
        <v>9.5</v>
      </c>
      <c r="F24" t="b">
        <v>1</v>
      </c>
      <c r="G24" t="b">
        <v>1</v>
      </c>
      <c r="H24" t="n">
        <v>25</v>
      </c>
      <c r="I24" t="inlineStr">
        <is>
          <t>a</t>
        </is>
      </c>
      <c r="L24" t="inlineStr">
        <is>
          <t>p223340</t>
        </is>
      </c>
      <c r="M24" t="n">
        <v>12</v>
      </c>
      <c r="N24" t="n">
        <v>1</v>
      </c>
      <c r="O24" t="n">
        <v>2</v>
      </c>
      <c r="P24" t="n">
        <v>2</v>
      </c>
      <c r="Q24" t="n">
        <v>2218</v>
      </c>
      <c r="R24" t="n">
        <v>31</v>
      </c>
      <c r="S24" t="n">
        <v>25</v>
      </c>
      <c r="T24" t="n">
        <v>24.644</v>
      </c>
      <c r="U24" t="n">
        <v>71.5</v>
      </c>
      <c r="V24" t="n">
        <v>157</v>
      </c>
      <c r="W24" t="n">
        <v>6.371</v>
      </c>
      <c r="X24" t="n">
        <v>7</v>
      </c>
      <c r="Y24" t="n">
        <v>10</v>
      </c>
      <c r="Z24" t="n">
        <v>5</v>
      </c>
      <c r="AA24" t="n">
        <v>12</v>
      </c>
      <c r="AB24" t="n">
        <v>16</v>
      </c>
      <c r="AC24" t="n">
        <v>18</v>
      </c>
      <c r="AD24" t="n">
        <v>16</v>
      </c>
      <c r="AE24" t="n">
        <v>-2</v>
      </c>
      <c r="AF24" t="n">
        <v>570</v>
      </c>
      <c r="AG24" t="n">
        <v>565</v>
      </c>
      <c r="AH24" t="n">
        <v>-5</v>
      </c>
      <c r="AI24" t="n">
        <v>155</v>
      </c>
      <c r="AJ24" t="n">
        <v>0.115</v>
      </c>
      <c r="AK24" t="n">
        <v>0.129</v>
      </c>
      <c r="AL24" t="n">
        <v>184</v>
      </c>
      <c r="AM24" t="n">
        <v>7.466</v>
      </c>
      <c r="AN24" t="n">
        <v>5</v>
      </c>
      <c r="AO24" t="n">
        <v>10</v>
      </c>
      <c r="AP24" t="n">
        <v>0.2</v>
      </c>
      <c r="AQ24" t="n">
        <v>0.2</v>
      </c>
      <c r="AR24" t="n">
        <v>0.2</v>
      </c>
      <c r="AS24" t="n">
        <v>0.658</v>
      </c>
      <c r="AT24" t="n">
        <v>0.742</v>
      </c>
      <c r="AU24" t="n">
        <v>8</v>
      </c>
      <c r="AV24" t="n">
        <v>5</v>
      </c>
      <c r="AW24" t="n">
        <v>3.69</v>
      </c>
      <c r="AX24" t="n">
        <v>12</v>
      </c>
      <c r="AY24" t="n">
        <v>7.57</v>
      </c>
      <c r="AZ24" t="n">
        <v>8.701000000000001</v>
      </c>
      <c r="BA24" t="n">
        <v>8.135999999999999</v>
      </c>
      <c r="BB24" t="n">
        <v>7.94</v>
      </c>
      <c r="BC24" t="n">
        <v>0.307</v>
      </c>
      <c r="BD24" t="n">
        <v>0.353</v>
      </c>
      <c r="BE24" t="n">
        <v>0.33</v>
      </c>
      <c r="BF24" t="n">
        <v>6.1</v>
      </c>
      <c r="BG24" t="n">
        <v>0.248</v>
      </c>
      <c r="BH24" t="n">
        <v>0.963</v>
      </c>
      <c r="BI24" t="n">
        <v>41.33</v>
      </c>
      <c r="BJ24" t="n">
        <v>7.289</v>
      </c>
      <c r="BK24" t="n">
        <v>0.296</v>
      </c>
      <c r="BL24" t="n">
        <v>-1.136</v>
      </c>
      <c r="BM24" t="n">
        <v>-1.47</v>
      </c>
      <c r="BN24" t="n">
        <v>0.9</v>
      </c>
      <c r="BO24" t="n">
        <v>-1.131</v>
      </c>
      <c r="BP24" t="n">
        <v>71</v>
      </c>
      <c r="BQ24" t="n">
        <v>27</v>
      </c>
      <c r="BR24" t="n">
        <v>8</v>
      </c>
      <c r="BS24" t="n">
        <v>185</v>
      </c>
      <c r="BT24" t="n">
        <v>7.507</v>
      </c>
      <c r="BU24" t="n">
        <v>1</v>
      </c>
      <c r="BV24" t="n">
        <v>1</v>
      </c>
      <c r="BW24" t="n">
        <v>7.16</v>
      </c>
      <c r="BX24" t="n">
        <v>8.553000000000001</v>
      </c>
      <c r="BY24" t="n">
        <v>7.856</v>
      </c>
      <c r="BZ24" t="n">
        <v>0.319</v>
      </c>
      <c r="CA24" t="n">
        <v>15.992</v>
      </c>
      <c r="CB24" t="n">
        <v>0.649</v>
      </c>
      <c r="CC24" t="n">
        <v>62</v>
      </c>
      <c r="CD24" t="n">
        <v>12</v>
      </c>
      <c r="CE24" t="n">
        <v>61</v>
      </c>
      <c r="CF24" t="n">
        <v>40</v>
      </c>
      <c r="CG24" t="n">
        <v>2</v>
      </c>
      <c r="CH24" t="n">
        <v>65</v>
      </c>
      <c r="CI24" t="n">
        <v>19.113</v>
      </c>
      <c r="CJ24" t="n">
        <v>8.038</v>
      </c>
      <c r="CK24" t="n">
        <v>28</v>
      </c>
      <c r="CL24" t="n">
        <v>116</v>
      </c>
      <c r="CM24" t="n">
        <v>40</v>
      </c>
      <c r="CN24" t="n">
        <v>21</v>
      </c>
      <c r="CO24" t="n">
        <v>16</v>
      </c>
      <c r="CP24" t="n">
        <v>11</v>
      </c>
      <c r="CQ24" t="n">
        <v>1</v>
      </c>
      <c r="CR24" t="n">
        <v>167</v>
      </c>
      <c r="CS24" t="n">
        <v>22</v>
      </c>
      <c r="CT24" t="n">
        <v>1.1</v>
      </c>
      <c r="CV24" t="n">
        <v>1</v>
      </c>
      <c r="CW24" t="n">
        <v>15.57</v>
      </c>
      <c r="CX24" t="n">
        <v>0.632</v>
      </c>
      <c r="CY24" t="n">
        <v>0</v>
      </c>
      <c r="DB24" t="n">
        <v>0</v>
      </c>
      <c r="DE24" t="n">
        <v>7.52</v>
      </c>
      <c r="DF24" t="n">
        <v>2</v>
      </c>
      <c r="DG24" t="n">
        <v>0</v>
      </c>
      <c r="DH24" t="n">
        <v>33</v>
      </c>
      <c r="DI24" t="n">
        <v>54</v>
      </c>
      <c r="DJ24" t="n">
        <v>0</v>
      </c>
      <c r="DL24" t="n">
        <v>50</v>
      </c>
      <c r="DM24" t="n">
        <v>32</v>
      </c>
      <c r="DN24" t="n">
        <v>14</v>
      </c>
      <c r="DO24" t="n">
        <v>10.6</v>
      </c>
      <c r="DP24" t="n">
        <v>191.85</v>
      </c>
      <c r="DQ24" t="n">
        <v>94.81</v>
      </c>
      <c r="DR24" t="n">
        <v>189.62</v>
      </c>
      <c r="DS24" t="n">
        <v>2.23</v>
      </c>
      <c r="DT24" t="n">
        <v>2827</v>
      </c>
      <c r="DU24" t="n">
        <v>74.40000000000001</v>
      </c>
      <c r="DV24" t="inlineStr">
        <is>
          <t>flat</t>
        </is>
      </c>
      <c r="DW24" t="n">
        <v>6.19</v>
      </c>
      <c r="DX24" t="n">
        <v>5.05</v>
      </c>
      <c r="DY24" t="n">
        <v>5.87</v>
      </c>
      <c r="DZ24" t="n">
        <v>-0.33</v>
      </c>
      <c r="EA24" t="n">
        <v>1334</v>
      </c>
      <c r="EB24" t="n">
        <v>6.79</v>
      </c>
      <c r="EC24" t="n">
        <v>0.5</v>
      </c>
      <c r="ED24" t="n">
        <v>120</v>
      </c>
      <c r="EE24" t="n">
        <v>2394</v>
      </c>
      <c r="EF24" t="b">
        <v>1</v>
      </c>
      <c r="EG24" t="n">
        <v>99.90000000000001</v>
      </c>
      <c r="EH24" t="n">
        <v>50.8</v>
      </c>
      <c r="EI24" t="n">
        <v>3</v>
      </c>
      <c r="EJ24" t="n">
        <v>31.2</v>
      </c>
      <c r="EK24" t="n">
        <v>12</v>
      </c>
      <c r="EL24" t="n">
        <v>36.4</v>
      </c>
      <c r="EM24" t="n">
        <v>272.6</v>
      </c>
      <c r="EN24" t="n">
        <v>282.3</v>
      </c>
      <c r="EO24" t="n">
        <v>138.7</v>
      </c>
      <c r="EP24" t="n">
        <v>14.1</v>
      </c>
    </row>
    <row r="25">
      <c r="A25" t="inlineStr">
        <is>
          <t>Maxence Lacroix</t>
        </is>
      </c>
      <c r="B25" t="inlineStr">
        <is>
          <t>CHE</t>
        </is>
      </c>
      <c r="C25" t="inlineStr">
        <is>
          <t>DEF</t>
        </is>
      </c>
      <c r="D25" t="inlineStr">
        <is>
          <t>DEF</t>
        </is>
      </c>
      <c r="E25" t="n">
        <v>6</v>
      </c>
      <c r="F25" t="b">
        <v>1</v>
      </c>
      <c r="G25" t="b">
        <v>1</v>
      </c>
      <c r="H25" t="n">
        <v>26.4</v>
      </c>
      <c r="I25" t="inlineStr">
        <is>
          <t>a</t>
        </is>
      </c>
      <c r="L25" t="inlineStr">
        <is>
          <t>p437499</t>
        </is>
      </c>
      <c r="M25" t="n">
        <v>200</v>
      </c>
      <c r="Q25" t="n">
        <v>3085</v>
      </c>
      <c r="R25" t="n">
        <v>35</v>
      </c>
      <c r="S25" t="n">
        <v>35</v>
      </c>
      <c r="T25" t="n">
        <v>34.278</v>
      </c>
      <c r="U25" t="n">
        <v>88.09999999999999</v>
      </c>
      <c r="V25" t="n">
        <v>154</v>
      </c>
      <c r="W25" t="n">
        <v>4.493</v>
      </c>
      <c r="X25" t="n">
        <v>1</v>
      </c>
      <c r="Y25" t="n">
        <v>2</v>
      </c>
      <c r="Z25" t="n">
        <v>2</v>
      </c>
      <c r="AA25" t="n">
        <v>11</v>
      </c>
      <c r="AB25" t="n">
        <v>47</v>
      </c>
      <c r="AC25" t="n">
        <v>11</v>
      </c>
      <c r="AD25" t="n">
        <v>12</v>
      </c>
      <c r="AE25" t="n">
        <v>1</v>
      </c>
      <c r="AF25" t="n">
        <v>529</v>
      </c>
      <c r="AG25" t="n">
        <v>474</v>
      </c>
      <c r="AH25" t="n">
        <v>-55</v>
      </c>
      <c r="AI25" t="n">
        <v>155</v>
      </c>
      <c r="AJ25" t="n">
        <v>0.07099999999999999</v>
      </c>
      <c r="AK25" t="n">
        <v>0.077</v>
      </c>
      <c r="AL25" t="n">
        <v>370</v>
      </c>
      <c r="AM25" t="n">
        <v>10.794</v>
      </c>
      <c r="AN25" t="n">
        <v>20</v>
      </c>
      <c r="AO25" t="n">
        <v>40</v>
      </c>
      <c r="AP25" t="n">
        <v>0.571</v>
      </c>
      <c r="AQ25" t="n">
        <v>0.571</v>
      </c>
      <c r="AR25" t="n">
        <v>0.371</v>
      </c>
      <c r="AS25" t="n">
        <v>0.921</v>
      </c>
      <c r="AT25" t="n">
        <v>0.971</v>
      </c>
      <c r="AU25" t="n">
        <v>12</v>
      </c>
      <c r="AV25" t="n">
        <v>4</v>
      </c>
      <c r="AW25" t="n">
        <v>3.4</v>
      </c>
      <c r="AX25" t="n">
        <v>11</v>
      </c>
      <c r="AY25" t="n">
        <v>2.45</v>
      </c>
      <c r="AZ25" t="n">
        <v>3.007</v>
      </c>
      <c r="BA25" t="n">
        <v>2.728</v>
      </c>
      <c r="BB25" t="n">
        <v>3.007</v>
      </c>
      <c r="BC25" t="n">
        <v>0.07099999999999999</v>
      </c>
      <c r="BD25" t="n">
        <v>0.08799999999999999</v>
      </c>
      <c r="BE25" t="n">
        <v>0.08</v>
      </c>
      <c r="BF25" t="n">
        <v>1.5</v>
      </c>
      <c r="BG25" t="n">
        <v>0.044</v>
      </c>
      <c r="BH25" t="n">
        <v>0.803</v>
      </c>
      <c r="BI25" t="n">
        <v>5.95</v>
      </c>
      <c r="BJ25" t="n">
        <v>1.967</v>
      </c>
      <c r="BK25" t="n">
        <v>0.057</v>
      </c>
      <c r="BL25" t="n">
        <v>-1.728</v>
      </c>
      <c r="BM25" t="n">
        <v>-0.95</v>
      </c>
      <c r="BN25" t="n">
        <v>-0.5</v>
      </c>
      <c r="BO25" t="n">
        <v>-0.5570000000000001</v>
      </c>
      <c r="BP25" t="n">
        <v>24</v>
      </c>
      <c r="BQ25" t="n">
        <v>7</v>
      </c>
      <c r="BR25" t="n">
        <v>2</v>
      </c>
      <c r="BS25" t="n">
        <v>74</v>
      </c>
      <c r="BT25" t="n">
        <v>2.159</v>
      </c>
      <c r="BV25" t="n">
        <v>1</v>
      </c>
      <c r="BW25" t="n">
        <v>0.83</v>
      </c>
      <c r="BX25" t="n">
        <v>1.287</v>
      </c>
      <c r="BY25" t="n">
        <v>1.058</v>
      </c>
      <c r="BZ25" t="n">
        <v>0.031</v>
      </c>
      <c r="CA25" t="n">
        <v>3.787</v>
      </c>
      <c r="CB25" t="n">
        <v>0.11</v>
      </c>
      <c r="CC25" t="n">
        <v>7</v>
      </c>
      <c r="CD25" t="n">
        <v>3</v>
      </c>
      <c r="CE25" t="n">
        <v>7</v>
      </c>
      <c r="CF25" t="n">
        <v>2</v>
      </c>
      <c r="CI25" t="n">
        <v>10.744</v>
      </c>
      <c r="CJ25" t="n">
        <v>9.981</v>
      </c>
      <c r="CK25" t="n">
        <v>310</v>
      </c>
      <c r="CL25" t="n">
        <v>96</v>
      </c>
      <c r="CM25" t="n">
        <v>60</v>
      </c>
      <c r="CN25" t="n">
        <v>38</v>
      </c>
      <c r="CO25" t="n">
        <v>45</v>
      </c>
      <c r="CP25" t="n">
        <v>252</v>
      </c>
      <c r="CQ25" t="n">
        <v>18</v>
      </c>
      <c r="CR25" t="n">
        <v>204</v>
      </c>
      <c r="CS25" t="n">
        <v>119</v>
      </c>
      <c r="CT25" t="n">
        <v>0</v>
      </c>
      <c r="CU25" t="n">
        <v>1</v>
      </c>
      <c r="CV25" t="n">
        <v>2</v>
      </c>
      <c r="CW25" t="n">
        <v>44.04</v>
      </c>
      <c r="CX25" t="n">
        <v>1.285</v>
      </c>
      <c r="CY25" t="n">
        <v>0</v>
      </c>
      <c r="DB25" t="n">
        <v>0</v>
      </c>
      <c r="DE25" t="n">
        <v>7.04</v>
      </c>
      <c r="DF25" t="n">
        <v>4</v>
      </c>
      <c r="DG25" t="n">
        <v>1</v>
      </c>
      <c r="DH25" t="n">
        <v>34</v>
      </c>
      <c r="DI25" t="n">
        <v>19</v>
      </c>
      <c r="DK25" t="n">
        <v>2</v>
      </c>
      <c r="DL25" t="n">
        <v>7</v>
      </c>
      <c r="DM25" t="n">
        <v>6</v>
      </c>
      <c r="DO25" t="n">
        <v>11.2</v>
      </c>
      <c r="DP25" t="n">
        <v>104.52</v>
      </c>
      <c r="DQ25" t="n">
        <v>52.6</v>
      </c>
      <c r="DR25" t="n">
        <v>105.2</v>
      </c>
      <c r="DS25" t="n">
        <v>-0.68</v>
      </c>
      <c r="DT25" t="n">
        <v>2189</v>
      </c>
      <c r="DU25" t="n">
        <v>57.6</v>
      </c>
      <c r="DV25" t="inlineStr">
        <is>
          <t>flat</t>
        </is>
      </c>
      <c r="DW25" t="n">
        <v>47.76</v>
      </c>
      <c r="DX25" t="n">
        <v>48.16</v>
      </c>
      <c r="DY25" t="n">
        <v>45.65</v>
      </c>
      <c r="DZ25" t="n">
        <v>-2.11</v>
      </c>
      <c r="EA25" t="n">
        <v>1563</v>
      </c>
      <c r="EB25" t="n">
        <v>14.6</v>
      </c>
      <c r="EC25" t="n">
        <v>5.09</v>
      </c>
      <c r="ED25" t="n">
        <v>115.43</v>
      </c>
      <c r="EE25" t="n">
        <v>3223</v>
      </c>
      <c r="EF25" t="b">
        <v>1</v>
      </c>
      <c r="EG25" t="n">
        <v>99.90000000000001</v>
      </c>
      <c r="EH25" t="n">
        <v>33.8</v>
      </c>
      <c r="EI25" t="n">
        <v>61</v>
      </c>
      <c r="EJ25" t="n">
        <v>128.5</v>
      </c>
      <c r="EK25" t="n">
        <v>41.7</v>
      </c>
      <c r="EL25" t="n">
        <v>440.7</v>
      </c>
      <c r="EM25" t="n">
        <v>1130.7</v>
      </c>
      <c r="EN25" t="n">
        <v>2914.7</v>
      </c>
      <c r="EO25" t="n">
        <v>814.7</v>
      </c>
      <c r="EP25" t="n">
        <v>20</v>
      </c>
    </row>
    <row r="26">
      <c r="A26" t="inlineStr">
        <is>
          <t>Bruno Guimarães</t>
        </is>
      </c>
      <c r="B26" t="inlineStr">
        <is>
          <t>ARS</t>
        </is>
      </c>
      <c r="C26" t="inlineStr">
        <is>
          <t>MID</t>
        </is>
      </c>
      <c r="D26" t="inlineStr">
        <is>
          <t>MID</t>
        </is>
      </c>
      <c r="E26" t="n">
        <v>7</v>
      </c>
      <c r="F26" t="b">
        <v>1</v>
      </c>
      <c r="G26" t="b">
        <v>1</v>
      </c>
      <c r="H26" t="n">
        <v>28.8</v>
      </c>
      <c r="I26" t="inlineStr">
        <is>
          <t>a</t>
        </is>
      </c>
      <c r="L26" t="inlineStr">
        <is>
          <t>p208706</t>
        </is>
      </c>
      <c r="M26" t="n">
        <v>452</v>
      </c>
      <c r="Q26" t="n">
        <v>2456</v>
      </c>
      <c r="R26" t="n">
        <v>29</v>
      </c>
      <c r="S26" t="n">
        <v>27</v>
      </c>
      <c r="T26" t="n">
        <v>27.289</v>
      </c>
      <c r="U26" t="n">
        <v>84.7</v>
      </c>
      <c r="V26" t="n">
        <v>154</v>
      </c>
      <c r="W26" t="n">
        <v>5.643</v>
      </c>
      <c r="X26" t="n">
        <v>9</v>
      </c>
      <c r="Y26" t="n">
        <v>7</v>
      </c>
      <c r="Z26" t="n">
        <v>5</v>
      </c>
      <c r="AA26" t="n">
        <v>6</v>
      </c>
      <c r="AB26" t="n">
        <v>37</v>
      </c>
      <c r="AC26" t="n">
        <v>22</v>
      </c>
      <c r="AD26" t="n">
        <v>22</v>
      </c>
      <c r="AE26" t="n">
        <v>0</v>
      </c>
      <c r="AF26" t="n">
        <v>681</v>
      </c>
      <c r="AG26" t="n">
        <v>673</v>
      </c>
      <c r="AH26" t="n">
        <v>-8</v>
      </c>
      <c r="AI26" t="n">
        <v>154</v>
      </c>
      <c r="AJ26" t="n">
        <v>0.143</v>
      </c>
      <c r="AK26" t="n">
        <v>0.167</v>
      </c>
      <c r="AL26" t="n">
        <v>251</v>
      </c>
      <c r="AM26" t="n">
        <v>9.198</v>
      </c>
      <c r="AN26" t="n">
        <v>5</v>
      </c>
      <c r="AO26" t="n">
        <v>10</v>
      </c>
      <c r="AP26" t="n">
        <v>0.185</v>
      </c>
      <c r="AQ26" t="n">
        <v>0.481</v>
      </c>
      <c r="AR26" t="n">
        <v>0.185</v>
      </c>
      <c r="AS26" t="n">
        <v>0.711</v>
      </c>
      <c r="AT26" t="n">
        <v>0.931</v>
      </c>
      <c r="AU26" t="n">
        <v>9</v>
      </c>
      <c r="AV26" t="n">
        <v>8</v>
      </c>
      <c r="AW26" t="n">
        <v>4.02</v>
      </c>
      <c r="AX26" t="n">
        <v>14</v>
      </c>
      <c r="AY26" t="n">
        <v>5.59</v>
      </c>
      <c r="AZ26" t="n">
        <v>6.597</v>
      </c>
      <c r="BA26" t="n">
        <v>6.094</v>
      </c>
      <c r="BB26" t="n">
        <v>5.075</v>
      </c>
      <c r="BC26" t="n">
        <v>0.205</v>
      </c>
      <c r="BD26" t="n">
        <v>0.242</v>
      </c>
      <c r="BE26" t="n">
        <v>0.223</v>
      </c>
      <c r="BF26" t="n">
        <v>8.6</v>
      </c>
      <c r="BG26" t="n">
        <v>0.315</v>
      </c>
      <c r="BH26" t="n">
        <v>1.107</v>
      </c>
      <c r="BI26" t="n">
        <v>17.66</v>
      </c>
      <c r="BJ26" t="n">
        <v>6.187</v>
      </c>
      <c r="BK26" t="n">
        <v>0.227</v>
      </c>
      <c r="BL26" t="n">
        <v>2.906</v>
      </c>
      <c r="BM26" t="n">
        <v>3.01</v>
      </c>
      <c r="BN26" t="n">
        <v>0.4</v>
      </c>
      <c r="BO26" t="n">
        <v>-1.007</v>
      </c>
      <c r="BP26" t="n">
        <v>42</v>
      </c>
      <c r="BQ26" t="n">
        <v>23</v>
      </c>
      <c r="BR26" t="n">
        <v>4</v>
      </c>
      <c r="BS26" t="n">
        <v>55</v>
      </c>
      <c r="BT26" t="n">
        <v>2.015</v>
      </c>
      <c r="BU26" t="n">
        <v>2</v>
      </c>
      <c r="BV26" t="n">
        <v>2</v>
      </c>
      <c r="BW26" t="n">
        <v>4.96</v>
      </c>
      <c r="BX26" t="n">
        <v>3.869</v>
      </c>
      <c r="BY26" t="n">
        <v>4.415</v>
      </c>
      <c r="BZ26" t="n">
        <v>0.162</v>
      </c>
      <c r="CA26" t="n">
        <v>10.508</v>
      </c>
      <c r="CB26" t="n">
        <v>0.385</v>
      </c>
      <c r="CC26" t="n">
        <v>44</v>
      </c>
      <c r="CD26" t="n">
        <v>7</v>
      </c>
      <c r="CE26" t="n">
        <v>45</v>
      </c>
      <c r="CF26" t="n">
        <v>21</v>
      </c>
      <c r="CG26" t="n">
        <v>8</v>
      </c>
      <c r="CH26" t="n">
        <v>44</v>
      </c>
      <c r="CI26" t="n">
        <v>14.098</v>
      </c>
      <c r="CJ26" t="n">
        <v>9.366</v>
      </c>
      <c r="CK26" t="n">
        <v>55</v>
      </c>
      <c r="CL26" t="n">
        <v>134</v>
      </c>
      <c r="CM26" t="n">
        <v>62</v>
      </c>
      <c r="CN26" t="n">
        <v>43</v>
      </c>
      <c r="CO26" t="n">
        <v>15</v>
      </c>
      <c r="CP26" t="n">
        <v>36</v>
      </c>
      <c r="CQ26" t="n">
        <v>3</v>
      </c>
      <c r="CR26" t="n">
        <v>168</v>
      </c>
      <c r="CS26" t="n">
        <v>13</v>
      </c>
      <c r="CT26" t="n">
        <v>0.7</v>
      </c>
      <c r="CW26" t="n">
        <v>31.99</v>
      </c>
      <c r="CX26" t="n">
        <v>1.172</v>
      </c>
      <c r="CY26" t="n">
        <v>0</v>
      </c>
      <c r="DB26" t="n">
        <v>0</v>
      </c>
      <c r="DE26" t="n">
        <v>7.52</v>
      </c>
      <c r="DF26" t="n">
        <v>6</v>
      </c>
      <c r="DG26" t="n">
        <v>0</v>
      </c>
      <c r="DH26" t="n">
        <v>45</v>
      </c>
      <c r="DI26" t="n">
        <v>75</v>
      </c>
      <c r="DJ26" t="n">
        <v>2</v>
      </c>
      <c r="DL26" t="n">
        <v>18</v>
      </c>
      <c r="DM26" t="n">
        <v>46</v>
      </c>
      <c r="DN26" t="n">
        <v>2</v>
      </c>
      <c r="DO26" t="n">
        <v>10.3</v>
      </c>
      <c r="DP26" t="n">
        <v>144.73</v>
      </c>
      <c r="DQ26" t="n">
        <v>72.48999999999999</v>
      </c>
      <c r="DR26" t="n">
        <v>144.98</v>
      </c>
      <c r="DS26" t="n">
        <v>-0.25</v>
      </c>
      <c r="DT26" t="n">
        <v>2816</v>
      </c>
      <c r="DU26" t="n">
        <v>74.09999999999999</v>
      </c>
      <c r="DV26" t="inlineStr">
        <is>
          <t>flat</t>
        </is>
      </c>
      <c r="DW26" t="n">
        <v>29.88</v>
      </c>
      <c r="DX26" t="n">
        <v>27.86</v>
      </c>
      <c r="DY26" t="n">
        <v>29.67</v>
      </c>
      <c r="DZ26" t="n">
        <v>-0.2</v>
      </c>
      <c r="EA26" t="n">
        <v>1510</v>
      </c>
      <c r="EB26" t="n">
        <v>16.13</v>
      </c>
      <c r="EC26" t="n">
        <v>1.6</v>
      </c>
      <c r="ED26" t="n">
        <v>117.33</v>
      </c>
      <c r="EE26" t="n">
        <v>2978</v>
      </c>
      <c r="EF26" t="b">
        <v>1</v>
      </c>
      <c r="EG26" t="n">
        <v>99.09999999999999</v>
      </c>
      <c r="EH26" t="n">
        <v>38.3</v>
      </c>
      <c r="EI26" t="n">
        <v>25</v>
      </c>
      <c r="EJ26" t="n">
        <v>58.5</v>
      </c>
      <c r="EK26" t="n">
        <v>44.7</v>
      </c>
      <c r="EL26" t="n">
        <v>54.6</v>
      </c>
      <c r="EM26" t="n">
        <v>403</v>
      </c>
      <c r="EN26" t="n">
        <v>556.3</v>
      </c>
      <c r="EO26" t="n">
        <v>233.7</v>
      </c>
      <c r="EP26" t="n">
        <v>15.9</v>
      </c>
    </row>
    <row r="27">
      <c r="A27" t="inlineStr">
        <is>
          <t>Matheus Nunes</t>
        </is>
      </c>
      <c r="B27" t="inlineStr">
        <is>
          <t>MCI</t>
        </is>
      </c>
      <c r="C27" t="inlineStr">
        <is>
          <t>DEF</t>
        </is>
      </c>
      <c r="D27" t="inlineStr">
        <is>
          <t>DEF</t>
        </is>
      </c>
      <c r="E27" t="n">
        <v>6</v>
      </c>
      <c r="F27" t="b">
        <v>1</v>
      </c>
      <c r="G27" t="b">
        <v>1</v>
      </c>
      <c r="H27" t="n">
        <v>28</v>
      </c>
      <c r="I27" t="inlineStr">
        <is>
          <t>a</t>
        </is>
      </c>
      <c r="L27" t="inlineStr">
        <is>
          <t>p465351</t>
        </is>
      </c>
      <c r="M27" t="n">
        <v>389</v>
      </c>
      <c r="N27" t="n">
        <v>5</v>
      </c>
      <c r="Q27" t="n">
        <v>2861</v>
      </c>
      <c r="R27" t="n">
        <v>34</v>
      </c>
      <c r="S27" t="n">
        <v>32</v>
      </c>
      <c r="T27" t="n">
        <v>31.789</v>
      </c>
      <c r="U27" t="n">
        <v>84.09999999999999</v>
      </c>
      <c r="V27" t="n">
        <v>154</v>
      </c>
      <c r="W27" t="n">
        <v>4.844</v>
      </c>
      <c r="X27" t="n">
        <v>1</v>
      </c>
      <c r="Y27" t="n">
        <v>8</v>
      </c>
      <c r="Z27" t="n">
        <v>5</v>
      </c>
      <c r="AA27" t="n">
        <v>12</v>
      </c>
      <c r="AB27" t="n">
        <v>28</v>
      </c>
      <c r="AC27" t="n">
        <v>16</v>
      </c>
      <c r="AD27" t="n">
        <v>16</v>
      </c>
      <c r="AE27" t="n">
        <v>0</v>
      </c>
      <c r="AF27" t="n">
        <v>676</v>
      </c>
      <c r="AG27" t="n">
        <v>653</v>
      </c>
      <c r="AH27" t="n">
        <v>-23</v>
      </c>
      <c r="AI27" t="n">
        <v>154</v>
      </c>
      <c r="AJ27" t="n">
        <v>0.104</v>
      </c>
      <c r="AK27" t="n">
        <v>0.116</v>
      </c>
      <c r="AL27" t="n">
        <v>195</v>
      </c>
      <c r="AM27" t="n">
        <v>6.134</v>
      </c>
      <c r="AN27" t="n">
        <v>4</v>
      </c>
      <c r="AO27" t="n">
        <v>8</v>
      </c>
      <c r="AP27" t="n">
        <v>0.125</v>
      </c>
      <c r="AQ27" t="n">
        <v>0.125</v>
      </c>
      <c r="AR27" t="n">
        <v>0</v>
      </c>
      <c r="AS27" t="n">
        <v>0.842</v>
      </c>
      <c r="AT27" t="n">
        <v>0.882</v>
      </c>
      <c r="AU27" t="n">
        <v>16</v>
      </c>
      <c r="AV27" t="n">
        <v>5</v>
      </c>
      <c r="AW27" t="n">
        <v>3.74</v>
      </c>
      <c r="AX27" t="n">
        <v>13</v>
      </c>
      <c r="AY27" t="n">
        <v>0.34</v>
      </c>
      <c r="AZ27" t="n">
        <v>0.675</v>
      </c>
      <c r="BA27" t="n">
        <v>0.508</v>
      </c>
      <c r="BB27" t="n">
        <v>0.675</v>
      </c>
      <c r="BC27" t="n">
        <v>0.011</v>
      </c>
      <c r="BD27" t="n">
        <v>0.021</v>
      </c>
      <c r="BE27" t="n">
        <v>0.016</v>
      </c>
      <c r="BF27" t="n">
        <v>1</v>
      </c>
      <c r="BG27" t="n">
        <v>0.031</v>
      </c>
      <c r="BH27" t="n">
        <v>0.98</v>
      </c>
      <c r="BI27" t="n">
        <v>4.75</v>
      </c>
      <c r="BJ27" t="n">
        <v>0.333</v>
      </c>
      <c r="BK27" t="n">
        <v>0.01</v>
      </c>
      <c r="BL27" t="n">
        <v>0.492</v>
      </c>
      <c r="BM27" t="n">
        <v>0.66</v>
      </c>
      <c r="BN27" t="n">
        <v>0</v>
      </c>
      <c r="BO27" t="n">
        <v>-0.335</v>
      </c>
      <c r="BP27" t="n">
        <v>7</v>
      </c>
      <c r="BQ27" t="n">
        <v>2</v>
      </c>
      <c r="BS27" t="n">
        <v>40</v>
      </c>
      <c r="BT27" t="n">
        <v>1.258</v>
      </c>
      <c r="BW27" t="n">
        <v>2.23</v>
      </c>
      <c r="BX27" t="n">
        <v>3.099</v>
      </c>
      <c r="BY27" t="n">
        <v>2.665</v>
      </c>
      <c r="BZ27" t="n">
        <v>0.08400000000000001</v>
      </c>
      <c r="CA27" t="n">
        <v>3.172</v>
      </c>
      <c r="CB27" t="n">
        <v>0.1</v>
      </c>
      <c r="CC27" t="n">
        <v>28</v>
      </c>
      <c r="CD27" t="n">
        <v>6</v>
      </c>
      <c r="CE27" t="n">
        <v>28</v>
      </c>
      <c r="CF27" t="n">
        <v>16</v>
      </c>
      <c r="CG27" t="n">
        <v>2</v>
      </c>
      <c r="CH27" t="n">
        <v>1</v>
      </c>
      <c r="CI27" t="n">
        <v>22.104</v>
      </c>
      <c r="CJ27" t="n">
        <v>20.289</v>
      </c>
      <c r="CK27" t="n">
        <v>138</v>
      </c>
      <c r="CL27" t="n">
        <v>166</v>
      </c>
      <c r="CM27" t="n">
        <v>57</v>
      </c>
      <c r="CN27" t="n">
        <v>40</v>
      </c>
      <c r="CO27" t="n">
        <v>30</v>
      </c>
      <c r="CP27" t="n">
        <v>100</v>
      </c>
      <c r="CQ27" t="n">
        <v>8</v>
      </c>
      <c r="CR27" t="n">
        <v>157</v>
      </c>
      <c r="CS27" t="n">
        <v>42</v>
      </c>
      <c r="CT27" t="n">
        <v>0.3</v>
      </c>
      <c r="CU27" t="n">
        <v>1</v>
      </c>
      <c r="CV27" t="n">
        <v>2</v>
      </c>
      <c r="CW27" t="n">
        <v>34.89</v>
      </c>
      <c r="CX27" t="n">
        <v>1.098</v>
      </c>
      <c r="CY27" t="n">
        <v>0</v>
      </c>
      <c r="DB27" t="n">
        <v>0</v>
      </c>
      <c r="DE27" t="n">
        <v>7.45</v>
      </c>
      <c r="DF27" t="n">
        <v>5</v>
      </c>
      <c r="DG27" t="n">
        <v>0</v>
      </c>
      <c r="DH27" t="n">
        <v>17</v>
      </c>
      <c r="DI27" t="n">
        <v>30</v>
      </c>
      <c r="DJ27" t="n">
        <v>1</v>
      </c>
      <c r="DK27" t="n">
        <v>1</v>
      </c>
      <c r="DL27" t="n">
        <v>28</v>
      </c>
      <c r="DM27" t="n">
        <v>18</v>
      </c>
      <c r="DN27" t="n">
        <v>4</v>
      </c>
      <c r="DO27" t="n">
        <v>4.6</v>
      </c>
      <c r="DP27" t="n">
        <v>138.68</v>
      </c>
      <c r="DQ27" t="n">
        <v>69.34</v>
      </c>
      <c r="DR27" t="n">
        <v>138.68</v>
      </c>
      <c r="DS27" t="n">
        <v>0</v>
      </c>
      <c r="DT27" t="n">
        <v>2896</v>
      </c>
      <c r="DU27" t="n">
        <v>76.2</v>
      </c>
      <c r="DV27" t="inlineStr">
        <is>
          <t>flat</t>
        </is>
      </c>
      <c r="DW27" t="n">
        <v>51.35</v>
      </c>
      <c r="DX27" t="n">
        <v>51.95</v>
      </c>
      <c r="DY27" t="n">
        <v>50.23</v>
      </c>
      <c r="DZ27" t="n">
        <v>-1.12</v>
      </c>
      <c r="EA27" t="n">
        <v>1542</v>
      </c>
      <c r="EB27" t="n">
        <v>16.42</v>
      </c>
      <c r="EC27" t="n">
        <v>8</v>
      </c>
      <c r="ED27" t="n">
        <v>120</v>
      </c>
      <c r="EE27" t="n">
        <v>2920</v>
      </c>
      <c r="EF27" t="b">
        <v>1</v>
      </c>
      <c r="EG27" t="n">
        <v>99.5</v>
      </c>
      <c r="EH27" t="n">
        <v>39.8</v>
      </c>
      <c r="EI27" t="n">
        <v>62</v>
      </c>
      <c r="EJ27" t="n">
        <v>408.7</v>
      </c>
      <c r="EK27" t="n">
        <v>71.5</v>
      </c>
      <c r="EL27" t="n">
        <v>102.2</v>
      </c>
      <c r="EM27" t="n">
        <v>5634.8</v>
      </c>
      <c r="EN27" t="n">
        <v>1073.7</v>
      </c>
      <c r="EO27" t="n">
        <v>901.9</v>
      </c>
      <c r="EP27" t="n">
        <v>18.6</v>
      </c>
    </row>
    <row r="28">
      <c r="A28" t="inlineStr">
        <is>
          <t>Nordi Mukiele</t>
        </is>
      </c>
      <c r="B28" t="inlineStr">
        <is>
          <t>SUN</t>
        </is>
      </c>
      <c r="C28" t="inlineStr">
        <is>
          <t>DEF</t>
        </is>
      </c>
      <c r="D28" t="inlineStr">
        <is>
          <t>DEF</t>
        </is>
      </c>
      <c r="E28" t="n">
        <v>5.5</v>
      </c>
      <c r="F28" t="b">
        <v>1</v>
      </c>
      <c r="G28" t="b">
        <v>1</v>
      </c>
      <c r="H28" t="n">
        <v>28.8</v>
      </c>
      <c r="I28" t="inlineStr">
        <is>
          <t>d</t>
        </is>
      </c>
      <c r="J28" t="inlineStr">
        <is>
          <t>Knock - 75% chance of playing</t>
        </is>
      </c>
      <c r="K28" t="n">
        <v>75</v>
      </c>
      <c r="L28" t="inlineStr">
        <is>
          <t>p200834</t>
        </is>
      </c>
      <c r="M28" t="n">
        <v>533</v>
      </c>
      <c r="Q28" t="n">
        <v>2784</v>
      </c>
      <c r="R28" t="n">
        <v>32</v>
      </c>
      <c r="S28" t="n">
        <v>32</v>
      </c>
      <c r="T28" t="n">
        <v>30.933</v>
      </c>
      <c r="U28" t="n">
        <v>87</v>
      </c>
      <c r="V28" t="n">
        <v>151</v>
      </c>
      <c r="W28" t="n">
        <v>4.881</v>
      </c>
      <c r="X28" t="n">
        <v>3</v>
      </c>
      <c r="Y28" t="n">
        <v>5</v>
      </c>
      <c r="Z28" t="n">
        <v>4</v>
      </c>
      <c r="AA28" t="n">
        <v>9</v>
      </c>
      <c r="AB28" t="n">
        <v>40</v>
      </c>
      <c r="AC28" t="n">
        <v>11</v>
      </c>
      <c r="AD28" t="n">
        <v>11</v>
      </c>
      <c r="AE28" t="n">
        <v>0</v>
      </c>
      <c r="AF28" t="n">
        <v>489</v>
      </c>
      <c r="AG28" t="n">
        <v>452</v>
      </c>
      <c r="AH28" t="n">
        <v>-37</v>
      </c>
      <c r="AI28" t="n">
        <v>151</v>
      </c>
      <c r="AJ28" t="n">
        <v>0.073</v>
      </c>
      <c r="AK28" t="n">
        <v>0.079</v>
      </c>
      <c r="AL28" t="n">
        <v>273</v>
      </c>
      <c r="AM28" t="n">
        <v>8.824999999999999</v>
      </c>
      <c r="AN28" t="n">
        <v>13</v>
      </c>
      <c r="AO28" t="n">
        <v>26</v>
      </c>
      <c r="AP28" t="n">
        <v>0.406</v>
      </c>
      <c r="AQ28" t="n">
        <v>0.406</v>
      </c>
      <c r="AR28" t="n">
        <v>0.281</v>
      </c>
      <c r="AS28" t="n">
        <v>0.842</v>
      </c>
      <c r="AT28" t="n">
        <v>0.969</v>
      </c>
      <c r="AU28" t="n">
        <v>11</v>
      </c>
      <c r="AV28" t="n">
        <v>5</v>
      </c>
      <c r="AW28" t="n">
        <v>4.29</v>
      </c>
      <c r="AX28" t="n">
        <v>17</v>
      </c>
      <c r="AY28" t="n">
        <v>1.62</v>
      </c>
      <c r="AZ28" t="n">
        <v>2.779</v>
      </c>
      <c r="BA28" t="n">
        <v>2.199</v>
      </c>
      <c r="BB28" t="n">
        <v>2.779</v>
      </c>
      <c r="BC28" t="n">
        <v>0.052</v>
      </c>
      <c r="BD28" t="n">
        <v>0.09</v>
      </c>
      <c r="BE28" t="n">
        <v>0.07099999999999999</v>
      </c>
      <c r="BF28" t="n">
        <v>1.3</v>
      </c>
      <c r="BG28" t="n">
        <v>0.042</v>
      </c>
      <c r="BH28" t="n">
        <v>0.967</v>
      </c>
      <c r="BI28" t="n">
        <v>1.62</v>
      </c>
      <c r="BJ28" t="n">
        <v>1.566</v>
      </c>
      <c r="BK28" t="n">
        <v>0.051</v>
      </c>
      <c r="BL28" t="n">
        <v>0.801</v>
      </c>
      <c r="BM28" t="n">
        <v>-0.32</v>
      </c>
      <c r="BN28" t="n">
        <v>1.7</v>
      </c>
      <c r="BO28" t="n">
        <v>-1.159</v>
      </c>
      <c r="BP28" t="n">
        <v>26</v>
      </c>
      <c r="BQ28" t="n">
        <v>4</v>
      </c>
      <c r="BR28" t="n">
        <v>3</v>
      </c>
      <c r="BS28" t="n">
        <v>58</v>
      </c>
      <c r="BT28" t="n">
        <v>1.875</v>
      </c>
      <c r="BV28" t="n">
        <v>1</v>
      </c>
      <c r="BW28" t="n">
        <v>2.65</v>
      </c>
      <c r="BX28" t="n">
        <v>2.753</v>
      </c>
      <c r="BY28" t="n">
        <v>2.701</v>
      </c>
      <c r="BZ28" t="n">
        <v>0.08699999999999999</v>
      </c>
      <c r="CA28" t="n">
        <v>4.901</v>
      </c>
      <c r="CB28" t="n">
        <v>0.158</v>
      </c>
      <c r="CC28" t="n">
        <v>23</v>
      </c>
      <c r="CD28" t="n">
        <v>7</v>
      </c>
      <c r="CE28" t="n">
        <v>24</v>
      </c>
      <c r="CF28" t="n">
        <v>14</v>
      </c>
      <c r="CG28" t="n">
        <v>2</v>
      </c>
      <c r="CI28" t="n">
        <v>9.077</v>
      </c>
      <c r="CJ28" t="n">
        <v>6.989</v>
      </c>
      <c r="CK28" t="n">
        <v>204</v>
      </c>
      <c r="CL28" t="n">
        <v>131</v>
      </c>
      <c r="CM28" t="n">
        <v>69</v>
      </c>
      <c r="CN28" t="n">
        <v>46</v>
      </c>
      <c r="CO28" t="n">
        <v>40</v>
      </c>
      <c r="CP28" t="n">
        <v>156</v>
      </c>
      <c r="CQ28" t="n">
        <v>10</v>
      </c>
      <c r="CR28" t="n">
        <v>183</v>
      </c>
      <c r="CS28" t="n">
        <v>79</v>
      </c>
      <c r="CT28" t="n">
        <v>0.1</v>
      </c>
      <c r="CU28" t="n">
        <v>1</v>
      </c>
      <c r="CV28" t="n">
        <v>2</v>
      </c>
      <c r="CW28" t="n">
        <v>44.71</v>
      </c>
      <c r="CX28" t="n">
        <v>1.445</v>
      </c>
      <c r="CY28" t="n">
        <v>0</v>
      </c>
      <c r="DB28" t="n">
        <v>0</v>
      </c>
      <c r="DE28" t="n">
        <v>7.13</v>
      </c>
      <c r="DF28" t="n">
        <v>5</v>
      </c>
      <c r="DG28" t="n">
        <v>0</v>
      </c>
      <c r="DH28" t="n">
        <v>35</v>
      </c>
      <c r="DI28" t="n">
        <v>26</v>
      </c>
      <c r="DL28" t="n">
        <v>13</v>
      </c>
      <c r="DM28" t="n">
        <v>15</v>
      </c>
      <c r="DN28" t="n">
        <v>3</v>
      </c>
      <c r="DO28" t="n">
        <v>4.4</v>
      </c>
      <c r="DP28" t="n">
        <v>137.29</v>
      </c>
      <c r="DQ28" t="n">
        <v>68.65000000000001</v>
      </c>
      <c r="DR28" t="n">
        <v>137.3</v>
      </c>
      <c r="DS28" t="n">
        <v>-0.01</v>
      </c>
      <c r="DT28" t="n">
        <v>3312</v>
      </c>
      <c r="DU28" t="n">
        <v>87.15000000000001</v>
      </c>
      <c r="DV28" t="inlineStr">
        <is>
          <t>flat</t>
        </is>
      </c>
      <c r="DW28" t="n">
        <v>73.43000000000001</v>
      </c>
      <c r="DX28" t="n">
        <v>70.7</v>
      </c>
      <c r="DY28" t="n">
        <v>79.31999999999999</v>
      </c>
      <c r="DZ28" t="n">
        <v>5.89</v>
      </c>
      <c r="EA28" t="n">
        <v>978</v>
      </c>
      <c r="EB28" t="n">
        <v>19.25</v>
      </c>
      <c r="EC28" t="n">
        <v>10.67</v>
      </c>
      <c r="ED28" t="n">
        <v>120</v>
      </c>
      <c r="EE28" t="n">
        <v>2071</v>
      </c>
      <c r="EF28" t="b">
        <v>1</v>
      </c>
      <c r="EG28" t="n">
        <v>92.40000000000001</v>
      </c>
      <c r="EH28" t="n">
        <v>54</v>
      </c>
      <c r="EI28" t="n">
        <v>112</v>
      </c>
      <c r="EJ28" t="n">
        <v>107.1</v>
      </c>
      <c r="EK28" t="n">
        <v>48</v>
      </c>
      <c r="EL28" t="n">
        <v>116</v>
      </c>
      <c r="EM28" t="n">
        <v>1265.8</v>
      </c>
      <c r="EN28" t="n">
        <v>1030.6</v>
      </c>
      <c r="EO28" t="n">
        <v>568.1</v>
      </c>
      <c r="EP28" t="n">
        <v>18.4</v>
      </c>
    </row>
    <row r="29">
      <c r="A29" t="inlineStr">
        <is>
          <t>Kiernan Dewsbury-Hall</t>
        </is>
      </c>
      <c r="B29" t="inlineStr">
        <is>
          <t>EVE</t>
        </is>
      </c>
      <c r="C29" t="inlineStr">
        <is>
          <t>MID</t>
        </is>
      </c>
      <c r="D29" t="inlineStr">
        <is>
          <t>MID</t>
        </is>
      </c>
      <c r="E29" t="n">
        <v>6.5</v>
      </c>
      <c r="F29" t="b">
        <v>1</v>
      </c>
      <c r="G29" t="b">
        <v>1</v>
      </c>
      <c r="H29" t="n">
        <v>28</v>
      </c>
      <c r="I29" t="inlineStr">
        <is>
          <t>a</t>
        </is>
      </c>
      <c r="L29" t="inlineStr">
        <is>
          <t>p215413</t>
        </is>
      </c>
      <c r="M29" t="n">
        <v>236</v>
      </c>
      <c r="O29" t="n">
        <v>2</v>
      </c>
      <c r="Q29" t="n">
        <v>2629</v>
      </c>
      <c r="R29" t="n">
        <v>31</v>
      </c>
      <c r="S29" t="n">
        <v>30</v>
      </c>
      <c r="T29" t="n">
        <v>29.211</v>
      </c>
      <c r="U29" t="n">
        <v>84.8</v>
      </c>
      <c r="V29" t="n">
        <v>151</v>
      </c>
      <c r="W29" t="n">
        <v>5.169</v>
      </c>
      <c r="X29" t="n">
        <v>8</v>
      </c>
      <c r="Y29" t="n">
        <v>7</v>
      </c>
      <c r="Z29" t="n">
        <v>4</v>
      </c>
      <c r="AA29" t="n">
        <v>8</v>
      </c>
      <c r="AB29" t="n">
        <v>39</v>
      </c>
      <c r="AC29" t="n">
        <v>18</v>
      </c>
      <c r="AD29" t="n">
        <v>18</v>
      </c>
      <c r="AE29" t="n">
        <v>0</v>
      </c>
      <c r="AF29" t="n">
        <v>598</v>
      </c>
      <c r="AG29" t="n">
        <v>589</v>
      </c>
      <c r="AH29" t="n">
        <v>-9</v>
      </c>
      <c r="AI29" t="n">
        <v>151</v>
      </c>
      <c r="AJ29" t="n">
        <v>0.119</v>
      </c>
      <c r="AK29" t="n">
        <v>0.135</v>
      </c>
      <c r="AL29" t="n">
        <v>230</v>
      </c>
      <c r="AM29" t="n">
        <v>7.874</v>
      </c>
      <c r="AN29" t="n">
        <v>5</v>
      </c>
      <c r="AO29" t="n">
        <v>10</v>
      </c>
      <c r="AP29" t="n">
        <v>0.167</v>
      </c>
      <c r="AQ29" t="n">
        <v>0.367</v>
      </c>
      <c r="AR29" t="n">
        <v>0.167</v>
      </c>
      <c r="AS29" t="n">
        <v>0.789</v>
      </c>
      <c r="AT29" t="n">
        <v>0.9350000000000001</v>
      </c>
      <c r="AU29" t="n">
        <v>16</v>
      </c>
      <c r="AV29" t="n">
        <v>4</v>
      </c>
      <c r="AW29" t="n">
        <v>4.28</v>
      </c>
      <c r="AX29" t="n">
        <v>16</v>
      </c>
      <c r="AY29" t="n">
        <v>4.35</v>
      </c>
      <c r="AZ29" t="n">
        <v>4.33</v>
      </c>
      <c r="BA29" t="n">
        <v>4.34</v>
      </c>
      <c r="BB29" t="n">
        <v>4.33</v>
      </c>
      <c r="BC29" t="n">
        <v>0.149</v>
      </c>
      <c r="BD29" t="n">
        <v>0.148</v>
      </c>
      <c r="BE29" t="n">
        <v>0.149</v>
      </c>
      <c r="BF29" t="n">
        <v>4.8</v>
      </c>
      <c r="BG29" t="n">
        <v>0.164</v>
      </c>
      <c r="BH29" t="n">
        <v>1.024</v>
      </c>
      <c r="BI29" t="n">
        <v>6.74</v>
      </c>
      <c r="BJ29" t="n">
        <v>4.456</v>
      </c>
      <c r="BK29" t="n">
        <v>0.153</v>
      </c>
      <c r="BL29" t="n">
        <v>3.66</v>
      </c>
      <c r="BM29" t="n">
        <v>0.45</v>
      </c>
      <c r="BN29" t="n">
        <v>3.2</v>
      </c>
      <c r="BO29" t="n">
        <v>0.02</v>
      </c>
      <c r="BP29" t="n">
        <v>39</v>
      </c>
      <c r="BQ29" t="n">
        <v>15</v>
      </c>
      <c r="BR29" t="n">
        <v>3</v>
      </c>
      <c r="BS29" t="n">
        <v>84</v>
      </c>
      <c r="BT29" t="n">
        <v>2.876</v>
      </c>
      <c r="BW29" t="n">
        <v>5.34</v>
      </c>
      <c r="BX29" t="n">
        <v>6.575</v>
      </c>
      <c r="BY29" t="n">
        <v>5.957</v>
      </c>
      <c r="BZ29" t="n">
        <v>0.204</v>
      </c>
      <c r="CA29" t="n">
        <v>10.297</v>
      </c>
      <c r="CB29" t="n">
        <v>0.353</v>
      </c>
      <c r="CC29" t="n">
        <v>36</v>
      </c>
      <c r="CD29" t="n">
        <v>10</v>
      </c>
      <c r="CE29" t="n">
        <v>37</v>
      </c>
      <c r="CF29" t="n">
        <v>21</v>
      </c>
      <c r="CG29" t="n">
        <v>1</v>
      </c>
      <c r="CH29" t="n">
        <v>43</v>
      </c>
      <c r="CI29" t="n">
        <v>14.278</v>
      </c>
      <c r="CJ29" t="n">
        <v>8.121</v>
      </c>
      <c r="CK29" t="n">
        <v>44</v>
      </c>
      <c r="CL29" t="n">
        <v>134</v>
      </c>
      <c r="CM29" t="n">
        <v>52</v>
      </c>
      <c r="CN29" t="n">
        <v>25</v>
      </c>
      <c r="CO29" t="n">
        <v>12</v>
      </c>
      <c r="CP29" t="n">
        <v>28</v>
      </c>
      <c r="CQ29" t="n">
        <v>4</v>
      </c>
      <c r="CR29" t="n">
        <v>147</v>
      </c>
      <c r="CS29" t="n">
        <v>21</v>
      </c>
      <c r="CT29" t="n">
        <v>0.7</v>
      </c>
      <c r="CV29" t="n">
        <v>1</v>
      </c>
      <c r="CW29" t="n">
        <v>40.38</v>
      </c>
      <c r="CX29" t="n">
        <v>1.382</v>
      </c>
      <c r="CY29" t="n">
        <v>0</v>
      </c>
      <c r="DB29" t="n">
        <v>0</v>
      </c>
      <c r="DE29" t="n">
        <v>7.17</v>
      </c>
      <c r="DF29" t="n">
        <v>6</v>
      </c>
      <c r="DG29" t="n">
        <v>0</v>
      </c>
      <c r="DH29" t="n">
        <v>32</v>
      </c>
      <c r="DI29" t="n">
        <v>48</v>
      </c>
      <c r="DK29" t="n">
        <v>1</v>
      </c>
      <c r="DL29" t="n">
        <v>27</v>
      </c>
      <c r="DM29" t="n">
        <v>49</v>
      </c>
      <c r="DN29" t="n">
        <v>2</v>
      </c>
      <c r="DO29" t="n">
        <v>3.7</v>
      </c>
      <c r="DP29" t="n">
        <v>146.14</v>
      </c>
      <c r="DQ29" t="n">
        <v>73.2</v>
      </c>
      <c r="DR29" t="n">
        <v>146.4</v>
      </c>
      <c r="DS29" t="n">
        <v>-0.26</v>
      </c>
      <c r="DT29" t="n">
        <v>3152</v>
      </c>
      <c r="DU29" t="n">
        <v>82.95</v>
      </c>
      <c r="DV29" t="inlineStr">
        <is>
          <t>flat</t>
        </is>
      </c>
      <c r="DW29" t="n">
        <v>51.14</v>
      </c>
      <c r="DX29" t="n">
        <v>48.49</v>
      </c>
      <c r="DY29" t="n">
        <v>51.24</v>
      </c>
      <c r="DZ29" t="n">
        <v>0.11</v>
      </c>
      <c r="EA29" t="n">
        <v>1311</v>
      </c>
      <c r="EB29" t="n">
        <v>21.38</v>
      </c>
      <c r="EC29" t="n">
        <v>3.5</v>
      </c>
      <c r="ED29" t="n">
        <v>120</v>
      </c>
      <c r="EE29" t="n">
        <v>2396</v>
      </c>
      <c r="EF29" t="b">
        <v>1</v>
      </c>
      <c r="EG29" t="n">
        <v>93.5</v>
      </c>
      <c r="EH29" t="n">
        <v>47.4</v>
      </c>
      <c r="EI29" t="n">
        <v>35</v>
      </c>
      <c r="EJ29" t="n">
        <v>67.40000000000001</v>
      </c>
      <c r="EK29" t="n">
        <v>31.3</v>
      </c>
      <c r="EL29" t="n">
        <v>71.09999999999999</v>
      </c>
      <c r="EM29" t="n">
        <v>605.8</v>
      </c>
      <c r="EN29" t="n">
        <v>441.3</v>
      </c>
      <c r="EO29" t="n">
        <v>255.3</v>
      </c>
      <c r="EP29" t="n">
        <v>17.4</v>
      </c>
    </row>
    <row r="30">
      <c r="A30" t="inlineStr">
        <is>
          <t>Jurriën Timber</t>
        </is>
      </c>
      <c r="B30" t="inlineStr">
        <is>
          <t>ARS</t>
        </is>
      </c>
      <c r="C30" t="inlineStr">
        <is>
          <t>DEF</t>
        </is>
      </c>
      <c r="D30" t="inlineStr">
        <is>
          <t>DEF</t>
        </is>
      </c>
      <c r="E30" t="n">
        <v>6.5</v>
      </c>
      <c r="F30" t="b">
        <v>1</v>
      </c>
      <c r="G30" t="b">
        <v>1</v>
      </c>
      <c r="H30" t="n">
        <v>25.2</v>
      </c>
      <c r="I30" t="inlineStr">
        <is>
          <t>i</t>
        </is>
      </c>
      <c r="J30" t="inlineStr">
        <is>
          <t>Groin injury - Unknown return date</t>
        </is>
      </c>
      <c r="K30" t="n">
        <v>0</v>
      </c>
      <c r="L30" t="inlineStr">
        <is>
          <t>p445122</t>
        </is>
      </c>
      <c r="M30" t="n">
        <v>5</v>
      </c>
      <c r="Q30" t="n">
        <v>2452</v>
      </c>
      <c r="R30" t="n">
        <v>30</v>
      </c>
      <c r="S30" t="n">
        <v>28</v>
      </c>
      <c r="T30" t="n">
        <v>27.244</v>
      </c>
      <c r="U30" t="n">
        <v>81.7</v>
      </c>
      <c r="V30" t="n">
        <v>149</v>
      </c>
      <c r="W30" t="n">
        <v>5.469</v>
      </c>
      <c r="X30" t="n">
        <v>3</v>
      </c>
      <c r="Y30" t="n">
        <v>6</v>
      </c>
      <c r="Z30" t="n">
        <v>5</v>
      </c>
      <c r="AA30" t="n">
        <v>13</v>
      </c>
      <c r="AB30" t="n">
        <v>20</v>
      </c>
      <c r="AC30" t="n">
        <v>9</v>
      </c>
      <c r="AD30" t="n">
        <v>10</v>
      </c>
      <c r="AE30" t="n">
        <v>1</v>
      </c>
      <c r="AF30" t="n">
        <v>532</v>
      </c>
      <c r="AG30" t="n">
        <v>514</v>
      </c>
      <c r="AH30" t="n">
        <v>-18</v>
      </c>
      <c r="AI30" t="n">
        <v>150</v>
      </c>
      <c r="AJ30" t="n">
        <v>0.06</v>
      </c>
      <c r="AK30" t="n">
        <v>0.064</v>
      </c>
      <c r="AL30" t="n">
        <v>148</v>
      </c>
      <c r="AM30" t="n">
        <v>5.432</v>
      </c>
      <c r="AN30" t="n">
        <v>3</v>
      </c>
      <c r="AO30" t="n">
        <v>6</v>
      </c>
      <c r="AP30" t="n">
        <v>0.107</v>
      </c>
      <c r="AQ30" t="n">
        <v>0.107</v>
      </c>
      <c r="AR30" t="n">
        <v>0.036</v>
      </c>
      <c r="AS30" t="n">
        <v>0.737</v>
      </c>
      <c r="AT30" t="n">
        <v>0.867</v>
      </c>
      <c r="AU30" t="n">
        <v>12</v>
      </c>
      <c r="AV30" t="n">
        <v>3</v>
      </c>
      <c r="AW30" t="n">
        <v>4.75</v>
      </c>
      <c r="AX30" t="n">
        <v>24</v>
      </c>
      <c r="AY30" t="n">
        <v>4.71</v>
      </c>
      <c r="AZ30" t="n">
        <v>4.031</v>
      </c>
      <c r="BA30" t="n">
        <v>4.37</v>
      </c>
      <c r="BB30" t="n">
        <v>4.031</v>
      </c>
      <c r="BC30" t="n">
        <v>0.173</v>
      </c>
      <c r="BD30" t="n">
        <v>0.148</v>
      </c>
      <c r="BE30" t="n">
        <v>0.16</v>
      </c>
      <c r="BF30" t="n">
        <v>4.2</v>
      </c>
      <c r="BG30" t="n">
        <v>0.154</v>
      </c>
      <c r="BH30" t="n">
        <v>0.9330000000000001</v>
      </c>
      <c r="BI30" t="n">
        <v>5.94</v>
      </c>
      <c r="BJ30" t="n">
        <v>4.392</v>
      </c>
      <c r="BK30" t="n">
        <v>0.161</v>
      </c>
      <c r="BL30" t="n">
        <v>-1.37</v>
      </c>
      <c r="BM30" t="n">
        <v>-0.51</v>
      </c>
      <c r="BN30" t="n">
        <v>-1.2</v>
      </c>
      <c r="BO30" t="n">
        <v>0.679</v>
      </c>
      <c r="BP30" t="n">
        <v>25</v>
      </c>
      <c r="BQ30" t="n">
        <v>7</v>
      </c>
      <c r="BR30" t="n">
        <v>7</v>
      </c>
      <c r="BS30" t="n">
        <v>91</v>
      </c>
      <c r="BT30" t="n">
        <v>3.34</v>
      </c>
      <c r="BV30" t="n">
        <v>2</v>
      </c>
      <c r="BW30" t="n">
        <v>1.53</v>
      </c>
      <c r="BX30" t="n">
        <v>2.589</v>
      </c>
      <c r="BY30" t="n">
        <v>2.06</v>
      </c>
      <c r="BZ30" t="n">
        <v>0.076</v>
      </c>
      <c r="CA30" t="n">
        <v>6.43</v>
      </c>
      <c r="CB30" t="n">
        <v>0.236</v>
      </c>
      <c r="CC30" t="n">
        <v>28</v>
      </c>
      <c r="CD30" t="n">
        <v>4</v>
      </c>
      <c r="CE30" t="n">
        <v>27</v>
      </c>
      <c r="CF30" t="n">
        <v>6</v>
      </c>
      <c r="CG30" t="n">
        <v>3</v>
      </c>
      <c r="CH30" t="n">
        <v>1</v>
      </c>
      <c r="CI30" t="n">
        <v>11.439</v>
      </c>
      <c r="CJ30" t="n">
        <v>8.659000000000001</v>
      </c>
      <c r="CK30" t="n">
        <v>82</v>
      </c>
      <c r="CL30" t="n">
        <v>97</v>
      </c>
      <c r="CM30" t="n">
        <v>66</v>
      </c>
      <c r="CN30" t="n">
        <v>37</v>
      </c>
      <c r="CO30" t="n">
        <v>24</v>
      </c>
      <c r="CP30" t="n">
        <v>53</v>
      </c>
      <c r="CQ30" t="n">
        <v>6</v>
      </c>
      <c r="CR30" t="n">
        <v>147</v>
      </c>
      <c r="CS30" t="n">
        <v>40</v>
      </c>
      <c r="CT30" t="n">
        <v>0.3</v>
      </c>
      <c r="CV30" t="n">
        <v>1</v>
      </c>
      <c r="CW30" t="n">
        <v>17.45</v>
      </c>
      <c r="CX30" t="n">
        <v>0.64</v>
      </c>
      <c r="CY30" t="n">
        <v>0</v>
      </c>
      <c r="DB30" t="n">
        <v>0</v>
      </c>
      <c r="DE30" t="n">
        <v>7.26</v>
      </c>
      <c r="DF30" t="n">
        <v>5</v>
      </c>
      <c r="DG30" t="n">
        <v>0</v>
      </c>
      <c r="DH30" t="n">
        <v>38</v>
      </c>
      <c r="DI30" t="n">
        <v>29</v>
      </c>
      <c r="DJ30" t="n">
        <v>1</v>
      </c>
      <c r="DL30" t="n">
        <v>13</v>
      </c>
      <c r="DM30" t="n">
        <v>25</v>
      </c>
      <c r="DN30" t="n">
        <v>0</v>
      </c>
      <c r="DO30" t="n">
        <v>0.3</v>
      </c>
      <c r="DP30" t="n">
        <v>154.51</v>
      </c>
      <c r="DQ30" t="n">
        <v>74.34</v>
      </c>
      <c r="DR30" t="n">
        <v>148.68</v>
      </c>
      <c r="DS30" t="n">
        <v>5.83</v>
      </c>
      <c r="DT30" t="n">
        <v>2878</v>
      </c>
      <c r="DU30" t="n">
        <v>75.75</v>
      </c>
      <c r="DV30" t="inlineStr">
        <is>
          <t>flat</t>
        </is>
      </c>
      <c r="DW30" t="n">
        <v>54.07</v>
      </c>
      <c r="DX30" t="n">
        <v>48.52</v>
      </c>
      <c r="DY30" t="n">
        <v>63.1</v>
      </c>
      <c r="DZ30" t="n">
        <v>9.02</v>
      </c>
      <c r="EA30" t="n">
        <v>1034</v>
      </c>
      <c r="EB30" t="n">
        <v>23.71</v>
      </c>
      <c r="EC30" t="n">
        <v>5.6</v>
      </c>
      <c r="ED30" t="n">
        <v>120</v>
      </c>
      <c r="EE30" t="n">
        <v>2178</v>
      </c>
      <c r="EF30" t="b">
        <v>1</v>
      </c>
      <c r="EG30" t="n">
        <v>95.2</v>
      </c>
      <c r="EH30" t="n">
        <v>53.1</v>
      </c>
      <c r="EI30" t="n">
        <v>36</v>
      </c>
      <c r="EJ30" t="n">
        <v>98.09999999999999</v>
      </c>
      <c r="EK30" t="n">
        <v>26.9</v>
      </c>
      <c r="EL30" t="n">
        <v>90.8</v>
      </c>
      <c r="EM30" t="n">
        <v>561</v>
      </c>
      <c r="EN30" t="n">
        <v>1190.5</v>
      </c>
      <c r="EO30" t="n">
        <v>381.3</v>
      </c>
      <c r="EP30" t="n">
        <v>16.5</v>
      </c>
    </row>
    <row r="31">
      <c r="A31" t="inlineStr">
        <is>
          <t>Bryan Mbeumo</t>
        </is>
      </c>
      <c r="B31" t="inlineStr">
        <is>
          <t>MUN</t>
        </is>
      </c>
      <c r="C31" t="inlineStr">
        <is>
          <t>MID</t>
        </is>
      </c>
      <c r="D31" t="inlineStr">
        <is>
          <t>MID</t>
        </is>
      </c>
      <c r="E31" t="n">
        <v>8</v>
      </c>
      <c r="F31" t="b">
        <v>1</v>
      </c>
      <c r="G31" t="b">
        <v>1</v>
      </c>
      <c r="H31" t="n">
        <v>27</v>
      </c>
      <c r="I31" t="inlineStr">
        <is>
          <t>a</t>
        </is>
      </c>
      <c r="L31" t="inlineStr">
        <is>
          <t>p446008</t>
        </is>
      </c>
      <c r="M31" t="n">
        <v>427</v>
      </c>
      <c r="N31" t="n">
        <v>2</v>
      </c>
      <c r="O31" t="n">
        <v>2</v>
      </c>
      <c r="P31" t="n">
        <v>2</v>
      </c>
      <c r="Q31" t="n">
        <v>2611</v>
      </c>
      <c r="R31" t="n">
        <v>33</v>
      </c>
      <c r="S31" t="n">
        <v>31</v>
      </c>
      <c r="T31" t="n">
        <v>29.011</v>
      </c>
      <c r="U31" t="n">
        <v>79.09999999999999</v>
      </c>
      <c r="V31" t="n">
        <v>148</v>
      </c>
      <c r="W31" t="n">
        <v>5.101</v>
      </c>
      <c r="X31" t="n">
        <v>11</v>
      </c>
      <c r="Y31" t="n">
        <v>3</v>
      </c>
      <c r="Z31" t="n">
        <v>3</v>
      </c>
      <c r="AA31" t="n">
        <v>8</v>
      </c>
      <c r="AB31" t="n">
        <v>37</v>
      </c>
      <c r="AC31" t="n">
        <v>16</v>
      </c>
      <c r="AD31" t="n">
        <v>17</v>
      </c>
      <c r="AE31" t="n">
        <v>1</v>
      </c>
      <c r="AF31" t="n">
        <v>528</v>
      </c>
      <c r="AG31" t="n">
        <v>525</v>
      </c>
      <c r="AH31" t="n">
        <v>-3</v>
      </c>
      <c r="AI31" t="n">
        <v>149</v>
      </c>
      <c r="AJ31" t="n">
        <v>0.108</v>
      </c>
      <c r="AK31" t="n">
        <v>0.121</v>
      </c>
      <c r="AL31" t="n">
        <v>139</v>
      </c>
      <c r="AM31" t="n">
        <v>4.791</v>
      </c>
      <c r="AN31" t="n">
        <v>0</v>
      </c>
      <c r="AO31" t="n">
        <v>0</v>
      </c>
      <c r="AP31" t="n">
        <v>0</v>
      </c>
      <c r="AQ31" t="n">
        <v>0.032</v>
      </c>
      <c r="AR31" t="n">
        <v>0</v>
      </c>
      <c r="AS31" t="n">
        <v>0.8159999999999999</v>
      </c>
      <c r="AT31" t="n">
        <v>0.9389999999999999</v>
      </c>
      <c r="AU31" t="n">
        <v>17</v>
      </c>
      <c r="AV31" t="n">
        <v>3</v>
      </c>
      <c r="AW31" t="n">
        <v>3.7</v>
      </c>
      <c r="AX31" t="n">
        <v>15</v>
      </c>
      <c r="AY31" t="n">
        <v>11.98</v>
      </c>
      <c r="AZ31" t="n">
        <v>13.309</v>
      </c>
      <c r="BA31" t="n">
        <v>12.645</v>
      </c>
      <c r="BB31" t="n">
        <v>13.309</v>
      </c>
      <c r="BC31" t="n">
        <v>0.413</v>
      </c>
      <c r="BD31" t="n">
        <v>0.459</v>
      </c>
      <c r="BE31" t="n">
        <v>0.436</v>
      </c>
      <c r="BF31" t="n">
        <v>9.9</v>
      </c>
      <c r="BG31" t="n">
        <v>0.341</v>
      </c>
      <c r="BH31" t="n">
        <v>1.029</v>
      </c>
      <c r="BI31" t="n">
        <v>43.68</v>
      </c>
      <c r="BJ31" t="n">
        <v>12.332</v>
      </c>
      <c r="BK31" t="n">
        <v>0.425</v>
      </c>
      <c r="BL31" t="n">
        <v>-1.645</v>
      </c>
      <c r="BM31" t="n">
        <v>-2.08</v>
      </c>
      <c r="BN31" t="n">
        <v>1.1</v>
      </c>
      <c r="BO31" t="n">
        <v>-1.329</v>
      </c>
      <c r="BP31" t="n">
        <v>73</v>
      </c>
      <c r="BQ31" t="n">
        <v>32</v>
      </c>
      <c r="BR31" t="n">
        <v>13</v>
      </c>
      <c r="BS31" t="n">
        <v>150</v>
      </c>
      <c r="BT31" t="n">
        <v>5.17</v>
      </c>
      <c r="BV31" t="n">
        <v>1</v>
      </c>
      <c r="BW31" t="n">
        <v>4.99</v>
      </c>
      <c r="BX31" t="n">
        <v>5.091</v>
      </c>
      <c r="BY31" t="n">
        <v>5.041</v>
      </c>
      <c r="BZ31" t="n">
        <v>0.174</v>
      </c>
      <c r="CA31" t="n">
        <v>17.685</v>
      </c>
      <c r="CB31" t="n">
        <v>0.61</v>
      </c>
      <c r="CC31" t="n">
        <v>45</v>
      </c>
      <c r="CD31" t="n">
        <v>6</v>
      </c>
      <c r="CE31" t="n">
        <v>47</v>
      </c>
      <c r="CF31" t="n">
        <v>35</v>
      </c>
      <c r="CG31" t="n">
        <v>6</v>
      </c>
      <c r="CH31" t="n">
        <v>49</v>
      </c>
      <c r="CI31" t="n">
        <v>22.316</v>
      </c>
      <c r="CJ31" t="n">
        <v>6.068</v>
      </c>
      <c r="CK31" t="n">
        <v>23</v>
      </c>
      <c r="CL31" t="n">
        <v>91</v>
      </c>
      <c r="CM31" t="n">
        <v>25</v>
      </c>
      <c r="CN31" t="n">
        <v>11</v>
      </c>
      <c r="CO31" t="n">
        <v>8</v>
      </c>
      <c r="CP31" t="n">
        <v>14</v>
      </c>
      <c r="CQ31" t="n">
        <v>1</v>
      </c>
      <c r="CR31" t="n">
        <v>86</v>
      </c>
      <c r="CS31" t="n">
        <v>15</v>
      </c>
      <c r="CT31" t="n">
        <v>0.7</v>
      </c>
      <c r="CV31" t="n">
        <v>1</v>
      </c>
      <c r="CW31" t="n">
        <v>35.87</v>
      </c>
      <c r="CX31" t="n">
        <v>1.236</v>
      </c>
      <c r="CY31" t="n">
        <v>0</v>
      </c>
      <c r="DB31" t="n">
        <v>0</v>
      </c>
      <c r="DE31" t="n">
        <v>7.19</v>
      </c>
      <c r="DF31" t="n">
        <v>4</v>
      </c>
      <c r="DG31" t="n">
        <v>0</v>
      </c>
      <c r="DH31" t="n">
        <v>23</v>
      </c>
      <c r="DI31" t="n">
        <v>28</v>
      </c>
      <c r="DJ31" t="n">
        <v>1</v>
      </c>
      <c r="DL31" t="n">
        <v>18</v>
      </c>
      <c r="DM31" t="n">
        <v>29</v>
      </c>
      <c r="DN31" t="n">
        <v>7</v>
      </c>
      <c r="DO31" t="n">
        <v>26.7</v>
      </c>
      <c r="DP31" t="n">
        <v>166.11</v>
      </c>
      <c r="DQ31" t="n">
        <v>83.42</v>
      </c>
      <c r="DR31" t="n">
        <v>166.84</v>
      </c>
      <c r="DS31" t="n">
        <v>-0.73</v>
      </c>
      <c r="DT31" t="n">
        <v>2822</v>
      </c>
      <c r="DU31" t="n">
        <v>74.25</v>
      </c>
      <c r="DV31" t="inlineStr">
        <is>
          <t>flat</t>
        </is>
      </c>
      <c r="DW31" t="n">
        <v>12.94</v>
      </c>
      <c r="DX31" t="n">
        <v>11.86</v>
      </c>
      <c r="DY31" t="n">
        <v>12.14</v>
      </c>
      <c r="DZ31" t="n">
        <v>-0.8100000000000001</v>
      </c>
      <c r="EA31" t="n">
        <v>1530</v>
      </c>
      <c r="EB31" t="n">
        <v>8.41</v>
      </c>
      <c r="EC31" t="n">
        <v>1.33</v>
      </c>
      <c r="ED31" t="n">
        <v>108</v>
      </c>
      <c r="EE31" t="n">
        <v>3137</v>
      </c>
      <c r="EF31" t="b">
        <v>1</v>
      </c>
      <c r="EG31" t="n">
        <v>99.90000000000001</v>
      </c>
      <c r="EH31" t="n">
        <v>35.6</v>
      </c>
      <c r="EI31" t="n">
        <v>11</v>
      </c>
      <c r="EJ31" t="n">
        <v>35.8</v>
      </c>
      <c r="EK31" t="n">
        <v>17.4</v>
      </c>
      <c r="EL31" t="n">
        <v>55.6</v>
      </c>
      <c r="EM31" t="n">
        <v>206.5</v>
      </c>
      <c r="EN31" t="n">
        <v>518</v>
      </c>
      <c r="EO31" t="n">
        <v>147.6</v>
      </c>
      <c r="EP31" t="n">
        <v>17.6</v>
      </c>
    </row>
    <row r="32">
      <c r="A32" t="inlineStr">
        <is>
          <t>Jan Paul van Hecke</t>
        </is>
      </c>
      <c r="B32" t="inlineStr">
        <is>
          <t>TOT</t>
        </is>
      </c>
      <c r="C32" t="inlineStr">
        <is>
          <t>DEF</t>
        </is>
      </c>
      <c r="D32" t="inlineStr">
        <is>
          <t>DEF</t>
        </is>
      </c>
      <c r="E32" t="n">
        <v>5</v>
      </c>
      <c r="F32" t="b">
        <v>1</v>
      </c>
      <c r="G32" t="b">
        <v>1</v>
      </c>
      <c r="H32" t="n">
        <v>26.2</v>
      </c>
      <c r="I32" t="inlineStr">
        <is>
          <t>a</t>
        </is>
      </c>
      <c r="L32" t="inlineStr">
        <is>
          <t>p469142</t>
        </is>
      </c>
      <c r="M32" t="n">
        <v>112</v>
      </c>
      <c r="Q32" t="n">
        <v>3210</v>
      </c>
      <c r="R32" t="n">
        <v>36</v>
      </c>
      <c r="S32" t="n">
        <v>36</v>
      </c>
      <c r="T32" t="n">
        <v>35.667</v>
      </c>
      <c r="U32" t="n">
        <v>89.2</v>
      </c>
      <c r="V32" t="n">
        <v>148</v>
      </c>
      <c r="W32" t="n">
        <v>4.15</v>
      </c>
      <c r="X32" t="n">
        <v>3</v>
      </c>
      <c r="Y32" t="n">
        <v>3</v>
      </c>
      <c r="Z32" t="n">
        <v>3</v>
      </c>
      <c r="AA32" t="n">
        <v>10</v>
      </c>
      <c r="AB32" t="n">
        <v>44</v>
      </c>
      <c r="AC32" t="n">
        <v>8</v>
      </c>
      <c r="AD32" t="n">
        <v>7</v>
      </c>
      <c r="AE32" t="n">
        <v>-1</v>
      </c>
      <c r="AF32" t="n">
        <v>575</v>
      </c>
      <c r="AG32" t="n">
        <v>529</v>
      </c>
      <c r="AH32" t="n">
        <v>-46</v>
      </c>
      <c r="AI32" t="n">
        <v>147</v>
      </c>
      <c r="AJ32" t="n">
        <v>0.054</v>
      </c>
      <c r="AK32" t="n">
        <v>0.057</v>
      </c>
      <c r="AL32" t="n">
        <v>317</v>
      </c>
      <c r="AM32" t="n">
        <v>8.888</v>
      </c>
      <c r="AN32" t="n">
        <v>13</v>
      </c>
      <c r="AO32" t="n">
        <v>26</v>
      </c>
      <c r="AP32" t="n">
        <v>0.361</v>
      </c>
      <c r="AQ32" t="n">
        <v>0.361</v>
      </c>
      <c r="AR32" t="n">
        <v>0.194</v>
      </c>
      <c r="AS32" t="n">
        <v>0.947</v>
      </c>
      <c r="AT32" t="n">
        <v>1</v>
      </c>
      <c r="AU32" t="n">
        <v>14</v>
      </c>
      <c r="AV32" t="n">
        <v>2</v>
      </c>
      <c r="AW32" t="n">
        <v>3</v>
      </c>
      <c r="AX32" t="n">
        <v>12</v>
      </c>
      <c r="AY32" t="n">
        <v>3.31</v>
      </c>
      <c r="AZ32" t="n">
        <v>3.359</v>
      </c>
      <c r="BA32" t="n">
        <v>3.334</v>
      </c>
      <c r="BB32" t="n">
        <v>3.359</v>
      </c>
      <c r="BC32" t="n">
        <v>0.093</v>
      </c>
      <c r="BD32" t="n">
        <v>0.094</v>
      </c>
      <c r="BE32" t="n">
        <v>0.093</v>
      </c>
      <c r="BF32" t="n">
        <v>3.8</v>
      </c>
      <c r="BG32" t="n">
        <v>0.107</v>
      </c>
      <c r="BH32" t="n">
        <v>0.973</v>
      </c>
      <c r="BI32" t="n">
        <v>6.6</v>
      </c>
      <c r="BJ32" t="n">
        <v>3.219</v>
      </c>
      <c r="BK32" t="n">
        <v>0.09</v>
      </c>
      <c r="BL32" t="n">
        <v>-0.334</v>
      </c>
      <c r="BM32" t="n">
        <v>0.49</v>
      </c>
      <c r="BN32" t="n">
        <v>-0.8</v>
      </c>
      <c r="BO32" t="n">
        <v>-0.049</v>
      </c>
      <c r="BP32" t="n">
        <v>23</v>
      </c>
      <c r="BQ32" t="n">
        <v>10</v>
      </c>
      <c r="BR32" t="n">
        <v>3</v>
      </c>
      <c r="BS32" t="n">
        <v>50</v>
      </c>
      <c r="BT32" t="n">
        <v>1.402</v>
      </c>
      <c r="BV32" t="n">
        <v>1</v>
      </c>
      <c r="BW32" t="n">
        <v>1.57</v>
      </c>
      <c r="BX32" t="n">
        <v>1.026</v>
      </c>
      <c r="BY32" t="n">
        <v>1.298</v>
      </c>
      <c r="BZ32" t="n">
        <v>0.036</v>
      </c>
      <c r="CA32" t="n">
        <v>4.632</v>
      </c>
      <c r="CB32" t="n">
        <v>0.13</v>
      </c>
      <c r="CC32" t="n">
        <v>12</v>
      </c>
      <c r="CD32" t="n">
        <v>2</v>
      </c>
      <c r="CE32" t="n">
        <v>13</v>
      </c>
      <c r="CF32" t="n">
        <v>10</v>
      </c>
      <c r="CI32" t="n">
        <v>14.122</v>
      </c>
      <c r="CJ32" t="n">
        <v>13.214</v>
      </c>
      <c r="CK32" t="n">
        <v>264</v>
      </c>
      <c r="CL32" t="n">
        <v>113</v>
      </c>
      <c r="CM32" t="n">
        <v>53</v>
      </c>
      <c r="CN32" t="n">
        <v>30</v>
      </c>
      <c r="CO32" t="n">
        <v>47</v>
      </c>
      <c r="CP32" t="n">
        <v>189</v>
      </c>
      <c r="CQ32" t="n">
        <v>28</v>
      </c>
      <c r="CR32" t="n">
        <v>209</v>
      </c>
      <c r="CS32" t="n">
        <v>114</v>
      </c>
      <c r="CT32" t="n">
        <v>0.1</v>
      </c>
      <c r="CU32" t="n">
        <v>4</v>
      </c>
      <c r="CW32" t="n">
        <v>46.27</v>
      </c>
      <c r="CX32" t="n">
        <v>1.297</v>
      </c>
      <c r="CY32" t="n">
        <v>0</v>
      </c>
      <c r="DB32" t="n">
        <v>0</v>
      </c>
      <c r="DE32" t="n">
        <v>7.1</v>
      </c>
      <c r="DF32" t="n">
        <v>9</v>
      </c>
      <c r="DG32" t="n">
        <v>0</v>
      </c>
      <c r="DH32" t="n">
        <v>27</v>
      </c>
      <c r="DI32" t="n">
        <v>43</v>
      </c>
      <c r="DK32" t="n">
        <v>1</v>
      </c>
      <c r="DL32" t="n">
        <v>3</v>
      </c>
      <c r="DM32" t="n">
        <v>6</v>
      </c>
      <c r="DN32" t="n">
        <v>4</v>
      </c>
      <c r="DO32" t="n">
        <v>8.6</v>
      </c>
      <c r="DP32" t="n">
        <v>142.34</v>
      </c>
      <c r="DQ32" t="n">
        <v>71.17</v>
      </c>
      <c r="DR32" t="n">
        <v>142.34</v>
      </c>
      <c r="DS32" t="n">
        <v>0</v>
      </c>
      <c r="DT32" t="n">
        <v>3181</v>
      </c>
      <c r="DU32" t="n">
        <v>83.7</v>
      </c>
      <c r="DV32" t="inlineStr">
        <is>
          <t>flat</t>
        </is>
      </c>
      <c r="DW32" t="n">
        <v>77.47</v>
      </c>
      <c r="DX32" t="n">
        <v>83.11</v>
      </c>
      <c r="DY32" t="n">
        <v>73</v>
      </c>
      <c r="DZ32" t="n">
        <v>-4.47</v>
      </c>
      <c r="EA32" t="n">
        <v>1465</v>
      </c>
      <c r="EB32" t="n">
        <v>21.4</v>
      </c>
      <c r="EC32" t="n">
        <v>7</v>
      </c>
      <c r="ED32" t="n">
        <v>120</v>
      </c>
      <c r="EE32" t="n">
        <v>3191</v>
      </c>
      <c r="EF32" t="b">
        <v>1</v>
      </c>
      <c r="EG32" t="n">
        <v>87.2</v>
      </c>
      <c r="EH32" t="n">
        <v>24.9</v>
      </c>
      <c r="EI32" t="n">
        <v>223</v>
      </c>
      <c r="EJ32" t="n">
        <v>139.6</v>
      </c>
      <c r="EK32" t="n">
        <v>64.2</v>
      </c>
      <c r="EL32" t="n">
        <v>246.9</v>
      </c>
      <c r="EM32" t="n">
        <v>962.7</v>
      </c>
      <c r="EN32" t="n">
        <v>2473.4</v>
      </c>
      <c r="EO32" t="n">
        <v>693</v>
      </c>
      <c r="EP32" t="n">
        <v>21.7</v>
      </c>
    </row>
    <row r="33">
      <c r="A33" t="inlineStr">
        <is>
          <t>Enzo Le Fée</t>
        </is>
      </c>
      <c r="B33" t="inlineStr">
        <is>
          <t>SUN</t>
        </is>
      </c>
      <c r="C33" t="inlineStr">
        <is>
          <t>MID</t>
        </is>
      </c>
      <c r="D33" t="inlineStr">
        <is>
          <t>MID</t>
        </is>
      </c>
      <c r="E33" t="n">
        <v>6</v>
      </c>
      <c r="F33" t="b">
        <v>1</v>
      </c>
      <c r="G33" t="b">
        <v>1</v>
      </c>
      <c r="H33" t="n">
        <v>26.5</v>
      </c>
      <c r="I33" t="inlineStr">
        <is>
          <t>a</t>
        </is>
      </c>
      <c r="L33" t="inlineStr">
        <is>
          <t>p484420</t>
        </is>
      </c>
      <c r="M33" t="n">
        <v>542</v>
      </c>
      <c r="N33" t="n">
        <v>2</v>
      </c>
      <c r="O33" t="n">
        <v>1</v>
      </c>
      <c r="P33" t="n">
        <v>2</v>
      </c>
      <c r="Q33" t="n">
        <v>2930</v>
      </c>
      <c r="R33" t="n">
        <v>36</v>
      </c>
      <c r="S33" t="n">
        <v>33</v>
      </c>
      <c r="T33" t="n">
        <v>32.556</v>
      </c>
      <c r="U33" t="n">
        <v>81.40000000000001</v>
      </c>
      <c r="V33" t="n">
        <v>147</v>
      </c>
      <c r="W33" t="n">
        <v>4.515</v>
      </c>
      <c r="X33" t="n">
        <v>5</v>
      </c>
      <c r="Y33" t="n">
        <v>6</v>
      </c>
      <c r="Z33" t="n">
        <v>6</v>
      </c>
      <c r="AA33" t="n">
        <v>10</v>
      </c>
      <c r="AB33" t="n">
        <v>43</v>
      </c>
      <c r="AC33" t="n">
        <v>16</v>
      </c>
      <c r="AD33" t="n">
        <v>15</v>
      </c>
      <c r="AE33" t="n">
        <v>-1</v>
      </c>
      <c r="AF33" t="n">
        <v>621</v>
      </c>
      <c r="AG33" t="n">
        <v>602</v>
      </c>
      <c r="AH33" t="n">
        <v>-19</v>
      </c>
      <c r="AI33" t="n">
        <v>146</v>
      </c>
      <c r="AJ33" t="n">
        <v>0.109</v>
      </c>
      <c r="AK33" t="n">
        <v>0.122</v>
      </c>
      <c r="AL33" t="n">
        <v>319</v>
      </c>
      <c r="AM33" t="n">
        <v>9.798999999999999</v>
      </c>
      <c r="AN33" t="n">
        <v>8</v>
      </c>
      <c r="AO33" t="n">
        <v>16</v>
      </c>
      <c r="AP33" t="n">
        <v>0.242</v>
      </c>
      <c r="AQ33" t="n">
        <v>0.424</v>
      </c>
      <c r="AR33" t="n">
        <v>0.242</v>
      </c>
      <c r="AS33" t="n">
        <v>0.868</v>
      </c>
      <c r="AT33" t="n">
        <v>0.917</v>
      </c>
      <c r="AU33" t="n">
        <v>18</v>
      </c>
      <c r="AV33" t="n">
        <v>4</v>
      </c>
      <c r="AW33" t="n">
        <v>3.43</v>
      </c>
      <c r="AX33" t="n">
        <v>13</v>
      </c>
      <c r="AY33" t="n">
        <v>5.22</v>
      </c>
      <c r="AZ33" t="n">
        <v>5.269</v>
      </c>
      <c r="BA33" t="n">
        <v>5.244</v>
      </c>
      <c r="BB33" t="n">
        <v>2.224</v>
      </c>
      <c r="BC33" t="n">
        <v>0.16</v>
      </c>
      <c r="BD33" t="n">
        <v>0.162</v>
      </c>
      <c r="BE33" t="n">
        <v>0.161</v>
      </c>
      <c r="BF33" t="n">
        <v>4.9</v>
      </c>
      <c r="BG33" t="n">
        <v>0.151</v>
      </c>
      <c r="BH33" t="n">
        <v>0.976</v>
      </c>
      <c r="BI33" t="n">
        <v>5.22</v>
      </c>
      <c r="BJ33" t="n">
        <v>5.094</v>
      </c>
      <c r="BK33" t="n">
        <v>0.156</v>
      </c>
      <c r="BL33" t="n">
        <v>-0.244</v>
      </c>
      <c r="BM33" t="n">
        <v>-0.32</v>
      </c>
      <c r="BN33" t="n">
        <v>0.1</v>
      </c>
      <c r="BO33" t="n">
        <v>-0.049</v>
      </c>
      <c r="BP33" t="n">
        <v>36</v>
      </c>
      <c r="BQ33" t="n">
        <v>12</v>
      </c>
      <c r="BR33" t="n">
        <v>1</v>
      </c>
      <c r="BS33" t="n">
        <v>62</v>
      </c>
      <c r="BT33" t="n">
        <v>1.904</v>
      </c>
      <c r="BU33" t="n">
        <v>3</v>
      </c>
      <c r="BW33" t="n">
        <v>5.95</v>
      </c>
      <c r="BX33" t="n">
        <v>7.546</v>
      </c>
      <c r="BY33" t="n">
        <v>6.748</v>
      </c>
      <c r="BZ33" t="n">
        <v>0.207</v>
      </c>
      <c r="CA33" t="n">
        <v>11.993</v>
      </c>
      <c r="CB33" t="n">
        <v>0.368</v>
      </c>
      <c r="CC33" t="n">
        <v>53</v>
      </c>
      <c r="CD33" t="n">
        <v>13</v>
      </c>
      <c r="CE33" t="n">
        <v>53</v>
      </c>
      <c r="CF33" t="n">
        <v>25</v>
      </c>
      <c r="CG33" t="n">
        <v>9</v>
      </c>
      <c r="CH33" t="n">
        <v>50</v>
      </c>
      <c r="CI33" t="n">
        <v>13.18</v>
      </c>
      <c r="CJ33" t="n">
        <v>7.139</v>
      </c>
      <c r="CK33" t="n">
        <v>77</v>
      </c>
      <c r="CL33" t="n">
        <v>153</v>
      </c>
      <c r="CM33" t="n">
        <v>89</v>
      </c>
      <c r="CN33" t="n">
        <v>57</v>
      </c>
      <c r="CO33" t="n">
        <v>29</v>
      </c>
      <c r="CP33" t="n">
        <v>36</v>
      </c>
      <c r="CQ33" t="n">
        <v>12</v>
      </c>
      <c r="CR33" t="n">
        <v>157</v>
      </c>
      <c r="CS33" t="n">
        <v>18</v>
      </c>
      <c r="CT33" t="n">
        <v>0.7</v>
      </c>
      <c r="CU33" t="n">
        <v>1</v>
      </c>
      <c r="CV33" t="n">
        <v>3</v>
      </c>
      <c r="CW33" t="n">
        <v>46.5</v>
      </c>
      <c r="CX33" t="n">
        <v>1.428</v>
      </c>
      <c r="CY33" t="n">
        <v>0</v>
      </c>
      <c r="DB33" t="n">
        <v>0</v>
      </c>
      <c r="DE33" t="n">
        <v>7.14</v>
      </c>
      <c r="DF33" t="n">
        <v>5</v>
      </c>
      <c r="DG33" t="n">
        <v>0</v>
      </c>
      <c r="DH33" t="n">
        <v>31</v>
      </c>
      <c r="DI33" t="n">
        <v>37</v>
      </c>
      <c r="DL33" t="n">
        <v>13</v>
      </c>
      <c r="DM33" t="n">
        <v>31</v>
      </c>
      <c r="DN33" t="n">
        <v>4</v>
      </c>
      <c r="DO33" t="n">
        <v>12.8</v>
      </c>
      <c r="DP33" t="n">
        <v>153.32</v>
      </c>
      <c r="DQ33" t="n">
        <v>76.66</v>
      </c>
      <c r="DR33" t="n">
        <v>153.32</v>
      </c>
      <c r="DS33" t="n">
        <v>0</v>
      </c>
      <c r="DT33" t="n">
        <v>3324</v>
      </c>
      <c r="DU33" t="n">
        <v>87.48</v>
      </c>
      <c r="DV33" t="inlineStr">
        <is>
          <t>flat</t>
        </is>
      </c>
      <c r="DW33" t="n">
        <v>66.58</v>
      </c>
      <c r="DX33" t="n">
        <v>67.61</v>
      </c>
      <c r="DY33" t="n">
        <v>65.43000000000001</v>
      </c>
      <c r="DZ33" t="n">
        <v>-1.14</v>
      </c>
      <c r="EA33" t="n">
        <v>1165</v>
      </c>
      <c r="EB33" t="n">
        <v>21.82</v>
      </c>
      <c r="EC33" t="n">
        <v>10</v>
      </c>
      <c r="ED33" t="n">
        <v>120</v>
      </c>
      <c r="EE33" t="n">
        <v>2833</v>
      </c>
      <c r="EF33" t="b">
        <v>1</v>
      </c>
      <c r="EG33" t="n">
        <v>66.40000000000001</v>
      </c>
      <c r="EH33" t="n">
        <v>12.5</v>
      </c>
      <c r="EI33" t="n">
        <v>63</v>
      </c>
      <c r="EJ33" t="n">
        <v>81.40000000000001</v>
      </c>
      <c r="EK33" t="n">
        <v>47.3</v>
      </c>
      <c r="EL33" t="n">
        <v>55.3</v>
      </c>
      <c r="EM33" t="n">
        <v>558.7</v>
      </c>
      <c r="EN33" t="n">
        <v>434.2</v>
      </c>
      <c r="EO33" t="n">
        <v>244.3</v>
      </c>
      <c r="EP33" t="n">
        <v>19.9</v>
      </c>
    </row>
    <row r="34">
      <c r="A34" t="inlineStr">
        <is>
          <t>Ryan Gravenberch</t>
        </is>
      </c>
      <c r="B34" t="inlineStr">
        <is>
          <t>LIV</t>
        </is>
      </c>
      <c r="C34" t="inlineStr">
        <is>
          <t>MID</t>
        </is>
      </c>
      <c r="D34" t="inlineStr">
        <is>
          <t>MID</t>
        </is>
      </c>
      <c r="E34" t="n">
        <v>6</v>
      </c>
      <c r="F34" t="b">
        <v>1</v>
      </c>
      <c r="G34" t="b">
        <v>1</v>
      </c>
      <c r="H34" t="n">
        <v>24.3</v>
      </c>
      <c r="I34" t="inlineStr">
        <is>
          <t>a</t>
        </is>
      </c>
      <c r="L34" t="inlineStr">
        <is>
          <t>p441266</t>
        </is>
      </c>
      <c r="M34" t="n">
        <v>371</v>
      </c>
      <c r="Q34" t="n">
        <v>2991</v>
      </c>
      <c r="R34" t="n">
        <v>36</v>
      </c>
      <c r="S34" t="n">
        <v>34</v>
      </c>
      <c r="T34" t="n">
        <v>33.233</v>
      </c>
      <c r="U34" t="n">
        <v>83.09999999999999</v>
      </c>
      <c r="V34" t="n">
        <v>144</v>
      </c>
      <c r="W34" t="n">
        <v>4.333</v>
      </c>
      <c r="X34" t="n">
        <v>5</v>
      </c>
      <c r="Y34" t="n">
        <v>5</v>
      </c>
      <c r="Z34" t="n">
        <v>3</v>
      </c>
      <c r="AA34" t="n">
        <v>9</v>
      </c>
      <c r="AB34" t="n">
        <v>42</v>
      </c>
      <c r="AC34" t="n">
        <v>17</v>
      </c>
      <c r="AD34" t="n">
        <v>17</v>
      </c>
      <c r="AE34" t="n">
        <v>0</v>
      </c>
      <c r="AF34" t="n">
        <v>671</v>
      </c>
      <c r="AG34" t="n">
        <v>651</v>
      </c>
      <c r="AH34" t="n">
        <v>-20</v>
      </c>
      <c r="AI34" t="n">
        <v>144</v>
      </c>
      <c r="AJ34" t="n">
        <v>0.118</v>
      </c>
      <c r="AK34" t="n">
        <v>0.134</v>
      </c>
      <c r="AL34" t="n">
        <v>298</v>
      </c>
      <c r="AM34" t="n">
        <v>8.967000000000001</v>
      </c>
      <c r="AN34" t="n">
        <v>7</v>
      </c>
      <c r="AO34" t="n">
        <v>14</v>
      </c>
      <c r="AP34" t="n">
        <v>0.206</v>
      </c>
      <c r="AQ34" t="n">
        <v>0.382</v>
      </c>
      <c r="AR34" t="n">
        <v>0.206</v>
      </c>
      <c r="AS34" t="n">
        <v>0.895</v>
      </c>
      <c r="AT34" t="n">
        <v>0.917</v>
      </c>
      <c r="AU34" t="n">
        <v>17</v>
      </c>
      <c r="AV34" t="n">
        <v>4</v>
      </c>
      <c r="AW34" t="n">
        <v>3.38</v>
      </c>
      <c r="AX34" t="n">
        <v>15</v>
      </c>
      <c r="AY34" t="n">
        <v>1.89</v>
      </c>
      <c r="AZ34" t="n">
        <v>1.532</v>
      </c>
      <c r="BA34" t="n">
        <v>1.711</v>
      </c>
      <c r="BB34" t="n">
        <v>1.532</v>
      </c>
      <c r="BC34" t="n">
        <v>0.057</v>
      </c>
      <c r="BD34" t="n">
        <v>0.046</v>
      </c>
      <c r="BE34" t="n">
        <v>0.051</v>
      </c>
      <c r="BF34" t="n">
        <v>3.1</v>
      </c>
      <c r="BG34" t="n">
        <v>0.093</v>
      </c>
      <c r="BH34" t="n">
        <v>0.985</v>
      </c>
      <c r="BI34" t="n">
        <v>5.1</v>
      </c>
      <c r="BJ34" t="n">
        <v>1.861</v>
      </c>
      <c r="BK34" t="n">
        <v>0.056</v>
      </c>
      <c r="BL34" t="n">
        <v>3.289</v>
      </c>
      <c r="BM34" t="n">
        <v>1.21</v>
      </c>
      <c r="BN34" t="n">
        <v>1.9</v>
      </c>
      <c r="BO34" t="n">
        <v>0.358</v>
      </c>
      <c r="BP34" t="n">
        <v>38</v>
      </c>
      <c r="BQ34" t="n">
        <v>13</v>
      </c>
      <c r="BS34" t="n">
        <v>31</v>
      </c>
      <c r="BT34" t="n">
        <v>0.9330000000000001</v>
      </c>
      <c r="BW34" t="n">
        <v>2.26</v>
      </c>
      <c r="BX34" t="n">
        <v>2.369</v>
      </c>
      <c r="BY34" t="n">
        <v>2.314</v>
      </c>
      <c r="BZ34" t="n">
        <v>0.07000000000000001</v>
      </c>
      <c r="CA34" t="n">
        <v>4.025</v>
      </c>
      <c r="CB34" t="n">
        <v>0.121</v>
      </c>
      <c r="CC34" t="n">
        <v>29</v>
      </c>
      <c r="CD34" t="n">
        <v>4</v>
      </c>
      <c r="CE34" t="n">
        <v>29</v>
      </c>
      <c r="CF34" t="n">
        <v>0</v>
      </c>
      <c r="CG34" t="n">
        <v>3</v>
      </c>
      <c r="CI34" t="n">
        <v>13.042</v>
      </c>
      <c r="CJ34" t="n">
        <v>10.719</v>
      </c>
      <c r="CK34" t="n">
        <v>112</v>
      </c>
      <c r="CL34" t="n">
        <v>127</v>
      </c>
      <c r="CM34" t="n">
        <v>59</v>
      </c>
      <c r="CN34" t="n">
        <v>36</v>
      </c>
      <c r="CO34" t="n">
        <v>48</v>
      </c>
      <c r="CP34" t="n">
        <v>53</v>
      </c>
      <c r="CQ34" t="n">
        <v>12</v>
      </c>
      <c r="CR34" t="n">
        <v>160</v>
      </c>
      <c r="CS34" t="n">
        <v>27</v>
      </c>
      <c r="CT34" t="n">
        <v>0.3</v>
      </c>
      <c r="CV34" t="n">
        <v>4</v>
      </c>
      <c r="CW34" t="n">
        <v>38.41</v>
      </c>
      <c r="CX34" t="n">
        <v>1.156</v>
      </c>
      <c r="CY34" t="n">
        <v>0</v>
      </c>
      <c r="DB34" t="n">
        <v>0</v>
      </c>
      <c r="DE34" t="n">
        <v>7.25</v>
      </c>
      <c r="DF34" t="n">
        <v>5</v>
      </c>
      <c r="DG34" t="n">
        <v>0</v>
      </c>
      <c r="DH34" t="n">
        <v>38</v>
      </c>
      <c r="DI34" t="n">
        <v>42</v>
      </c>
      <c r="DL34" t="n">
        <v>32</v>
      </c>
      <c r="DM34" t="n">
        <v>26</v>
      </c>
      <c r="DO34" t="n">
        <v>2</v>
      </c>
      <c r="DP34" t="n">
        <v>121.71</v>
      </c>
      <c r="DQ34" t="n">
        <v>61.04</v>
      </c>
      <c r="DR34" t="n">
        <v>122.08</v>
      </c>
      <c r="DS34" t="n">
        <v>-0.37</v>
      </c>
      <c r="DT34" t="n">
        <v>2964</v>
      </c>
      <c r="DU34" t="n">
        <v>78</v>
      </c>
      <c r="DV34" t="inlineStr">
        <is>
          <t>flat</t>
        </is>
      </c>
      <c r="DW34" t="n">
        <v>69.01000000000001</v>
      </c>
      <c r="DX34" t="n">
        <v>73.68000000000001</v>
      </c>
      <c r="DY34" t="n">
        <v>65.97</v>
      </c>
      <c r="DZ34" t="n">
        <v>-3.05</v>
      </c>
      <c r="EA34" t="n">
        <v>956</v>
      </c>
      <c r="EB34" t="n">
        <v>22.65</v>
      </c>
      <c r="EC34" t="n">
        <v>2.67</v>
      </c>
      <c r="ED34" t="n">
        <v>120</v>
      </c>
      <c r="EE34" t="n">
        <v>1921</v>
      </c>
      <c r="EF34" t="b">
        <v>1</v>
      </c>
      <c r="EG34" t="n">
        <v>43.8</v>
      </c>
      <c r="EH34" t="n">
        <v>10</v>
      </c>
      <c r="EI34" t="n">
        <v>64</v>
      </c>
      <c r="EJ34" t="n">
        <v>78.7</v>
      </c>
      <c r="EK34" t="n">
        <v>96.5</v>
      </c>
      <c r="EL34" t="n">
        <v>103.1</v>
      </c>
      <c r="EM34" t="n">
        <v>1748.3</v>
      </c>
      <c r="EN34" t="n">
        <v>1292.3</v>
      </c>
      <c r="EO34" t="n">
        <v>743.1</v>
      </c>
      <c r="EP34" t="n">
        <v>20.8</v>
      </c>
    </row>
    <row r="35">
      <c r="A35" t="inlineStr">
        <is>
          <t>Matheus Cunha</t>
        </is>
      </c>
      <c r="B35" t="inlineStr">
        <is>
          <t>MUN</t>
        </is>
      </c>
      <c r="C35" t="inlineStr">
        <is>
          <t>MID</t>
        </is>
      </c>
      <c r="D35" t="inlineStr">
        <is>
          <t>MID</t>
        </is>
      </c>
      <c r="E35" t="n">
        <v>8</v>
      </c>
      <c r="F35" t="b">
        <v>1</v>
      </c>
      <c r="G35" t="b">
        <v>1</v>
      </c>
      <c r="H35" t="n">
        <v>27.2</v>
      </c>
      <c r="I35" t="inlineStr">
        <is>
          <t>a</t>
        </is>
      </c>
      <c r="L35" t="inlineStr">
        <is>
          <t>p430871</t>
        </is>
      </c>
      <c r="M35" t="n">
        <v>428</v>
      </c>
      <c r="Q35" t="n">
        <v>2493</v>
      </c>
      <c r="R35" t="n">
        <v>33</v>
      </c>
      <c r="S35" t="n">
        <v>29</v>
      </c>
      <c r="T35" t="n">
        <v>27.7</v>
      </c>
      <c r="U35" t="n">
        <v>75.5</v>
      </c>
      <c r="V35" t="n">
        <v>143</v>
      </c>
      <c r="W35" t="n">
        <v>5.162</v>
      </c>
      <c r="X35" t="n">
        <v>10</v>
      </c>
      <c r="Y35" t="n">
        <v>4</v>
      </c>
      <c r="Z35" t="n">
        <v>2</v>
      </c>
      <c r="AA35" t="n">
        <v>8</v>
      </c>
      <c r="AB35" t="n">
        <v>35</v>
      </c>
      <c r="AC35" t="n">
        <v>14</v>
      </c>
      <c r="AD35" t="n">
        <v>15</v>
      </c>
      <c r="AE35" t="n">
        <v>1</v>
      </c>
      <c r="AF35" t="n">
        <v>591</v>
      </c>
      <c r="AG35" t="n">
        <v>584</v>
      </c>
      <c r="AH35" t="n">
        <v>-7</v>
      </c>
      <c r="AI35" t="n">
        <v>144</v>
      </c>
      <c r="AJ35" t="n">
        <v>0.098</v>
      </c>
      <c r="AK35" t="n">
        <v>0.109</v>
      </c>
      <c r="AL35" t="n">
        <v>211</v>
      </c>
      <c r="AM35" t="n">
        <v>7.617</v>
      </c>
      <c r="AN35" t="n">
        <v>1</v>
      </c>
      <c r="AO35" t="n">
        <v>2</v>
      </c>
      <c r="AP35" t="n">
        <v>0.034</v>
      </c>
      <c r="AQ35" t="n">
        <v>0.138</v>
      </c>
      <c r="AR35" t="n">
        <v>0.034</v>
      </c>
      <c r="AS35" t="n">
        <v>0.763</v>
      </c>
      <c r="AT35" t="n">
        <v>0.848</v>
      </c>
      <c r="AU35" t="n">
        <v>14</v>
      </c>
      <c r="AV35" t="n">
        <v>0</v>
      </c>
      <c r="AW35" t="n">
        <v>3.1</v>
      </c>
      <c r="AX35" t="n">
        <v>9</v>
      </c>
      <c r="AY35" t="n">
        <v>6.9</v>
      </c>
      <c r="AZ35" t="n">
        <v>7.076</v>
      </c>
      <c r="BA35" t="n">
        <v>6.988</v>
      </c>
      <c r="BB35" t="n">
        <v>7.076</v>
      </c>
      <c r="BC35" t="n">
        <v>0.249</v>
      </c>
      <c r="BD35" t="n">
        <v>0.255</v>
      </c>
      <c r="BE35" t="n">
        <v>0.252</v>
      </c>
      <c r="BF35" t="n">
        <v>7.2</v>
      </c>
      <c r="BG35" t="n">
        <v>0.26</v>
      </c>
      <c r="BH35" t="n">
        <v>1.053</v>
      </c>
      <c r="BI35" t="n">
        <v>26.84</v>
      </c>
      <c r="BJ35" t="n">
        <v>7.268</v>
      </c>
      <c r="BK35" t="n">
        <v>0.262</v>
      </c>
      <c r="BL35" t="n">
        <v>3.012</v>
      </c>
      <c r="BM35" t="n">
        <v>0.3</v>
      </c>
      <c r="BN35" t="n">
        <v>2.8</v>
      </c>
      <c r="BO35" t="n">
        <v>-0.176</v>
      </c>
      <c r="BP35" t="n">
        <v>90</v>
      </c>
      <c r="BQ35" t="n">
        <v>35</v>
      </c>
      <c r="BR35" t="n">
        <v>4</v>
      </c>
      <c r="BS35" t="n">
        <v>137</v>
      </c>
      <c r="BT35" t="n">
        <v>4.946</v>
      </c>
      <c r="BW35" t="n">
        <v>3.36</v>
      </c>
      <c r="BX35" t="n">
        <v>3.698</v>
      </c>
      <c r="BY35" t="n">
        <v>3.529</v>
      </c>
      <c r="BZ35" t="n">
        <v>0.127</v>
      </c>
      <c r="CA35" t="n">
        <v>10.517</v>
      </c>
      <c r="CB35" t="n">
        <v>0.38</v>
      </c>
      <c r="CC35" t="n">
        <v>33</v>
      </c>
      <c r="CD35" t="n">
        <v>4</v>
      </c>
      <c r="CE35" t="n">
        <v>34</v>
      </c>
      <c r="CF35" t="n">
        <v>11</v>
      </c>
      <c r="CG35" t="n">
        <v>5</v>
      </c>
      <c r="CH35" t="n">
        <v>5</v>
      </c>
      <c r="CI35" t="n">
        <v>17.601</v>
      </c>
      <c r="CJ35" t="n">
        <v>10.044</v>
      </c>
      <c r="CK35" t="n">
        <v>46</v>
      </c>
      <c r="CL35" t="n">
        <v>126</v>
      </c>
      <c r="CM35" t="n">
        <v>39</v>
      </c>
      <c r="CN35" t="n">
        <v>23</v>
      </c>
      <c r="CO35" t="n">
        <v>21</v>
      </c>
      <c r="CP35" t="n">
        <v>22</v>
      </c>
      <c r="CQ35" t="n">
        <v>3</v>
      </c>
      <c r="CR35" t="n">
        <v>164</v>
      </c>
      <c r="CS35" t="n">
        <v>28</v>
      </c>
      <c r="CT35" t="n">
        <v>0.7</v>
      </c>
      <c r="CW35" t="n">
        <v>35.75</v>
      </c>
      <c r="CX35" t="n">
        <v>1.291</v>
      </c>
      <c r="CY35" t="n">
        <v>0</v>
      </c>
      <c r="DB35" t="n">
        <v>0</v>
      </c>
      <c r="DE35" t="n">
        <v>7.29</v>
      </c>
      <c r="DF35" t="n">
        <v>4</v>
      </c>
      <c r="DG35" t="n">
        <v>0</v>
      </c>
      <c r="DH35" t="n">
        <v>27</v>
      </c>
      <c r="DI35" t="n">
        <v>54</v>
      </c>
      <c r="DJ35" t="n">
        <v>2</v>
      </c>
      <c r="DL35" t="n">
        <v>44</v>
      </c>
      <c r="DM35" t="n">
        <v>53</v>
      </c>
      <c r="DN35" t="n">
        <v>2</v>
      </c>
      <c r="DO35" t="n">
        <v>12.2</v>
      </c>
      <c r="DP35" t="n">
        <v>153.17</v>
      </c>
      <c r="DQ35" t="n">
        <v>76.44</v>
      </c>
      <c r="DR35" t="n">
        <v>152.88</v>
      </c>
      <c r="DS35" t="n">
        <v>0.29</v>
      </c>
      <c r="DT35" t="n">
        <v>2616</v>
      </c>
      <c r="DU35" t="n">
        <v>68.84999999999999</v>
      </c>
      <c r="DV35" t="inlineStr">
        <is>
          <t>flat</t>
        </is>
      </c>
      <c r="DW35" t="n">
        <v>16.49</v>
      </c>
      <c r="DX35" t="n">
        <v>14.95</v>
      </c>
      <c r="DY35" t="n">
        <v>16.57</v>
      </c>
      <c r="DZ35" t="n">
        <v>0.08</v>
      </c>
      <c r="EA35" t="n">
        <v>1450</v>
      </c>
      <c r="EB35" t="n">
        <v>9.77</v>
      </c>
      <c r="EC35" t="n">
        <v>1.71</v>
      </c>
      <c r="ED35" t="n">
        <v>118.67</v>
      </c>
      <c r="EE35" t="n">
        <v>2768</v>
      </c>
      <c r="EF35" t="b">
        <v>1</v>
      </c>
      <c r="EG35" t="n">
        <v>99.90000000000001</v>
      </c>
      <c r="EH35" t="n">
        <v>43.2</v>
      </c>
      <c r="EI35" t="n">
        <v>12</v>
      </c>
      <c r="EJ35" t="n">
        <v>27.7</v>
      </c>
      <c r="EK35" t="n">
        <v>18.2</v>
      </c>
      <c r="EL35" t="n">
        <v>73.3</v>
      </c>
      <c r="EM35" t="n">
        <v>356.8</v>
      </c>
      <c r="EN35" t="n">
        <v>706.4</v>
      </c>
      <c r="EO35" t="n">
        <v>237</v>
      </c>
      <c r="EP35" t="n">
        <v>17.4</v>
      </c>
    </row>
    <row r="36">
      <c r="A36" t="inlineStr">
        <is>
          <t>Caoimhín Kelleher</t>
        </is>
      </c>
      <c r="B36" t="inlineStr">
        <is>
          <t>BRE</t>
        </is>
      </c>
      <c r="C36" t="inlineStr">
        <is>
          <t>GKP</t>
        </is>
      </c>
      <c r="D36" t="inlineStr">
        <is>
          <t>GKP</t>
        </is>
      </c>
      <c r="E36" t="n">
        <v>5</v>
      </c>
      <c r="F36" t="b">
        <v>1</v>
      </c>
      <c r="G36" t="b">
        <v>1</v>
      </c>
      <c r="H36" t="n">
        <v>27.7</v>
      </c>
      <c r="I36" t="inlineStr">
        <is>
          <t>a</t>
        </is>
      </c>
      <c r="L36" t="inlineStr">
        <is>
          <t>p200720</t>
        </is>
      </c>
      <c r="M36" t="n">
        <v>82</v>
      </c>
      <c r="Q36" t="n">
        <v>3330</v>
      </c>
      <c r="R36" t="n">
        <v>37</v>
      </c>
      <c r="S36" t="n">
        <v>37</v>
      </c>
      <c r="T36" t="n">
        <v>37</v>
      </c>
      <c r="U36" t="n">
        <v>90</v>
      </c>
      <c r="V36" t="n">
        <v>143</v>
      </c>
      <c r="W36" t="n">
        <v>3.865</v>
      </c>
      <c r="X36" t="n">
        <v>0</v>
      </c>
      <c r="Y36" t="n">
        <v>0</v>
      </c>
      <c r="AA36" t="n">
        <v>10</v>
      </c>
      <c r="AB36" t="n">
        <v>49</v>
      </c>
      <c r="AC36" t="n">
        <v>11</v>
      </c>
      <c r="AD36" t="n">
        <v>14</v>
      </c>
      <c r="AE36" t="n">
        <v>3</v>
      </c>
      <c r="AF36" t="n">
        <v>570</v>
      </c>
      <c r="AG36" t="n">
        <v>562</v>
      </c>
      <c r="AH36" t="n">
        <v>-8</v>
      </c>
      <c r="AI36" t="n">
        <v>146</v>
      </c>
      <c r="AJ36" t="n">
        <v>0.077</v>
      </c>
      <c r="AK36" t="n">
        <v>0.083</v>
      </c>
      <c r="AL36" t="n">
        <v>0</v>
      </c>
      <c r="AM36" t="n">
        <v>0</v>
      </c>
      <c r="AN36" t="n">
        <v>0</v>
      </c>
      <c r="AO36" t="n">
        <v>0</v>
      </c>
      <c r="AP36" t="n">
        <v>0</v>
      </c>
      <c r="AQ36" t="n">
        <v>0</v>
      </c>
      <c r="AR36" t="n">
        <v>0</v>
      </c>
      <c r="AS36" t="n">
        <v>0.974</v>
      </c>
      <c r="AT36" t="n">
        <v>1</v>
      </c>
      <c r="AU36" t="n">
        <v>21</v>
      </c>
      <c r="AV36" t="n">
        <v>3</v>
      </c>
      <c r="AW36" t="n">
        <v>3.36</v>
      </c>
      <c r="AX36" t="n">
        <v>13</v>
      </c>
      <c r="AY36" t="n">
        <v>0</v>
      </c>
      <c r="AZ36" t="n">
        <v>0</v>
      </c>
      <c r="BA36" t="n">
        <v>0</v>
      </c>
      <c r="BB36" t="n">
        <v>0</v>
      </c>
      <c r="BC36" t="n">
        <v>0</v>
      </c>
      <c r="BD36" t="n">
        <v>0</v>
      </c>
      <c r="BE36" t="n">
        <v>0</v>
      </c>
      <c r="BH36" t="n">
        <v>1</v>
      </c>
      <c r="BI36" t="n">
        <v>0</v>
      </c>
      <c r="BJ36" t="n">
        <v>0</v>
      </c>
      <c r="BK36" t="n">
        <v>0</v>
      </c>
      <c r="BL36" t="n">
        <v>0</v>
      </c>
      <c r="BO36" t="n">
        <v>0</v>
      </c>
      <c r="BW36" t="n">
        <v>0.22</v>
      </c>
      <c r="BX36" t="n">
        <v>0.106</v>
      </c>
      <c r="BY36" t="n">
        <v>0.163</v>
      </c>
      <c r="BZ36" t="n">
        <v>0.004</v>
      </c>
      <c r="CA36" t="n">
        <v>0.163</v>
      </c>
      <c r="CB36" t="n">
        <v>0.004</v>
      </c>
      <c r="CC36" t="n">
        <v>2</v>
      </c>
      <c r="CE36" t="n">
        <v>2</v>
      </c>
      <c r="CG36" t="n">
        <v>1</v>
      </c>
      <c r="CI36" t="n">
        <v>5.348</v>
      </c>
      <c r="CJ36" t="n">
        <v>5.242</v>
      </c>
      <c r="CK36" t="n">
        <v>48</v>
      </c>
      <c r="CL36" t="n">
        <v>301</v>
      </c>
      <c r="CM36" t="n">
        <v>1</v>
      </c>
      <c r="CO36" t="n">
        <v>1</v>
      </c>
      <c r="CP36" t="n">
        <v>47</v>
      </c>
      <c r="CR36" t="n">
        <v>16</v>
      </c>
      <c r="CS36" t="n">
        <v>7</v>
      </c>
      <c r="CU36" t="n">
        <v>2</v>
      </c>
      <c r="CV36" t="n">
        <v>1</v>
      </c>
      <c r="CW36" t="n">
        <v>53.48</v>
      </c>
      <c r="CX36" t="n">
        <v>1.445</v>
      </c>
      <c r="CY36" t="n">
        <v>109</v>
      </c>
      <c r="CZ36" t="n">
        <v>69.2</v>
      </c>
      <c r="DA36" t="n">
        <v>-0.1</v>
      </c>
      <c r="DB36" t="n">
        <v>3</v>
      </c>
      <c r="DC36" t="n">
        <v>27</v>
      </c>
      <c r="DD36" t="n">
        <v>31</v>
      </c>
      <c r="DE36" t="n">
        <v>6.93</v>
      </c>
      <c r="DF36" t="n">
        <v>1</v>
      </c>
      <c r="DG36" t="n">
        <v>0</v>
      </c>
      <c r="DH36" t="n">
        <v>3</v>
      </c>
      <c r="DI36" t="n">
        <v>6</v>
      </c>
      <c r="DK36" t="n">
        <v>3</v>
      </c>
      <c r="DL36" t="n">
        <v>3</v>
      </c>
      <c r="DO36" t="n">
        <v>5.7</v>
      </c>
      <c r="DP36" t="n">
        <v>127.72</v>
      </c>
      <c r="DQ36" t="n">
        <v>63.86</v>
      </c>
      <c r="DR36" t="n">
        <v>127.72</v>
      </c>
      <c r="DS36" t="n">
        <v>0</v>
      </c>
      <c r="DT36" t="n">
        <v>3385</v>
      </c>
      <c r="DU36" t="n">
        <v>89.09</v>
      </c>
      <c r="DV36" t="inlineStr">
        <is>
          <t>flat</t>
        </is>
      </c>
      <c r="DW36" t="n">
        <v>80.19</v>
      </c>
      <c r="DX36" t="n">
        <v>84.13</v>
      </c>
      <c r="DY36" t="n">
        <v>77.19</v>
      </c>
      <c r="DZ36" t="n">
        <v>-2.99</v>
      </c>
      <c r="EA36" t="n">
        <v>1467</v>
      </c>
      <c r="EB36" t="n">
        <v>24.4</v>
      </c>
      <c r="EC36" t="n">
        <v>2.67</v>
      </c>
      <c r="ED36" t="n">
        <v>120</v>
      </c>
      <c r="EE36" t="n">
        <v>2818</v>
      </c>
      <c r="EF36" t="b">
        <v>1</v>
      </c>
      <c r="EG36" t="n">
        <v>99.2</v>
      </c>
      <c r="EH36" t="n">
        <v>41.7</v>
      </c>
      <c r="EI36" t="n">
        <v>224</v>
      </c>
      <c r="EL36" t="n">
        <v>1665</v>
      </c>
      <c r="EN36" t="n">
        <v>20404.3</v>
      </c>
      <c r="EO36" t="n">
        <v>20404.3</v>
      </c>
      <c r="EP36" t="n">
        <v>23.3</v>
      </c>
    </row>
    <row r="37">
      <c r="A37" t="inlineStr">
        <is>
          <t>Dominic Calvert-Lewin</t>
        </is>
      </c>
      <c r="B37" t="inlineStr">
        <is>
          <t>LEE</t>
        </is>
      </c>
      <c r="C37" t="inlineStr">
        <is>
          <t>FWD</t>
        </is>
      </c>
      <c r="D37" t="inlineStr">
        <is>
          <t>FWD</t>
        </is>
      </c>
      <c r="E37" t="n">
        <v>6</v>
      </c>
      <c r="F37" t="b">
        <v>1</v>
      </c>
      <c r="G37" t="b">
        <v>1</v>
      </c>
      <c r="H37" t="n">
        <v>29.4</v>
      </c>
      <c r="I37" t="inlineStr">
        <is>
          <t>a</t>
        </is>
      </c>
      <c r="L37" t="inlineStr">
        <is>
          <t>p177815</t>
        </is>
      </c>
      <c r="M37" t="n">
        <v>346</v>
      </c>
      <c r="N37" t="n">
        <v>1</v>
      </c>
      <c r="Q37" t="n">
        <v>2721</v>
      </c>
      <c r="R37" t="n">
        <v>35</v>
      </c>
      <c r="S37" t="n">
        <v>30</v>
      </c>
      <c r="T37" t="n">
        <v>30.233</v>
      </c>
      <c r="U37" t="n">
        <v>77.7</v>
      </c>
      <c r="V37" t="n">
        <v>142</v>
      </c>
      <c r="W37" t="n">
        <v>4.697</v>
      </c>
      <c r="X37" t="n">
        <v>14</v>
      </c>
      <c r="Y37" t="n">
        <v>2</v>
      </c>
      <c r="Z37" t="n">
        <v>1</v>
      </c>
      <c r="AA37" t="n">
        <v>8</v>
      </c>
      <c r="AB37" t="n">
        <v>34</v>
      </c>
      <c r="AC37" t="n">
        <v>20</v>
      </c>
      <c r="AD37" t="n">
        <v>20</v>
      </c>
      <c r="AE37" t="n">
        <v>0</v>
      </c>
      <c r="AF37" t="n">
        <v>472</v>
      </c>
      <c r="AG37" t="n">
        <v>464</v>
      </c>
      <c r="AH37" t="n">
        <v>-8</v>
      </c>
      <c r="AI37" t="n">
        <v>142</v>
      </c>
      <c r="AJ37" t="n">
        <v>0.141</v>
      </c>
      <c r="AK37" t="n">
        <v>0.164</v>
      </c>
      <c r="AL37" t="n">
        <v>105</v>
      </c>
      <c r="AM37" t="n">
        <v>3.473</v>
      </c>
      <c r="AN37" t="n">
        <v>0</v>
      </c>
      <c r="AO37" t="n">
        <v>0</v>
      </c>
      <c r="AP37" t="n">
        <v>0</v>
      </c>
      <c r="AQ37" t="n">
        <v>0</v>
      </c>
      <c r="AR37" t="n">
        <v>0</v>
      </c>
      <c r="AS37" t="n">
        <v>0.789</v>
      </c>
      <c r="AT37" t="n">
        <v>0.857</v>
      </c>
      <c r="AU37" t="n">
        <v>22</v>
      </c>
      <c r="AV37" t="n">
        <v>2</v>
      </c>
      <c r="AW37" t="n">
        <v>3.38</v>
      </c>
      <c r="AX37" t="n">
        <v>13</v>
      </c>
      <c r="AY37" t="n">
        <v>15.57</v>
      </c>
      <c r="AZ37" t="n">
        <v>18.671</v>
      </c>
      <c r="BA37" t="n">
        <v>17.121</v>
      </c>
      <c r="BB37" t="n">
        <v>14.866</v>
      </c>
      <c r="BC37" t="n">
        <v>0.515</v>
      </c>
      <c r="BD37" t="n">
        <v>0.618</v>
      </c>
      <c r="BE37" t="n">
        <v>0.5659999999999999</v>
      </c>
      <c r="BF37" t="n">
        <v>15.4</v>
      </c>
      <c r="BG37" t="n">
        <v>0.509</v>
      </c>
      <c r="BH37" t="n">
        <v>0.868</v>
      </c>
      <c r="BI37" t="n">
        <v>40.86</v>
      </c>
      <c r="BJ37" t="n">
        <v>13.511</v>
      </c>
      <c r="BK37" t="n">
        <v>0.447</v>
      </c>
      <c r="BL37" t="n">
        <v>-3.121</v>
      </c>
      <c r="BM37" t="n">
        <v>-0.17</v>
      </c>
      <c r="BN37" t="n">
        <v>-1.4</v>
      </c>
      <c r="BO37" t="n">
        <v>-3.101</v>
      </c>
      <c r="BP37" t="n">
        <v>74</v>
      </c>
      <c r="BQ37" t="n">
        <v>34</v>
      </c>
      <c r="BR37" t="n">
        <v>20</v>
      </c>
      <c r="BS37" t="n">
        <v>135</v>
      </c>
      <c r="BT37" t="n">
        <v>4.465</v>
      </c>
      <c r="BU37" t="n">
        <v>4</v>
      </c>
      <c r="BV37" t="n">
        <v>3</v>
      </c>
      <c r="BW37" t="n">
        <v>1.06</v>
      </c>
      <c r="BX37" t="n">
        <v>1.544</v>
      </c>
      <c r="BY37" t="n">
        <v>1.302</v>
      </c>
      <c r="BZ37" t="n">
        <v>0.043</v>
      </c>
      <c r="CA37" t="n">
        <v>18.423</v>
      </c>
      <c r="CB37" t="n">
        <v>0.609</v>
      </c>
      <c r="CC37" t="n">
        <v>20</v>
      </c>
      <c r="CD37" t="n">
        <v>2</v>
      </c>
      <c r="CE37" t="n">
        <v>20</v>
      </c>
      <c r="CF37" t="n">
        <v>1</v>
      </c>
      <c r="CG37" t="n">
        <v>1</v>
      </c>
      <c r="CH37" t="n">
        <v>0</v>
      </c>
      <c r="CI37" t="n">
        <v>18.026</v>
      </c>
      <c r="CJ37" t="n">
        <v>2.768</v>
      </c>
      <c r="CK37" t="n">
        <v>49</v>
      </c>
      <c r="CL37" t="n">
        <v>46</v>
      </c>
      <c r="CM37" t="n">
        <v>10</v>
      </c>
      <c r="CN37" t="n">
        <v>4</v>
      </c>
      <c r="CO37" t="n">
        <v>4</v>
      </c>
      <c r="CP37" t="n">
        <v>36</v>
      </c>
      <c r="CQ37" t="n">
        <v>9</v>
      </c>
      <c r="CR37" t="n">
        <v>184</v>
      </c>
      <c r="CS37" t="n">
        <v>128</v>
      </c>
      <c r="CT37" t="n">
        <v>0.6</v>
      </c>
      <c r="CV37" t="n">
        <v>1</v>
      </c>
      <c r="CW37" t="n">
        <v>35.74</v>
      </c>
      <c r="CX37" t="n">
        <v>1.182</v>
      </c>
      <c r="CY37" t="n">
        <v>0</v>
      </c>
      <c r="DB37" t="n">
        <v>0</v>
      </c>
      <c r="DE37" t="n">
        <v>6.85</v>
      </c>
      <c r="DF37" t="n">
        <v>3</v>
      </c>
      <c r="DG37" t="n">
        <v>0</v>
      </c>
      <c r="DH37" t="n">
        <v>45</v>
      </c>
      <c r="DI37" t="n">
        <v>38</v>
      </c>
      <c r="DJ37" t="n">
        <v>2</v>
      </c>
      <c r="DL37" t="n">
        <v>8</v>
      </c>
      <c r="DM37" t="n">
        <v>29</v>
      </c>
      <c r="DN37" t="n">
        <v>26</v>
      </c>
      <c r="DO37" t="n">
        <v>25.4</v>
      </c>
      <c r="DP37" t="n">
        <v>159.66</v>
      </c>
      <c r="DQ37" t="n">
        <v>79.83</v>
      </c>
      <c r="DR37" t="n">
        <v>159.66</v>
      </c>
      <c r="DS37" t="n">
        <v>0</v>
      </c>
      <c r="DT37" t="n">
        <v>3084</v>
      </c>
      <c r="DU37" t="n">
        <v>81.15000000000001</v>
      </c>
      <c r="DV37" t="inlineStr">
        <is>
          <t>flat</t>
        </is>
      </c>
      <c r="DW37" t="n">
        <v>35.52</v>
      </c>
      <c r="DX37" t="n">
        <v>34.78</v>
      </c>
      <c r="DY37" t="n">
        <v>32.72</v>
      </c>
      <c r="DZ37" t="n">
        <v>-2.8</v>
      </c>
      <c r="EA37" t="n">
        <v>1625</v>
      </c>
      <c r="EB37" t="n">
        <v>17.66</v>
      </c>
      <c r="EC37" t="n">
        <v>2</v>
      </c>
      <c r="ED37" t="n">
        <v>118.86</v>
      </c>
      <c r="EE37" t="n">
        <v>3968</v>
      </c>
      <c r="EF37" t="b">
        <v>1</v>
      </c>
      <c r="EG37" t="n">
        <v>99.59999999999999</v>
      </c>
      <c r="EH37" t="n">
        <v>18.3</v>
      </c>
      <c r="EI37" t="n">
        <v>65</v>
      </c>
      <c r="EJ37" t="n">
        <v>36.8</v>
      </c>
      <c r="EK37" t="n">
        <v>20.2</v>
      </c>
      <c r="EL37" t="n">
        <v>136</v>
      </c>
      <c r="EM37" t="n">
        <v>158.9</v>
      </c>
      <c r="EN37" t="n">
        <v>2089.8</v>
      </c>
      <c r="EO37" t="n">
        <v>147.7</v>
      </c>
      <c r="EP37" t="n">
        <v>19.2</v>
      </c>
    </row>
    <row r="38">
      <c r="A38" t="inlineStr">
        <is>
          <t>Marcus Tavernier</t>
        </is>
      </c>
      <c r="B38" t="inlineStr">
        <is>
          <t>BOU</t>
        </is>
      </c>
      <c r="C38" t="inlineStr">
        <is>
          <t>MID</t>
        </is>
      </c>
      <c r="D38" t="inlineStr">
        <is>
          <t>MID</t>
        </is>
      </c>
      <c r="E38" t="n">
        <v>6</v>
      </c>
      <c r="F38" t="b">
        <v>1</v>
      </c>
      <c r="G38" t="b">
        <v>1</v>
      </c>
      <c r="H38" t="n">
        <v>27.4</v>
      </c>
      <c r="I38" t="inlineStr">
        <is>
          <t>a</t>
        </is>
      </c>
      <c r="L38" t="inlineStr">
        <is>
          <t>p201658</t>
        </is>
      </c>
      <c r="M38" t="n">
        <v>68</v>
      </c>
      <c r="N38" t="n">
        <v>3</v>
      </c>
      <c r="O38" t="n">
        <v>1</v>
      </c>
      <c r="P38" t="n">
        <v>1</v>
      </c>
      <c r="Q38" t="n">
        <v>2732</v>
      </c>
      <c r="R38" t="n">
        <v>34</v>
      </c>
      <c r="S38" t="n">
        <v>31</v>
      </c>
      <c r="T38" t="n">
        <v>30.356</v>
      </c>
      <c r="U38" t="n">
        <v>80.40000000000001</v>
      </c>
      <c r="V38" t="n">
        <v>137</v>
      </c>
      <c r="W38" t="n">
        <v>4.513</v>
      </c>
      <c r="X38" t="n">
        <v>7</v>
      </c>
      <c r="Y38" t="n">
        <v>4</v>
      </c>
      <c r="Z38" t="n">
        <v>4</v>
      </c>
      <c r="AA38" t="n">
        <v>11</v>
      </c>
      <c r="AB38" t="n">
        <v>44</v>
      </c>
      <c r="AC38" t="n">
        <v>14</v>
      </c>
      <c r="AD38" t="n">
        <v>14</v>
      </c>
      <c r="AE38" t="n">
        <v>0</v>
      </c>
      <c r="AF38" t="n">
        <v>552</v>
      </c>
      <c r="AG38" t="n">
        <v>543</v>
      </c>
      <c r="AH38" t="n">
        <v>-9</v>
      </c>
      <c r="AI38" t="n">
        <v>137</v>
      </c>
      <c r="AJ38" t="n">
        <v>0.102</v>
      </c>
      <c r="AK38" t="n">
        <v>0.114</v>
      </c>
      <c r="AL38" t="n">
        <v>251</v>
      </c>
      <c r="AM38" t="n">
        <v>8.269</v>
      </c>
      <c r="AN38" t="n">
        <v>3</v>
      </c>
      <c r="AO38" t="n">
        <v>6</v>
      </c>
      <c r="AP38" t="n">
        <v>0.097</v>
      </c>
      <c r="AQ38" t="n">
        <v>0.194</v>
      </c>
      <c r="AR38" t="n">
        <v>0.097</v>
      </c>
      <c r="AS38" t="n">
        <v>0.8159999999999999</v>
      </c>
      <c r="AT38" t="n">
        <v>0.912</v>
      </c>
      <c r="AU38" t="n">
        <v>16</v>
      </c>
      <c r="AV38" t="n">
        <v>4</v>
      </c>
      <c r="AW38" t="n">
        <v>3.28</v>
      </c>
      <c r="AX38" t="n">
        <v>12</v>
      </c>
      <c r="AY38" t="n">
        <v>9.06</v>
      </c>
      <c r="AZ38" t="n">
        <v>9.398</v>
      </c>
      <c r="BA38" t="n">
        <v>9.228999999999999</v>
      </c>
      <c r="BB38" t="n">
        <v>7.875</v>
      </c>
      <c r="BC38" t="n">
        <v>0.298</v>
      </c>
      <c r="BD38" t="n">
        <v>0.31</v>
      </c>
      <c r="BE38" t="n">
        <v>0.304</v>
      </c>
      <c r="BF38" t="n">
        <v>6.4</v>
      </c>
      <c r="BG38" t="n">
        <v>0.211</v>
      </c>
      <c r="BH38" t="n">
        <v>0.892</v>
      </c>
      <c r="BI38" t="n">
        <v>21.58</v>
      </c>
      <c r="BJ38" t="n">
        <v>8.086</v>
      </c>
      <c r="BK38" t="n">
        <v>0.266</v>
      </c>
      <c r="BL38" t="n">
        <v>-2.229</v>
      </c>
      <c r="BM38" t="n">
        <v>-2.66</v>
      </c>
      <c r="BN38" t="n">
        <v>0.6</v>
      </c>
      <c r="BO38" t="n">
        <v>-0.338</v>
      </c>
      <c r="BP38" t="n">
        <v>70</v>
      </c>
      <c r="BQ38" t="n">
        <v>24</v>
      </c>
      <c r="BR38" t="n">
        <v>8</v>
      </c>
      <c r="BS38" t="n">
        <v>114</v>
      </c>
      <c r="BT38" t="n">
        <v>3.755</v>
      </c>
      <c r="BU38" t="n">
        <v>2</v>
      </c>
      <c r="BW38" t="n">
        <v>4.6</v>
      </c>
      <c r="BX38" t="n">
        <v>6.159</v>
      </c>
      <c r="BY38" t="n">
        <v>5.379</v>
      </c>
      <c r="BZ38" t="n">
        <v>0.177</v>
      </c>
      <c r="CA38" t="n">
        <v>14.608</v>
      </c>
      <c r="CB38" t="n">
        <v>0.481</v>
      </c>
      <c r="CC38" t="n">
        <v>52</v>
      </c>
      <c r="CD38" t="n">
        <v>9</v>
      </c>
      <c r="CE38" t="n">
        <v>54</v>
      </c>
      <c r="CF38" t="n">
        <v>19</v>
      </c>
      <c r="CG38" t="n">
        <v>3</v>
      </c>
      <c r="CH38" t="n">
        <v>63</v>
      </c>
      <c r="CI38" t="n">
        <v>17.828</v>
      </c>
      <c r="CJ38" t="n">
        <v>8.153</v>
      </c>
      <c r="CK38" t="n">
        <v>62</v>
      </c>
      <c r="CL38" t="n">
        <v>150</v>
      </c>
      <c r="CM38" t="n">
        <v>39</v>
      </c>
      <c r="CN38" t="n">
        <v>22</v>
      </c>
      <c r="CO38" t="n">
        <v>17</v>
      </c>
      <c r="CP38" t="n">
        <v>39</v>
      </c>
      <c r="CQ38" t="n">
        <v>6</v>
      </c>
      <c r="CR38" t="n">
        <v>138</v>
      </c>
      <c r="CS38" t="n">
        <v>24</v>
      </c>
      <c r="CT38" t="n">
        <v>0.9</v>
      </c>
      <c r="CW38" t="n">
        <v>41.06</v>
      </c>
      <c r="CX38" t="n">
        <v>1.353</v>
      </c>
      <c r="CY38" t="n">
        <v>0</v>
      </c>
      <c r="DB38" t="n">
        <v>0</v>
      </c>
      <c r="DE38" t="n">
        <v>7.24</v>
      </c>
      <c r="DF38" t="n">
        <v>6</v>
      </c>
      <c r="DG38" t="n">
        <v>0</v>
      </c>
      <c r="DH38" t="n">
        <v>30</v>
      </c>
      <c r="DI38" t="n">
        <v>35</v>
      </c>
      <c r="DL38" t="n">
        <v>39</v>
      </c>
      <c r="DM38" t="n">
        <v>44</v>
      </c>
      <c r="DN38" t="n">
        <v>4</v>
      </c>
      <c r="DO38" t="n">
        <v>1.8</v>
      </c>
      <c r="DP38" t="n">
        <v>159.9</v>
      </c>
      <c r="DQ38" t="n">
        <v>80.65000000000001</v>
      </c>
      <c r="DR38" t="n">
        <v>161.3</v>
      </c>
      <c r="DS38" t="n">
        <v>-1.4</v>
      </c>
      <c r="DT38" t="n">
        <v>3061</v>
      </c>
      <c r="DU38" t="n">
        <v>80.55</v>
      </c>
      <c r="DV38" t="inlineStr">
        <is>
          <t>flat</t>
        </is>
      </c>
      <c r="DW38" t="n">
        <v>72.40000000000001</v>
      </c>
      <c r="DX38" t="n">
        <v>77.39</v>
      </c>
      <c r="DY38" t="n">
        <v>68.78</v>
      </c>
      <c r="DZ38" t="n">
        <v>-3.63</v>
      </c>
      <c r="EA38" t="n">
        <v>1021</v>
      </c>
      <c r="EB38" t="n">
        <v>21.4</v>
      </c>
      <c r="EC38" t="n">
        <v>12.5</v>
      </c>
      <c r="ED38" t="n">
        <v>120</v>
      </c>
      <c r="EE38" t="n">
        <v>2050</v>
      </c>
      <c r="EF38" t="b">
        <v>1</v>
      </c>
      <c r="EG38" t="n">
        <v>46.7</v>
      </c>
      <c r="EH38" t="n">
        <v>10</v>
      </c>
      <c r="EI38" t="n">
        <v>67</v>
      </c>
      <c r="EJ38" t="n">
        <v>39</v>
      </c>
      <c r="EK38" t="n">
        <v>24</v>
      </c>
      <c r="EL38" t="n">
        <v>50.6</v>
      </c>
      <c r="EM38" t="n">
        <v>296</v>
      </c>
      <c r="EN38" t="n">
        <v>507.9</v>
      </c>
      <c r="EO38" t="n">
        <v>187</v>
      </c>
      <c r="EP38" t="n">
        <v>19.9</v>
      </c>
    </row>
    <row r="39">
      <c r="A39" t="inlineStr">
        <is>
          <t>William Saliba</t>
        </is>
      </c>
      <c r="B39" t="inlineStr">
        <is>
          <t>ARS</t>
        </is>
      </c>
      <c r="C39" t="inlineStr">
        <is>
          <t>DEF</t>
        </is>
      </c>
      <c r="D39" t="inlineStr">
        <is>
          <t>DEF</t>
        </is>
      </c>
      <c r="E39" t="n">
        <v>6</v>
      </c>
      <c r="F39" t="b">
        <v>1</v>
      </c>
      <c r="G39" t="b">
        <v>1</v>
      </c>
      <c r="H39" t="n">
        <v>25.4</v>
      </c>
      <c r="I39" t="inlineStr">
        <is>
          <t>i</t>
        </is>
      </c>
      <c r="J39" t="inlineStr">
        <is>
          <t>Back injury - Unknown return date</t>
        </is>
      </c>
      <c r="K39" t="n">
        <v>0</v>
      </c>
      <c r="L39" t="inlineStr">
        <is>
          <t>p462424</t>
        </is>
      </c>
      <c r="M39" t="n">
        <v>6</v>
      </c>
      <c r="Q39" t="n">
        <v>2614</v>
      </c>
      <c r="R39" t="n">
        <v>31</v>
      </c>
      <c r="S39" t="n">
        <v>30</v>
      </c>
      <c r="T39" t="n">
        <v>29.044</v>
      </c>
      <c r="U39" t="n">
        <v>84.3</v>
      </c>
      <c r="V39" t="n">
        <v>137</v>
      </c>
      <c r="W39" t="n">
        <v>4.717</v>
      </c>
      <c r="X39" t="n">
        <v>1</v>
      </c>
      <c r="Y39" t="n">
        <v>0</v>
      </c>
      <c r="AA39" t="n">
        <v>15</v>
      </c>
      <c r="AB39" t="n">
        <v>20</v>
      </c>
      <c r="AC39" t="n">
        <v>12</v>
      </c>
      <c r="AD39" t="n">
        <v>11</v>
      </c>
      <c r="AE39" t="n">
        <v>-1</v>
      </c>
      <c r="AF39" t="n">
        <v>581</v>
      </c>
      <c r="AG39" t="n">
        <v>552</v>
      </c>
      <c r="AH39" t="n">
        <v>-29</v>
      </c>
      <c r="AI39" t="n">
        <v>136</v>
      </c>
      <c r="AJ39" t="n">
        <v>0.08799999999999999</v>
      </c>
      <c r="AK39" t="n">
        <v>0.096</v>
      </c>
      <c r="AL39" t="n">
        <v>193</v>
      </c>
      <c r="AM39" t="n">
        <v>6.645</v>
      </c>
      <c r="AN39" t="n">
        <v>4</v>
      </c>
      <c r="AO39" t="n">
        <v>8</v>
      </c>
      <c r="AP39" t="n">
        <v>0.133</v>
      </c>
      <c r="AQ39" t="n">
        <v>0.133</v>
      </c>
      <c r="AR39" t="n">
        <v>0.067</v>
      </c>
      <c r="AS39" t="n">
        <v>0.789</v>
      </c>
      <c r="AT39" t="n">
        <v>0.903</v>
      </c>
      <c r="AU39" t="n">
        <v>14</v>
      </c>
      <c r="AV39" t="n">
        <v>2</v>
      </c>
      <c r="AW39" t="n">
        <v>3.29</v>
      </c>
      <c r="AX39" t="n">
        <v>11</v>
      </c>
      <c r="AY39" t="n">
        <v>0.88</v>
      </c>
      <c r="AZ39" t="n">
        <v>1.578</v>
      </c>
      <c r="BA39" t="n">
        <v>1.229</v>
      </c>
      <c r="BB39" t="n">
        <v>1.578</v>
      </c>
      <c r="BC39" t="n">
        <v>0.03</v>
      </c>
      <c r="BD39" t="n">
        <v>0.054</v>
      </c>
      <c r="BE39" t="n">
        <v>0.042</v>
      </c>
      <c r="BF39" t="n">
        <v>0.9</v>
      </c>
      <c r="BG39" t="n">
        <v>0.031</v>
      </c>
      <c r="BH39" t="n">
        <v>0.949</v>
      </c>
      <c r="BI39" t="n">
        <v>5.91</v>
      </c>
      <c r="BJ39" t="n">
        <v>0.835</v>
      </c>
      <c r="BK39" t="n">
        <v>0.029</v>
      </c>
      <c r="BL39" t="n">
        <v>-0.229</v>
      </c>
      <c r="BM39" t="n">
        <v>0.02</v>
      </c>
      <c r="BN39" t="n">
        <v>0.1</v>
      </c>
      <c r="BO39" t="n">
        <v>-0.698</v>
      </c>
      <c r="BP39" t="n">
        <v>5</v>
      </c>
      <c r="BQ39" t="n">
        <v>1</v>
      </c>
      <c r="BR39" t="n">
        <v>2</v>
      </c>
      <c r="BS39" t="n">
        <v>22</v>
      </c>
      <c r="BT39" t="n">
        <v>0.757</v>
      </c>
      <c r="BV39" t="n">
        <v>1</v>
      </c>
      <c r="BW39" t="n">
        <v>1.21</v>
      </c>
      <c r="BX39" t="n">
        <v>1.306</v>
      </c>
      <c r="BY39" t="n">
        <v>1.258</v>
      </c>
      <c r="BZ39" t="n">
        <v>0.043</v>
      </c>
      <c r="CA39" t="n">
        <v>2.487</v>
      </c>
      <c r="CB39" t="n">
        <v>0.08599999999999999</v>
      </c>
      <c r="CC39" t="n">
        <v>10</v>
      </c>
      <c r="CD39" t="n">
        <v>1</v>
      </c>
      <c r="CE39" t="n">
        <v>10</v>
      </c>
      <c r="CF39" t="n">
        <v>4</v>
      </c>
      <c r="CG39" t="n">
        <v>2</v>
      </c>
      <c r="CI39" t="n">
        <v>11.017</v>
      </c>
      <c r="CJ39" t="n">
        <v>10.502</v>
      </c>
      <c r="CK39" t="n">
        <v>158</v>
      </c>
      <c r="CL39" t="n">
        <v>113</v>
      </c>
      <c r="CM39" t="n">
        <v>35</v>
      </c>
      <c r="CN39" t="n">
        <v>22</v>
      </c>
      <c r="CO39" t="n">
        <v>17</v>
      </c>
      <c r="CP39" t="n">
        <v>133</v>
      </c>
      <c r="CQ39" t="n">
        <v>7</v>
      </c>
      <c r="CR39" t="n">
        <v>131</v>
      </c>
      <c r="CS39" t="n">
        <v>73</v>
      </c>
      <c r="CT39" t="n">
        <v>0.1</v>
      </c>
      <c r="CV39" t="n">
        <v>2</v>
      </c>
      <c r="CW39" t="n">
        <v>20.41</v>
      </c>
      <c r="CX39" t="n">
        <v>0.703</v>
      </c>
      <c r="CY39" t="n">
        <v>0</v>
      </c>
      <c r="DB39" t="n">
        <v>0</v>
      </c>
      <c r="DE39" t="n">
        <v>7.16</v>
      </c>
      <c r="DF39" t="n">
        <v>2</v>
      </c>
      <c r="DG39" t="n">
        <v>0</v>
      </c>
      <c r="DH39" t="n">
        <v>22</v>
      </c>
      <c r="DI39" t="n">
        <v>16</v>
      </c>
      <c r="DL39" t="n">
        <v>7</v>
      </c>
      <c r="DM39" t="n">
        <v>9</v>
      </c>
      <c r="DN39" t="n">
        <v>1</v>
      </c>
      <c r="DO39" t="n">
        <v>0.5</v>
      </c>
      <c r="DP39" t="n">
        <v>136.05</v>
      </c>
      <c r="DQ39" t="n">
        <v>57.06</v>
      </c>
      <c r="DR39" t="n">
        <v>114.12</v>
      </c>
      <c r="DS39" t="n">
        <v>21.93</v>
      </c>
      <c r="DT39" t="n">
        <v>3278</v>
      </c>
      <c r="DU39" t="n">
        <v>86.25</v>
      </c>
      <c r="DV39" t="inlineStr">
        <is>
          <t>ramp-up (injury / late WC return)</t>
        </is>
      </c>
      <c r="DW39" t="n">
        <v>68.04000000000001</v>
      </c>
      <c r="DX39" t="n">
        <v>64.09999999999999</v>
      </c>
      <c r="DY39" t="n">
        <v>72.69</v>
      </c>
      <c r="DZ39" t="n">
        <v>4.65</v>
      </c>
      <c r="EA39" t="n">
        <v>835</v>
      </c>
      <c r="EB39" t="n">
        <v>25.43</v>
      </c>
      <c r="EC39" t="n">
        <v>3.43</v>
      </c>
      <c r="ED39" t="n">
        <v>120</v>
      </c>
      <c r="EE39" t="n">
        <v>1552</v>
      </c>
      <c r="EF39" t="b">
        <v>1</v>
      </c>
      <c r="EG39" t="n">
        <v>88</v>
      </c>
      <c r="EH39" t="n">
        <v>63.8</v>
      </c>
      <c r="EI39" t="n">
        <v>66</v>
      </c>
      <c r="EJ39" t="n">
        <v>522.8</v>
      </c>
      <c r="EK39" t="n">
        <v>118.8</v>
      </c>
      <c r="EL39" t="n">
        <v>261.4</v>
      </c>
      <c r="EM39" t="n">
        <v>2127.1</v>
      </c>
      <c r="EN39" t="n">
        <v>2077.9</v>
      </c>
      <c r="EO39" t="n">
        <v>1051.1</v>
      </c>
      <c r="EP39" t="n">
        <v>19.1</v>
      </c>
    </row>
    <row r="40">
      <c r="A40" t="inlineStr">
        <is>
          <t>Anton Stach</t>
        </is>
      </c>
      <c r="B40" t="inlineStr">
        <is>
          <t>LEE</t>
        </is>
      </c>
      <c r="C40" t="inlineStr">
        <is>
          <t>MID</t>
        </is>
      </c>
      <c r="D40" t="inlineStr">
        <is>
          <t>MID</t>
        </is>
      </c>
      <c r="E40" t="n">
        <v>6</v>
      </c>
      <c r="F40" t="b">
        <v>1</v>
      </c>
      <c r="G40" t="b">
        <v>1</v>
      </c>
      <c r="H40" t="n">
        <v>27.8</v>
      </c>
      <c r="I40" t="inlineStr">
        <is>
          <t>a</t>
        </is>
      </c>
      <c r="L40" t="inlineStr">
        <is>
          <t>p466525</t>
        </is>
      </c>
      <c r="M40" t="n">
        <v>335</v>
      </c>
      <c r="O40" t="n">
        <v>1</v>
      </c>
      <c r="P40" t="n">
        <v>1</v>
      </c>
      <c r="Q40" t="n">
        <v>2369</v>
      </c>
      <c r="R40" t="n">
        <v>29</v>
      </c>
      <c r="S40" t="n">
        <v>28</v>
      </c>
      <c r="T40" t="n">
        <v>26.322</v>
      </c>
      <c r="U40" t="n">
        <v>81.7</v>
      </c>
      <c r="V40" t="n">
        <v>137</v>
      </c>
      <c r="W40" t="n">
        <v>5.205</v>
      </c>
      <c r="X40" t="n">
        <v>5</v>
      </c>
      <c r="Y40" t="n">
        <v>6</v>
      </c>
      <c r="Z40" t="n">
        <v>3</v>
      </c>
      <c r="AA40" t="n">
        <v>7</v>
      </c>
      <c r="AB40" t="n">
        <v>36</v>
      </c>
      <c r="AC40" t="n">
        <v>14</v>
      </c>
      <c r="AD40" t="n">
        <v>14</v>
      </c>
      <c r="AE40" t="n">
        <v>0</v>
      </c>
      <c r="AF40" t="n">
        <v>550</v>
      </c>
      <c r="AG40" t="n">
        <v>534</v>
      </c>
      <c r="AH40" t="n">
        <v>-16</v>
      </c>
      <c r="AI40" t="n">
        <v>137</v>
      </c>
      <c r="AJ40" t="n">
        <v>0.102</v>
      </c>
      <c r="AK40" t="n">
        <v>0.114</v>
      </c>
      <c r="AL40" t="n">
        <v>266</v>
      </c>
      <c r="AM40" t="n">
        <v>10.106</v>
      </c>
      <c r="AN40" t="n">
        <v>10</v>
      </c>
      <c r="AO40" t="n">
        <v>20</v>
      </c>
      <c r="AP40" t="n">
        <v>0.357</v>
      </c>
      <c r="AQ40" t="n">
        <v>0.5</v>
      </c>
      <c r="AR40" t="n">
        <v>0.357</v>
      </c>
      <c r="AS40" t="n">
        <v>0.737</v>
      </c>
      <c r="AT40" t="n">
        <v>0.931</v>
      </c>
      <c r="AU40" t="n">
        <v>11</v>
      </c>
      <c r="AV40" t="n">
        <v>4</v>
      </c>
      <c r="AW40" t="n">
        <v>3.75</v>
      </c>
      <c r="AX40" t="n">
        <v>15</v>
      </c>
      <c r="AY40" t="n">
        <v>2.88</v>
      </c>
      <c r="AZ40" t="n">
        <v>2.921</v>
      </c>
      <c r="BA40" t="n">
        <v>2.9</v>
      </c>
      <c r="BB40" t="n">
        <v>2.921</v>
      </c>
      <c r="BC40" t="n">
        <v>0.109</v>
      </c>
      <c r="BD40" t="n">
        <v>0.111</v>
      </c>
      <c r="BE40" t="n">
        <v>0.11</v>
      </c>
      <c r="BF40" t="n">
        <v>2.9</v>
      </c>
      <c r="BG40" t="n">
        <v>0.11</v>
      </c>
      <c r="BH40" t="n">
        <v>1.002</v>
      </c>
      <c r="BI40" t="n">
        <v>2.88</v>
      </c>
      <c r="BJ40" t="n">
        <v>2.885</v>
      </c>
      <c r="BK40" t="n">
        <v>0.11</v>
      </c>
      <c r="BL40" t="n">
        <v>2.1</v>
      </c>
      <c r="BM40" t="n">
        <v>0.02</v>
      </c>
      <c r="BN40" t="n">
        <v>2.1</v>
      </c>
      <c r="BO40" t="n">
        <v>-0.041</v>
      </c>
      <c r="BP40" t="n">
        <v>55</v>
      </c>
      <c r="BQ40" t="n">
        <v>14</v>
      </c>
      <c r="BR40" t="n">
        <v>1</v>
      </c>
      <c r="BS40" t="n">
        <v>55</v>
      </c>
      <c r="BT40" t="n">
        <v>2.089</v>
      </c>
      <c r="BW40" t="n">
        <v>4.47</v>
      </c>
      <c r="BX40" t="n">
        <v>5.958</v>
      </c>
      <c r="BY40" t="n">
        <v>5.214</v>
      </c>
      <c r="BZ40" t="n">
        <v>0.198</v>
      </c>
      <c r="CA40" t="n">
        <v>8.114000000000001</v>
      </c>
      <c r="CB40" t="n">
        <v>0.308</v>
      </c>
      <c r="CC40" t="n">
        <v>61</v>
      </c>
      <c r="CD40" t="n">
        <v>9</v>
      </c>
      <c r="CE40" t="n">
        <v>63</v>
      </c>
      <c r="CF40" t="n">
        <v>45</v>
      </c>
      <c r="CG40" t="n">
        <v>2</v>
      </c>
      <c r="CH40" t="n">
        <v>102</v>
      </c>
      <c r="CI40" t="n">
        <v>10.148</v>
      </c>
      <c r="CJ40" t="n">
        <v>6.207</v>
      </c>
      <c r="CK40" t="n">
        <v>81</v>
      </c>
      <c r="CL40" t="n">
        <v>120</v>
      </c>
      <c r="CM40" t="n">
        <v>65</v>
      </c>
      <c r="CN40" t="n">
        <v>36</v>
      </c>
      <c r="CO40" t="n">
        <v>20</v>
      </c>
      <c r="CP40" t="n">
        <v>52</v>
      </c>
      <c r="CQ40" t="n">
        <v>9</v>
      </c>
      <c r="CR40" t="n">
        <v>155</v>
      </c>
      <c r="CS40" t="n">
        <v>48</v>
      </c>
      <c r="CT40" t="n">
        <v>0.9</v>
      </c>
      <c r="CV40" t="n">
        <v>1</v>
      </c>
      <c r="CW40" t="n">
        <v>34.05</v>
      </c>
      <c r="CX40" t="n">
        <v>1.294</v>
      </c>
      <c r="CY40" t="n">
        <v>0</v>
      </c>
      <c r="DB40" t="n">
        <v>0</v>
      </c>
      <c r="DE40" t="n">
        <v>7.31</v>
      </c>
      <c r="DF40" t="n">
        <v>3</v>
      </c>
      <c r="DG40" t="n">
        <v>0</v>
      </c>
      <c r="DH40" t="n">
        <v>36</v>
      </c>
      <c r="DI40" t="n">
        <v>24</v>
      </c>
      <c r="DK40" t="n">
        <v>1</v>
      </c>
      <c r="DL40" t="n">
        <v>20</v>
      </c>
      <c r="DM40" t="n">
        <v>26</v>
      </c>
      <c r="DO40" t="n">
        <v>1.1</v>
      </c>
      <c r="DP40" t="n">
        <v>133.2</v>
      </c>
      <c r="DQ40" t="n">
        <v>66.59999999999999</v>
      </c>
      <c r="DR40" t="n">
        <v>133.2</v>
      </c>
      <c r="DS40" t="n">
        <v>0</v>
      </c>
      <c r="DT40" t="n">
        <v>2964</v>
      </c>
      <c r="DU40" t="n">
        <v>78</v>
      </c>
      <c r="DV40" t="inlineStr">
        <is>
          <t>flat</t>
        </is>
      </c>
      <c r="DW40" t="n">
        <v>75.38</v>
      </c>
      <c r="DX40" t="n">
        <v>79.63</v>
      </c>
      <c r="DY40" t="n">
        <v>73.31</v>
      </c>
      <c r="DZ40" t="n">
        <v>-2.07</v>
      </c>
      <c r="EA40" t="n">
        <v>739</v>
      </c>
      <c r="EB40" t="n">
        <v>20.67</v>
      </c>
      <c r="EC40" t="n">
        <v>11.33</v>
      </c>
      <c r="ED40" t="n">
        <v>120</v>
      </c>
      <c r="EE40" t="n">
        <v>1480</v>
      </c>
      <c r="EF40" t="b">
        <v>1</v>
      </c>
      <c r="EG40" t="n">
        <v>34.4</v>
      </c>
      <c r="EH40" t="n">
        <v>11.6</v>
      </c>
      <c r="EI40" t="n">
        <v>68</v>
      </c>
      <c r="EJ40" t="n">
        <v>43.1</v>
      </c>
      <c r="EK40" t="n">
        <v>43.1</v>
      </c>
      <c r="EL40" t="n">
        <v>37.6</v>
      </c>
      <c r="EM40" t="n">
        <v>816.8</v>
      </c>
      <c r="EN40" t="n">
        <v>454.3</v>
      </c>
      <c r="EO40" t="n">
        <v>291.9</v>
      </c>
      <c r="EP40" t="n">
        <v>17.3</v>
      </c>
    </row>
    <row r="41">
      <c r="A41" t="inlineStr">
        <is>
          <t>Daniel Muñoz</t>
        </is>
      </c>
      <c r="B41" t="inlineStr">
        <is>
          <t>CRY</t>
        </is>
      </c>
      <c r="C41" t="inlineStr">
        <is>
          <t>DEF</t>
        </is>
      </c>
      <c r="D41" t="inlineStr">
        <is>
          <t>DEF</t>
        </is>
      </c>
      <c r="E41" t="n">
        <v>5.5</v>
      </c>
      <c r="F41" t="b">
        <v>1</v>
      </c>
      <c r="G41" t="b">
        <v>1</v>
      </c>
      <c r="H41" t="n">
        <v>30.2</v>
      </c>
      <c r="I41" t="inlineStr">
        <is>
          <t>a</t>
        </is>
      </c>
      <c r="L41" t="inlineStr">
        <is>
          <t>p247348</t>
        </is>
      </c>
      <c r="M41" t="n">
        <v>201</v>
      </c>
      <c r="Q41" t="n">
        <v>2400</v>
      </c>
      <c r="R41" t="n">
        <v>29</v>
      </c>
      <c r="S41" t="n">
        <v>29</v>
      </c>
      <c r="T41" t="n">
        <v>26.667</v>
      </c>
      <c r="U41" t="n">
        <v>82.8</v>
      </c>
      <c r="V41" t="n">
        <v>136</v>
      </c>
      <c r="W41" t="n">
        <v>5.1</v>
      </c>
      <c r="X41" t="n">
        <v>4</v>
      </c>
      <c r="Y41" t="n">
        <v>4</v>
      </c>
      <c r="Z41" t="n">
        <v>3</v>
      </c>
      <c r="AA41" t="n">
        <v>10</v>
      </c>
      <c r="AB41" t="n">
        <v>33</v>
      </c>
      <c r="AC41" t="n">
        <v>9</v>
      </c>
      <c r="AD41" t="n">
        <v>9</v>
      </c>
      <c r="AE41" t="n">
        <v>0</v>
      </c>
      <c r="AF41" t="n">
        <v>469</v>
      </c>
      <c r="AG41" t="n">
        <v>448</v>
      </c>
      <c r="AH41" t="n">
        <v>-21</v>
      </c>
      <c r="AI41" t="n">
        <v>136</v>
      </c>
      <c r="AJ41" t="n">
        <v>0.066</v>
      </c>
      <c r="AK41" t="n">
        <v>0.07099999999999999</v>
      </c>
      <c r="AL41" t="n">
        <v>196</v>
      </c>
      <c r="AM41" t="n">
        <v>7.35</v>
      </c>
      <c r="AN41" t="n">
        <v>7</v>
      </c>
      <c r="AO41" t="n">
        <v>14</v>
      </c>
      <c r="AP41" t="n">
        <v>0.241</v>
      </c>
      <c r="AQ41" t="n">
        <v>0.241</v>
      </c>
      <c r="AR41" t="n">
        <v>0.103</v>
      </c>
      <c r="AS41" t="n">
        <v>0.763</v>
      </c>
      <c r="AT41" t="n">
        <v>0.897</v>
      </c>
      <c r="AU41" t="n">
        <v>13</v>
      </c>
      <c r="AV41" t="n">
        <v>3</v>
      </c>
      <c r="AW41" t="n">
        <v>3.92</v>
      </c>
      <c r="AX41" t="n">
        <v>14</v>
      </c>
      <c r="AY41" t="n">
        <v>2.45</v>
      </c>
      <c r="AZ41" t="n">
        <v>3.147</v>
      </c>
      <c r="BA41" t="n">
        <v>2.799</v>
      </c>
      <c r="BB41" t="n">
        <v>3.147</v>
      </c>
      <c r="BC41" t="n">
        <v>0.092</v>
      </c>
      <c r="BD41" t="n">
        <v>0.118</v>
      </c>
      <c r="BE41" t="n">
        <v>0.105</v>
      </c>
      <c r="BF41" t="n">
        <v>3.7</v>
      </c>
      <c r="BG41" t="n">
        <v>0.139</v>
      </c>
      <c r="BH41" t="n">
        <v>0.884</v>
      </c>
      <c r="BI41" t="n">
        <v>8.630000000000001</v>
      </c>
      <c r="BJ41" t="n">
        <v>2.166</v>
      </c>
      <c r="BK41" t="n">
        <v>0.081</v>
      </c>
      <c r="BL41" t="n">
        <v>1.201</v>
      </c>
      <c r="BM41" t="n">
        <v>1.25</v>
      </c>
      <c r="BN41" t="n">
        <v>0.3</v>
      </c>
      <c r="BO41" t="n">
        <v>-0.697</v>
      </c>
      <c r="BP41" t="n">
        <v>27</v>
      </c>
      <c r="BQ41" t="n">
        <v>13</v>
      </c>
      <c r="BR41" t="n">
        <v>1</v>
      </c>
      <c r="BS41" t="n">
        <v>75</v>
      </c>
      <c r="BT41" t="n">
        <v>2.812</v>
      </c>
      <c r="BV41" t="n">
        <v>1</v>
      </c>
      <c r="BW41" t="n">
        <v>3.94</v>
      </c>
      <c r="BX41" t="n">
        <v>5.066</v>
      </c>
      <c r="BY41" t="n">
        <v>4.503</v>
      </c>
      <c r="BZ41" t="n">
        <v>0.169</v>
      </c>
      <c r="CA41" t="n">
        <v>7.302</v>
      </c>
      <c r="CB41" t="n">
        <v>0.274</v>
      </c>
      <c r="CC41" t="n">
        <v>27</v>
      </c>
      <c r="CD41" t="n">
        <v>8</v>
      </c>
      <c r="CE41" t="n">
        <v>27</v>
      </c>
      <c r="CF41" t="n">
        <v>14</v>
      </c>
      <c r="CI41" t="n">
        <v>10.426</v>
      </c>
      <c r="CJ41" t="n">
        <v>4.438</v>
      </c>
      <c r="CK41" t="n">
        <v>124</v>
      </c>
      <c r="CL41" t="n">
        <v>97</v>
      </c>
      <c r="CM41" t="n">
        <v>72</v>
      </c>
      <c r="CN41" t="n">
        <v>48</v>
      </c>
      <c r="CO41" t="n">
        <v>26</v>
      </c>
      <c r="CP41" t="n">
        <v>97</v>
      </c>
      <c r="CQ41" t="n">
        <v>1</v>
      </c>
      <c r="CR41" t="n">
        <v>138</v>
      </c>
      <c r="CS41" t="n">
        <v>44</v>
      </c>
      <c r="CT41" t="n">
        <v>0.2</v>
      </c>
      <c r="CV41" t="n">
        <v>2</v>
      </c>
      <c r="CW41" t="n">
        <v>34.28</v>
      </c>
      <c r="CX41" t="n">
        <v>1.286</v>
      </c>
      <c r="CY41" t="n">
        <v>0</v>
      </c>
      <c r="DB41" t="n">
        <v>0</v>
      </c>
      <c r="DE41" t="n">
        <v>7.15</v>
      </c>
      <c r="DF41" t="n">
        <v>7</v>
      </c>
      <c r="DG41" t="n">
        <v>0</v>
      </c>
      <c r="DH41" t="n">
        <v>35</v>
      </c>
      <c r="DI41" t="n">
        <v>18</v>
      </c>
      <c r="DL41" t="n">
        <v>2</v>
      </c>
      <c r="DM41" t="n">
        <v>7</v>
      </c>
      <c r="DN41" t="n">
        <v>8</v>
      </c>
      <c r="DO41" t="n">
        <v>11.4</v>
      </c>
      <c r="DP41" t="n">
        <v>137.2</v>
      </c>
      <c r="DQ41" t="n">
        <v>68.59999999999999</v>
      </c>
      <c r="DR41" t="n">
        <v>137.2</v>
      </c>
      <c r="DS41" t="n">
        <v>0</v>
      </c>
      <c r="DT41" t="n">
        <v>3055</v>
      </c>
      <c r="DU41" t="n">
        <v>80.40000000000001</v>
      </c>
      <c r="DV41" t="inlineStr">
        <is>
          <t>flat</t>
        </is>
      </c>
      <c r="DW41" t="n">
        <v>57.14</v>
      </c>
      <c r="DX41" t="n">
        <v>59.03</v>
      </c>
      <c r="DY41" t="n">
        <v>53.96</v>
      </c>
      <c r="DZ41" t="n">
        <v>-3.18</v>
      </c>
      <c r="EA41" t="n">
        <v>1593</v>
      </c>
      <c r="EB41" t="n">
        <v>17.22</v>
      </c>
      <c r="EC41" t="n">
        <v>6.67</v>
      </c>
      <c r="ED41" t="n">
        <v>120</v>
      </c>
      <c r="EE41" t="n">
        <v>3471</v>
      </c>
      <c r="EF41" t="b">
        <v>1</v>
      </c>
      <c r="EG41" t="n">
        <v>99.5</v>
      </c>
      <c r="EH41" t="n">
        <v>28.4</v>
      </c>
      <c r="EI41" t="n">
        <v>114</v>
      </c>
      <c r="EJ41" t="n">
        <v>88.90000000000001</v>
      </c>
      <c r="EK41" t="n">
        <v>32</v>
      </c>
      <c r="EL41" t="n">
        <v>88.90000000000001</v>
      </c>
      <c r="EM41" t="n">
        <v>857.6</v>
      </c>
      <c r="EN41" t="n">
        <v>533</v>
      </c>
      <c r="EO41" t="n">
        <v>328.7</v>
      </c>
      <c r="EP41" t="n">
        <v>17.6</v>
      </c>
    </row>
    <row r="42">
      <c r="A42" t="inlineStr">
        <is>
          <t>Trevoh Chalobah</t>
        </is>
      </c>
      <c r="B42" t="inlineStr">
        <is>
          <t>CHE</t>
        </is>
      </c>
      <c r="C42" t="inlineStr">
        <is>
          <t>DEF</t>
        </is>
      </c>
      <c r="D42" t="inlineStr">
        <is>
          <t>DEF</t>
        </is>
      </c>
      <c r="E42" t="n">
        <v>5.5</v>
      </c>
      <c r="F42" t="b">
        <v>1</v>
      </c>
      <c r="G42" t="b">
        <v>1</v>
      </c>
      <c r="H42" t="n">
        <v>27.1</v>
      </c>
      <c r="I42" t="inlineStr">
        <is>
          <t>u</t>
        </is>
      </c>
      <c r="J42" t="inlineStr">
        <is>
          <t>Has joined Como permanently</t>
        </is>
      </c>
      <c r="K42" t="n">
        <v>0</v>
      </c>
      <c r="L42" t="inlineStr">
        <is>
          <t>p180736</t>
        </is>
      </c>
      <c r="M42" t="n">
        <v>143</v>
      </c>
      <c r="Q42" t="n">
        <v>2780</v>
      </c>
      <c r="R42" t="n">
        <v>34</v>
      </c>
      <c r="S42" t="n">
        <v>31</v>
      </c>
      <c r="T42" t="n">
        <v>30.889</v>
      </c>
      <c r="U42" t="n">
        <v>81.8</v>
      </c>
      <c r="V42" t="n">
        <v>136</v>
      </c>
      <c r="W42" t="n">
        <v>4.403</v>
      </c>
      <c r="X42" t="n">
        <v>3</v>
      </c>
      <c r="Y42" t="n">
        <v>1</v>
      </c>
      <c r="AA42" t="n">
        <v>9</v>
      </c>
      <c r="AB42" t="n">
        <v>40</v>
      </c>
      <c r="AC42" t="n">
        <v>7</v>
      </c>
      <c r="AD42" t="n">
        <v>6</v>
      </c>
      <c r="AE42" t="n">
        <v>-1</v>
      </c>
      <c r="AF42" t="n">
        <v>516</v>
      </c>
      <c r="AG42" t="n">
        <v>476</v>
      </c>
      <c r="AH42" t="n">
        <v>-40</v>
      </c>
      <c r="AI42" t="n">
        <v>135</v>
      </c>
      <c r="AJ42" t="n">
        <v>0.051</v>
      </c>
      <c r="AK42" t="n">
        <v>0.054</v>
      </c>
      <c r="AL42" t="n">
        <v>265</v>
      </c>
      <c r="AM42" t="n">
        <v>8.579000000000001</v>
      </c>
      <c r="AN42" t="n">
        <v>14</v>
      </c>
      <c r="AO42" t="n">
        <v>28</v>
      </c>
      <c r="AP42" t="n">
        <v>0.452</v>
      </c>
      <c r="AQ42" t="n">
        <v>0.452</v>
      </c>
      <c r="AR42" t="n">
        <v>0.194</v>
      </c>
      <c r="AS42" t="n">
        <v>0.8159999999999999</v>
      </c>
      <c r="AT42" t="n">
        <v>0.882</v>
      </c>
      <c r="AU42" t="n">
        <v>14</v>
      </c>
      <c r="AV42" t="n">
        <v>2</v>
      </c>
      <c r="AW42" t="n">
        <v>3.58</v>
      </c>
      <c r="AX42" t="n">
        <v>13</v>
      </c>
      <c r="AY42" t="n">
        <v>1.44</v>
      </c>
      <c r="AZ42" t="n">
        <v>1.841</v>
      </c>
      <c r="BA42" t="n">
        <v>1.641</v>
      </c>
      <c r="BB42" t="n">
        <v>1.841</v>
      </c>
      <c r="BC42" t="n">
        <v>0.047</v>
      </c>
      <c r="BD42" t="n">
        <v>0.06</v>
      </c>
      <c r="BE42" t="n">
        <v>0.053</v>
      </c>
      <c r="BF42" t="n">
        <v>2.5</v>
      </c>
      <c r="BG42" t="n">
        <v>0.081</v>
      </c>
      <c r="BH42" t="n">
        <v>1.19</v>
      </c>
      <c r="BI42" t="n">
        <v>4.44</v>
      </c>
      <c r="BJ42" t="n">
        <v>1.713</v>
      </c>
      <c r="BK42" t="n">
        <v>0.055</v>
      </c>
      <c r="BL42" t="n">
        <v>1.359</v>
      </c>
      <c r="BM42" t="n">
        <v>1.06</v>
      </c>
      <c r="BN42" t="n">
        <v>0.5</v>
      </c>
      <c r="BO42" t="n">
        <v>-0.401</v>
      </c>
      <c r="BP42" t="n">
        <v>16</v>
      </c>
      <c r="BQ42" t="n">
        <v>5</v>
      </c>
      <c r="BR42" t="n">
        <v>2</v>
      </c>
      <c r="BS42" t="n">
        <v>17</v>
      </c>
      <c r="BT42" t="n">
        <v>0.55</v>
      </c>
      <c r="BV42" t="n">
        <v>2</v>
      </c>
      <c r="BW42" t="n">
        <v>1.03</v>
      </c>
      <c r="BX42" t="n">
        <v>0.631</v>
      </c>
      <c r="BY42" t="n">
        <v>0.83</v>
      </c>
      <c r="BZ42" t="n">
        <v>0.027</v>
      </c>
      <c r="CA42" t="n">
        <v>2.471</v>
      </c>
      <c r="CB42" t="n">
        <v>0.08</v>
      </c>
      <c r="CC42" t="n">
        <v>5</v>
      </c>
      <c r="CD42" t="n">
        <v>1</v>
      </c>
      <c r="CE42" t="n">
        <v>5</v>
      </c>
      <c r="CF42" t="n">
        <v>1</v>
      </c>
      <c r="CG42" t="n">
        <v>2</v>
      </c>
      <c r="CH42" t="n">
        <v>0</v>
      </c>
      <c r="CI42" t="n">
        <v>14.729</v>
      </c>
      <c r="CJ42" t="n">
        <v>14.597</v>
      </c>
      <c r="CK42" t="n">
        <v>230</v>
      </c>
      <c r="CL42" t="n">
        <v>119</v>
      </c>
      <c r="CM42" t="n">
        <v>35</v>
      </c>
      <c r="CN42" t="n">
        <v>23</v>
      </c>
      <c r="CO42" t="n">
        <v>35</v>
      </c>
      <c r="CP42" t="n">
        <v>178</v>
      </c>
      <c r="CQ42" t="n">
        <v>17</v>
      </c>
      <c r="CR42" t="n">
        <v>134</v>
      </c>
      <c r="CS42" t="n">
        <v>75</v>
      </c>
      <c r="CT42" t="n">
        <v>0.2</v>
      </c>
      <c r="CU42" t="n">
        <v>1</v>
      </c>
      <c r="CV42" t="n">
        <v>1</v>
      </c>
      <c r="CW42" t="n">
        <v>40.83</v>
      </c>
      <c r="CX42" t="n">
        <v>1.322</v>
      </c>
      <c r="CY42" t="n">
        <v>0</v>
      </c>
      <c r="DB42" t="n">
        <v>0</v>
      </c>
      <c r="DE42" t="n">
        <v>7.01</v>
      </c>
      <c r="DF42" t="n">
        <v>3</v>
      </c>
      <c r="DG42" t="n">
        <v>1</v>
      </c>
      <c r="DH42" t="n">
        <v>20</v>
      </c>
      <c r="DI42" t="n">
        <v>18</v>
      </c>
      <c r="DL42" t="n">
        <v>7</v>
      </c>
      <c r="DM42" t="n">
        <v>5</v>
      </c>
      <c r="DN42" t="n">
        <v>2</v>
      </c>
      <c r="DO42" t="n">
        <v>1.2</v>
      </c>
      <c r="DW42" t="n">
        <v>75.95</v>
      </c>
      <c r="DX42" t="n">
        <v>74.36</v>
      </c>
      <c r="DY42" t="n">
        <v>75.76000000000001</v>
      </c>
      <c r="DZ42" t="n">
        <v>-0.19</v>
      </c>
      <c r="EA42" t="n">
        <v>239</v>
      </c>
      <c r="EB42" t="n">
        <v>18.82</v>
      </c>
      <c r="EC42" t="n">
        <v>21</v>
      </c>
      <c r="ED42" t="n">
        <v>120</v>
      </c>
      <c r="EE42" t="n">
        <v>819</v>
      </c>
      <c r="EF42" t="b">
        <v>1</v>
      </c>
      <c r="EG42" t="n">
        <v>65.8</v>
      </c>
      <c r="EH42" t="n">
        <v>74.5</v>
      </c>
      <c r="EI42" t="n">
        <v>113</v>
      </c>
      <c r="EJ42" t="n">
        <v>173.8</v>
      </c>
      <c r="EK42" t="n">
        <v>163.5</v>
      </c>
      <c r="EL42" t="n">
        <v>556</v>
      </c>
      <c r="EM42" t="n">
        <v>1694.4</v>
      </c>
      <c r="EN42" t="n">
        <v>3348.2</v>
      </c>
      <c r="EO42" t="n">
        <v>1125</v>
      </c>
      <c r="EP42" t="n">
        <v>20.4</v>
      </c>
    </row>
    <row r="43">
      <c r="A43" t="inlineStr">
        <is>
          <t>Robin Roefs</t>
        </is>
      </c>
      <c r="B43" t="inlineStr">
        <is>
          <t>SUN</t>
        </is>
      </c>
      <c r="C43" t="inlineStr">
        <is>
          <t>GKP</t>
        </is>
      </c>
      <c r="D43" t="inlineStr">
        <is>
          <t>GKP</t>
        </is>
      </c>
      <c r="E43" t="n">
        <v>5</v>
      </c>
      <c r="F43" t="b">
        <v>1</v>
      </c>
      <c r="G43" t="b">
        <v>1</v>
      </c>
      <c r="H43" t="n">
        <v>23.6</v>
      </c>
      <c r="I43" t="inlineStr">
        <is>
          <t>a</t>
        </is>
      </c>
      <c r="L43" t="inlineStr">
        <is>
          <t>p498016</t>
        </is>
      </c>
      <c r="M43" t="n">
        <v>529</v>
      </c>
      <c r="Q43" t="n">
        <v>3150</v>
      </c>
      <c r="R43" t="n">
        <v>35</v>
      </c>
      <c r="S43" t="n">
        <v>35</v>
      </c>
      <c r="T43" t="n">
        <v>35</v>
      </c>
      <c r="U43" t="n">
        <v>90</v>
      </c>
      <c r="V43" t="n">
        <v>136</v>
      </c>
      <c r="W43" t="n">
        <v>3.886</v>
      </c>
      <c r="X43" t="n">
        <v>0</v>
      </c>
      <c r="Y43" t="n">
        <v>0</v>
      </c>
      <c r="AA43" t="n">
        <v>10</v>
      </c>
      <c r="AB43" t="n">
        <v>46</v>
      </c>
      <c r="AC43" t="n">
        <v>12</v>
      </c>
      <c r="AD43" t="n">
        <v>12</v>
      </c>
      <c r="AE43" t="n">
        <v>0</v>
      </c>
      <c r="AF43" t="n">
        <v>573</v>
      </c>
      <c r="AG43" t="n">
        <v>567</v>
      </c>
      <c r="AH43" t="n">
        <v>-6</v>
      </c>
      <c r="AI43" t="n">
        <v>136</v>
      </c>
      <c r="AJ43" t="n">
        <v>0.08799999999999999</v>
      </c>
      <c r="AK43" t="n">
        <v>0.097</v>
      </c>
      <c r="AL43" t="n">
        <v>0</v>
      </c>
      <c r="AM43" t="n">
        <v>0</v>
      </c>
      <c r="AN43" t="n">
        <v>0</v>
      </c>
      <c r="AO43" t="n">
        <v>0</v>
      </c>
      <c r="AP43" t="n">
        <v>0</v>
      </c>
      <c r="AQ43" t="n">
        <v>0</v>
      </c>
      <c r="AR43" t="n">
        <v>0</v>
      </c>
      <c r="AS43" t="n">
        <v>0.921</v>
      </c>
      <c r="AT43" t="n">
        <v>1</v>
      </c>
      <c r="AU43" t="n">
        <v>17</v>
      </c>
      <c r="AV43" t="n">
        <v>3</v>
      </c>
      <c r="AW43" t="n">
        <v>3.18</v>
      </c>
      <c r="AX43" t="n">
        <v>11</v>
      </c>
      <c r="AY43" t="n">
        <v>0</v>
      </c>
      <c r="AZ43" t="n">
        <v>0</v>
      </c>
      <c r="BA43" t="n">
        <v>0</v>
      </c>
      <c r="BB43" t="n">
        <v>0</v>
      </c>
      <c r="BC43" t="n">
        <v>0</v>
      </c>
      <c r="BD43" t="n">
        <v>0</v>
      </c>
      <c r="BE43" t="n">
        <v>0</v>
      </c>
      <c r="BH43" t="n">
        <v>1</v>
      </c>
      <c r="BI43" t="n">
        <v>0</v>
      </c>
      <c r="BJ43" t="n">
        <v>0</v>
      </c>
      <c r="BK43" t="n">
        <v>0</v>
      </c>
      <c r="BL43" t="n">
        <v>0</v>
      </c>
      <c r="BO43" t="n">
        <v>0</v>
      </c>
      <c r="BW43" t="n">
        <v>0.1</v>
      </c>
      <c r="BX43" t="n">
        <v>0.705</v>
      </c>
      <c r="BY43" t="n">
        <v>0.403</v>
      </c>
      <c r="BZ43" t="n">
        <v>0.012</v>
      </c>
      <c r="CA43" t="n">
        <v>0.403</v>
      </c>
      <c r="CB43" t="n">
        <v>0.012</v>
      </c>
      <c r="CC43" t="n">
        <v>4</v>
      </c>
      <c r="CD43" t="n">
        <v>1</v>
      </c>
      <c r="CE43" t="n">
        <v>5</v>
      </c>
      <c r="CI43" t="n">
        <v>3.145</v>
      </c>
      <c r="CJ43" t="n">
        <v>2.439</v>
      </c>
      <c r="CK43" t="n">
        <v>37</v>
      </c>
      <c r="CL43" t="n">
        <v>333</v>
      </c>
      <c r="CM43" t="n">
        <v>0</v>
      </c>
      <c r="CP43" t="n">
        <v>37</v>
      </c>
      <c r="CR43" t="n">
        <v>35</v>
      </c>
      <c r="CS43" t="n">
        <v>24</v>
      </c>
      <c r="CU43" t="n">
        <v>4</v>
      </c>
      <c r="CV43" t="n">
        <v>3</v>
      </c>
      <c r="CW43" t="n">
        <v>50.05</v>
      </c>
      <c r="CX43" t="n">
        <v>1.43</v>
      </c>
      <c r="CY43" t="n">
        <v>109</v>
      </c>
      <c r="CZ43" t="n">
        <v>70.3</v>
      </c>
      <c r="DA43" t="n">
        <v>-1.8</v>
      </c>
      <c r="DB43" t="n">
        <v>1</v>
      </c>
      <c r="DC43" t="n">
        <v>50</v>
      </c>
      <c r="DD43" t="n">
        <v>25</v>
      </c>
      <c r="DE43" t="n">
        <v>6.95</v>
      </c>
      <c r="DF43" t="n">
        <v>4</v>
      </c>
      <c r="DG43" t="n">
        <v>0</v>
      </c>
      <c r="DI43" t="n">
        <v>14</v>
      </c>
      <c r="DL43" t="n">
        <v>1</v>
      </c>
      <c r="DO43" t="n">
        <v>4.8</v>
      </c>
      <c r="DP43" t="n">
        <v>124.14</v>
      </c>
      <c r="DQ43" t="n">
        <v>62.07</v>
      </c>
      <c r="DR43" t="n">
        <v>124.14</v>
      </c>
      <c r="DS43" t="n">
        <v>0</v>
      </c>
      <c r="DT43" t="n">
        <v>3420</v>
      </c>
      <c r="DU43" t="n">
        <v>89.98999999999999</v>
      </c>
      <c r="DV43" t="inlineStr">
        <is>
          <t>flat</t>
        </is>
      </c>
      <c r="DW43" t="n">
        <v>89</v>
      </c>
      <c r="DX43" t="n">
        <v>90.79000000000001</v>
      </c>
      <c r="DY43" t="n">
        <v>88.8</v>
      </c>
      <c r="DZ43" t="n">
        <v>-0.2</v>
      </c>
      <c r="EA43" t="n">
        <v>1330</v>
      </c>
      <c r="EB43" t="n">
        <v>23.22</v>
      </c>
      <c r="EC43" t="n">
        <v>5</v>
      </c>
      <c r="ED43" t="n">
        <v>120</v>
      </c>
      <c r="EE43" t="n">
        <v>2544</v>
      </c>
      <c r="EF43" t="b">
        <v>1</v>
      </c>
      <c r="EG43" t="n">
        <v>97.5</v>
      </c>
      <c r="EH43" t="n">
        <v>46.5</v>
      </c>
      <c r="EI43" t="n">
        <v>225</v>
      </c>
      <c r="EL43" t="n">
        <v>630</v>
      </c>
      <c r="EN43" t="n">
        <v>7822.7</v>
      </c>
      <c r="EO43" t="n">
        <v>7822.7</v>
      </c>
      <c r="EP43" t="n">
        <v>23.2</v>
      </c>
    </row>
    <row r="44">
      <c r="A44" t="inlineStr">
        <is>
          <t>Dango Ouattara</t>
        </is>
      </c>
      <c r="B44" t="inlineStr">
        <is>
          <t>BRE</t>
        </is>
      </c>
      <c r="C44" t="inlineStr">
        <is>
          <t>MID</t>
        </is>
      </c>
      <c r="D44" t="inlineStr">
        <is>
          <t>MID</t>
        </is>
      </c>
      <c r="E44" t="n">
        <v>6.5</v>
      </c>
      <c r="F44" t="b">
        <v>1</v>
      </c>
      <c r="G44" t="b">
        <v>1</v>
      </c>
      <c r="H44" t="n">
        <v>24.5</v>
      </c>
      <c r="I44" t="inlineStr">
        <is>
          <t>a</t>
        </is>
      </c>
      <c r="L44" t="inlineStr">
        <is>
          <t>p533463</t>
        </is>
      </c>
      <c r="M44" t="n">
        <v>95</v>
      </c>
      <c r="O44" t="n">
        <v>4</v>
      </c>
      <c r="Q44" t="n">
        <v>2271</v>
      </c>
      <c r="R44" t="n">
        <v>32</v>
      </c>
      <c r="S44" t="n">
        <v>25</v>
      </c>
      <c r="T44" t="n">
        <v>25.233</v>
      </c>
      <c r="U44" t="n">
        <v>71</v>
      </c>
      <c r="V44" t="n">
        <v>136</v>
      </c>
      <c r="W44" t="n">
        <v>5.39</v>
      </c>
      <c r="X44" t="n">
        <v>7</v>
      </c>
      <c r="Y44" t="n">
        <v>8</v>
      </c>
      <c r="Z44" t="n">
        <v>3</v>
      </c>
      <c r="AA44" t="n">
        <v>6</v>
      </c>
      <c r="AB44" t="n">
        <v>35</v>
      </c>
      <c r="AC44" t="n">
        <v>16</v>
      </c>
      <c r="AD44" t="n">
        <v>16</v>
      </c>
      <c r="AE44" t="n">
        <v>0</v>
      </c>
      <c r="AF44" t="n">
        <v>429</v>
      </c>
      <c r="AG44" t="n">
        <v>413</v>
      </c>
      <c r="AH44" t="n">
        <v>-16</v>
      </c>
      <c r="AI44" t="n">
        <v>136</v>
      </c>
      <c r="AJ44" t="n">
        <v>0.118</v>
      </c>
      <c r="AK44" t="n">
        <v>0.133</v>
      </c>
      <c r="AL44" t="n">
        <v>185</v>
      </c>
      <c r="AM44" t="n">
        <v>7.332</v>
      </c>
      <c r="AN44" t="n">
        <v>2</v>
      </c>
      <c r="AO44" t="n">
        <v>4</v>
      </c>
      <c r="AP44" t="n">
        <v>0.08</v>
      </c>
      <c r="AQ44" t="n">
        <v>0.16</v>
      </c>
      <c r="AR44" t="n">
        <v>0.08</v>
      </c>
      <c r="AS44" t="n">
        <v>0.658</v>
      </c>
      <c r="AT44" t="n">
        <v>0.75</v>
      </c>
      <c r="AU44" t="n">
        <v>17</v>
      </c>
      <c r="AV44" t="n">
        <v>5</v>
      </c>
      <c r="AW44" t="n">
        <v>4.12</v>
      </c>
      <c r="AX44" t="n">
        <v>15</v>
      </c>
      <c r="AY44" t="n">
        <v>7.94</v>
      </c>
      <c r="AZ44" t="n">
        <v>8.694000000000001</v>
      </c>
      <c r="BA44" t="n">
        <v>8.317</v>
      </c>
      <c r="BB44" t="n">
        <v>8.694000000000001</v>
      </c>
      <c r="BC44" t="n">
        <v>0.315</v>
      </c>
      <c r="BD44" t="n">
        <v>0.345</v>
      </c>
      <c r="BE44" t="n">
        <v>0.33</v>
      </c>
      <c r="BF44" t="n">
        <v>6.8</v>
      </c>
      <c r="BG44" t="n">
        <v>0.269</v>
      </c>
      <c r="BH44" t="n">
        <v>0.838</v>
      </c>
      <c r="BI44" t="n">
        <v>22.53</v>
      </c>
      <c r="BJ44" t="n">
        <v>6.658</v>
      </c>
      <c r="BK44" t="n">
        <v>0.264</v>
      </c>
      <c r="BL44" t="n">
        <v>-1.317</v>
      </c>
      <c r="BM44" t="n">
        <v>-1.14</v>
      </c>
      <c r="BN44" t="n">
        <v>0.2</v>
      </c>
      <c r="BO44" t="n">
        <v>-0.754</v>
      </c>
      <c r="BP44" t="n">
        <v>56</v>
      </c>
      <c r="BQ44" t="n">
        <v>20</v>
      </c>
      <c r="BR44" t="n">
        <v>13</v>
      </c>
      <c r="BS44" t="n">
        <v>119</v>
      </c>
      <c r="BT44" t="n">
        <v>4.716</v>
      </c>
      <c r="BV44" t="n">
        <v>2</v>
      </c>
      <c r="BW44" t="n">
        <v>4.12</v>
      </c>
      <c r="BX44" t="n">
        <v>5.863</v>
      </c>
      <c r="BY44" t="n">
        <v>4.992</v>
      </c>
      <c r="BZ44" t="n">
        <v>0.198</v>
      </c>
      <c r="CA44" t="n">
        <v>13.309</v>
      </c>
      <c r="CB44" t="n">
        <v>0.527</v>
      </c>
      <c r="CC44" t="n">
        <v>27</v>
      </c>
      <c r="CD44" t="n">
        <v>12</v>
      </c>
      <c r="CE44" t="n">
        <v>27</v>
      </c>
      <c r="CF44" t="n">
        <v>19</v>
      </c>
      <c r="CG44" t="n">
        <v>2</v>
      </c>
      <c r="CH44" t="n">
        <v>28</v>
      </c>
      <c r="CI44" t="n">
        <v>13.248</v>
      </c>
      <c r="CJ44" t="n">
        <v>2.526</v>
      </c>
      <c r="CK44" t="n">
        <v>76</v>
      </c>
      <c r="CL44" t="n">
        <v>85</v>
      </c>
      <c r="CM44" t="n">
        <v>24</v>
      </c>
      <c r="CN44" t="n">
        <v>13</v>
      </c>
      <c r="CO44" t="n">
        <v>24</v>
      </c>
      <c r="CP44" t="n">
        <v>52</v>
      </c>
      <c r="CQ44" t="n">
        <v>0</v>
      </c>
      <c r="CR44" t="n">
        <v>138</v>
      </c>
      <c r="CS44" t="n">
        <v>52</v>
      </c>
      <c r="CT44" t="n">
        <v>0.4</v>
      </c>
      <c r="CV44" t="n">
        <v>0</v>
      </c>
      <c r="CW44" t="n">
        <v>34.75</v>
      </c>
      <c r="CX44" t="n">
        <v>1.377</v>
      </c>
      <c r="CY44" t="n">
        <v>0</v>
      </c>
      <c r="DB44" t="n">
        <v>0</v>
      </c>
      <c r="DE44" t="n">
        <v>6.97</v>
      </c>
      <c r="DF44" t="n">
        <v>5</v>
      </c>
      <c r="DG44" t="n">
        <v>0</v>
      </c>
      <c r="DH44" t="n">
        <v>27</v>
      </c>
      <c r="DI44" t="n">
        <v>39</v>
      </c>
      <c r="DJ44" t="n">
        <v>5</v>
      </c>
      <c r="DL44" t="n">
        <v>23</v>
      </c>
      <c r="DM44" t="n">
        <v>31</v>
      </c>
      <c r="DN44" t="n">
        <v>9</v>
      </c>
      <c r="DO44" t="n">
        <v>1.4</v>
      </c>
      <c r="DP44" t="n">
        <v>155.24</v>
      </c>
      <c r="DQ44" t="n">
        <v>77.62</v>
      </c>
      <c r="DR44" t="n">
        <v>155.24</v>
      </c>
      <c r="DS44" t="n">
        <v>0</v>
      </c>
      <c r="DT44" t="n">
        <v>2878</v>
      </c>
      <c r="DU44" t="n">
        <v>75.75</v>
      </c>
      <c r="DV44" t="inlineStr">
        <is>
          <t>flat</t>
        </is>
      </c>
      <c r="DW44" t="n">
        <v>61.34</v>
      </c>
      <c r="DX44" t="n">
        <v>61.67</v>
      </c>
      <c r="DY44" t="n">
        <v>61.23</v>
      </c>
      <c r="DZ44" t="n">
        <v>-0.11</v>
      </c>
      <c r="EA44" t="n">
        <v>1113</v>
      </c>
      <c r="EB44" t="n">
        <v>23.17</v>
      </c>
      <c r="EC44" t="n">
        <v>3.2</v>
      </c>
      <c r="ED44" t="n">
        <v>120</v>
      </c>
      <c r="EE44" t="n">
        <v>1860</v>
      </c>
      <c r="EF44" t="b">
        <v>1</v>
      </c>
      <c r="EG44" t="n">
        <v>85.40000000000001</v>
      </c>
      <c r="EH44" t="n">
        <v>55.3</v>
      </c>
      <c r="EI44" t="n">
        <v>37</v>
      </c>
      <c r="EJ44" t="n">
        <v>40.6</v>
      </c>
      <c r="EK44" t="n">
        <v>19.1</v>
      </c>
      <c r="EL44" t="n">
        <v>84.09999999999999</v>
      </c>
      <c r="EM44" t="n">
        <v>273</v>
      </c>
      <c r="EN44" t="n">
        <v>455</v>
      </c>
      <c r="EO44" t="n">
        <v>170.6</v>
      </c>
      <c r="EP44" t="n">
        <v>16.7</v>
      </c>
    </row>
    <row r="45">
      <c r="A45" t="inlineStr">
        <is>
          <t>Alex Scott</t>
        </is>
      </c>
      <c r="B45" t="inlineStr">
        <is>
          <t>BOU</t>
        </is>
      </c>
      <c r="C45" t="inlineStr">
        <is>
          <t>MID</t>
        </is>
      </c>
      <c r="D45" t="inlineStr">
        <is>
          <t>MID</t>
        </is>
      </c>
      <c r="E45" t="n">
        <v>6</v>
      </c>
      <c r="F45" t="b">
        <v>1</v>
      </c>
      <c r="G45" t="b">
        <v>1</v>
      </c>
      <c r="H45" t="n">
        <v>23</v>
      </c>
      <c r="I45" t="inlineStr">
        <is>
          <t>a</t>
        </is>
      </c>
      <c r="L45" t="inlineStr">
        <is>
          <t>p503139</t>
        </is>
      </c>
      <c r="M45" t="n">
        <v>69</v>
      </c>
      <c r="O45" t="n">
        <v>2</v>
      </c>
      <c r="P45" t="n">
        <v>4</v>
      </c>
      <c r="Q45" t="n">
        <v>2848</v>
      </c>
      <c r="R45" t="n">
        <v>37</v>
      </c>
      <c r="S45" t="n">
        <v>34</v>
      </c>
      <c r="T45" t="n">
        <v>31.644</v>
      </c>
      <c r="U45" t="n">
        <v>77</v>
      </c>
      <c r="V45" t="n">
        <v>136</v>
      </c>
      <c r="W45" t="n">
        <v>4.298</v>
      </c>
      <c r="X45" t="n">
        <v>3</v>
      </c>
      <c r="Y45" t="n">
        <v>2</v>
      </c>
      <c r="Z45" t="n">
        <v>1</v>
      </c>
      <c r="AA45" t="n">
        <v>11</v>
      </c>
      <c r="AB45" t="n">
        <v>41</v>
      </c>
      <c r="AC45" t="n">
        <v>9</v>
      </c>
      <c r="AD45" t="n">
        <v>9</v>
      </c>
      <c r="AE45" t="n">
        <v>0</v>
      </c>
      <c r="AF45" t="n">
        <v>603</v>
      </c>
      <c r="AG45" t="n">
        <v>572</v>
      </c>
      <c r="AH45" t="n">
        <v>-31</v>
      </c>
      <c r="AI45" t="n">
        <v>136</v>
      </c>
      <c r="AJ45" t="n">
        <v>0.066</v>
      </c>
      <c r="AK45" t="n">
        <v>0.07099999999999999</v>
      </c>
      <c r="AL45" t="n">
        <v>386</v>
      </c>
      <c r="AM45" t="n">
        <v>12.198</v>
      </c>
      <c r="AN45" t="n">
        <v>15</v>
      </c>
      <c r="AO45" t="n">
        <v>30</v>
      </c>
      <c r="AP45" t="n">
        <v>0.441</v>
      </c>
      <c r="AQ45" t="n">
        <v>0.765</v>
      </c>
      <c r="AR45" t="n">
        <v>0.441</v>
      </c>
      <c r="AS45" t="n">
        <v>0.895</v>
      </c>
      <c r="AT45" t="n">
        <v>0.892</v>
      </c>
      <c r="AU45" t="n">
        <v>14</v>
      </c>
      <c r="AV45" t="n">
        <v>2</v>
      </c>
      <c r="AW45" t="n">
        <v>2.75</v>
      </c>
      <c r="AX45" t="n">
        <v>13</v>
      </c>
      <c r="AY45" t="n">
        <v>3.8</v>
      </c>
      <c r="AZ45" t="n">
        <v>3.5</v>
      </c>
      <c r="BA45" t="n">
        <v>3.65</v>
      </c>
      <c r="BB45" t="n">
        <v>3.5</v>
      </c>
      <c r="BC45" t="n">
        <v>0.12</v>
      </c>
      <c r="BD45" t="n">
        <v>0.111</v>
      </c>
      <c r="BE45" t="n">
        <v>0.115</v>
      </c>
      <c r="BF45" t="n">
        <v>2.7</v>
      </c>
      <c r="BG45" t="n">
        <v>0.08500000000000001</v>
      </c>
      <c r="BH45" t="n">
        <v>0.966</v>
      </c>
      <c r="BI45" t="n">
        <v>5.35</v>
      </c>
      <c r="BJ45" t="n">
        <v>3.672</v>
      </c>
      <c r="BK45" t="n">
        <v>0.116</v>
      </c>
      <c r="BL45" t="n">
        <v>-0.65</v>
      </c>
      <c r="BM45" t="n">
        <v>-1.1</v>
      </c>
      <c r="BN45" t="n">
        <v>0.3</v>
      </c>
      <c r="BO45" t="n">
        <v>0.3</v>
      </c>
      <c r="BP45" t="n">
        <v>44</v>
      </c>
      <c r="BQ45" t="n">
        <v>13</v>
      </c>
      <c r="BR45" t="n">
        <v>2</v>
      </c>
      <c r="BS45" t="n">
        <v>49</v>
      </c>
      <c r="BT45" t="n">
        <v>1.548</v>
      </c>
      <c r="BW45" t="n">
        <v>2.94</v>
      </c>
      <c r="BX45" t="n">
        <v>2.892</v>
      </c>
      <c r="BY45" t="n">
        <v>2.916</v>
      </c>
      <c r="BZ45" t="n">
        <v>0.092</v>
      </c>
      <c r="CA45" t="n">
        <v>6.566</v>
      </c>
      <c r="CB45" t="n">
        <v>0.207</v>
      </c>
      <c r="CC45" t="n">
        <v>26</v>
      </c>
      <c r="CD45" t="n">
        <v>4</v>
      </c>
      <c r="CE45" t="n">
        <v>27</v>
      </c>
      <c r="CF45" t="n">
        <v>14</v>
      </c>
      <c r="CG45" t="n">
        <v>5</v>
      </c>
      <c r="CH45" t="n">
        <v>56</v>
      </c>
      <c r="CI45" t="n">
        <v>15.246</v>
      </c>
      <c r="CJ45" t="n">
        <v>10.992</v>
      </c>
      <c r="CK45" t="n">
        <v>133</v>
      </c>
      <c r="CL45" t="n">
        <v>193</v>
      </c>
      <c r="CM45" t="n">
        <v>60</v>
      </c>
      <c r="CN45" t="n">
        <v>38</v>
      </c>
      <c r="CO45" t="n">
        <v>36</v>
      </c>
      <c r="CP45" t="n">
        <v>81</v>
      </c>
      <c r="CQ45" t="n">
        <v>15</v>
      </c>
      <c r="CR45" t="n">
        <v>185</v>
      </c>
      <c r="CS45" t="n">
        <v>37</v>
      </c>
      <c r="CT45" t="n">
        <v>0.4</v>
      </c>
      <c r="CV45" t="n">
        <v>1</v>
      </c>
      <c r="CW45" t="n">
        <v>47.02</v>
      </c>
      <c r="CX45" t="n">
        <v>1.486</v>
      </c>
      <c r="CY45" t="n">
        <v>0</v>
      </c>
      <c r="DB45" t="n">
        <v>0</v>
      </c>
      <c r="DE45" t="n">
        <v>7.17</v>
      </c>
      <c r="DF45" t="n">
        <v>5</v>
      </c>
      <c r="DG45" t="n">
        <v>0</v>
      </c>
      <c r="DH45" t="n">
        <v>45</v>
      </c>
      <c r="DI45" t="n">
        <v>60</v>
      </c>
      <c r="DK45" t="n">
        <v>1</v>
      </c>
      <c r="DL45" t="n">
        <v>29</v>
      </c>
      <c r="DM45" t="n">
        <v>26</v>
      </c>
      <c r="DN45" t="n">
        <v>1</v>
      </c>
      <c r="DO45" t="n">
        <v>1.6</v>
      </c>
      <c r="DP45" t="n">
        <v>148.22</v>
      </c>
      <c r="DQ45" t="n">
        <v>74.20999999999999</v>
      </c>
      <c r="DR45" t="n">
        <v>148.42</v>
      </c>
      <c r="DS45" t="n">
        <v>-0.2</v>
      </c>
      <c r="DT45" t="n">
        <v>3175</v>
      </c>
      <c r="DU45" t="n">
        <v>83.55</v>
      </c>
      <c r="DV45" t="inlineStr">
        <is>
          <t>flat</t>
        </is>
      </c>
      <c r="DW45" t="n">
        <v>74.81</v>
      </c>
      <c r="DX45" t="n">
        <v>78.01000000000001</v>
      </c>
      <c r="DY45" t="n">
        <v>73.52</v>
      </c>
      <c r="DZ45" t="n">
        <v>-1.29</v>
      </c>
      <c r="EA45" t="n">
        <v>718</v>
      </c>
      <c r="EB45" t="n">
        <v>21.47</v>
      </c>
      <c r="EC45" t="n">
        <v>9</v>
      </c>
      <c r="ED45" t="n">
        <v>120</v>
      </c>
      <c r="EE45" t="n">
        <v>1316</v>
      </c>
      <c r="EF45" t="b">
        <v>1</v>
      </c>
      <c r="EG45" t="n">
        <v>30.8</v>
      </c>
      <c r="EH45" t="n">
        <v>12.4</v>
      </c>
      <c r="EI45" t="n">
        <v>69</v>
      </c>
      <c r="EJ45" t="n">
        <v>64.7</v>
      </c>
      <c r="EK45" t="n">
        <v>58.1</v>
      </c>
      <c r="EL45" t="n">
        <v>105.5</v>
      </c>
      <c r="EM45" t="n">
        <v>780.3</v>
      </c>
      <c r="EN45" t="n">
        <v>976.7</v>
      </c>
      <c r="EO45" t="n">
        <v>433.7</v>
      </c>
      <c r="EP45" t="n">
        <v>20.9</v>
      </c>
    </row>
    <row r="46">
      <c r="A46" t="inlineStr">
        <is>
          <t>Mateus Fernandes</t>
        </is>
      </c>
      <c r="B46" t="inlineStr">
        <is>
          <t>TOT</t>
        </is>
      </c>
      <c r="C46" t="inlineStr">
        <is>
          <t>MID</t>
        </is>
      </c>
      <c r="D46" t="inlineStr">
        <is>
          <t>MID</t>
        </is>
      </c>
      <c r="E46" t="n">
        <v>6</v>
      </c>
      <c r="F46" t="b">
        <v>1</v>
      </c>
      <c r="G46" t="b">
        <v>1</v>
      </c>
      <c r="H46" t="n">
        <v>22.1</v>
      </c>
      <c r="I46" t="inlineStr">
        <is>
          <t>a</t>
        </is>
      </c>
      <c r="L46" t="inlineStr">
        <is>
          <t>p551226</t>
        </is>
      </c>
      <c r="M46" t="n">
        <v>525</v>
      </c>
      <c r="Q46" t="n">
        <v>3017</v>
      </c>
      <c r="R46" t="n">
        <v>36</v>
      </c>
      <c r="S46" t="n">
        <v>35</v>
      </c>
      <c r="T46" t="n">
        <v>33.522</v>
      </c>
      <c r="U46" t="n">
        <v>83.8</v>
      </c>
      <c r="V46" t="n">
        <v>135</v>
      </c>
      <c r="W46" t="n">
        <v>4.027</v>
      </c>
      <c r="X46" t="n">
        <v>3</v>
      </c>
      <c r="Y46" t="n">
        <v>4</v>
      </c>
      <c r="Z46" t="n">
        <v>4</v>
      </c>
      <c r="AA46" t="n">
        <v>8</v>
      </c>
      <c r="AB46" t="n">
        <v>50</v>
      </c>
      <c r="AC46" t="n">
        <v>7</v>
      </c>
      <c r="AD46" t="n">
        <v>6</v>
      </c>
      <c r="AE46" t="n">
        <v>-1</v>
      </c>
      <c r="AF46" t="n">
        <v>659</v>
      </c>
      <c r="AG46" t="n">
        <v>639</v>
      </c>
      <c r="AH46" t="n">
        <v>-20</v>
      </c>
      <c r="AI46" t="n">
        <v>134</v>
      </c>
      <c r="AJ46" t="n">
        <v>0.052</v>
      </c>
      <c r="AK46" t="n">
        <v>0.055</v>
      </c>
      <c r="AL46" t="n">
        <v>369</v>
      </c>
      <c r="AM46" t="n">
        <v>11.008</v>
      </c>
      <c r="AN46" t="n">
        <v>15</v>
      </c>
      <c r="AO46" t="n">
        <v>30</v>
      </c>
      <c r="AP46" t="n">
        <v>0.429</v>
      </c>
      <c r="AQ46" t="n">
        <v>0.571</v>
      </c>
      <c r="AR46" t="n">
        <v>0.429</v>
      </c>
      <c r="AS46" t="n">
        <v>0.921</v>
      </c>
      <c r="AT46" t="n">
        <v>0.944</v>
      </c>
      <c r="AU46" t="n">
        <v>17</v>
      </c>
      <c r="AV46" t="n">
        <v>0</v>
      </c>
      <c r="AW46" t="n">
        <v>2.43</v>
      </c>
      <c r="AX46" t="n">
        <v>9</v>
      </c>
      <c r="AY46" t="n">
        <v>1.99</v>
      </c>
      <c r="AZ46" t="n">
        <v>1.822</v>
      </c>
      <c r="BA46" t="n">
        <v>1.906</v>
      </c>
      <c r="BB46" t="n">
        <v>1.822</v>
      </c>
      <c r="BC46" t="n">
        <v>0.059</v>
      </c>
      <c r="BD46" t="n">
        <v>0.054</v>
      </c>
      <c r="BE46" t="n">
        <v>0.057</v>
      </c>
      <c r="BF46" t="n">
        <v>1.7</v>
      </c>
      <c r="BG46" t="n">
        <v>0.051</v>
      </c>
      <c r="BH46" t="n">
        <v>0.843</v>
      </c>
      <c r="BI46" t="n">
        <v>6.11</v>
      </c>
      <c r="BJ46" t="n">
        <v>1.678</v>
      </c>
      <c r="BK46" t="n">
        <v>0.05</v>
      </c>
      <c r="BL46" t="n">
        <v>1.094</v>
      </c>
      <c r="BM46" t="n">
        <v>-0.29</v>
      </c>
      <c r="BN46" t="n">
        <v>1.3</v>
      </c>
      <c r="BO46" t="n">
        <v>0.168</v>
      </c>
      <c r="BP46" t="n">
        <v>28</v>
      </c>
      <c r="BQ46" t="n">
        <v>8</v>
      </c>
      <c r="BR46" t="n">
        <v>1</v>
      </c>
      <c r="BS46" t="n">
        <v>22</v>
      </c>
      <c r="BT46" t="n">
        <v>0.656</v>
      </c>
      <c r="BV46" t="n">
        <v>1</v>
      </c>
      <c r="BW46" t="n">
        <v>2.96</v>
      </c>
      <c r="BX46" t="n">
        <v>3.336</v>
      </c>
      <c r="BY46" t="n">
        <v>3.148</v>
      </c>
      <c r="BZ46" t="n">
        <v>0.094</v>
      </c>
      <c r="CA46" t="n">
        <v>5.054</v>
      </c>
      <c r="CB46" t="n">
        <v>0.151</v>
      </c>
      <c r="CC46" t="n">
        <v>37</v>
      </c>
      <c r="CD46" t="n">
        <v>3</v>
      </c>
      <c r="CE46" t="n">
        <v>37</v>
      </c>
      <c r="CF46" t="n">
        <v>12</v>
      </c>
      <c r="CG46" t="n">
        <v>7</v>
      </c>
      <c r="CH46" t="n">
        <v>13</v>
      </c>
      <c r="CI46" t="n">
        <v>10.319</v>
      </c>
      <c r="CJ46" t="n">
        <v>6.989</v>
      </c>
      <c r="CK46" t="n">
        <v>84</v>
      </c>
      <c r="CL46" t="n">
        <v>182</v>
      </c>
      <c r="CM46" t="n">
        <v>103</v>
      </c>
      <c r="CN46" t="n">
        <v>67</v>
      </c>
      <c r="CO46" t="n">
        <v>35</v>
      </c>
      <c r="CP46" t="n">
        <v>36</v>
      </c>
      <c r="CQ46" t="n">
        <v>12</v>
      </c>
      <c r="CR46" t="n">
        <v>199</v>
      </c>
      <c r="CS46" t="n">
        <v>19</v>
      </c>
      <c r="CT46" t="n">
        <v>0.5</v>
      </c>
      <c r="CV46" t="n">
        <v>4</v>
      </c>
      <c r="CW46" t="n">
        <v>48.3</v>
      </c>
      <c r="CX46" t="n">
        <v>1.441</v>
      </c>
      <c r="CY46" t="n">
        <v>0</v>
      </c>
      <c r="DB46" t="n">
        <v>0</v>
      </c>
      <c r="DE46" t="n">
        <v>7.24</v>
      </c>
      <c r="DF46" t="n">
        <v>7</v>
      </c>
      <c r="DG46" t="n">
        <v>0</v>
      </c>
      <c r="DH46" t="n">
        <v>49</v>
      </c>
      <c r="DI46" t="n">
        <v>49</v>
      </c>
      <c r="DL46" t="n">
        <v>28</v>
      </c>
      <c r="DM46" t="n">
        <v>32</v>
      </c>
      <c r="DO46" t="n">
        <v>2.8</v>
      </c>
      <c r="DP46" t="n">
        <v>145.49</v>
      </c>
      <c r="DQ46" t="n">
        <v>71.48999999999999</v>
      </c>
      <c r="DR46" t="n">
        <v>142.98</v>
      </c>
      <c r="DS46" t="n">
        <v>2.51</v>
      </c>
      <c r="DT46" t="n">
        <v>3089</v>
      </c>
      <c r="DU46" t="n">
        <v>81.3</v>
      </c>
      <c r="DV46" t="inlineStr">
        <is>
          <t>flat</t>
        </is>
      </c>
      <c r="DW46" t="n">
        <v>70.31999999999999</v>
      </c>
      <c r="DX46" t="n">
        <v>72.84999999999999</v>
      </c>
      <c r="DY46" t="n">
        <v>69.34999999999999</v>
      </c>
      <c r="DZ46" t="n">
        <v>-0.97</v>
      </c>
      <c r="EA46" t="n">
        <v>879</v>
      </c>
      <c r="EB46" t="n">
        <v>22.28</v>
      </c>
      <c r="EC46" t="n">
        <v>4</v>
      </c>
      <c r="ED46" t="n">
        <v>120</v>
      </c>
      <c r="EE46" t="n">
        <v>1869</v>
      </c>
      <c r="EF46" t="b">
        <v>1</v>
      </c>
      <c r="EG46" t="n">
        <v>42.7</v>
      </c>
      <c r="EH46" t="n">
        <v>10.1</v>
      </c>
      <c r="EI46" t="n">
        <v>70</v>
      </c>
      <c r="EJ46" t="n">
        <v>107.8</v>
      </c>
      <c r="EK46" t="n">
        <v>137.1</v>
      </c>
      <c r="EL46" t="n">
        <v>81.5</v>
      </c>
      <c r="EM46" t="n">
        <v>1583</v>
      </c>
      <c r="EN46" t="n">
        <v>958.4</v>
      </c>
      <c r="EO46" t="n">
        <v>597</v>
      </c>
      <c r="EP46" t="n">
        <v>22.3</v>
      </c>
    </row>
    <row r="47">
      <c r="A47" t="inlineStr">
        <is>
          <t>Rayan Cherki</t>
        </is>
      </c>
      <c r="B47" t="inlineStr">
        <is>
          <t>MCI</t>
        </is>
      </c>
      <c r="C47" t="inlineStr">
        <is>
          <t>MID</t>
        </is>
      </c>
      <c r="D47" t="inlineStr">
        <is>
          <t>MID</t>
        </is>
      </c>
      <c r="E47" t="n">
        <v>7.5</v>
      </c>
      <c r="F47" t="b">
        <v>1</v>
      </c>
      <c r="G47" t="b">
        <v>1</v>
      </c>
      <c r="H47" t="n">
        <v>23</v>
      </c>
      <c r="I47" t="inlineStr">
        <is>
          <t>a</t>
        </is>
      </c>
      <c r="L47" t="inlineStr">
        <is>
          <t>p466052</t>
        </is>
      </c>
      <c r="M47" t="n">
        <v>399</v>
      </c>
      <c r="O47" t="n">
        <v>1</v>
      </c>
      <c r="P47" t="n">
        <v>1</v>
      </c>
      <c r="Q47" t="n">
        <v>1772</v>
      </c>
      <c r="R47" t="n">
        <v>33</v>
      </c>
      <c r="S47" t="n">
        <v>19</v>
      </c>
      <c r="T47" t="n">
        <v>19.689</v>
      </c>
      <c r="U47" t="n">
        <v>53.7</v>
      </c>
      <c r="V47" t="n">
        <v>135</v>
      </c>
      <c r="W47" t="n">
        <v>6.857</v>
      </c>
      <c r="X47" t="n">
        <v>4</v>
      </c>
      <c r="Y47" t="n">
        <v>13</v>
      </c>
      <c r="Z47" t="n">
        <v>12</v>
      </c>
      <c r="AA47" t="n">
        <v>8</v>
      </c>
      <c r="AB47" t="n">
        <v>18</v>
      </c>
      <c r="AC47" t="n">
        <v>16</v>
      </c>
      <c r="AD47" t="n">
        <v>16</v>
      </c>
      <c r="AE47" t="n">
        <v>0</v>
      </c>
      <c r="AF47" t="n">
        <v>580</v>
      </c>
      <c r="AG47" t="n">
        <v>579</v>
      </c>
      <c r="AH47" t="n">
        <v>-1</v>
      </c>
      <c r="AI47" t="n">
        <v>135</v>
      </c>
      <c r="AJ47" t="n">
        <v>0.119</v>
      </c>
      <c r="AK47" t="n">
        <v>0.134</v>
      </c>
      <c r="AL47" t="n">
        <v>135</v>
      </c>
      <c r="AM47" t="n">
        <v>6.857</v>
      </c>
      <c r="AN47" t="n">
        <v>2</v>
      </c>
      <c r="AO47" t="n">
        <v>4</v>
      </c>
      <c r="AP47" t="n">
        <v>0.105</v>
      </c>
      <c r="AQ47" t="n">
        <v>0.105</v>
      </c>
      <c r="AR47" t="n">
        <v>0.105</v>
      </c>
      <c r="AS47" t="n">
        <v>0.5</v>
      </c>
      <c r="AT47" t="n">
        <v>0.485</v>
      </c>
      <c r="AU47" t="n">
        <v>14</v>
      </c>
      <c r="AV47" t="n">
        <v>5</v>
      </c>
      <c r="AW47" t="n">
        <v>3.67</v>
      </c>
      <c r="AX47" t="n">
        <v>13</v>
      </c>
      <c r="AY47" t="n">
        <v>4.28</v>
      </c>
      <c r="AZ47" t="n">
        <v>4.641</v>
      </c>
      <c r="BA47" t="n">
        <v>4.461</v>
      </c>
      <c r="BB47" t="n">
        <v>4.641</v>
      </c>
      <c r="BC47" t="n">
        <v>0.217</v>
      </c>
      <c r="BD47" t="n">
        <v>0.236</v>
      </c>
      <c r="BE47" t="n">
        <v>0.227</v>
      </c>
      <c r="BF47" t="n">
        <v>4.6</v>
      </c>
      <c r="BG47" t="n">
        <v>0.234</v>
      </c>
      <c r="BH47" t="n">
        <v>1.026</v>
      </c>
      <c r="BI47" t="n">
        <v>4.28</v>
      </c>
      <c r="BJ47" t="n">
        <v>4.392</v>
      </c>
      <c r="BK47" t="n">
        <v>0.223</v>
      </c>
      <c r="BL47" t="n">
        <v>-0.461</v>
      </c>
      <c r="BM47" t="n">
        <v>0.32</v>
      </c>
      <c r="BN47" t="n">
        <v>-0.6</v>
      </c>
      <c r="BO47" t="n">
        <v>-0.361</v>
      </c>
      <c r="BP47" t="n">
        <v>55</v>
      </c>
      <c r="BQ47" t="n">
        <v>13</v>
      </c>
      <c r="BR47" t="n">
        <v>2</v>
      </c>
      <c r="BS47" t="n">
        <v>148</v>
      </c>
      <c r="BT47" t="n">
        <v>7.517</v>
      </c>
      <c r="BW47" t="n">
        <v>8.869999999999999</v>
      </c>
      <c r="BX47" t="n">
        <v>10.785</v>
      </c>
      <c r="BY47" t="n">
        <v>9.827</v>
      </c>
      <c r="BZ47" t="n">
        <v>0.499</v>
      </c>
      <c r="CA47" t="n">
        <v>14.288</v>
      </c>
      <c r="CB47" t="n">
        <v>0.726</v>
      </c>
      <c r="CC47" t="n">
        <v>60</v>
      </c>
      <c r="CD47" t="n">
        <v>19</v>
      </c>
      <c r="CE47" t="n">
        <v>60</v>
      </c>
      <c r="CF47" t="n">
        <v>24</v>
      </c>
      <c r="CG47" t="n">
        <v>13</v>
      </c>
      <c r="CH47" t="n">
        <v>55</v>
      </c>
      <c r="CI47" t="n">
        <v>20.81</v>
      </c>
      <c r="CJ47" t="n">
        <v>11.158</v>
      </c>
      <c r="CK47" t="n">
        <v>16</v>
      </c>
      <c r="CL47" t="n">
        <v>93</v>
      </c>
      <c r="CM47" t="n">
        <v>26</v>
      </c>
      <c r="CN47" t="n">
        <v>18</v>
      </c>
      <c r="CO47" t="n">
        <v>7</v>
      </c>
      <c r="CP47" t="n">
        <v>7</v>
      </c>
      <c r="CQ47" t="n">
        <v>1</v>
      </c>
      <c r="CR47" t="n">
        <v>112</v>
      </c>
      <c r="CS47" t="n">
        <v>1</v>
      </c>
      <c r="CT47" t="n">
        <v>0.8</v>
      </c>
      <c r="CV47" t="n">
        <v>1</v>
      </c>
      <c r="CW47" t="n">
        <v>25.23</v>
      </c>
      <c r="CX47" t="n">
        <v>1.281</v>
      </c>
      <c r="CY47" t="n">
        <v>0</v>
      </c>
      <c r="DB47" t="n">
        <v>0</v>
      </c>
      <c r="DE47" t="n">
        <v>7.35</v>
      </c>
      <c r="DF47" t="n">
        <v>1</v>
      </c>
      <c r="DG47" t="n">
        <v>0</v>
      </c>
      <c r="DH47" t="n">
        <v>17</v>
      </c>
      <c r="DI47" t="n">
        <v>34</v>
      </c>
      <c r="DL47" t="n">
        <v>51</v>
      </c>
      <c r="DM47" t="n">
        <v>34</v>
      </c>
      <c r="DN47" t="n">
        <v>1</v>
      </c>
      <c r="DO47" t="n">
        <v>8.800000000000001</v>
      </c>
      <c r="DP47" t="n">
        <v>114.29</v>
      </c>
      <c r="DQ47" t="n">
        <v>57.49</v>
      </c>
      <c r="DR47" t="n">
        <v>114.98</v>
      </c>
      <c r="DS47" t="n">
        <v>-0.6899999999999999</v>
      </c>
      <c r="DT47" t="n">
        <v>1796</v>
      </c>
      <c r="DU47" t="n">
        <v>47.25</v>
      </c>
      <c r="DV47" t="inlineStr">
        <is>
          <t>flat</t>
        </is>
      </c>
      <c r="DW47" t="n">
        <v>23.21</v>
      </c>
      <c r="DX47" t="n">
        <v>21.35</v>
      </c>
      <c r="DY47" t="n">
        <v>23.88</v>
      </c>
      <c r="DZ47" t="n">
        <v>0.67</v>
      </c>
      <c r="EA47" t="n">
        <v>1386</v>
      </c>
      <c r="EB47" t="n">
        <v>15.09</v>
      </c>
      <c r="EC47" t="n">
        <v>1.23</v>
      </c>
      <c r="ED47" t="n">
        <v>118.86</v>
      </c>
      <c r="EE47" t="n">
        <v>2451</v>
      </c>
      <c r="EF47" t="b">
        <v>1</v>
      </c>
      <c r="EG47" t="n">
        <v>99.5</v>
      </c>
      <c r="EH47" t="n">
        <v>49.5</v>
      </c>
      <c r="EI47" t="n">
        <v>16</v>
      </c>
      <c r="EJ47" t="n">
        <v>32.2</v>
      </c>
      <c r="EK47" t="n">
        <v>12</v>
      </c>
      <c r="EL47" t="n">
        <v>29.5</v>
      </c>
      <c r="EM47" t="n">
        <v>397.2</v>
      </c>
      <c r="EN47" t="n">
        <v>180.3</v>
      </c>
      <c r="EO47" t="n">
        <v>124</v>
      </c>
      <c r="EP47" t="n">
        <v>13.1</v>
      </c>
    </row>
    <row r="48">
      <c r="A48" t="inlineStr">
        <is>
          <t>Jordan Pickford</t>
        </is>
      </c>
      <c r="B48" t="inlineStr">
        <is>
          <t>EVE</t>
        </is>
      </c>
      <c r="C48" t="inlineStr">
        <is>
          <t>GKP</t>
        </is>
      </c>
      <c r="D48" t="inlineStr">
        <is>
          <t>GKP</t>
        </is>
      </c>
      <c r="E48" t="n">
        <v>5.5</v>
      </c>
      <c r="F48" t="b">
        <v>1</v>
      </c>
      <c r="G48" t="b">
        <v>1</v>
      </c>
      <c r="H48" t="n">
        <v>32.5</v>
      </c>
      <c r="I48" t="inlineStr">
        <is>
          <t>a</t>
        </is>
      </c>
      <c r="L48" t="inlineStr">
        <is>
          <t>p111234</t>
        </is>
      </c>
      <c r="M48" t="n">
        <v>226</v>
      </c>
      <c r="Q48" t="n">
        <v>3420</v>
      </c>
      <c r="R48" t="n">
        <v>38</v>
      </c>
      <c r="S48" t="n">
        <v>38</v>
      </c>
      <c r="T48" t="n">
        <v>38</v>
      </c>
      <c r="U48" t="n">
        <v>90</v>
      </c>
      <c r="V48" t="n">
        <v>135</v>
      </c>
      <c r="W48" t="n">
        <v>3.553</v>
      </c>
      <c r="X48" t="n">
        <v>0</v>
      </c>
      <c r="Y48" t="n">
        <v>0</v>
      </c>
      <c r="AA48" t="n">
        <v>11</v>
      </c>
      <c r="AB48" t="n">
        <v>50</v>
      </c>
      <c r="AC48" t="n">
        <v>11</v>
      </c>
      <c r="AD48" t="n">
        <v>15</v>
      </c>
      <c r="AE48" t="n">
        <v>4</v>
      </c>
      <c r="AF48" t="n">
        <v>545</v>
      </c>
      <c r="AG48" t="n">
        <v>530</v>
      </c>
      <c r="AH48" t="n">
        <v>-15</v>
      </c>
      <c r="AI48" t="n">
        <v>139</v>
      </c>
      <c r="AJ48" t="n">
        <v>0.081</v>
      </c>
      <c r="AK48" t="n">
        <v>0.089</v>
      </c>
      <c r="AL48" t="n">
        <v>0</v>
      </c>
      <c r="AM48" t="n">
        <v>0</v>
      </c>
      <c r="AN48" t="n">
        <v>0</v>
      </c>
      <c r="AO48" t="n">
        <v>0</v>
      </c>
      <c r="AP48" t="n">
        <v>0</v>
      </c>
      <c r="AQ48" t="n">
        <v>0</v>
      </c>
      <c r="AR48" t="n">
        <v>0</v>
      </c>
      <c r="AS48" t="n">
        <v>1</v>
      </c>
      <c r="AT48" t="n">
        <v>1</v>
      </c>
      <c r="AU48" t="n">
        <v>23</v>
      </c>
      <c r="AV48" t="n">
        <v>4</v>
      </c>
      <c r="AW48" t="n">
        <v>3.4</v>
      </c>
      <c r="AX48" t="n">
        <v>15</v>
      </c>
      <c r="AY48" t="n">
        <v>0</v>
      </c>
      <c r="AZ48" t="n">
        <v>0</v>
      </c>
      <c r="BA48" t="n">
        <v>0</v>
      </c>
      <c r="BB48" t="n">
        <v>0</v>
      </c>
      <c r="BC48" t="n">
        <v>0</v>
      </c>
      <c r="BD48" t="n">
        <v>0</v>
      </c>
      <c r="BE48" t="n">
        <v>0</v>
      </c>
      <c r="BH48" t="n">
        <v>1</v>
      </c>
      <c r="BI48" t="n">
        <v>0</v>
      </c>
      <c r="BJ48" t="n">
        <v>0</v>
      </c>
      <c r="BK48" t="n">
        <v>0</v>
      </c>
      <c r="BL48" t="n">
        <v>0</v>
      </c>
      <c r="BO48" t="n">
        <v>0</v>
      </c>
      <c r="BS48" t="n">
        <v>1</v>
      </c>
      <c r="BT48" t="n">
        <v>0.026</v>
      </c>
      <c r="BW48" t="n">
        <v>0.2</v>
      </c>
      <c r="BX48" t="n">
        <v>0.233</v>
      </c>
      <c r="BY48" t="n">
        <v>0.217</v>
      </c>
      <c r="BZ48" t="n">
        <v>0.006</v>
      </c>
      <c r="CA48" t="n">
        <v>0.217</v>
      </c>
      <c r="CB48" t="n">
        <v>0.006</v>
      </c>
      <c r="CC48" t="n">
        <v>2</v>
      </c>
      <c r="CD48" t="n">
        <v>1</v>
      </c>
      <c r="CE48" t="n">
        <v>2</v>
      </c>
      <c r="CI48" t="n">
        <v>3.099</v>
      </c>
      <c r="CJ48" t="n">
        <v>3.017</v>
      </c>
      <c r="CK48" t="n">
        <v>52</v>
      </c>
      <c r="CL48" t="n">
        <v>313</v>
      </c>
      <c r="CM48" t="n">
        <v>2</v>
      </c>
      <c r="CN48" t="n">
        <v>1</v>
      </c>
      <c r="CO48" t="n">
        <v>0</v>
      </c>
      <c r="CP48" t="n">
        <v>52</v>
      </c>
      <c r="CR48" t="n">
        <v>13</v>
      </c>
      <c r="CS48" t="n">
        <v>5</v>
      </c>
      <c r="CU48" t="n">
        <v>3</v>
      </c>
      <c r="CW48" t="n">
        <v>56.24</v>
      </c>
      <c r="CX48" t="n">
        <v>1.48</v>
      </c>
      <c r="CY48" t="n">
        <v>100</v>
      </c>
      <c r="CZ48" t="n">
        <v>66.7</v>
      </c>
      <c r="DA48" t="n">
        <v>2.8</v>
      </c>
      <c r="DB48" t="n">
        <v>1</v>
      </c>
      <c r="DC48" t="n">
        <v>16</v>
      </c>
      <c r="DD48" t="n">
        <v>18</v>
      </c>
      <c r="DE48" t="n">
        <v>6.94</v>
      </c>
      <c r="DF48" t="n">
        <v>4</v>
      </c>
      <c r="DG48" t="n">
        <v>0</v>
      </c>
      <c r="DH48" t="n">
        <v>1</v>
      </c>
      <c r="DI48" t="n">
        <v>6</v>
      </c>
      <c r="DK48" t="n">
        <v>1</v>
      </c>
      <c r="DO48" t="n">
        <v>8.699999999999999</v>
      </c>
      <c r="DP48" t="n">
        <v>123.64</v>
      </c>
      <c r="DQ48" t="n">
        <v>61.82</v>
      </c>
      <c r="DR48" t="n">
        <v>123.64</v>
      </c>
      <c r="DS48" t="n">
        <v>0</v>
      </c>
      <c r="DT48" t="n">
        <v>3385</v>
      </c>
      <c r="DU48" t="n">
        <v>89.09</v>
      </c>
      <c r="DV48" t="inlineStr">
        <is>
          <t>flat</t>
        </is>
      </c>
      <c r="DW48" t="n">
        <v>53.35</v>
      </c>
      <c r="DX48" t="n">
        <v>56.16</v>
      </c>
      <c r="DY48" t="n">
        <v>51.03</v>
      </c>
      <c r="DZ48" t="n">
        <v>-2.32</v>
      </c>
      <c r="EA48" t="n">
        <v>1571</v>
      </c>
      <c r="EB48" t="n">
        <v>21.25</v>
      </c>
      <c r="EC48" t="n">
        <v>0.73</v>
      </c>
      <c r="ED48" t="n">
        <v>118.67</v>
      </c>
      <c r="EE48" t="n">
        <v>3128</v>
      </c>
      <c r="EF48" t="b">
        <v>1</v>
      </c>
      <c r="EG48" t="n">
        <v>99.90000000000001</v>
      </c>
      <c r="EH48" t="n">
        <v>35.8</v>
      </c>
      <c r="EI48" t="n">
        <v>115</v>
      </c>
      <c r="EK48" t="n">
        <v>3420</v>
      </c>
      <c r="EL48" t="n">
        <v>1710</v>
      </c>
      <c r="EN48" t="n">
        <v>15783.2</v>
      </c>
      <c r="EO48" t="n">
        <v>15783.2</v>
      </c>
      <c r="EP48" t="n">
        <v>25.3</v>
      </c>
    </row>
    <row r="49">
      <c r="A49" t="inlineStr">
        <is>
          <t>Gianluigi Donnarumma</t>
        </is>
      </c>
      <c r="B49" t="inlineStr">
        <is>
          <t>MCI</t>
        </is>
      </c>
      <c r="C49" t="inlineStr">
        <is>
          <t>GKP</t>
        </is>
      </c>
      <c r="D49" t="inlineStr">
        <is>
          <t>GKP</t>
        </is>
      </c>
      <c r="E49" t="n">
        <v>5.5</v>
      </c>
      <c r="F49" t="b">
        <v>1</v>
      </c>
      <c r="G49" t="b">
        <v>1</v>
      </c>
      <c r="H49" t="n">
        <v>27.5</v>
      </c>
      <c r="I49" t="inlineStr">
        <is>
          <t>a</t>
        </is>
      </c>
      <c r="L49" t="inlineStr">
        <is>
          <t>p204936</t>
        </is>
      </c>
      <c r="M49" t="n">
        <v>384</v>
      </c>
      <c r="Q49" t="n">
        <v>3060</v>
      </c>
      <c r="R49" t="n">
        <v>34</v>
      </c>
      <c r="S49" t="n">
        <v>34</v>
      </c>
      <c r="T49" t="n">
        <v>34</v>
      </c>
      <c r="U49" t="n">
        <v>90</v>
      </c>
      <c r="V49" t="n">
        <v>135</v>
      </c>
      <c r="W49" t="n">
        <v>3.971</v>
      </c>
      <c r="X49" t="n">
        <v>0</v>
      </c>
      <c r="Y49" t="n">
        <v>0</v>
      </c>
      <c r="AA49" t="n">
        <v>15</v>
      </c>
      <c r="AB49" t="n">
        <v>29</v>
      </c>
      <c r="AC49" t="n">
        <v>5</v>
      </c>
      <c r="AD49" t="n">
        <v>6</v>
      </c>
      <c r="AE49" t="n">
        <v>1</v>
      </c>
      <c r="AF49" t="n">
        <v>567</v>
      </c>
      <c r="AG49" t="n">
        <v>560</v>
      </c>
      <c r="AH49" t="n">
        <v>-7</v>
      </c>
      <c r="AI49" t="n">
        <v>136</v>
      </c>
      <c r="AJ49" t="n">
        <v>0.037</v>
      </c>
      <c r="AK49" t="n">
        <v>0.038</v>
      </c>
      <c r="AL49" t="n">
        <v>0</v>
      </c>
      <c r="AM49" t="n">
        <v>0</v>
      </c>
      <c r="AN49" t="n">
        <v>0</v>
      </c>
      <c r="AO49" t="n">
        <v>0</v>
      </c>
      <c r="AP49" t="n">
        <v>0</v>
      </c>
      <c r="AQ49" t="n">
        <v>0</v>
      </c>
      <c r="AR49" t="n">
        <v>0</v>
      </c>
      <c r="AS49" t="n">
        <v>0.895</v>
      </c>
      <c r="AT49" t="n">
        <v>1</v>
      </c>
      <c r="AU49" t="n">
        <v>16</v>
      </c>
      <c r="AV49" t="n">
        <v>0</v>
      </c>
      <c r="AW49" t="n">
        <v>2.6</v>
      </c>
      <c r="AX49" t="n">
        <v>8</v>
      </c>
      <c r="AY49" t="n">
        <v>0</v>
      </c>
      <c r="AZ49" t="n">
        <v>0</v>
      </c>
      <c r="BA49" t="n">
        <v>0</v>
      </c>
      <c r="BB49" t="n">
        <v>0</v>
      </c>
      <c r="BC49" t="n">
        <v>0</v>
      </c>
      <c r="BD49" t="n">
        <v>0</v>
      </c>
      <c r="BE49" t="n">
        <v>0</v>
      </c>
      <c r="BH49" t="n">
        <v>1</v>
      </c>
      <c r="BI49" t="n">
        <v>0</v>
      </c>
      <c r="BJ49" t="n">
        <v>0</v>
      </c>
      <c r="BK49" t="n">
        <v>0</v>
      </c>
      <c r="BL49" t="n">
        <v>0</v>
      </c>
      <c r="BO49" t="n">
        <v>0</v>
      </c>
      <c r="BS49" t="n">
        <v>1</v>
      </c>
      <c r="BT49" t="n">
        <v>0.029</v>
      </c>
      <c r="BW49" t="n">
        <v>0.13</v>
      </c>
      <c r="BX49" t="n">
        <v>0</v>
      </c>
      <c r="BY49" t="n">
        <v>0.065</v>
      </c>
      <c r="BZ49" t="n">
        <v>0.002</v>
      </c>
      <c r="CA49" t="n">
        <v>0.065</v>
      </c>
      <c r="CB49" t="n">
        <v>0.002</v>
      </c>
      <c r="CC49" t="n">
        <v>0</v>
      </c>
      <c r="CE49" t="n">
        <v>1</v>
      </c>
      <c r="CI49" t="n">
        <v>7.178</v>
      </c>
      <c r="CJ49" t="n">
        <v>7.178</v>
      </c>
      <c r="CK49" t="n">
        <v>42</v>
      </c>
      <c r="CL49" t="n">
        <v>236</v>
      </c>
      <c r="CM49" t="n">
        <v>0</v>
      </c>
      <c r="CO49" t="n">
        <v>1</v>
      </c>
      <c r="CP49" t="n">
        <v>43</v>
      </c>
      <c r="CR49" t="n">
        <v>22</v>
      </c>
      <c r="CS49" t="n">
        <v>16</v>
      </c>
      <c r="CU49" t="n">
        <v>2</v>
      </c>
      <c r="CV49" t="n">
        <v>3</v>
      </c>
      <c r="CW49" t="n">
        <v>38.5</v>
      </c>
      <c r="CX49" t="n">
        <v>1.132</v>
      </c>
      <c r="CY49" t="n">
        <v>78</v>
      </c>
      <c r="CZ49" t="n">
        <v>72.90000000000001</v>
      </c>
      <c r="DA49" t="n">
        <v>5.8</v>
      </c>
      <c r="DB49" t="n">
        <v>1</v>
      </c>
      <c r="DC49" t="n">
        <v>20</v>
      </c>
      <c r="DD49" t="n">
        <v>27</v>
      </c>
      <c r="DE49" t="n">
        <v>7.25</v>
      </c>
      <c r="DF49" t="n">
        <v>8</v>
      </c>
      <c r="DG49" t="n">
        <v>0</v>
      </c>
      <c r="DI49" t="n">
        <v>4</v>
      </c>
      <c r="DL49" t="n">
        <v>2</v>
      </c>
      <c r="DO49" t="n">
        <v>11.1</v>
      </c>
      <c r="DP49" t="n">
        <v>132.22</v>
      </c>
      <c r="DQ49" t="n">
        <v>66.11</v>
      </c>
      <c r="DR49" t="n">
        <v>132.22</v>
      </c>
      <c r="DS49" t="n">
        <v>0</v>
      </c>
      <c r="DT49" t="n">
        <v>3420</v>
      </c>
      <c r="DU49" t="n">
        <v>90</v>
      </c>
      <c r="DV49" t="inlineStr">
        <is>
          <t>flat</t>
        </is>
      </c>
      <c r="DW49" t="n">
        <v>43.7</v>
      </c>
      <c r="DX49" t="n">
        <v>47.09</v>
      </c>
      <c r="DY49" t="n">
        <v>39.45</v>
      </c>
      <c r="DZ49" t="n">
        <v>-4.25</v>
      </c>
      <c r="EA49" t="n">
        <v>1632</v>
      </c>
      <c r="EB49" t="n">
        <v>19.27</v>
      </c>
      <c r="EC49" t="n">
        <v>1.6</v>
      </c>
      <c r="ED49" t="n">
        <v>119</v>
      </c>
      <c r="EE49" t="n">
        <v>3818</v>
      </c>
      <c r="EF49" t="b">
        <v>1</v>
      </c>
      <c r="EG49" t="n">
        <v>99.8</v>
      </c>
      <c r="EH49" t="n">
        <v>21.5</v>
      </c>
      <c r="EI49" t="n">
        <v>116</v>
      </c>
      <c r="EK49" t="n">
        <v>3060</v>
      </c>
      <c r="EL49" t="n">
        <v>3060</v>
      </c>
      <c r="EN49" t="n">
        <v>47076.9</v>
      </c>
      <c r="EO49" t="n">
        <v>47076.9</v>
      </c>
      <c r="EP49" t="n">
        <v>22.7</v>
      </c>
    </row>
    <row r="50">
      <c r="A50" t="inlineStr">
        <is>
          <t>Tyrick Mitchell</t>
        </is>
      </c>
      <c r="B50" t="inlineStr">
        <is>
          <t>CRY</t>
        </is>
      </c>
      <c r="C50" t="inlineStr">
        <is>
          <t>DEF</t>
        </is>
      </c>
      <c r="D50" t="inlineStr">
        <is>
          <t>DEF</t>
        </is>
      </c>
      <c r="E50" t="n">
        <v>4.5</v>
      </c>
      <c r="F50" t="b">
        <v>1</v>
      </c>
      <c r="G50" t="b">
        <v>1</v>
      </c>
      <c r="H50" t="n">
        <v>27</v>
      </c>
      <c r="I50" t="inlineStr">
        <is>
          <t>a</t>
        </is>
      </c>
      <c r="L50" t="inlineStr">
        <is>
          <t>p244723</t>
        </is>
      </c>
      <c r="M50" t="n">
        <v>204</v>
      </c>
      <c r="Q50" t="n">
        <v>3253</v>
      </c>
      <c r="R50" t="n">
        <v>38</v>
      </c>
      <c r="S50" t="n">
        <v>36</v>
      </c>
      <c r="T50" t="n">
        <v>36.144</v>
      </c>
      <c r="U50" t="n">
        <v>85.59999999999999</v>
      </c>
      <c r="V50" t="n">
        <v>135</v>
      </c>
      <c r="W50" t="n">
        <v>3.735</v>
      </c>
      <c r="X50" t="n">
        <v>1</v>
      </c>
      <c r="Y50" t="n">
        <v>3</v>
      </c>
      <c r="Z50" t="n">
        <v>2</v>
      </c>
      <c r="AA50" t="n">
        <v>12</v>
      </c>
      <c r="AB50" t="n">
        <v>47</v>
      </c>
      <c r="AC50" t="n">
        <v>8</v>
      </c>
      <c r="AD50" t="n">
        <v>8</v>
      </c>
      <c r="AE50" t="n">
        <v>0</v>
      </c>
      <c r="AF50" t="n">
        <v>498</v>
      </c>
      <c r="AG50" t="n">
        <v>468</v>
      </c>
      <c r="AH50" t="n">
        <v>-30</v>
      </c>
      <c r="AI50" t="n">
        <v>135</v>
      </c>
      <c r="AJ50" t="n">
        <v>0.059</v>
      </c>
      <c r="AK50" t="n">
        <v>0.063</v>
      </c>
      <c r="AL50" t="n">
        <v>245</v>
      </c>
      <c r="AM50" t="n">
        <v>6.778</v>
      </c>
      <c r="AN50" t="n">
        <v>6</v>
      </c>
      <c r="AO50" t="n">
        <v>12</v>
      </c>
      <c r="AP50" t="n">
        <v>0.167</v>
      </c>
      <c r="AQ50" t="n">
        <v>0.167</v>
      </c>
      <c r="AR50" t="n">
        <v>0.056</v>
      </c>
      <c r="AS50" t="n">
        <v>0.947</v>
      </c>
      <c r="AT50" t="n">
        <v>0.921</v>
      </c>
      <c r="AU50" t="n">
        <v>21</v>
      </c>
      <c r="AV50" t="n">
        <v>2</v>
      </c>
      <c r="AW50" t="n">
        <v>3.06</v>
      </c>
      <c r="AX50" t="n">
        <v>11</v>
      </c>
      <c r="AY50" t="n">
        <v>1.59</v>
      </c>
      <c r="AZ50" t="n">
        <v>1.985</v>
      </c>
      <c r="BA50" t="n">
        <v>1.787</v>
      </c>
      <c r="BB50" t="n">
        <v>1.985</v>
      </c>
      <c r="BC50" t="n">
        <v>0.044</v>
      </c>
      <c r="BD50" t="n">
        <v>0.055</v>
      </c>
      <c r="BE50" t="n">
        <v>0.049</v>
      </c>
      <c r="BF50" t="n">
        <v>1.9</v>
      </c>
      <c r="BG50" t="n">
        <v>0.053</v>
      </c>
      <c r="BH50" t="n">
        <v>0.97</v>
      </c>
      <c r="BI50" t="n">
        <v>4.79</v>
      </c>
      <c r="BJ50" t="n">
        <v>1.542</v>
      </c>
      <c r="BK50" t="n">
        <v>0.043</v>
      </c>
      <c r="BL50" t="n">
        <v>-0.787</v>
      </c>
      <c r="BM50" t="n">
        <v>0.31</v>
      </c>
      <c r="BN50" t="n">
        <v>-0.9</v>
      </c>
      <c r="BO50" t="n">
        <v>-0.395</v>
      </c>
      <c r="BP50" t="n">
        <v>19</v>
      </c>
      <c r="BQ50" t="n">
        <v>7</v>
      </c>
      <c r="BR50" t="n">
        <v>3</v>
      </c>
      <c r="BS50" t="n">
        <v>55</v>
      </c>
      <c r="BT50" t="n">
        <v>1.522</v>
      </c>
      <c r="BW50" t="n">
        <v>2.53</v>
      </c>
      <c r="BX50" t="n">
        <v>3.036</v>
      </c>
      <c r="BY50" t="n">
        <v>2.783</v>
      </c>
      <c r="BZ50" t="n">
        <v>0.077</v>
      </c>
      <c r="CA50" t="n">
        <v>4.57</v>
      </c>
      <c r="CB50" t="n">
        <v>0.126</v>
      </c>
      <c r="CC50" t="n">
        <v>29</v>
      </c>
      <c r="CD50" t="n">
        <v>4</v>
      </c>
      <c r="CE50" t="n">
        <v>29</v>
      </c>
      <c r="CF50" t="n">
        <v>22</v>
      </c>
      <c r="CI50" t="n">
        <v>13.155</v>
      </c>
      <c r="CJ50" t="n">
        <v>9.869999999999999</v>
      </c>
      <c r="CK50" t="n">
        <v>145</v>
      </c>
      <c r="CL50" t="n">
        <v>187</v>
      </c>
      <c r="CM50" t="n">
        <v>100</v>
      </c>
      <c r="CN50" t="n">
        <v>63</v>
      </c>
      <c r="CO50" t="n">
        <v>34</v>
      </c>
      <c r="CP50" t="n">
        <v>100</v>
      </c>
      <c r="CQ50" t="n">
        <v>12</v>
      </c>
      <c r="CR50" t="n">
        <v>170</v>
      </c>
      <c r="CS50" t="n">
        <v>26</v>
      </c>
      <c r="CT50" t="n">
        <v>0.2</v>
      </c>
      <c r="CV50" t="n">
        <v>2</v>
      </c>
      <c r="CW50" t="n">
        <v>49.78</v>
      </c>
      <c r="CX50" t="n">
        <v>1.377</v>
      </c>
      <c r="CY50" t="n">
        <v>0</v>
      </c>
      <c r="DB50" t="n">
        <v>0</v>
      </c>
      <c r="DE50" t="n">
        <v>7.06</v>
      </c>
      <c r="DF50" t="n">
        <v>6</v>
      </c>
      <c r="DG50" t="n">
        <v>0</v>
      </c>
      <c r="DH50" t="n">
        <v>23</v>
      </c>
      <c r="DI50" t="n">
        <v>28</v>
      </c>
      <c r="DL50" t="n">
        <v>15</v>
      </c>
      <c r="DM50" t="n">
        <v>26</v>
      </c>
      <c r="DN50" t="n">
        <v>5</v>
      </c>
      <c r="DO50" t="n">
        <v>6.9</v>
      </c>
      <c r="DP50" t="n">
        <v>95.16</v>
      </c>
      <c r="DQ50" t="n">
        <v>47.58</v>
      </c>
      <c r="DR50" t="n">
        <v>95.16</v>
      </c>
      <c r="DS50" t="n">
        <v>0</v>
      </c>
      <c r="DT50" t="n">
        <v>2554</v>
      </c>
      <c r="DU50" t="n">
        <v>67.2</v>
      </c>
      <c r="DV50" t="inlineStr">
        <is>
          <t>flat</t>
        </is>
      </c>
      <c r="DW50" t="n">
        <v>93.09</v>
      </c>
      <c r="DX50" t="n">
        <v>98.56</v>
      </c>
      <c r="DY50" t="n">
        <v>91.05</v>
      </c>
      <c r="DZ50" t="n">
        <v>-2.04</v>
      </c>
      <c r="EA50" t="n">
        <v>658</v>
      </c>
      <c r="EB50" t="n">
        <v>17.54</v>
      </c>
      <c r="EC50" t="n">
        <v>13</v>
      </c>
      <c r="ED50" t="n">
        <v>120</v>
      </c>
      <c r="EE50" t="n">
        <v>1064</v>
      </c>
      <c r="EF50" t="b">
        <v>1</v>
      </c>
      <c r="EG50" t="n">
        <v>23.4</v>
      </c>
      <c r="EH50" t="n">
        <v>6.8</v>
      </c>
      <c r="EI50" t="n">
        <v>390</v>
      </c>
      <c r="EJ50" t="n">
        <v>171.2</v>
      </c>
      <c r="EK50" t="n">
        <v>59.1</v>
      </c>
      <c r="EL50" t="n">
        <v>112.2</v>
      </c>
      <c r="EM50" t="n">
        <v>1820</v>
      </c>
      <c r="EN50" t="n">
        <v>1168.9</v>
      </c>
      <c r="EO50" t="n">
        <v>711.7</v>
      </c>
      <c r="EP50" t="n">
        <v>24.1</v>
      </c>
    </row>
    <row r="51">
      <c r="A51" t="inlineStr">
        <is>
          <t>Ethan Ampadu</t>
        </is>
      </c>
      <c r="B51" t="inlineStr">
        <is>
          <t>LEE</t>
        </is>
      </c>
      <c r="C51" t="inlineStr">
        <is>
          <t>MID</t>
        </is>
      </c>
      <c r="D51" t="inlineStr">
        <is>
          <t>MID</t>
        </is>
      </c>
      <c r="E51" t="n">
        <v>5.5</v>
      </c>
      <c r="F51" t="b">
        <v>1</v>
      </c>
      <c r="G51" t="b">
        <v>1</v>
      </c>
      <c r="H51" t="n">
        <v>25.9</v>
      </c>
      <c r="I51" t="inlineStr">
        <is>
          <t>a</t>
        </is>
      </c>
      <c r="L51" t="inlineStr">
        <is>
          <t>p199598</t>
        </is>
      </c>
      <c r="M51" t="n">
        <v>338</v>
      </c>
      <c r="Q51" t="n">
        <v>3119</v>
      </c>
      <c r="R51" t="n">
        <v>35</v>
      </c>
      <c r="S51" t="n">
        <v>35</v>
      </c>
      <c r="T51" t="n">
        <v>34.656</v>
      </c>
      <c r="U51" t="n">
        <v>89.09999999999999</v>
      </c>
      <c r="V51" t="n">
        <v>134</v>
      </c>
      <c r="W51" t="n">
        <v>3.867</v>
      </c>
      <c r="X51" t="n">
        <v>1</v>
      </c>
      <c r="Y51" t="n">
        <v>4</v>
      </c>
      <c r="Z51" t="n">
        <v>1</v>
      </c>
      <c r="AA51" t="n">
        <v>8</v>
      </c>
      <c r="AB51" t="n">
        <v>49</v>
      </c>
      <c r="AC51" t="n">
        <v>11</v>
      </c>
      <c r="AD51" t="n">
        <v>11</v>
      </c>
      <c r="AE51" t="n">
        <v>0</v>
      </c>
      <c r="AF51" t="n">
        <v>586</v>
      </c>
      <c r="AG51" t="n">
        <v>562</v>
      </c>
      <c r="AH51" t="n">
        <v>-24</v>
      </c>
      <c r="AI51" t="n">
        <v>134</v>
      </c>
      <c r="AJ51" t="n">
        <v>0.082</v>
      </c>
      <c r="AK51" t="n">
        <v>0.089</v>
      </c>
      <c r="AL51" t="n">
        <v>416</v>
      </c>
      <c r="AM51" t="n">
        <v>12.004</v>
      </c>
      <c r="AN51" t="n">
        <v>19</v>
      </c>
      <c r="AO51" t="n">
        <v>38</v>
      </c>
      <c r="AP51" t="n">
        <v>0.543</v>
      </c>
      <c r="AQ51" t="n">
        <v>0.6860000000000001</v>
      </c>
      <c r="AR51" t="n">
        <v>0.543</v>
      </c>
      <c r="AS51" t="n">
        <v>0.921</v>
      </c>
      <c r="AT51" t="n">
        <v>1</v>
      </c>
      <c r="AU51" t="n">
        <v>12</v>
      </c>
      <c r="AV51" t="n">
        <v>2</v>
      </c>
      <c r="AW51" t="n">
        <v>2.66</v>
      </c>
      <c r="AX51" t="n">
        <v>12</v>
      </c>
      <c r="AY51" t="n">
        <v>2.47</v>
      </c>
      <c r="AZ51" t="n">
        <v>1.946</v>
      </c>
      <c r="BA51" t="n">
        <v>2.208</v>
      </c>
      <c r="BB51" t="n">
        <v>1.946</v>
      </c>
      <c r="BC51" t="n">
        <v>0.07099999999999999</v>
      </c>
      <c r="BD51" t="n">
        <v>0.056</v>
      </c>
      <c r="BE51" t="n">
        <v>0.064</v>
      </c>
      <c r="BF51" t="n">
        <v>2.1</v>
      </c>
      <c r="BG51" t="n">
        <v>0.061</v>
      </c>
      <c r="BH51" t="n">
        <v>0.965</v>
      </c>
      <c r="BI51" t="n">
        <v>2.47</v>
      </c>
      <c r="BJ51" t="n">
        <v>2.383</v>
      </c>
      <c r="BK51" t="n">
        <v>0.06900000000000001</v>
      </c>
      <c r="BL51" t="n">
        <v>-1.208</v>
      </c>
      <c r="BM51" t="n">
        <v>-0.37</v>
      </c>
      <c r="BN51" t="n">
        <v>-1.1</v>
      </c>
      <c r="BO51" t="n">
        <v>0.524</v>
      </c>
      <c r="BP51" t="n">
        <v>26</v>
      </c>
      <c r="BQ51" t="n">
        <v>6</v>
      </c>
      <c r="BR51" t="n">
        <v>3</v>
      </c>
      <c r="BS51" t="n">
        <v>26</v>
      </c>
      <c r="BT51" t="n">
        <v>0.75</v>
      </c>
      <c r="BW51" t="n">
        <v>2.2</v>
      </c>
      <c r="BX51" t="n">
        <v>1.176</v>
      </c>
      <c r="BY51" t="n">
        <v>1.688</v>
      </c>
      <c r="BZ51" t="n">
        <v>0.049</v>
      </c>
      <c r="CA51" t="n">
        <v>3.896</v>
      </c>
      <c r="CB51" t="n">
        <v>0.112</v>
      </c>
      <c r="CC51" t="n">
        <v>19</v>
      </c>
      <c r="CD51" t="n">
        <v>1</v>
      </c>
      <c r="CE51" t="n">
        <v>19</v>
      </c>
      <c r="CF51" t="n">
        <v>10</v>
      </c>
      <c r="CG51" t="n">
        <v>2</v>
      </c>
      <c r="CI51" t="n">
        <v>11.866</v>
      </c>
      <c r="CJ51" t="n">
        <v>10.69</v>
      </c>
      <c r="CK51" t="n">
        <v>151</v>
      </c>
      <c r="CL51" t="n">
        <v>184</v>
      </c>
      <c r="CM51" t="n">
        <v>81</v>
      </c>
      <c r="CN51" t="n">
        <v>46</v>
      </c>
      <c r="CO51" t="n">
        <v>50</v>
      </c>
      <c r="CP51" t="n">
        <v>83</v>
      </c>
      <c r="CQ51" t="n">
        <v>18</v>
      </c>
      <c r="CR51" t="n">
        <v>184</v>
      </c>
      <c r="CS51" t="n">
        <v>57</v>
      </c>
      <c r="CT51" t="n">
        <v>0.5</v>
      </c>
      <c r="CV51" t="n">
        <v>5</v>
      </c>
      <c r="CW51" t="n">
        <v>48.66</v>
      </c>
      <c r="CX51" t="n">
        <v>1.404</v>
      </c>
      <c r="CY51" t="n">
        <v>0</v>
      </c>
      <c r="DB51" t="n">
        <v>0</v>
      </c>
      <c r="DE51" t="n">
        <v>7.21</v>
      </c>
      <c r="DF51" t="n">
        <v>10</v>
      </c>
      <c r="DG51" t="n">
        <v>0</v>
      </c>
      <c r="DH51" t="n">
        <v>50</v>
      </c>
      <c r="DI51" t="n">
        <v>36</v>
      </c>
      <c r="DJ51" t="n">
        <v>1</v>
      </c>
      <c r="DK51" t="n">
        <v>1</v>
      </c>
      <c r="DL51" t="n">
        <v>12</v>
      </c>
      <c r="DM51" t="n">
        <v>12</v>
      </c>
      <c r="DO51" t="n">
        <v>1.6</v>
      </c>
      <c r="DP51" t="n">
        <v>128.38</v>
      </c>
      <c r="DQ51" t="n">
        <v>64.19</v>
      </c>
      <c r="DR51" t="n">
        <v>128.38</v>
      </c>
      <c r="DS51" t="n">
        <v>0</v>
      </c>
      <c r="DT51" t="n">
        <v>3207</v>
      </c>
      <c r="DU51" t="n">
        <v>84.40000000000001</v>
      </c>
      <c r="DV51" t="inlineStr">
        <is>
          <t>flat</t>
        </is>
      </c>
      <c r="DW51" t="n">
        <v>85.56999999999999</v>
      </c>
      <c r="DX51" t="n">
        <v>86.39</v>
      </c>
      <c r="DY51" t="n">
        <v>85.90000000000001</v>
      </c>
      <c r="DZ51" t="n">
        <v>0.33</v>
      </c>
      <c r="EA51" t="n">
        <v>179</v>
      </c>
      <c r="EB51" t="n">
        <v>19.15</v>
      </c>
      <c r="EC51" t="n">
        <v>22</v>
      </c>
      <c r="ED51" t="n">
        <v>120</v>
      </c>
      <c r="EE51" t="n">
        <v>325</v>
      </c>
      <c r="EF51" t="b">
        <v>1</v>
      </c>
      <c r="EG51" t="n">
        <v>7.6</v>
      </c>
      <c r="EH51" t="n">
        <v>12.4</v>
      </c>
      <c r="EI51" t="n">
        <v>117</v>
      </c>
      <c r="EJ51" t="n">
        <v>120</v>
      </c>
      <c r="EK51" t="n">
        <v>120</v>
      </c>
      <c r="EL51" t="n">
        <v>164.2</v>
      </c>
      <c r="EM51" t="n">
        <v>1412.6</v>
      </c>
      <c r="EN51" t="n">
        <v>1847.6</v>
      </c>
      <c r="EO51" t="n">
        <v>800.5</v>
      </c>
      <c r="EP51" t="n">
        <v>23.3</v>
      </c>
    </row>
    <row r="52">
      <c r="A52" t="inlineStr">
        <is>
          <t>Martín Zubimendi</t>
        </is>
      </c>
      <c r="B52" t="inlineStr">
        <is>
          <t>ARS</t>
        </is>
      </c>
      <c r="C52" t="inlineStr">
        <is>
          <t>MID</t>
        </is>
      </c>
      <c r="D52" t="inlineStr">
        <is>
          <t>MID</t>
        </is>
      </c>
      <c r="E52" t="n">
        <v>5.5</v>
      </c>
      <c r="F52" t="b">
        <v>1</v>
      </c>
      <c r="G52" t="b">
        <v>1</v>
      </c>
      <c r="H52" t="n">
        <v>27.5</v>
      </c>
      <c r="I52" t="inlineStr">
        <is>
          <t>a</t>
        </is>
      </c>
      <c r="L52" t="inlineStr">
        <is>
          <t>p481655</t>
        </is>
      </c>
      <c r="M52" t="n">
        <v>19</v>
      </c>
      <c r="Q52" t="n">
        <v>2991</v>
      </c>
      <c r="R52" t="n">
        <v>38</v>
      </c>
      <c r="S52" t="n">
        <v>34</v>
      </c>
      <c r="T52" t="n">
        <v>33.233</v>
      </c>
      <c r="U52" t="n">
        <v>78.7</v>
      </c>
      <c r="V52" t="n">
        <v>133</v>
      </c>
      <c r="W52" t="n">
        <v>4.002</v>
      </c>
      <c r="X52" t="n">
        <v>5</v>
      </c>
      <c r="Y52" t="n">
        <v>1</v>
      </c>
      <c r="Z52" t="n">
        <v>1</v>
      </c>
      <c r="AA52" t="n">
        <v>16</v>
      </c>
      <c r="AB52" t="n">
        <v>25</v>
      </c>
      <c r="AC52" t="n">
        <v>9</v>
      </c>
      <c r="AD52" t="n">
        <v>9</v>
      </c>
      <c r="AE52" t="n">
        <v>0</v>
      </c>
      <c r="AF52" t="n">
        <v>604</v>
      </c>
      <c r="AG52" t="n">
        <v>578</v>
      </c>
      <c r="AH52" t="n">
        <v>-26</v>
      </c>
      <c r="AI52" t="n">
        <v>133</v>
      </c>
      <c r="AJ52" t="n">
        <v>0.068</v>
      </c>
      <c r="AK52" t="n">
        <v>0.073</v>
      </c>
      <c r="AL52" t="n">
        <v>307</v>
      </c>
      <c r="AM52" t="n">
        <v>9.238</v>
      </c>
      <c r="AN52" t="n">
        <v>7</v>
      </c>
      <c r="AO52" t="n">
        <v>14</v>
      </c>
      <c r="AP52" t="n">
        <v>0.206</v>
      </c>
      <c r="AQ52" t="n">
        <v>0.382</v>
      </c>
      <c r="AR52" t="n">
        <v>0.206</v>
      </c>
      <c r="AS52" t="n">
        <v>0.895</v>
      </c>
      <c r="AT52" t="n">
        <v>0.842</v>
      </c>
      <c r="AU52" t="n">
        <v>17</v>
      </c>
      <c r="AV52" t="n">
        <v>3</v>
      </c>
      <c r="AW52" t="n">
        <v>3.06</v>
      </c>
      <c r="AX52" t="n">
        <v>16</v>
      </c>
      <c r="AY52" t="n">
        <v>2.84</v>
      </c>
      <c r="AZ52" t="n">
        <v>2.944</v>
      </c>
      <c r="BA52" t="n">
        <v>2.892</v>
      </c>
      <c r="BB52" t="n">
        <v>2.944</v>
      </c>
      <c r="BC52" t="n">
        <v>0.08500000000000001</v>
      </c>
      <c r="BD52" t="n">
        <v>0.089</v>
      </c>
      <c r="BE52" t="n">
        <v>0.08699999999999999</v>
      </c>
      <c r="BF52" t="n">
        <v>3.6</v>
      </c>
      <c r="BG52" t="n">
        <v>0.108</v>
      </c>
      <c r="BH52" t="n">
        <v>1.07</v>
      </c>
      <c r="BI52" t="n">
        <v>2.84</v>
      </c>
      <c r="BJ52" t="n">
        <v>3.039</v>
      </c>
      <c r="BK52" t="n">
        <v>0.091</v>
      </c>
      <c r="BL52" t="n">
        <v>2.108</v>
      </c>
      <c r="BM52" t="n">
        <v>0.76</v>
      </c>
      <c r="BN52" t="n">
        <v>1.4</v>
      </c>
      <c r="BO52" t="n">
        <v>-0.104</v>
      </c>
      <c r="BP52" t="n">
        <v>27</v>
      </c>
      <c r="BQ52" t="n">
        <v>9</v>
      </c>
      <c r="BR52" t="n">
        <v>2</v>
      </c>
      <c r="BS52" t="n">
        <v>51</v>
      </c>
      <c r="BT52" t="n">
        <v>1.535</v>
      </c>
      <c r="BV52" t="n">
        <v>2</v>
      </c>
      <c r="BW52" t="n">
        <v>2.27</v>
      </c>
      <c r="BX52" t="n">
        <v>1.088</v>
      </c>
      <c r="BY52" t="n">
        <v>1.679</v>
      </c>
      <c r="BZ52" t="n">
        <v>0.051</v>
      </c>
      <c r="CA52" t="n">
        <v>4.571</v>
      </c>
      <c r="CB52" t="n">
        <v>0.138</v>
      </c>
      <c r="CC52" t="n">
        <v>19</v>
      </c>
      <c r="CD52" t="n">
        <v>1</v>
      </c>
      <c r="CE52" t="n">
        <v>19</v>
      </c>
      <c r="CF52" t="n">
        <v>3</v>
      </c>
      <c r="CG52" t="n">
        <v>2</v>
      </c>
      <c r="CI52" t="n">
        <v>13.477</v>
      </c>
      <c r="CJ52" t="n">
        <v>11.176</v>
      </c>
      <c r="CK52" t="n">
        <v>123</v>
      </c>
      <c r="CL52" t="n">
        <v>116</v>
      </c>
      <c r="CM52" t="n">
        <v>68</v>
      </c>
      <c r="CN52" t="n">
        <v>38</v>
      </c>
      <c r="CO52" t="n">
        <v>39</v>
      </c>
      <c r="CP52" t="n">
        <v>78</v>
      </c>
      <c r="CQ52" t="n">
        <v>5</v>
      </c>
      <c r="CR52" t="n">
        <v>153</v>
      </c>
      <c r="CS52" t="n">
        <v>65</v>
      </c>
      <c r="CT52" t="n">
        <v>0.2</v>
      </c>
      <c r="CU52" t="n">
        <v>2</v>
      </c>
      <c r="CV52" t="n">
        <v>3</v>
      </c>
      <c r="CW52" t="n">
        <v>26.09</v>
      </c>
      <c r="CX52" t="n">
        <v>0.785</v>
      </c>
      <c r="CY52" t="n">
        <v>0</v>
      </c>
      <c r="DB52" t="n">
        <v>0</v>
      </c>
      <c r="DE52" t="n">
        <v>7.2</v>
      </c>
      <c r="DF52" t="n">
        <v>4</v>
      </c>
      <c r="DG52" t="n">
        <v>0</v>
      </c>
      <c r="DH52" t="n">
        <v>33</v>
      </c>
      <c r="DI52" t="n">
        <v>15</v>
      </c>
      <c r="DL52" t="n">
        <v>7</v>
      </c>
      <c r="DM52" t="n">
        <v>10</v>
      </c>
      <c r="DN52" t="n">
        <v>1</v>
      </c>
      <c r="DO52" t="n">
        <v>1.4</v>
      </c>
      <c r="DP52" t="n">
        <v>47.39</v>
      </c>
      <c r="DQ52" t="n">
        <v>24.95</v>
      </c>
      <c r="DR52" t="n">
        <v>49.9</v>
      </c>
      <c r="DS52" t="n">
        <v>-2.51</v>
      </c>
      <c r="DT52" t="n">
        <v>891</v>
      </c>
      <c r="DU52" t="n">
        <v>23.45</v>
      </c>
      <c r="DV52" t="inlineStr">
        <is>
          <t>fade (losing his place)</t>
        </is>
      </c>
      <c r="DW52" t="n">
        <v>80.61</v>
      </c>
      <c r="DX52" t="n">
        <v>84.42</v>
      </c>
      <c r="DY52" t="n">
        <v>80.83</v>
      </c>
      <c r="DZ52" t="n">
        <v>0.22</v>
      </c>
      <c r="EA52" t="n">
        <v>198</v>
      </c>
      <c r="EB52" t="n">
        <v>20.48</v>
      </c>
      <c r="EC52" t="n">
        <v>6.4</v>
      </c>
      <c r="ED52" t="n">
        <v>119.27</v>
      </c>
      <c r="EE52" t="n">
        <v>365</v>
      </c>
      <c r="EF52" t="b">
        <v>1</v>
      </c>
      <c r="EG52" t="n">
        <v>8.5</v>
      </c>
      <c r="EH52" t="n">
        <v>12.3</v>
      </c>
      <c r="EI52" t="n">
        <v>118</v>
      </c>
      <c r="EJ52" t="n">
        <v>110.8</v>
      </c>
      <c r="EK52" t="n">
        <v>58.6</v>
      </c>
      <c r="EL52" t="n">
        <v>157.4</v>
      </c>
      <c r="EM52" t="n">
        <v>1034.2</v>
      </c>
      <c r="EN52" t="n">
        <v>1781.5</v>
      </c>
      <c r="EO52" t="n">
        <v>654.3</v>
      </c>
      <c r="EP52" t="n">
        <v>22.5</v>
      </c>
    </row>
    <row r="53">
      <c r="A53" t="inlineStr">
        <is>
          <t>Cody Gakpo</t>
        </is>
      </c>
      <c r="B53" t="inlineStr">
        <is>
          <t>LIV</t>
        </is>
      </c>
      <c r="C53" t="inlineStr">
        <is>
          <t>MID</t>
        </is>
      </c>
      <c r="D53" t="inlineStr">
        <is>
          <t>MID</t>
        </is>
      </c>
      <c r="E53" t="n">
        <v>7</v>
      </c>
      <c r="F53" t="b">
        <v>1</v>
      </c>
      <c r="G53" t="b">
        <v>1</v>
      </c>
      <c r="H53" t="n">
        <v>27.3</v>
      </c>
      <c r="I53" t="inlineStr">
        <is>
          <t>a</t>
        </is>
      </c>
      <c r="L53" t="inlineStr">
        <is>
          <t>p243298</t>
        </is>
      </c>
      <c r="M53" t="n">
        <v>367</v>
      </c>
      <c r="N53" t="n">
        <v>3</v>
      </c>
      <c r="O53" t="n">
        <v>2</v>
      </c>
      <c r="Q53" t="n">
        <v>2736</v>
      </c>
      <c r="R53" t="n">
        <v>36</v>
      </c>
      <c r="S53" t="n">
        <v>32</v>
      </c>
      <c r="T53" t="n">
        <v>30.4</v>
      </c>
      <c r="U53" t="n">
        <v>76</v>
      </c>
      <c r="V53" t="n">
        <v>131</v>
      </c>
      <c r="W53" t="n">
        <v>4.309</v>
      </c>
      <c r="X53" t="n">
        <v>7</v>
      </c>
      <c r="Y53" t="n">
        <v>5</v>
      </c>
      <c r="Z53" t="n">
        <v>5</v>
      </c>
      <c r="AA53" t="n">
        <v>10</v>
      </c>
      <c r="AB53" t="n">
        <v>39</v>
      </c>
      <c r="AC53" t="n">
        <v>5</v>
      </c>
      <c r="AD53" t="n">
        <v>5</v>
      </c>
      <c r="AE53" t="n">
        <v>0</v>
      </c>
      <c r="AF53" t="n">
        <v>449</v>
      </c>
      <c r="AG53" t="n">
        <v>441</v>
      </c>
      <c r="AH53" t="n">
        <v>-8</v>
      </c>
      <c r="AI53" t="n">
        <v>131</v>
      </c>
      <c r="AJ53" t="n">
        <v>0.038</v>
      </c>
      <c r="AK53" t="n">
        <v>0.04</v>
      </c>
      <c r="AL53" t="n">
        <v>152</v>
      </c>
      <c r="AM53" t="n">
        <v>5</v>
      </c>
      <c r="AN53" t="n">
        <v>1</v>
      </c>
      <c r="AO53" t="n">
        <v>2</v>
      </c>
      <c r="AP53" t="n">
        <v>0.031</v>
      </c>
      <c r="AQ53" t="n">
        <v>0.062</v>
      </c>
      <c r="AR53" t="n">
        <v>0.031</v>
      </c>
      <c r="AS53" t="n">
        <v>0.842</v>
      </c>
      <c r="AT53" t="n">
        <v>0.861</v>
      </c>
      <c r="AU53" t="n">
        <v>17</v>
      </c>
      <c r="AV53" t="n">
        <v>2</v>
      </c>
      <c r="AW53" t="n">
        <v>2.85</v>
      </c>
      <c r="AX53" t="n">
        <v>14</v>
      </c>
      <c r="AY53" t="n">
        <v>8.35</v>
      </c>
      <c r="AZ53" t="n">
        <v>9.826000000000001</v>
      </c>
      <c r="BA53" t="n">
        <v>9.087999999999999</v>
      </c>
      <c r="BB53" t="n">
        <v>9.826000000000001</v>
      </c>
      <c r="BC53" t="n">
        <v>0.275</v>
      </c>
      <c r="BD53" t="n">
        <v>0.323</v>
      </c>
      <c r="BE53" t="n">
        <v>0.299</v>
      </c>
      <c r="BF53" t="n">
        <v>5.6</v>
      </c>
      <c r="BG53" t="n">
        <v>0.184</v>
      </c>
      <c r="BH53" t="n">
        <v>0.875</v>
      </c>
      <c r="BI53" t="n">
        <v>30.97</v>
      </c>
      <c r="BJ53" t="n">
        <v>7.307</v>
      </c>
      <c r="BK53" t="n">
        <v>0.24</v>
      </c>
      <c r="BL53" t="n">
        <v>-2.088</v>
      </c>
      <c r="BM53" t="n">
        <v>-2.75</v>
      </c>
      <c r="BN53" t="n">
        <v>1.4</v>
      </c>
      <c r="BO53" t="n">
        <v>-1.476</v>
      </c>
      <c r="BP53" t="n">
        <v>87</v>
      </c>
      <c r="BQ53" t="n">
        <v>21</v>
      </c>
      <c r="BR53" t="n">
        <v>8</v>
      </c>
      <c r="BS53" t="n">
        <v>187</v>
      </c>
      <c r="BT53" t="n">
        <v>6.151</v>
      </c>
      <c r="BW53" t="n">
        <v>4.67</v>
      </c>
      <c r="BX53" t="n">
        <v>6.592</v>
      </c>
      <c r="BY53" t="n">
        <v>5.631</v>
      </c>
      <c r="BZ53" t="n">
        <v>0.185</v>
      </c>
      <c r="CA53" t="n">
        <v>14.719</v>
      </c>
      <c r="CB53" t="n">
        <v>0.484</v>
      </c>
      <c r="CC53" t="n">
        <v>53</v>
      </c>
      <c r="CD53" t="n">
        <v>10</v>
      </c>
      <c r="CE53" t="n">
        <v>54</v>
      </c>
      <c r="CF53" t="n">
        <v>11</v>
      </c>
      <c r="CG53" t="n">
        <v>3</v>
      </c>
      <c r="CH53" t="n">
        <v>33</v>
      </c>
      <c r="CI53" t="n">
        <v>18.732</v>
      </c>
      <c r="CJ53" t="n">
        <v>5.831</v>
      </c>
      <c r="CK53" t="n">
        <v>37</v>
      </c>
      <c r="CL53" t="n">
        <v>87</v>
      </c>
      <c r="CM53" t="n">
        <v>28</v>
      </c>
      <c r="CN53" t="n">
        <v>14</v>
      </c>
      <c r="CO53" t="n">
        <v>13</v>
      </c>
      <c r="CP53" t="n">
        <v>21</v>
      </c>
      <c r="CQ53" t="n">
        <v>4</v>
      </c>
      <c r="CR53" t="n">
        <v>162</v>
      </c>
      <c r="CS53" t="n">
        <v>56</v>
      </c>
      <c r="CT53" t="n">
        <v>0.7</v>
      </c>
      <c r="CW53" t="n">
        <v>34.94</v>
      </c>
      <c r="CX53" t="n">
        <v>1.149</v>
      </c>
      <c r="CY53" t="n">
        <v>0</v>
      </c>
      <c r="DB53" t="n">
        <v>0</v>
      </c>
      <c r="DE53" t="n">
        <v>7.17</v>
      </c>
      <c r="DF53" t="n">
        <v>3</v>
      </c>
      <c r="DG53" t="n">
        <v>0</v>
      </c>
      <c r="DH53" t="n">
        <v>42</v>
      </c>
      <c r="DI53" t="n">
        <v>44</v>
      </c>
      <c r="DJ53" t="n">
        <v>1</v>
      </c>
      <c r="DL53" t="n">
        <v>34</v>
      </c>
      <c r="DM53" t="n">
        <v>28</v>
      </c>
      <c r="DN53" t="n">
        <v>30</v>
      </c>
      <c r="DO53" t="n">
        <v>3.3</v>
      </c>
      <c r="DP53" t="n">
        <v>150.69</v>
      </c>
      <c r="DQ53" t="n">
        <v>76.76000000000001</v>
      </c>
      <c r="DR53" t="n">
        <v>153.52</v>
      </c>
      <c r="DS53" t="n">
        <v>-2.83</v>
      </c>
      <c r="DT53" t="n">
        <v>2457</v>
      </c>
      <c r="DU53" t="n">
        <v>64.65000000000001</v>
      </c>
      <c r="DV53" t="inlineStr">
        <is>
          <t>flat</t>
        </is>
      </c>
      <c r="DW53" t="n">
        <v>43.36</v>
      </c>
      <c r="DX53" t="n">
        <v>40.6</v>
      </c>
      <c r="DY53" t="n">
        <v>43.54</v>
      </c>
      <c r="DZ53" t="n">
        <v>0.18</v>
      </c>
      <c r="EA53" t="n">
        <v>1324</v>
      </c>
      <c r="EB53" t="n">
        <v>22.57</v>
      </c>
      <c r="EC53" t="n">
        <v>4</v>
      </c>
      <c r="ED53" t="n">
        <v>118.86</v>
      </c>
      <c r="EE53" t="n">
        <v>2259</v>
      </c>
      <c r="EF53" t="b">
        <v>1</v>
      </c>
      <c r="EG53" t="n">
        <v>95.8</v>
      </c>
      <c r="EH53" t="n">
        <v>51.6</v>
      </c>
      <c r="EI53" t="n">
        <v>26</v>
      </c>
      <c r="EJ53" t="n">
        <v>31.4</v>
      </c>
      <c r="EK53" t="n">
        <v>14.6</v>
      </c>
      <c r="EL53" t="n">
        <v>50.7</v>
      </c>
      <c r="EM53" t="n">
        <v>301.1</v>
      </c>
      <c r="EN53" t="n">
        <v>485.9</v>
      </c>
      <c r="EO53" t="n">
        <v>185.9</v>
      </c>
      <c r="EP53" t="n">
        <v>20.9</v>
      </c>
    </row>
    <row r="54">
      <c r="A54" t="inlineStr">
        <is>
          <t>Dean Henderson</t>
        </is>
      </c>
      <c r="B54" t="inlineStr">
        <is>
          <t>CRY</t>
        </is>
      </c>
      <c r="C54" t="inlineStr">
        <is>
          <t>GKP</t>
        </is>
      </c>
      <c r="D54" t="inlineStr">
        <is>
          <t>GKP</t>
        </is>
      </c>
      <c r="E54" t="n">
        <v>5</v>
      </c>
      <c r="F54" t="b">
        <v>1</v>
      </c>
      <c r="G54" t="b">
        <v>1</v>
      </c>
      <c r="H54" t="n">
        <v>29.4</v>
      </c>
      <c r="I54" t="inlineStr">
        <is>
          <t>a</t>
        </is>
      </c>
      <c r="L54" t="inlineStr">
        <is>
          <t>p172649</t>
        </is>
      </c>
      <c r="M54" t="n">
        <v>198</v>
      </c>
      <c r="Q54" t="n">
        <v>3330</v>
      </c>
      <c r="R54" t="n">
        <v>37</v>
      </c>
      <c r="S54" t="n">
        <v>37</v>
      </c>
      <c r="T54" t="n">
        <v>37</v>
      </c>
      <c r="U54" t="n">
        <v>90</v>
      </c>
      <c r="V54" t="n">
        <v>131</v>
      </c>
      <c r="W54" t="n">
        <v>3.541</v>
      </c>
      <c r="X54" t="n">
        <v>0</v>
      </c>
      <c r="Y54" t="n">
        <v>0</v>
      </c>
      <c r="AA54" t="n">
        <v>11</v>
      </c>
      <c r="AB54" t="n">
        <v>51</v>
      </c>
      <c r="AC54" t="n">
        <v>7</v>
      </c>
      <c r="AD54" t="n">
        <v>7</v>
      </c>
      <c r="AE54" t="n">
        <v>0</v>
      </c>
      <c r="AF54" t="n">
        <v>538</v>
      </c>
      <c r="AG54" t="n">
        <v>527</v>
      </c>
      <c r="AH54" t="n">
        <v>-11</v>
      </c>
      <c r="AI54" t="n">
        <v>131</v>
      </c>
      <c r="AJ54" t="n">
        <v>0.053</v>
      </c>
      <c r="AK54" t="n">
        <v>0.056</v>
      </c>
      <c r="AL54" t="n">
        <v>0</v>
      </c>
      <c r="AM54" t="n">
        <v>0</v>
      </c>
      <c r="AN54" t="n">
        <v>0</v>
      </c>
      <c r="AO54" t="n">
        <v>0</v>
      </c>
      <c r="AP54" t="n">
        <v>0</v>
      </c>
      <c r="AQ54" t="n">
        <v>0</v>
      </c>
      <c r="AR54" t="n">
        <v>0</v>
      </c>
      <c r="AS54" t="n">
        <v>0.974</v>
      </c>
      <c r="AT54" t="n">
        <v>1</v>
      </c>
      <c r="AU54" t="n">
        <v>20</v>
      </c>
      <c r="AV54" t="n">
        <v>1</v>
      </c>
      <c r="AW54" t="n">
        <v>3.26</v>
      </c>
      <c r="AX54" t="n">
        <v>16</v>
      </c>
      <c r="AY54" t="n">
        <v>0</v>
      </c>
      <c r="AZ54" t="n">
        <v>0</v>
      </c>
      <c r="BA54" t="n">
        <v>0</v>
      </c>
      <c r="BB54" t="n">
        <v>0</v>
      </c>
      <c r="BC54" t="n">
        <v>0</v>
      </c>
      <c r="BD54" t="n">
        <v>0</v>
      </c>
      <c r="BE54" t="n">
        <v>0</v>
      </c>
      <c r="BH54" t="n">
        <v>0.999</v>
      </c>
      <c r="BI54" t="n">
        <v>0.01</v>
      </c>
      <c r="BJ54" t="n">
        <v>0</v>
      </c>
      <c r="BK54" t="n">
        <v>0</v>
      </c>
      <c r="BL54" t="n">
        <v>0</v>
      </c>
      <c r="BO54" t="n">
        <v>0</v>
      </c>
      <c r="BW54" t="n">
        <v>0.11</v>
      </c>
      <c r="BX54" t="n">
        <v>0.015</v>
      </c>
      <c r="BY54" t="n">
        <v>0.063</v>
      </c>
      <c r="BZ54" t="n">
        <v>0.002</v>
      </c>
      <c r="CA54" t="n">
        <v>0.063</v>
      </c>
      <c r="CB54" t="n">
        <v>0.002</v>
      </c>
      <c r="CC54" t="n">
        <v>1</v>
      </c>
      <c r="CE54" t="n">
        <v>1</v>
      </c>
      <c r="CH54" t="n">
        <v>0</v>
      </c>
      <c r="CI54" t="n">
        <v>3.761</v>
      </c>
      <c r="CJ54" t="n">
        <v>3.761</v>
      </c>
      <c r="CK54" t="n">
        <v>55</v>
      </c>
      <c r="CL54" t="n">
        <v>298</v>
      </c>
      <c r="CM54" t="n">
        <v>1</v>
      </c>
      <c r="CN54" t="n">
        <v>0</v>
      </c>
      <c r="CO54" t="n">
        <v>2</v>
      </c>
      <c r="CP54" t="n">
        <v>54</v>
      </c>
      <c r="CQ54" t="n">
        <v>0</v>
      </c>
      <c r="CR54" t="n">
        <v>21</v>
      </c>
      <c r="CS54" t="n">
        <v>17</v>
      </c>
      <c r="CV54" t="n">
        <v>2</v>
      </c>
      <c r="CW54" t="n">
        <v>51.4</v>
      </c>
      <c r="CX54" t="n">
        <v>1.389</v>
      </c>
      <c r="CY54" t="n">
        <v>106</v>
      </c>
      <c r="CZ54" t="n">
        <v>67.5</v>
      </c>
      <c r="DA54" t="n">
        <v>1.6</v>
      </c>
      <c r="DB54" t="n">
        <v>1</v>
      </c>
      <c r="DC54" t="n">
        <v>23</v>
      </c>
      <c r="DD54" t="n">
        <v>34</v>
      </c>
      <c r="DE54" t="n">
        <v>7.01</v>
      </c>
      <c r="DF54" t="n">
        <v>5</v>
      </c>
      <c r="DG54" t="n">
        <v>0</v>
      </c>
      <c r="DH54" t="n">
        <v>2</v>
      </c>
      <c r="DI54" t="n">
        <v>5</v>
      </c>
      <c r="DK54" t="n">
        <v>2</v>
      </c>
      <c r="DL54" t="n">
        <v>1</v>
      </c>
      <c r="DO54" t="n">
        <v>3.2</v>
      </c>
      <c r="DP54" t="n">
        <v>117.76</v>
      </c>
      <c r="DQ54" t="n">
        <v>58.88</v>
      </c>
      <c r="DR54" t="n">
        <v>117.76</v>
      </c>
      <c r="DS54" t="n">
        <v>0</v>
      </c>
      <c r="DT54" t="n">
        <v>3385</v>
      </c>
      <c r="DU54" t="n">
        <v>89.09</v>
      </c>
      <c r="DV54" t="inlineStr">
        <is>
          <t>flat</t>
        </is>
      </c>
      <c r="DW54" t="n">
        <v>91.06999999999999</v>
      </c>
      <c r="DX54" t="n">
        <v>94.78</v>
      </c>
      <c r="DY54" t="n">
        <v>90.27</v>
      </c>
      <c r="DZ54" t="n">
        <v>-0.8</v>
      </c>
      <c r="EA54" t="n">
        <v>1409</v>
      </c>
      <c r="EB54" t="n">
        <v>23.34</v>
      </c>
      <c r="EC54" t="n">
        <v>2</v>
      </c>
      <c r="ED54" t="n">
        <v>120</v>
      </c>
      <c r="EE54" t="n">
        <v>2502</v>
      </c>
      <c r="EF54" t="b">
        <v>1</v>
      </c>
      <c r="EG54" t="n">
        <v>97.7</v>
      </c>
      <c r="EH54" t="n">
        <v>47.5</v>
      </c>
      <c r="EI54" t="n">
        <v>226</v>
      </c>
      <c r="EL54" t="n">
        <v>3330</v>
      </c>
      <c r="EN54" t="n">
        <v>53078</v>
      </c>
      <c r="EO54" t="n">
        <v>53078</v>
      </c>
      <c r="EP54" t="n">
        <v>25.4</v>
      </c>
    </row>
    <row r="55">
      <c r="A55" t="inlineStr">
        <is>
          <t>Michael Keane</t>
        </is>
      </c>
      <c r="B55" t="inlineStr">
        <is>
          <t>EVE</t>
        </is>
      </c>
      <c r="C55" t="inlineStr">
        <is>
          <t>DEF</t>
        </is>
      </c>
      <c r="D55" t="inlineStr">
        <is>
          <t>DEF</t>
        </is>
      </c>
      <c r="E55" t="n">
        <v>5</v>
      </c>
      <c r="F55" t="b">
        <v>1</v>
      </c>
      <c r="G55" t="b">
        <v>1</v>
      </c>
      <c r="H55" t="n">
        <v>33.6</v>
      </c>
      <c r="I55" t="inlineStr">
        <is>
          <t>a</t>
        </is>
      </c>
      <c r="L55" t="inlineStr">
        <is>
          <t>p106611</t>
        </is>
      </c>
      <c r="M55" t="n">
        <v>231</v>
      </c>
      <c r="Q55" t="n">
        <v>2588</v>
      </c>
      <c r="R55" t="n">
        <v>33</v>
      </c>
      <c r="S55" t="n">
        <v>29</v>
      </c>
      <c r="T55" t="n">
        <v>28.756</v>
      </c>
      <c r="U55" t="n">
        <v>78.40000000000001</v>
      </c>
      <c r="V55" t="n">
        <v>131</v>
      </c>
      <c r="W55" t="n">
        <v>4.556</v>
      </c>
      <c r="X55" t="n">
        <v>3</v>
      </c>
      <c r="Y55" t="n">
        <v>1</v>
      </c>
      <c r="Z55" t="n">
        <v>1</v>
      </c>
      <c r="AA55" t="n">
        <v>7</v>
      </c>
      <c r="AB55" t="n">
        <v>42</v>
      </c>
      <c r="AC55" t="n">
        <v>8</v>
      </c>
      <c r="AD55" t="n">
        <v>9</v>
      </c>
      <c r="AE55" t="n">
        <v>1</v>
      </c>
      <c r="AF55" t="n">
        <v>404</v>
      </c>
      <c r="AG55" t="n">
        <v>358</v>
      </c>
      <c r="AH55" t="n">
        <v>-46</v>
      </c>
      <c r="AI55" t="n">
        <v>132</v>
      </c>
      <c r="AJ55" t="n">
        <v>0.061</v>
      </c>
      <c r="AK55" t="n">
        <v>0.065</v>
      </c>
      <c r="AL55" t="n">
        <v>302</v>
      </c>
      <c r="AM55" t="n">
        <v>10.502</v>
      </c>
      <c r="AN55" t="n">
        <v>15</v>
      </c>
      <c r="AO55" t="n">
        <v>30</v>
      </c>
      <c r="AP55" t="n">
        <v>0.517</v>
      </c>
      <c r="AQ55" t="n">
        <v>0.517</v>
      </c>
      <c r="AR55" t="n">
        <v>0.31</v>
      </c>
      <c r="AS55" t="n">
        <v>0.763</v>
      </c>
      <c r="AT55" t="n">
        <v>0.879</v>
      </c>
      <c r="AU55" t="n">
        <v>16</v>
      </c>
      <c r="AV55" t="n">
        <v>3</v>
      </c>
      <c r="AW55" t="n">
        <v>3.64</v>
      </c>
      <c r="AX55" t="n">
        <v>15</v>
      </c>
      <c r="AY55" t="n">
        <v>2.3</v>
      </c>
      <c r="AZ55" t="n">
        <v>3.569</v>
      </c>
      <c r="BA55" t="n">
        <v>2.935</v>
      </c>
      <c r="BB55" t="n">
        <v>3.569</v>
      </c>
      <c r="BC55" t="n">
        <v>0.08</v>
      </c>
      <c r="BD55" t="n">
        <v>0.124</v>
      </c>
      <c r="BE55" t="n">
        <v>0.102</v>
      </c>
      <c r="BF55" t="n">
        <v>2.2</v>
      </c>
      <c r="BG55" t="n">
        <v>0.077</v>
      </c>
      <c r="BH55" t="n">
        <v>1.05</v>
      </c>
      <c r="BI55" t="n">
        <v>4.76</v>
      </c>
      <c r="BJ55" t="n">
        <v>2.415</v>
      </c>
      <c r="BK55" t="n">
        <v>0.08400000000000001</v>
      </c>
      <c r="BL55" t="n">
        <v>0.065</v>
      </c>
      <c r="BM55" t="n">
        <v>-0.1</v>
      </c>
      <c r="BN55" t="n">
        <v>0.8</v>
      </c>
      <c r="BO55" t="n">
        <v>-1.269</v>
      </c>
      <c r="BP55" t="n">
        <v>26</v>
      </c>
      <c r="BQ55" t="n">
        <v>7</v>
      </c>
      <c r="BR55" t="n">
        <v>3</v>
      </c>
      <c r="BS55" t="n">
        <v>65</v>
      </c>
      <c r="BT55" t="n">
        <v>2.26</v>
      </c>
      <c r="BV55" t="n">
        <v>1</v>
      </c>
      <c r="BW55" t="n">
        <v>0.49</v>
      </c>
      <c r="BX55" t="n">
        <v>0.13</v>
      </c>
      <c r="BY55" t="n">
        <v>0.31</v>
      </c>
      <c r="BZ55" t="n">
        <v>0.011</v>
      </c>
      <c r="CA55" t="n">
        <v>3.245</v>
      </c>
      <c r="CB55" t="n">
        <v>0.113</v>
      </c>
      <c r="CC55" t="n">
        <v>2</v>
      </c>
      <c r="CE55" t="n">
        <v>2</v>
      </c>
      <c r="CG55" t="n">
        <v>1</v>
      </c>
      <c r="CI55" t="n">
        <v>5.353</v>
      </c>
      <c r="CJ55" t="n">
        <v>4.284</v>
      </c>
      <c r="CK55" t="n">
        <v>265</v>
      </c>
      <c r="CL55" t="n">
        <v>87</v>
      </c>
      <c r="CM55" t="n">
        <v>37</v>
      </c>
      <c r="CN55" t="n">
        <v>23</v>
      </c>
      <c r="CO55" t="n">
        <v>37</v>
      </c>
      <c r="CP55" t="n">
        <v>203</v>
      </c>
      <c r="CQ55" t="n">
        <v>27</v>
      </c>
      <c r="CR55" t="n">
        <v>160</v>
      </c>
      <c r="CS55" t="n">
        <v>112</v>
      </c>
      <c r="CT55" t="n">
        <v>0</v>
      </c>
      <c r="CW55" t="n">
        <v>44.52</v>
      </c>
      <c r="CX55" t="n">
        <v>1.548</v>
      </c>
      <c r="CY55" t="n">
        <v>0</v>
      </c>
      <c r="DB55" t="n">
        <v>0</v>
      </c>
      <c r="DE55" t="n">
        <v>6.98</v>
      </c>
      <c r="DF55" t="n">
        <v>1</v>
      </c>
      <c r="DG55" t="n">
        <v>1</v>
      </c>
      <c r="DH55" t="n">
        <v>16</v>
      </c>
      <c r="DI55" t="n">
        <v>6</v>
      </c>
      <c r="DL55" t="n">
        <v>6</v>
      </c>
      <c r="DM55" t="n">
        <v>5</v>
      </c>
      <c r="DN55" t="n">
        <v>0</v>
      </c>
      <c r="DO55" t="n">
        <v>1.7</v>
      </c>
      <c r="DP55" t="n">
        <v>33.75</v>
      </c>
      <c r="DQ55" t="n">
        <v>16.88</v>
      </c>
      <c r="DR55" t="n">
        <v>33.76</v>
      </c>
      <c r="DS55" t="n">
        <v>-0.01</v>
      </c>
      <c r="DT55" t="n">
        <v>623</v>
      </c>
      <c r="DU55" t="n">
        <v>16.39</v>
      </c>
      <c r="DV55" t="inlineStr">
        <is>
          <t>flat</t>
        </is>
      </c>
      <c r="DW55" t="n">
        <v>95.8</v>
      </c>
      <c r="DX55" t="n">
        <v>101.65</v>
      </c>
      <c r="DY55" t="n">
        <v>93.33</v>
      </c>
      <c r="DZ55" t="n">
        <v>-2.47</v>
      </c>
      <c r="EA55" t="n">
        <v>677</v>
      </c>
      <c r="EB55" t="n">
        <v>15.71</v>
      </c>
      <c r="EC55" t="n">
        <v>31</v>
      </c>
      <c r="ED55" t="n">
        <v>120</v>
      </c>
      <c r="EE55" t="n">
        <v>1187</v>
      </c>
      <c r="EF55" t="b">
        <v>1</v>
      </c>
      <c r="EG55" t="n">
        <v>52.4</v>
      </c>
      <c r="EH55" t="n">
        <v>53.5</v>
      </c>
      <c r="EI55" t="n">
        <v>227</v>
      </c>
      <c r="EJ55" t="n">
        <v>99.5</v>
      </c>
      <c r="EK55" t="n">
        <v>39.8</v>
      </c>
      <c r="EL55" t="n">
        <v>1294</v>
      </c>
      <c r="EM55" t="n">
        <v>881.9</v>
      </c>
      <c r="EN55" t="n">
        <v>8346.700000000001</v>
      </c>
      <c r="EO55" t="n">
        <v>797.6</v>
      </c>
      <c r="EP55" t="n">
        <v>19.8</v>
      </c>
    </row>
    <row r="56">
      <c r="A56" t="inlineStr">
        <is>
          <t>Phil Foden</t>
        </is>
      </c>
      <c r="B56" t="inlineStr">
        <is>
          <t>MCI</t>
        </is>
      </c>
      <c r="C56" t="inlineStr">
        <is>
          <t>MID</t>
        </is>
      </c>
      <c r="D56" t="inlineStr">
        <is>
          <t>MID</t>
        </is>
      </c>
      <c r="E56" t="n">
        <v>7</v>
      </c>
      <c r="F56" t="b">
        <v>1</v>
      </c>
      <c r="G56" t="b">
        <v>1</v>
      </c>
      <c r="H56" t="n">
        <v>26.2</v>
      </c>
      <c r="I56" t="inlineStr">
        <is>
          <t>a</t>
        </is>
      </c>
      <c r="L56" t="inlineStr">
        <is>
          <t>p209244</t>
        </is>
      </c>
      <c r="M56" t="n">
        <v>398</v>
      </c>
      <c r="O56" t="n">
        <v>2</v>
      </c>
      <c r="P56" t="n">
        <v>3</v>
      </c>
      <c r="Q56" t="n">
        <v>2078</v>
      </c>
      <c r="R56" t="n">
        <v>33</v>
      </c>
      <c r="S56" t="n">
        <v>23</v>
      </c>
      <c r="T56" t="n">
        <v>23.089</v>
      </c>
      <c r="U56" t="n">
        <v>63</v>
      </c>
      <c r="V56" t="n">
        <v>131</v>
      </c>
      <c r="W56" t="n">
        <v>5.674</v>
      </c>
      <c r="X56" t="n">
        <v>7</v>
      </c>
      <c r="Y56" t="n">
        <v>5</v>
      </c>
      <c r="Z56" t="n">
        <v>5</v>
      </c>
      <c r="AA56" t="n">
        <v>11</v>
      </c>
      <c r="AB56" t="n">
        <v>19</v>
      </c>
      <c r="AC56" t="n">
        <v>13</v>
      </c>
      <c r="AD56" t="n">
        <v>13</v>
      </c>
      <c r="AE56" t="n">
        <v>0</v>
      </c>
      <c r="AF56" t="n">
        <v>563</v>
      </c>
      <c r="AG56" t="n">
        <v>557</v>
      </c>
      <c r="AH56" t="n">
        <v>-6</v>
      </c>
      <c r="AI56" t="n">
        <v>131</v>
      </c>
      <c r="AJ56" t="n">
        <v>0.099</v>
      </c>
      <c r="AK56" t="n">
        <v>0.11</v>
      </c>
      <c r="AL56" t="n">
        <v>160</v>
      </c>
      <c r="AM56" t="n">
        <v>6.93</v>
      </c>
      <c r="AN56" t="n">
        <v>3</v>
      </c>
      <c r="AO56" t="n">
        <v>6</v>
      </c>
      <c r="AP56" t="n">
        <v>0.13</v>
      </c>
      <c r="AQ56" t="n">
        <v>0.174</v>
      </c>
      <c r="AR56" t="n">
        <v>0.13</v>
      </c>
      <c r="AS56" t="n">
        <v>0.605</v>
      </c>
      <c r="AT56" t="n">
        <v>0.667</v>
      </c>
      <c r="AU56" t="n">
        <v>19</v>
      </c>
      <c r="AV56" t="n">
        <v>6</v>
      </c>
      <c r="AW56" t="n">
        <v>4.49</v>
      </c>
      <c r="AX56" t="n">
        <v>17</v>
      </c>
      <c r="AY56" t="n">
        <v>6.03</v>
      </c>
      <c r="AZ56" t="n">
        <v>6.689</v>
      </c>
      <c r="BA56" t="n">
        <v>6.359</v>
      </c>
      <c r="BB56" t="n">
        <v>6.689</v>
      </c>
      <c r="BC56" t="n">
        <v>0.261</v>
      </c>
      <c r="BD56" t="n">
        <v>0.29</v>
      </c>
      <c r="BE56" t="n">
        <v>0.275</v>
      </c>
      <c r="BF56" t="n">
        <v>6</v>
      </c>
      <c r="BG56" t="n">
        <v>0.26</v>
      </c>
      <c r="BH56" t="n">
        <v>1.253</v>
      </c>
      <c r="BI56" t="n">
        <v>27.12</v>
      </c>
      <c r="BJ56" t="n">
        <v>7.555</v>
      </c>
      <c r="BK56" t="n">
        <v>0.327</v>
      </c>
      <c r="BL56" t="n">
        <v>0.641</v>
      </c>
      <c r="BM56" t="n">
        <v>-0.03</v>
      </c>
      <c r="BN56" t="n">
        <v>1</v>
      </c>
      <c r="BO56" t="n">
        <v>-0.659</v>
      </c>
      <c r="BP56" t="n">
        <v>55</v>
      </c>
      <c r="BQ56" t="n">
        <v>19</v>
      </c>
      <c r="BR56" t="n">
        <v>6</v>
      </c>
      <c r="BS56" t="n">
        <v>94</v>
      </c>
      <c r="BT56" t="n">
        <v>4.071</v>
      </c>
      <c r="BV56" t="n">
        <v>2</v>
      </c>
      <c r="BW56" t="n">
        <v>4.76</v>
      </c>
      <c r="BX56" t="n">
        <v>6.107</v>
      </c>
      <c r="BY56" t="n">
        <v>5.434</v>
      </c>
      <c r="BZ56" t="n">
        <v>0.235</v>
      </c>
      <c r="CA56" t="n">
        <v>11.793</v>
      </c>
      <c r="CB56" t="n">
        <v>0.511</v>
      </c>
      <c r="CC56" t="n">
        <v>53</v>
      </c>
      <c r="CD56" t="n">
        <v>11</v>
      </c>
      <c r="CE56" t="n">
        <v>54</v>
      </c>
      <c r="CF56" t="n">
        <v>40</v>
      </c>
      <c r="CG56" t="n">
        <v>7</v>
      </c>
      <c r="CH56" t="n">
        <v>92</v>
      </c>
      <c r="CI56" t="n">
        <v>19.914</v>
      </c>
      <c r="CJ56" t="n">
        <v>11.249</v>
      </c>
      <c r="CK56" t="n">
        <v>24</v>
      </c>
      <c r="CL56" t="n">
        <v>102</v>
      </c>
      <c r="CM56" t="n">
        <v>34</v>
      </c>
      <c r="CN56" t="n">
        <v>16</v>
      </c>
      <c r="CO56" t="n">
        <v>9</v>
      </c>
      <c r="CP56" t="n">
        <v>12</v>
      </c>
      <c r="CQ56" t="n">
        <v>3</v>
      </c>
      <c r="CR56" t="n">
        <v>96</v>
      </c>
      <c r="CS56" t="n">
        <v>6</v>
      </c>
      <c r="CT56" t="n">
        <v>0.4</v>
      </c>
      <c r="CV56" t="n">
        <v>2</v>
      </c>
      <c r="CW56" t="n">
        <v>27.38</v>
      </c>
      <c r="CX56" t="n">
        <v>1.186</v>
      </c>
      <c r="CY56" t="n">
        <v>0</v>
      </c>
      <c r="DB56" t="n">
        <v>0</v>
      </c>
      <c r="DE56" t="n">
        <v>7.32</v>
      </c>
      <c r="DF56" t="n">
        <v>4</v>
      </c>
      <c r="DG56" t="n">
        <v>0</v>
      </c>
      <c r="DH56" t="n">
        <v>18</v>
      </c>
      <c r="DI56" t="n">
        <v>31</v>
      </c>
      <c r="DL56" t="n">
        <v>25</v>
      </c>
      <c r="DM56" t="n">
        <v>33</v>
      </c>
      <c r="DN56" t="n">
        <v>3</v>
      </c>
      <c r="DO56" t="n">
        <v>6.2</v>
      </c>
      <c r="DP56" t="n">
        <v>121.91</v>
      </c>
      <c r="DQ56" t="n">
        <v>61.4</v>
      </c>
      <c r="DR56" t="n">
        <v>122.8</v>
      </c>
      <c r="DS56" t="n">
        <v>-0.89</v>
      </c>
      <c r="DT56" t="n">
        <v>2063</v>
      </c>
      <c r="DU56" t="n">
        <v>54.3</v>
      </c>
      <c r="DV56" t="inlineStr">
        <is>
          <t>flat</t>
        </is>
      </c>
      <c r="DW56" t="n">
        <v>33.55</v>
      </c>
      <c r="DX56" t="n">
        <v>30.09</v>
      </c>
      <c r="DY56" t="n">
        <v>34.76</v>
      </c>
      <c r="DZ56" t="n">
        <v>1.21</v>
      </c>
      <c r="EA56" t="n">
        <v>1455</v>
      </c>
      <c r="EB56" t="n">
        <v>18.28</v>
      </c>
      <c r="EC56" t="n">
        <v>0.89</v>
      </c>
      <c r="ED56" t="n">
        <v>117.33</v>
      </c>
      <c r="EE56" t="n">
        <v>3082</v>
      </c>
      <c r="EF56" t="b">
        <v>1</v>
      </c>
      <c r="EG56" t="n">
        <v>97.8</v>
      </c>
      <c r="EH56" t="n">
        <v>35.3</v>
      </c>
      <c r="EI56" t="n">
        <v>27</v>
      </c>
      <c r="EJ56" t="n">
        <v>37.8</v>
      </c>
      <c r="EK56" t="n">
        <v>22.1</v>
      </c>
      <c r="EL56" t="n">
        <v>38.5</v>
      </c>
      <c r="EM56" t="n">
        <v>326.8</v>
      </c>
      <c r="EN56" t="n">
        <v>382.4</v>
      </c>
      <c r="EO56" t="n">
        <v>176.2</v>
      </c>
      <c r="EP56" t="n">
        <v>15.9</v>
      </c>
    </row>
    <row r="57">
      <c r="A57" t="inlineStr">
        <is>
          <t>Bart Verbruggen</t>
        </is>
      </c>
      <c r="B57" t="inlineStr">
        <is>
          <t>BHA</t>
        </is>
      </c>
      <c r="C57" t="inlineStr">
        <is>
          <t>GKP</t>
        </is>
      </c>
      <c r="D57" t="inlineStr">
        <is>
          <t>GKP</t>
        </is>
      </c>
      <c r="E57" t="n">
        <v>4.5</v>
      </c>
      <c r="F57" t="b">
        <v>1</v>
      </c>
      <c r="G57" t="b">
        <v>1</v>
      </c>
      <c r="H57" t="n">
        <v>24</v>
      </c>
      <c r="I57" t="inlineStr">
        <is>
          <t>a</t>
        </is>
      </c>
      <c r="L57" t="inlineStr">
        <is>
          <t>p489639</t>
        </is>
      </c>
      <c r="M57" t="n">
        <v>109</v>
      </c>
      <c r="Q57" t="n">
        <v>3420</v>
      </c>
      <c r="R57" t="n">
        <v>38</v>
      </c>
      <c r="S57" t="n">
        <v>38</v>
      </c>
      <c r="T57" t="n">
        <v>38</v>
      </c>
      <c r="U57" t="n">
        <v>90</v>
      </c>
      <c r="V57" t="n">
        <v>130</v>
      </c>
      <c r="W57" t="n">
        <v>3.421</v>
      </c>
      <c r="X57" t="n">
        <v>0</v>
      </c>
      <c r="Y57" t="n">
        <v>0</v>
      </c>
      <c r="AA57" t="n">
        <v>10</v>
      </c>
      <c r="AB57" t="n">
        <v>46</v>
      </c>
      <c r="AC57" t="n">
        <v>6</v>
      </c>
      <c r="AD57" t="n">
        <v>11</v>
      </c>
      <c r="AE57" t="n">
        <v>5</v>
      </c>
      <c r="AF57" t="n">
        <v>616</v>
      </c>
      <c r="AG57" t="n">
        <v>610</v>
      </c>
      <c r="AH57" t="n">
        <v>-6</v>
      </c>
      <c r="AI57" t="n">
        <v>135</v>
      </c>
      <c r="AJ57" t="n">
        <v>0.046</v>
      </c>
      <c r="AK57" t="n">
        <v>0.048</v>
      </c>
      <c r="AL57" t="n">
        <v>0</v>
      </c>
      <c r="AM57" t="n">
        <v>0</v>
      </c>
      <c r="AN57" t="n">
        <v>0</v>
      </c>
      <c r="AO57" t="n">
        <v>0</v>
      </c>
      <c r="AP57" t="n">
        <v>0</v>
      </c>
      <c r="AQ57" t="n">
        <v>0</v>
      </c>
      <c r="AR57" t="n">
        <v>0</v>
      </c>
      <c r="AS57" t="n">
        <v>1</v>
      </c>
      <c r="AT57" t="n">
        <v>1</v>
      </c>
      <c r="AU57" t="n">
        <v>21</v>
      </c>
      <c r="AV57" t="n">
        <v>1</v>
      </c>
      <c r="AW57" t="n">
        <v>2.64</v>
      </c>
      <c r="AX57" t="n">
        <v>11</v>
      </c>
      <c r="AY57" t="n">
        <v>0</v>
      </c>
      <c r="AZ57" t="n">
        <v>0</v>
      </c>
      <c r="BA57" t="n">
        <v>0</v>
      </c>
      <c r="BB57" t="n">
        <v>0</v>
      </c>
      <c r="BC57" t="n">
        <v>0</v>
      </c>
      <c r="BD57" t="n">
        <v>0</v>
      </c>
      <c r="BE57" t="n">
        <v>0</v>
      </c>
      <c r="BH57" t="n">
        <v>1</v>
      </c>
      <c r="BI57" t="n">
        <v>0</v>
      </c>
      <c r="BJ57" t="n">
        <v>0</v>
      </c>
      <c r="BK57" t="n">
        <v>0</v>
      </c>
      <c r="BL57" t="n">
        <v>0</v>
      </c>
      <c r="BO57" t="n">
        <v>0</v>
      </c>
      <c r="BS57" t="n">
        <v>0</v>
      </c>
      <c r="BT57" t="n">
        <v>0</v>
      </c>
      <c r="BW57" t="n">
        <v>0.06</v>
      </c>
      <c r="BX57" t="n">
        <v>0.076</v>
      </c>
      <c r="BY57" t="n">
        <v>0.068</v>
      </c>
      <c r="BZ57" t="n">
        <v>0.002</v>
      </c>
      <c r="CA57" t="n">
        <v>0.068</v>
      </c>
      <c r="CB57" t="n">
        <v>0.002</v>
      </c>
      <c r="CC57" t="n">
        <v>1</v>
      </c>
      <c r="CE57" t="n">
        <v>1</v>
      </c>
      <c r="CI57" t="n">
        <v>7.377</v>
      </c>
      <c r="CJ57" t="n">
        <v>7.377</v>
      </c>
      <c r="CK57" t="n">
        <v>32</v>
      </c>
      <c r="CL57" t="n">
        <v>332</v>
      </c>
      <c r="CM57" t="n">
        <v>1</v>
      </c>
      <c r="CN57" t="n">
        <v>1</v>
      </c>
      <c r="CO57" t="n">
        <v>0</v>
      </c>
      <c r="CP57" t="n">
        <v>32</v>
      </c>
      <c r="CR57" t="n">
        <v>16</v>
      </c>
      <c r="CS57" t="n">
        <v>11</v>
      </c>
      <c r="CU57" t="n">
        <v>4</v>
      </c>
      <c r="CV57" t="n">
        <v>2</v>
      </c>
      <c r="CW57" t="n">
        <v>49.06</v>
      </c>
      <c r="CX57" t="n">
        <v>1.291</v>
      </c>
      <c r="CY57" t="n">
        <v>106</v>
      </c>
      <c r="CZ57" t="n">
        <v>69.7</v>
      </c>
      <c r="DA57" t="n">
        <v>2</v>
      </c>
      <c r="DB57" t="n">
        <v>1</v>
      </c>
      <c r="DC57" t="n">
        <v>24</v>
      </c>
      <c r="DD57" t="n">
        <v>15</v>
      </c>
      <c r="DE57" t="n">
        <v>6.93</v>
      </c>
      <c r="DF57" t="n">
        <v>3</v>
      </c>
      <c r="DG57" t="n">
        <v>0</v>
      </c>
      <c r="DH57" t="n">
        <v>2</v>
      </c>
      <c r="DI57" t="n">
        <v>3</v>
      </c>
      <c r="DK57" t="n">
        <v>1</v>
      </c>
      <c r="DL57" t="n">
        <v>1</v>
      </c>
      <c r="DN57" t="n">
        <v>0</v>
      </c>
      <c r="DO57" t="n">
        <v>18.2</v>
      </c>
      <c r="DP57" t="n">
        <v>121.48</v>
      </c>
      <c r="DQ57" t="n">
        <v>60.74</v>
      </c>
      <c r="DR57" t="n">
        <v>121.48</v>
      </c>
      <c r="DS57" t="n">
        <v>0</v>
      </c>
      <c r="DT57" t="n">
        <v>3385</v>
      </c>
      <c r="DU57" t="n">
        <v>89.09</v>
      </c>
      <c r="DV57" t="inlineStr">
        <is>
          <t>flat</t>
        </is>
      </c>
      <c r="DW57" t="n">
        <v>102.97</v>
      </c>
      <c r="DX57" t="n">
        <v>108.17</v>
      </c>
      <c r="DY57" t="n">
        <v>100.4</v>
      </c>
      <c r="DZ57" t="n">
        <v>-2.57</v>
      </c>
      <c r="EA57" t="n">
        <v>1281</v>
      </c>
      <c r="EB57" t="n">
        <v>21.18</v>
      </c>
      <c r="EC57" t="n">
        <v>0.89</v>
      </c>
      <c r="ED57" t="n">
        <v>120</v>
      </c>
      <c r="EE57" t="n">
        <v>2762</v>
      </c>
      <c r="EF57" t="b">
        <v>1</v>
      </c>
      <c r="EG57" t="n">
        <v>61.4</v>
      </c>
      <c r="EH57" t="n">
        <v>7.7</v>
      </c>
      <c r="EI57" t="n">
        <v>391</v>
      </c>
      <c r="EL57" t="n">
        <v>3420</v>
      </c>
      <c r="EN57" t="n">
        <v>50123</v>
      </c>
      <c r="EO57" t="n">
        <v>50123</v>
      </c>
      <c r="EP57" t="n">
        <v>26.3</v>
      </c>
    </row>
    <row r="58">
      <c r="A58" t="inlineStr">
        <is>
          <t>Nathan Collins</t>
        </is>
      </c>
      <c r="B58" t="inlineStr">
        <is>
          <t>BRE</t>
        </is>
      </c>
      <c r="C58" t="inlineStr">
        <is>
          <t>DEF</t>
        </is>
      </c>
      <c r="D58" t="inlineStr">
        <is>
          <t>DEF</t>
        </is>
      </c>
      <c r="E58" t="n">
        <v>5.5</v>
      </c>
      <c r="F58" t="b">
        <v>1</v>
      </c>
      <c r="G58" t="b">
        <v>1</v>
      </c>
      <c r="H58" t="n">
        <v>25.3</v>
      </c>
      <c r="I58" t="inlineStr">
        <is>
          <t>a</t>
        </is>
      </c>
      <c r="L58" t="inlineStr">
        <is>
          <t>p432830</t>
        </is>
      </c>
      <c r="M58" t="n">
        <v>84</v>
      </c>
      <c r="Q58" t="n">
        <v>2971</v>
      </c>
      <c r="R58" t="n">
        <v>35</v>
      </c>
      <c r="S58" t="n">
        <v>32</v>
      </c>
      <c r="T58" t="n">
        <v>33.011</v>
      </c>
      <c r="U58" t="n">
        <v>84.90000000000001</v>
      </c>
      <c r="V58" t="n">
        <v>129</v>
      </c>
      <c r="W58" t="n">
        <v>3.908</v>
      </c>
      <c r="X58" t="n">
        <v>1</v>
      </c>
      <c r="Y58" t="n">
        <v>2</v>
      </c>
      <c r="Z58" t="n">
        <v>2</v>
      </c>
      <c r="AA58" t="n">
        <v>9</v>
      </c>
      <c r="AB58" t="n">
        <v>44</v>
      </c>
      <c r="AC58" t="n">
        <v>7</v>
      </c>
      <c r="AD58" t="n">
        <v>6</v>
      </c>
      <c r="AE58" t="n">
        <v>-1</v>
      </c>
      <c r="AF58" t="n">
        <v>450</v>
      </c>
      <c r="AG58" t="n">
        <v>404</v>
      </c>
      <c r="AH58" t="n">
        <v>-46</v>
      </c>
      <c r="AI58" t="n">
        <v>128</v>
      </c>
      <c r="AJ58" t="n">
        <v>0.054</v>
      </c>
      <c r="AK58" t="n">
        <v>0.057</v>
      </c>
      <c r="AL58" t="n">
        <v>319</v>
      </c>
      <c r="AM58" t="n">
        <v>9.663</v>
      </c>
      <c r="AN58" t="n">
        <v>16</v>
      </c>
      <c r="AO58" t="n">
        <v>32</v>
      </c>
      <c r="AP58" t="n">
        <v>0.5</v>
      </c>
      <c r="AQ58" t="n">
        <v>0.5</v>
      </c>
      <c r="AR58" t="n">
        <v>0.281</v>
      </c>
      <c r="AS58" t="n">
        <v>0.842</v>
      </c>
      <c r="AT58" t="n">
        <v>0.914</v>
      </c>
      <c r="AU58" t="n">
        <v>15</v>
      </c>
      <c r="AV58" t="n">
        <v>2</v>
      </c>
      <c r="AW58" t="n">
        <v>3.34</v>
      </c>
      <c r="AX58" t="n">
        <v>13</v>
      </c>
      <c r="AY58" t="n">
        <v>2.24</v>
      </c>
      <c r="AZ58" t="n">
        <v>2.917</v>
      </c>
      <c r="BA58" t="n">
        <v>2.579</v>
      </c>
      <c r="BB58" t="n">
        <v>2.917</v>
      </c>
      <c r="BC58" t="n">
        <v>0.068</v>
      </c>
      <c r="BD58" t="n">
        <v>0.08799999999999999</v>
      </c>
      <c r="BE58" t="n">
        <v>0.078</v>
      </c>
      <c r="BF58" t="n">
        <v>1.7</v>
      </c>
      <c r="BG58" t="n">
        <v>0.051</v>
      </c>
      <c r="BH58" t="n">
        <v>0.931</v>
      </c>
      <c r="BI58" t="n">
        <v>6.5</v>
      </c>
      <c r="BJ58" t="n">
        <v>2.086</v>
      </c>
      <c r="BK58" t="n">
        <v>0.063</v>
      </c>
      <c r="BL58" t="n">
        <v>-1.579</v>
      </c>
      <c r="BM58" t="n">
        <v>-0.54</v>
      </c>
      <c r="BN58" t="n">
        <v>-0.7</v>
      </c>
      <c r="BO58" t="n">
        <v>-0.677</v>
      </c>
      <c r="BP58" t="n">
        <v>20</v>
      </c>
      <c r="BQ58" t="n">
        <v>6</v>
      </c>
      <c r="BR58" t="n">
        <v>4</v>
      </c>
      <c r="BS58" t="n">
        <v>80</v>
      </c>
      <c r="BT58" t="n">
        <v>2.423</v>
      </c>
      <c r="BV58" t="n">
        <v>1</v>
      </c>
      <c r="BW58" t="n">
        <v>1.71</v>
      </c>
      <c r="BX58" t="n">
        <v>2.43</v>
      </c>
      <c r="BY58" t="n">
        <v>2.07</v>
      </c>
      <c r="BZ58" t="n">
        <v>0.063</v>
      </c>
      <c r="CA58" t="n">
        <v>4.648</v>
      </c>
      <c r="CB58" t="n">
        <v>0.141</v>
      </c>
      <c r="CC58" t="n">
        <v>9</v>
      </c>
      <c r="CD58" t="n">
        <v>5</v>
      </c>
      <c r="CE58" t="n">
        <v>11</v>
      </c>
      <c r="CF58" t="n">
        <v>1</v>
      </c>
      <c r="CG58" t="n">
        <v>0</v>
      </c>
      <c r="CI58" t="n">
        <v>10.036</v>
      </c>
      <c r="CJ58" t="n">
        <v>8.510999999999999</v>
      </c>
      <c r="CK58" t="n">
        <v>287</v>
      </c>
      <c r="CL58" t="n">
        <v>139</v>
      </c>
      <c r="CM58" t="n">
        <v>32</v>
      </c>
      <c r="CN58" t="n">
        <v>14</v>
      </c>
      <c r="CO58" t="n">
        <v>37</v>
      </c>
      <c r="CP58" t="n">
        <v>209</v>
      </c>
      <c r="CQ58" t="n">
        <v>41</v>
      </c>
      <c r="CR58" t="n">
        <v>144</v>
      </c>
      <c r="CS58" t="n">
        <v>89</v>
      </c>
      <c r="CT58" t="n">
        <v>0</v>
      </c>
      <c r="CU58" t="n">
        <v>1</v>
      </c>
      <c r="CV58" t="n">
        <v>3</v>
      </c>
      <c r="CW58" t="n">
        <v>47.52</v>
      </c>
      <c r="CX58" t="n">
        <v>1.44</v>
      </c>
      <c r="CY58" t="n">
        <v>0</v>
      </c>
      <c r="DB58" t="n">
        <v>0</v>
      </c>
      <c r="DE58" t="n">
        <v>6.88</v>
      </c>
      <c r="DF58" t="n">
        <v>7</v>
      </c>
      <c r="DG58" t="n">
        <v>0</v>
      </c>
      <c r="DH58" t="n">
        <v>20</v>
      </c>
      <c r="DI58" t="n">
        <v>17</v>
      </c>
      <c r="DJ58" t="n">
        <v>1</v>
      </c>
      <c r="DK58" t="n">
        <v>1</v>
      </c>
      <c r="DL58" t="n">
        <v>7</v>
      </c>
      <c r="DM58" t="n">
        <v>10</v>
      </c>
      <c r="DN58" t="n">
        <v>2</v>
      </c>
      <c r="DO58" t="n">
        <v>2.1</v>
      </c>
      <c r="DP58" t="n">
        <v>136.68</v>
      </c>
      <c r="DQ58" t="n">
        <v>69.28</v>
      </c>
      <c r="DR58" t="n">
        <v>138.56</v>
      </c>
      <c r="DS58" t="n">
        <v>-1.88</v>
      </c>
      <c r="DT58" t="n">
        <v>3044</v>
      </c>
      <c r="DU58" t="n">
        <v>80.09999999999999</v>
      </c>
      <c r="DV58" t="inlineStr">
        <is>
          <t>flat</t>
        </is>
      </c>
      <c r="DW58" t="n">
        <v>82.39</v>
      </c>
      <c r="DX58" t="n">
        <v>83.54000000000001</v>
      </c>
      <c r="DY58" t="n">
        <v>82.02</v>
      </c>
      <c r="DZ58" t="n">
        <v>-0.37</v>
      </c>
      <c r="EA58" t="n">
        <v>1056</v>
      </c>
      <c r="EB58" t="n">
        <v>18.27</v>
      </c>
      <c r="EC58" t="n">
        <v>8</v>
      </c>
      <c r="ED58" t="n">
        <v>120</v>
      </c>
      <c r="EE58" t="n">
        <v>1602</v>
      </c>
      <c r="EF58" t="b">
        <v>1</v>
      </c>
      <c r="EG58" t="n">
        <v>88.5</v>
      </c>
      <c r="EH58" t="n">
        <v>62.9</v>
      </c>
      <c r="EI58" t="n">
        <v>119</v>
      </c>
      <c r="EJ58" t="n">
        <v>148.6</v>
      </c>
      <c r="EK58" t="n">
        <v>37.1</v>
      </c>
      <c r="EL58" t="n">
        <v>270.1</v>
      </c>
      <c r="EM58" t="n">
        <v>1152.2</v>
      </c>
      <c r="EN58" t="n">
        <v>1435.4</v>
      </c>
      <c r="EO58" t="n">
        <v>639.1</v>
      </c>
      <c r="EP58" t="n">
        <v>23</v>
      </c>
    </row>
    <row r="59">
      <c r="A59" t="inlineStr">
        <is>
          <t>Neco Williams</t>
        </is>
      </c>
      <c r="B59" t="inlineStr">
        <is>
          <t>NFO</t>
        </is>
      </c>
      <c r="C59" t="inlineStr">
        <is>
          <t>DEF</t>
        </is>
      </c>
      <c r="D59" t="inlineStr">
        <is>
          <t>DEF</t>
        </is>
      </c>
      <c r="E59" t="n">
        <v>5</v>
      </c>
      <c r="F59" t="b">
        <v>1</v>
      </c>
      <c r="G59" t="b">
        <v>1</v>
      </c>
      <c r="H59" t="n">
        <v>25.4</v>
      </c>
      <c r="I59" t="inlineStr">
        <is>
          <t>a</t>
        </is>
      </c>
      <c r="L59" t="inlineStr">
        <is>
          <t>p215136</t>
        </is>
      </c>
      <c r="M59" t="n">
        <v>469</v>
      </c>
      <c r="O59" t="n">
        <v>1</v>
      </c>
      <c r="P59" t="n">
        <v>2</v>
      </c>
      <c r="Q59" t="n">
        <v>3203</v>
      </c>
      <c r="R59" t="n">
        <v>37</v>
      </c>
      <c r="S59" t="n">
        <v>36</v>
      </c>
      <c r="T59" t="n">
        <v>35.589</v>
      </c>
      <c r="U59" t="n">
        <v>86.59999999999999</v>
      </c>
      <c r="V59" t="n">
        <v>128</v>
      </c>
      <c r="W59" t="n">
        <v>3.597</v>
      </c>
      <c r="X59" t="n">
        <v>2</v>
      </c>
      <c r="Y59" t="n">
        <v>3</v>
      </c>
      <c r="Z59" t="n">
        <v>3</v>
      </c>
      <c r="AA59" t="n">
        <v>9</v>
      </c>
      <c r="AB59" t="n">
        <v>48</v>
      </c>
      <c r="AC59" t="n">
        <v>15</v>
      </c>
      <c r="AD59" t="n">
        <v>15</v>
      </c>
      <c r="AE59" t="n">
        <v>0</v>
      </c>
      <c r="AF59" t="n">
        <v>531</v>
      </c>
      <c r="AG59" t="n">
        <v>501</v>
      </c>
      <c r="AH59" t="n">
        <v>-30</v>
      </c>
      <c r="AI59" t="n">
        <v>128</v>
      </c>
      <c r="AJ59" t="n">
        <v>0.117</v>
      </c>
      <c r="AK59" t="n">
        <v>0.133</v>
      </c>
      <c r="AL59" t="n">
        <v>247</v>
      </c>
      <c r="AM59" t="n">
        <v>6.94</v>
      </c>
      <c r="AN59" t="n">
        <v>4</v>
      </c>
      <c r="AO59" t="n">
        <v>8</v>
      </c>
      <c r="AP59" t="n">
        <v>0.111</v>
      </c>
      <c r="AQ59" t="n">
        <v>0.111</v>
      </c>
      <c r="AR59" t="n">
        <v>0.083</v>
      </c>
      <c r="AS59" t="n">
        <v>0.947</v>
      </c>
      <c r="AT59" t="n">
        <v>0.919</v>
      </c>
      <c r="AU59" t="n">
        <v>24</v>
      </c>
      <c r="AV59" t="n">
        <v>4</v>
      </c>
      <c r="AW59" t="n">
        <v>3.98</v>
      </c>
      <c r="AX59" t="n">
        <v>15</v>
      </c>
      <c r="AY59" t="n">
        <v>2.01</v>
      </c>
      <c r="AZ59" t="n">
        <v>1.871</v>
      </c>
      <c r="BA59" t="n">
        <v>1.94</v>
      </c>
      <c r="BB59" t="n">
        <v>1.871</v>
      </c>
      <c r="BC59" t="n">
        <v>0.056</v>
      </c>
      <c r="BD59" t="n">
        <v>0.053</v>
      </c>
      <c r="BE59" t="n">
        <v>0.055</v>
      </c>
      <c r="BF59" t="n">
        <v>3</v>
      </c>
      <c r="BG59" t="n">
        <v>0.08400000000000001</v>
      </c>
      <c r="BH59" t="n">
        <v>1.029</v>
      </c>
      <c r="BI59" t="n">
        <v>6.28</v>
      </c>
      <c r="BJ59" t="n">
        <v>2.069</v>
      </c>
      <c r="BK59" t="n">
        <v>0.058</v>
      </c>
      <c r="BL59" t="n">
        <v>0.06</v>
      </c>
      <c r="BM59" t="n">
        <v>0.99</v>
      </c>
      <c r="BN59" t="n">
        <v>-1</v>
      </c>
      <c r="BO59" t="n">
        <v>0.139</v>
      </c>
      <c r="BP59" t="n">
        <v>46</v>
      </c>
      <c r="BQ59" t="n">
        <v>19</v>
      </c>
      <c r="BR59" t="n">
        <v>2</v>
      </c>
      <c r="BS59" t="n">
        <v>68</v>
      </c>
      <c r="BT59" t="n">
        <v>1.911</v>
      </c>
      <c r="BW59" t="n">
        <v>3.97</v>
      </c>
      <c r="BX59" t="n">
        <v>4.396</v>
      </c>
      <c r="BY59" t="n">
        <v>4.183</v>
      </c>
      <c r="BZ59" t="n">
        <v>0.118</v>
      </c>
      <c r="CA59" t="n">
        <v>6.123</v>
      </c>
      <c r="CB59" t="n">
        <v>0.172</v>
      </c>
      <c r="CC59" t="n">
        <v>36</v>
      </c>
      <c r="CD59" t="n">
        <v>5</v>
      </c>
      <c r="CE59" t="n">
        <v>36</v>
      </c>
      <c r="CF59" t="n">
        <v>29</v>
      </c>
      <c r="CH59" t="n">
        <v>23</v>
      </c>
      <c r="CI59" t="n">
        <v>12.105</v>
      </c>
      <c r="CJ59" t="n">
        <v>9.01</v>
      </c>
      <c r="CK59" t="n">
        <v>151</v>
      </c>
      <c r="CL59" t="n">
        <v>164</v>
      </c>
      <c r="CM59" t="n">
        <v>96</v>
      </c>
      <c r="CN59" t="n">
        <v>62</v>
      </c>
      <c r="CO59" t="n">
        <v>47</v>
      </c>
      <c r="CP59" t="n">
        <v>88</v>
      </c>
      <c r="CQ59" t="n">
        <v>17</v>
      </c>
      <c r="CR59" t="n">
        <v>216</v>
      </c>
      <c r="CS59" t="n">
        <v>39</v>
      </c>
      <c r="CT59" t="n">
        <v>0.3</v>
      </c>
      <c r="CU59" t="n">
        <v>1</v>
      </c>
      <c r="CV59" t="n">
        <v>2</v>
      </c>
      <c r="CW59" t="n">
        <v>51.36</v>
      </c>
      <c r="CX59" t="n">
        <v>1.443</v>
      </c>
      <c r="CY59" t="n">
        <v>0</v>
      </c>
      <c r="DB59" t="n">
        <v>0</v>
      </c>
      <c r="DE59" t="n">
        <v>7.08</v>
      </c>
      <c r="DF59" t="n">
        <v>6</v>
      </c>
      <c r="DG59" t="n">
        <v>1</v>
      </c>
      <c r="DH59" t="n">
        <v>30</v>
      </c>
      <c r="DI59" t="n">
        <v>52</v>
      </c>
      <c r="DK59" t="n">
        <v>1</v>
      </c>
      <c r="DL59" t="n">
        <v>31</v>
      </c>
      <c r="DM59" t="n">
        <v>28</v>
      </c>
      <c r="DN59" t="n">
        <v>4</v>
      </c>
      <c r="DO59" t="n">
        <v>11.8</v>
      </c>
      <c r="DP59" t="n">
        <v>148.32</v>
      </c>
      <c r="DQ59" t="n">
        <v>74.16</v>
      </c>
      <c r="DR59" t="n">
        <v>148.32</v>
      </c>
      <c r="DS59" t="n">
        <v>0</v>
      </c>
      <c r="DT59" t="n">
        <v>3331</v>
      </c>
      <c r="DU59" t="n">
        <v>87.66</v>
      </c>
      <c r="DV59" t="inlineStr">
        <is>
          <t>flat</t>
        </is>
      </c>
      <c r="DW59" t="n">
        <v>81.86</v>
      </c>
      <c r="DX59" t="n">
        <v>87.31999999999999</v>
      </c>
      <c r="DY59" t="n">
        <v>76.11</v>
      </c>
      <c r="DZ59" t="n">
        <v>-5.74</v>
      </c>
      <c r="EA59" t="n">
        <v>1382</v>
      </c>
      <c r="EB59" t="n">
        <v>21.63</v>
      </c>
      <c r="EC59" t="n">
        <v>6.67</v>
      </c>
      <c r="ED59" t="n">
        <v>120</v>
      </c>
      <c r="EE59" t="n">
        <v>3274</v>
      </c>
      <c r="EF59" t="b">
        <v>1</v>
      </c>
      <c r="EG59" t="n">
        <v>82</v>
      </c>
      <c r="EH59" t="n">
        <v>18.1</v>
      </c>
      <c r="EI59" t="n">
        <v>229</v>
      </c>
      <c r="EJ59" t="n">
        <v>69.59999999999999</v>
      </c>
      <c r="EK59" t="n">
        <v>47.1</v>
      </c>
      <c r="EL59" t="n">
        <v>89</v>
      </c>
      <c r="EM59" t="n">
        <v>1650.8</v>
      </c>
      <c r="EN59" t="n">
        <v>765.8</v>
      </c>
      <c r="EO59" t="n">
        <v>523.1</v>
      </c>
      <c r="EP59" t="n">
        <v>25</v>
      </c>
    </row>
    <row r="60">
      <c r="A60" t="inlineStr">
        <is>
          <t>Viktor Gyökeres</t>
        </is>
      </c>
      <c r="B60" t="inlineStr">
        <is>
          <t>ARS</t>
        </is>
      </c>
      <c r="C60" t="inlineStr">
        <is>
          <t>FWD</t>
        </is>
      </c>
      <c r="D60" t="inlineStr">
        <is>
          <t>FWD</t>
        </is>
      </c>
      <c r="E60" t="n">
        <v>7.5</v>
      </c>
      <c r="F60" t="b">
        <v>1</v>
      </c>
      <c r="G60" t="b">
        <v>1</v>
      </c>
      <c r="H60" t="n">
        <v>28.2</v>
      </c>
      <c r="I60" t="inlineStr">
        <is>
          <t>a</t>
        </is>
      </c>
      <c r="L60" t="inlineStr">
        <is>
          <t>p224117</t>
        </is>
      </c>
      <c r="M60" t="n">
        <v>25</v>
      </c>
      <c r="N60" t="n">
        <v>2</v>
      </c>
      <c r="Q60" t="n">
        <v>2217</v>
      </c>
      <c r="R60" t="n">
        <v>36</v>
      </c>
      <c r="S60" t="n">
        <v>26</v>
      </c>
      <c r="T60" t="n">
        <v>24.633</v>
      </c>
      <c r="U60" t="n">
        <v>61.6</v>
      </c>
      <c r="V60" t="n">
        <v>128</v>
      </c>
      <c r="W60" t="n">
        <v>5.196</v>
      </c>
      <c r="X60" t="n">
        <v>14</v>
      </c>
      <c r="Y60" t="n">
        <v>1</v>
      </c>
      <c r="Z60" t="n">
        <v>1</v>
      </c>
      <c r="AA60" t="n">
        <v>12</v>
      </c>
      <c r="AB60" t="n">
        <v>14</v>
      </c>
      <c r="AC60" t="n">
        <v>16</v>
      </c>
      <c r="AD60" t="n">
        <v>16</v>
      </c>
      <c r="AE60" t="n">
        <v>0</v>
      </c>
      <c r="AF60" t="n">
        <v>474</v>
      </c>
      <c r="AG60" t="n">
        <v>469</v>
      </c>
      <c r="AH60" t="n">
        <v>-5</v>
      </c>
      <c r="AI60" t="n">
        <v>128</v>
      </c>
      <c r="AJ60" t="n">
        <v>0.125</v>
      </c>
      <c r="AK60" t="n">
        <v>0.143</v>
      </c>
      <c r="AL60" t="n">
        <v>85</v>
      </c>
      <c r="AM60" t="n">
        <v>3.451</v>
      </c>
      <c r="AN60" t="n">
        <v>0</v>
      </c>
      <c r="AO60" t="n">
        <v>0</v>
      </c>
      <c r="AP60" t="n">
        <v>0</v>
      </c>
      <c r="AQ60" t="n">
        <v>0</v>
      </c>
      <c r="AR60" t="n">
        <v>0</v>
      </c>
      <c r="AS60" t="n">
        <v>0.6840000000000001</v>
      </c>
      <c r="AT60" t="n">
        <v>0.611</v>
      </c>
      <c r="AU60" t="n">
        <v>26</v>
      </c>
      <c r="AV60" t="n">
        <v>4</v>
      </c>
      <c r="AW60" t="n">
        <v>3.96</v>
      </c>
      <c r="AX60" t="n">
        <v>16</v>
      </c>
      <c r="AY60" t="n">
        <v>12.26</v>
      </c>
      <c r="AZ60" t="n">
        <v>13.871</v>
      </c>
      <c r="BA60" t="n">
        <v>13.066</v>
      </c>
      <c r="BB60" t="n">
        <v>11.588</v>
      </c>
      <c r="BC60" t="n">
        <v>0.498</v>
      </c>
      <c r="BD60" t="n">
        <v>0.5629999999999999</v>
      </c>
      <c r="BE60" t="n">
        <v>0.53</v>
      </c>
      <c r="BF60" t="n">
        <v>9.4</v>
      </c>
      <c r="BG60" t="n">
        <v>0.382</v>
      </c>
      <c r="BH60" t="n">
        <v>0.859</v>
      </c>
      <c r="BI60" t="n">
        <v>12.26</v>
      </c>
      <c r="BJ60" t="n">
        <v>10.529</v>
      </c>
      <c r="BK60" t="n">
        <v>0.427</v>
      </c>
      <c r="BL60" t="n">
        <v>0.9340000000000001</v>
      </c>
      <c r="BM60" t="n">
        <v>-2.86</v>
      </c>
      <c r="BN60" t="n">
        <v>4.6</v>
      </c>
      <c r="BO60" t="n">
        <v>-1.611</v>
      </c>
      <c r="BP60" t="n">
        <v>55</v>
      </c>
      <c r="BQ60" t="n">
        <v>22</v>
      </c>
      <c r="BR60" t="n">
        <v>13</v>
      </c>
      <c r="BS60" t="n">
        <v>142</v>
      </c>
      <c r="BT60" t="n">
        <v>5.765</v>
      </c>
      <c r="BU60" t="n">
        <v>3</v>
      </c>
      <c r="BV60" t="n">
        <v>2</v>
      </c>
      <c r="BW60" t="n">
        <v>1.94</v>
      </c>
      <c r="BX60" t="n">
        <v>2.654</v>
      </c>
      <c r="BY60" t="n">
        <v>2.297</v>
      </c>
      <c r="BZ60" t="n">
        <v>0.093</v>
      </c>
      <c r="CA60" t="n">
        <v>15.363</v>
      </c>
      <c r="CB60" t="n">
        <v>0.624</v>
      </c>
      <c r="CC60" t="n">
        <v>20</v>
      </c>
      <c r="CD60" t="n">
        <v>4</v>
      </c>
      <c r="CE60" t="n">
        <v>20</v>
      </c>
      <c r="CF60" t="n">
        <v>3</v>
      </c>
      <c r="CG60" t="n">
        <v>1</v>
      </c>
      <c r="CI60" t="n">
        <v>14.775</v>
      </c>
      <c r="CJ60" t="n">
        <v>3.26</v>
      </c>
      <c r="CK60" t="n">
        <v>23</v>
      </c>
      <c r="CL60" t="n">
        <v>55</v>
      </c>
      <c r="CM60" t="n">
        <v>7</v>
      </c>
      <c r="CN60" t="n">
        <v>5</v>
      </c>
      <c r="CO60" t="n">
        <v>1</v>
      </c>
      <c r="CP60" t="n">
        <v>19</v>
      </c>
      <c r="CQ60" t="n">
        <v>3</v>
      </c>
      <c r="CR60" t="n">
        <v>74</v>
      </c>
      <c r="CS60" t="n">
        <v>30</v>
      </c>
      <c r="CT60" t="n">
        <v>0.8</v>
      </c>
      <c r="CV60" t="n">
        <v>1</v>
      </c>
      <c r="CW60" t="n">
        <v>17.81</v>
      </c>
      <c r="CX60" t="n">
        <v>0.723</v>
      </c>
      <c r="CY60" t="n">
        <v>0</v>
      </c>
      <c r="DB60" t="n">
        <v>0</v>
      </c>
      <c r="DE60" t="n">
        <v>6.82</v>
      </c>
      <c r="DF60" t="n">
        <v>5</v>
      </c>
      <c r="DG60" t="n">
        <v>0</v>
      </c>
      <c r="DH60" t="n">
        <v>35</v>
      </c>
      <c r="DI60" t="n">
        <v>31</v>
      </c>
      <c r="DJ60" t="n">
        <v>0</v>
      </c>
      <c r="DL60" t="n">
        <v>7</v>
      </c>
      <c r="DM60" t="n">
        <v>25</v>
      </c>
      <c r="DN60" t="n">
        <v>4</v>
      </c>
      <c r="DO60" t="n">
        <v>13</v>
      </c>
      <c r="DP60" t="n">
        <v>89.86</v>
      </c>
      <c r="DQ60" t="n">
        <v>44.98</v>
      </c>
      <c r="DR60" t="n">
        <v>89.95999999999999</v>
      </c>
      <c r="DS60" t="n">
        <v>-0.1</v>
      </c>
      <c r="DT60" t="n">
        <v>1459</v>
      </c>
      <c r="DU60" t="n">
        <v>38.4</v>
      </c>
      <c r="DV60" t="inlineStr">
        <is>
          <t>flat</t>
        </is>
      </c>
      <c r="DW60" t="n">
        <v>16.52</v>
      </c>
      <c r="DX60" t="n">
        <v>15.88</v>
      </c>
      <c r="DY60" t="n">
        <v>14.97</v>
      </c>
      <c r="DZ60" t="n">
        <v>-1.55</v>
      </c>
      <c r="EA60" t="n">
        <v>1572</v>
      </c>
      <c r="EB60" t="n">
        <v>10.05</v>
      </c>
      <c r="EC60" t="n">
        <v>1</v>
      </c>
      <c r="ED60" t="n">
        <v>112</v>
      </c>
      <c r="EE60" t="n">
        <v>3287</v>
      </c>
      <c r="EF60" t="b">
        <v>1</v>
      </c>
      <c r="EG60" t="n">
        <v>100</v>
      </c>
      <c r="EH60" t="n">
        <v>32.5</v>
      </c>
      <c r="EI60" t="n">
        <v>17</v>
      </c>
      <c r="EJ60" t="n">
        <v>40.3</v>
      </c>
      <c r="EK60" t="n">
        <v>15.6</v>
      </c>
      <c r="EL60" t="n">
        <v>110.8</v>
      </c>
      <c r="EM60" t="n">
        <v>169.7</v>
      </c>
      <c r="EN60" t="n">
        <v>965.2</v>
      </c>
      <c r="EO60" t="n">
        <v>144.3</v>
      </c>
      <c r="EP60" t="n">
        <v>17.3</v>
      </c>
    </row>
    <row r="61">
      <c r="A61" t="inlineStr">
        <is>
          <t>Iliman Ndiaye</t>
        </is>
      </c>
      <c r="B61" t="inlineStr">
        <is>
          <t>EVE</t>
        </is>
      </c>
      <c r="C61" t="inlineStr">
        <is>
          <t>MID</t>
        </is>
      </c>
      <c r="D61" t="inlineStr">
        <is>
          <t>MID</t>
        </is>
      </c>
      <c r="E61" t="n">
        <v>6</v>
      </c>
      <c r="F61" t="b">
        <v>1</v>
      </c>
      <c r="G61" t="b">
        <v>1</v>
      </c>
      <c r="H61" t="n">
        <v>26.5</v>
      </c>
      <c r="I61" t="inlineStr">
        <is>
          <t>a</t>
        </is>
      </c>
      <c r="L61" t="inlineStr">
        <is>
          <t>p440993</t>
        </is>
      </c>
      <c r="M61" t="n">
        <v>237</v>
      </c>
      <c r="N61" t="n">
        <v>1</v>
      </c>
      <c r="Q61" t="n">
        <v>2781</v>
      </c>
      <c r="R61" t="n">
        <v>32</v>
      </c>
      <c r="S61" t="n">
        <v>32</v>
      </c>
      <c r="T61" t="n">
        <v>30.9</v>
      </c>
      <c r="U61" t="n">
        <v>86.90000000000001</v>
      </c>
      <c r="V61" t="n">
        <v>128</v>
      </c>
      <c r="W61" t="n">
        <v>4.142</v>
      </c>
      <c r="X61" t="n">
        <v>6</v>
      </c>
      <c r="Y61" t="n">
        <v>3</v>
      </c>
      <c r="Z61" t="n">
        <v>3</v>
      </c>
      <c r="AA61" t="n">
        <v>8</v>
      </c>
      <c r="AB61" t="n">
        <v>44</v>
      </c>
      <c r="AC61" t="n">
        <v>7</v>
      </c>
      <c r="AD61" t="n">
        <v>8</v>
      </c>
      <c r="AE61" t="n">
        <v>1</v>
      </c>
      <c r="AF61" t="n">
        <v>540</v>
      </c>
      <c r="AG61" t="n">
        <v>530</v>
      </c>
      <c r="AH61" t="n">
        <v>-10</v>
      </c>
      <c r="AI61" t="n">
        <v>129</v>
      </c>
      <c r="AJ61" t="n">
        <v>0.055</v>
      </c>
      <c r="AK61" t="n">
        <v>0.058</v>
      </c>
      <c r="AL61" t="n">
        <v>283</v>
      </c>
      <c r="AM61" t="n">
        <v>9.159000000000001</v>
      </c>
      <c r="AN61" t="n">
        <v>6</v>
      </c>
      <c r="AO61" t="n">
        <v>12</v>
      </c>
      <c r="AP61" t="n">
        <v>0.188</v>
      </c>
      <c r="AQ61" t="n">
        <v>0.406</v>
      </c>
      <c r="AR61" t="n">
        <v>0.188</v>
      </c>
      <c r="AS61" t="n">
        <v>0.842</v>
      </c>
      <c r="AT61" t="n">
        <v>1</v>
      </c>
      <c r="AU61" t="n">
        <v>16</v>
      </c>
      <c r="AV61" t="n">
        <v>1</v>
      </c>
      <c r="AW61" t="n">
        <v>2.81</v>
      </c>
      <c r="AX61" t="n">
        <v>10</v>
      </c>
      <c r="AY61" t="n">
        <v>6.68</v>
      </c>
      <c r="AZ61" t="n">
        <v>6.144</v>
      </c>
      <c r="BA61" t="n">
        <v>6.412</v>
      </c>
      <c r="BB61" t="n">
        <v>4.621</v>
      </c>
      <c r="BC61" t="n">
        <v>0.216</v>
      </c>
      <c r="BD61" t="n">
        <v>0.199</v>
      </c>
      <c r="BE61" t="n">
        <v>0.208</v>
      </c>
      <c r="BF61" t="n">
        <v>9.1</v>
      </c>
      <c r="BG61" t="n">
        <v>0.294</v>
      </c>
      <c r="BH61" t="n">
        <v>1.186</v>
      </c>
      <c r="BI61" t="n">
        <v>12.91</v>
      </c>
      <c r="BJ61" t="n">
        <v>7.923</v>
      </c>
      <c r="BK61" t="n">
        <v>0.256</v>
      </c>
      <c r="BL61" t="n">
        <v>-0.412</v>
      </c>
      <c r="BM61" t="n">
        <v>2.42</v>
      </c>
      <c r="BN61" t="n">
        <v>-3.1</v>
      </c>
      <c r="BO61" t="n">
        <v>0.536</v>
      </c>
      <c r="BP61" t="n">
        <v>43</v>
      </c>
      <c r="BQ61" t="n">
        <v>22</v>
      </c>
      <c r="BR61" t="n">
        <v>3</v>
      </c>
      <c r="BS61" t="n">
        <v>102</v>
      </c>
      <c r="BT61" t="n">
        <v>3.301</v>
      </c>
      <c r="BU61" t="n">
        <v>2</v>
      </c>
      <c r="BW61" t="n">
        <v>4.41</v>
      </c>
      <c r="BX61" t="n">
        <v>4.457</v>
      </c>
      <c r="BY61" t="n">
        <v>4.434</v>
      </c>
      <c r="BZ61" t="n">
        <v>0.143</v>
      </c>
      <c r="CA61" t="n">
        <v>10.845</v>
      </c>
      <c r="CB61" t="n">
        <v>0.351</v>
      </c>
      <c r="CC61" t="n">
        <v>30</v>
      </c>
      <c r="CD61" t="n">
        <v>7</v>
      </c>
      <c r="CE61" t="n">
        <v>30</v>
      </c>
      <c r="CF61" t="n">
        <v>7</v>
      </c>
      <c r="CG61" t="n">
        <v>2</v>
      </c>
      <c r="CI61" t="n">
        <v>15.464</v>
      </c>
      <c r="CJ61" t="n">
        <v>6.866</v>
      </c>
      <c r="CK61" t="n">
        <v>38</v>
      </c>
      <c r="CL61" t="n">
        <v>178</v>
      </c>
      <c r="CM61" t="n">
        <v>67</v>
      </c>
      <c r="CN61" t="n">
        <v>43</v>
      </c>
      <c r="CO61" t="n">
        <v>16</v>
      </c>
      <c r="CP61" t="n">
        <v>19</v>
      </c>
      <c r="CQ61" t="n">
        <v>2</v>
      </c>
      <c r="CR61" t="n">
        <v>191</v>
      </c>
      <c r="CS61" t="n">
        <v>11</v>
      </c>
      <c r="CT61" t="n">
        <v>0.8</v>
      </c>
      <c r="CV61" t="n">
        <v>1</v>
      </c>
      <c r="CW61" t="n">
        <v>42.68</v>
      </c>
      <c r="CX61" t="n">
        <v>1.381</v>
      </c>
      <c r="CY61" t="n">
        <v>0</v>
      </c>
      <c r="DB61" t="n">
        <v>0</v>
      </c>
      <c r="DE61" t="n">
        <v>7.22</v>
      </c>
      <c r="DF61" t="n">
        <v>2</v>
      </c>
      <c r="DG61" t="n">
        <v>0</v>
      </c>
      <c r="DH61" t="n">
        <v>30</v>
      </c>
      <c r="DI61" t="n">
        <v>37</v>
      </c>
      <c r="DL61" t="n">
        <v>73</v>
      </c>
      <c r="DM61" t="n">
        <v>64</v>
      </c>
      <c r="DN61" t="n">
        <v>12</v>
      </c>
      <c r="DO61" t="n">
        <v>15.4</v>
      </c>
      <c r="DP61" t="n">
        <v>163.51</v>
      </c>
      <c r="DQ61" t="n">
        <v>81.76000000000001</v>
      </c>
      <c r="DR61" t="n">
        <v>163.52</v>
      </c>
      <c r="DS61" t="n">
        <v>-0.01</v>
      </c>
      <c r="DT61" t="n">
        <v>3186</v>
      </c>
      <c r="DU61" t="n">
        <v>83.84999999999999</v>
      </c>
      <c r="DV61" t="inlineStr">
        <is>
          <t>flat</t>
        </is>
      </c>
      <c r="DW61" t="n">
        <v>62.53</v>
      </c>
      <c r="DX61" t="n">
        <v>67.7</v>
      </c>
      <c r="DY61" t="n">
        <v>57.29</v>
      </c>
      <c r="DZ61" t="n">
        <v>-5.24</v>
      </c>
      <c r="EA61" t="n">
        <v>1336</v>
      </c>
      <c r="EB61" t="n">
        <v>22.37</v>
      </c>
      <c r="EC61" t="n">
        <v>10</v>
      </c>
      <c r="ED61" t="n">
        <v>120</v>
      </c>
      <c r="EE61" t="n">
        <v>3021</v>
      </c>
      <c r="EF61" t="b">
        <v>1</v>
      </c>
      <c r="EG61" t="n">
        <v>67.5</v>
      </c>
      <c r="EH61" t="n">
        <v>8.1</v>
      </c>
      <c r="EI61" t="n">
        <v>71</v>
      </c>
      <c r="EJ61" t="n">
        <v>64.7</v>
      </c>
      <c r="EK61" t="n">
        <v>27.3</v>
      </c>
      <c r="EL61" t="n">
        <v>92.7</v>
      </c>
      <c r="EM61" t="n">
        <v>433.7</v>
      </c>
      <c r="EN61" t="n">
        <v>627.3</v>
      </c>
      <c r="EO61" t="n">
        <v>256.4</v>
      </c>
      <c r="EP61" t="n">
        <v>21.7</v>
      </c>
    </row>
    <row r="62">
      <c r="A62" t="inlineStr">
        <is>
          <t>Chris Richards</t>
        </is>
      </c>
      <c r="B62" t="inlineStr">
        <is>
          <t>CRY</t>
        </is>
      </c>
      <c r="C62" t="inlineStr">
        <is>
          <t>DEF</t>
        </is>
      </c>
      <c r="D62" t="inlineStr">
        <is>
          <t>DEF</t>
        </is>
      </c>
      <c r="E62" t="n">
        <v>5</v>
      </c>
      <c r="F62" t="b">
        <v>1</v>
      </c>
      <c r="G62" t="b">
        <v>1</v>
      </c>
      <c r="H62" t="n">
        <v>26.4</v>
      </c>
      <c r="I62" t="inlineStr">
        <is>
          <t>a</t>
        </is>
      </c>
      <c r="L62" t="inlineStr">
        <is>
          <t>p427623</t>
        </is>
      </c>
      <c r="M62" t="n">
        <v>202</v>
      </c>
      <c r="Q62" t="n">
        <v>2825</v>
      </c>
      <c r="R62" t="n">
        <v>33</v>
      </c>
      <c r="S62" t="n">
        <v>31</v>
      </c>
      <c r="T62" t="n">
        <v>31.389</v>
      </c>
      <c r="U62" t="n">
        <v>85.59999999999999</v>
      </c>
      <c r="V62" t="n">
        <v>128</v>
      </c>
      <c r="W62" t="n">
        <v>4.078</v>
      </c>
      <c r="X62" t="n">
        <v>1</v>
      </c>
      <c r="Y62" t="n">
        <v>0</v>
      </c>
      <c r="AA62" t="n">
        <v>11</v>
      </c>
      <c r="AB62" t="n">
        <v>42</v>
      </c>
      <c r="AC62" t="n">
        <v>5</v>
      </c>
      <c r="AD62" t="n">
        <v>5</v>
      </c>
      <c r="AE62" t="n">
        <v>0</v>
      </c>
      <c r="AF62" t="n">
        <v>453</v>
      </c>
      <c r="AG62" t="n">
        <v>412</v>
      </c>
      <c r="AH62" t="n">
        <v>-41</v>
      </c>
      <c r="AI62" t="n">
        <v>128</v>
      </c>
      <c r="AJ62" t="n">
        <v>0.039</v>
      </c>
      <c r="AK62" t="n">
        <v>0.041</v>
      </c>
      <c r="AL62" t="n">
        <v>311</v>
      </c>
      <c r="AM62" t="n">
        <v>9.907999999999999</v>
      </c>
      <c r="AN62" t="n">
        <v>13</v>
      </c>
      <c r="AO62" t="n">
        <v>26</v>
      </c>
      <c r="AP62" t="n">
        <v>0.419</v>
      </c>
      <c r="AQ62" t="n">
        <v>0.419</v>
      </c>
      <c r="AR62" t="n">
        <v>0.258</v>
      </c>
      <c r="AS62" t="n">
        <v>0.8159999999999999</v>
      </c>
      <c r="AT62" t="n">
        <v>0.9389999999999999</v>
      </c>
      <c r="AU62" t="n">
        <v>14</v>
      </c>
      <c r="AV62" t="n">
        <v>1</v>
      </c>
      <c r="AW62" t="n">
        <v>2.96</v>
      </c>
      <c r="AX62" t="n">
        <v>10</v>
      </c>
      <c r="AY62" t="n">
        <v>2.42</v>
      </c>
      <c r="AZ62" t="n">
        <v>1.781</v>
      </c>
      <c r="BA62" t="n">
        <v>2.101</v>
      </c>
      <c r="BB62" t="n">
        <v>1.781</v>
      </c>
      <c r="BC62" t="n">
        <v>0.077</v>
      </c>
      <c r="BD62" t="n">
        <v>0.057</v>
      </c>
      <c r="BE62" t="n">
        <v>0.067</v>
      </c>
      <c r="BF62" t="n">
        <v>1.6</v>
      </c>
      <c r="BG62" t="n">
        <v>0.051</v>
      </c>
      <c r="BH62" t="n">
        <v>0.9340000000000001</v>
      </c>
      <c r="BI62" t="n">
        <v>5.06</v>
      </c>
      <c r="BJ62" t="n">
        <v>2.261</v>
      </c>
      <c r="BK62" t="n">
        <v>0.07199999999999999</v>
      </c>
      <c r="BL62" t="n">
        <v>-1.101</v>
      </c>
      <c r="BM62" t="n">
        <v>-0.82</v>
      </c>
      <c r="BN62" t="n">
        <v>-0.6</v>
      </c>
      <c r="BO62" t="n">
        <v>0.639</v>
      </c>
      <c r="BP62" t="n">
        <v>15</v>
      </c>
      <c r="BQ62" t="n">
        <v>2</v>
      </c>
      <c r="BR62" t="n">
        <v>1</v>
      </c>
      <c r="BS62" t="n">
        <v>44</v>
      </c>
      <c r="BT62" t="n">
        <v>1.402</v>
      </c>
      <c r="BV62" t="n">
        <v>1</v>
      </c>
      <c r="BW62" t="n">
        <v>1.56</v>
      </c>
      <c r="BX62" t="n">
        <v>0.488</v>
      </c>
      <c r="BY62" t="n">
        <v>1.024</v>
      </c>
      <c r="BZ62" t="n">
        <v>0.033</v>
      </c>
      <c r="CA62" t="n">
        <v>3.124</v>
      </c>
      <c r="CB62" t="n">
        <v>0.1</v>
      </c>
      <c r="CC62" t="n">
        <v>9</v>
      </c>
      <c r="CD62" t="n">
        <v>1</v>
      </c>
      <c r="CE62" t="n">
        <v>9</v>
      </c>
      <c r="CF62" t="n">
        <v>5</v>
      </c>
      <c r="CI62" t="n">
        <v>7.81</v>
      </c>
      <c r="CJ62" t="n">
        <v>7.503</v>
      </c>
      <c r="CK62" t="n">
        <v>257</v>
      </c>
      <c r="CL62" t="n">
        <v>65</v>
      </c>
      <c r="CM62" t="n">
        <v>54</v>
      </c>
      <c r="CN62" t="n">
        <v>35</v>
      </c>
      <c r="CO62" t="n">
        <v>43</v>
      </c>
      <c r="CP62" t="n">
        <v>196</v>
      </c>
      <c r="CQ62" t="n">
        <v>19</v>
      </c>
      <c r="CR62" t="n">
        <v>170</v>
      </c>
      <c r="CS62" t="n">
        <v>107</v>
      </c>
      <c r="CU62" t="n">
        <v>2</v>
      </c>
      <c r="CV62" t="n">
        <v>2</v>
      </c>
      <c r="CW62" t="n">
        <v>41.19</v>
      </c>
      <c r="CX62" t="n">
        <v>1.312</v>
      </c>
      <c r="CY62" t="n">
        <v>0</v>
      </c>
      <c r="DB62" t="n">
        <v>0</v>
      </c>
      <c r="DE62" t="n">
        <v>6.87</v>
      </c>
      <c r="DF62" t="n">
        <v>4</v>
      </c>
      <c r="DG62" t="n">
        <v>0</v>
      </c>
      <c r="DH62" t="n">
        <v>18</v>
      </c>
      <c r="DI62" t="n">
        <v>5</v>
      </c>
      <c r="DL62" t="n">
        <v>4</v>
      </c>
      <c r="DM62" t="n">
        <v>11</v>
      </c>
      <c r="DO62" t="n">
        <v>0.8</v>
      </c>
      <c r="DP62" t="n">
        <v>136.92</v>
      </c>
      <c r="DQ62" t="n">
        <v>68.45999999999999</v>
      </c>
      <c r="DR62" t="n">
        <v>136.92</v>
      </c>
      <c r="DS62" t="n">
        <v>0</v>
      </c>
      <c r="DT62" t="n">
        <v>3283</v>
      </c>
      <c r="DU62" t="n">
        <v>86.40000000000001</v>
      </c>
      <c r="DV62" t="inlineStr">
        <is>
          <t>flat</t>
        </is>
      </c>
      <c r="DW62" t="n">
        <v>94.38</v>
      </c>
      <c r="DX62" t="n">
        <v>100.06</v>
      </c>
      <c r="DY62" t="n">
        <v>91.75</v>
      </c>
      <c r="DZ62" t="n">
        <v>-2.64</v>
      </c>
      <c r="EA62" t="n">
        <v>814</v>
      </c>
      <c r="EB62" t="n">
        <v>16.42</v>
      </c>
      <c r="EC62" t="n">
        <v>17</v>
      </c>
      <c r="ED62" t="n">
        <v>120</v>
      </c>
      <c r="EE62" t="n">
        <v>1526</v>
      </c>
      <c r="EF62" t="b">
        <v>1</v>
      </c>
      <c r="EG62" t="n">
        <v>54.2</v>
      </c>
      <c r="EH62" t="n">
        <v>42.3</v>
      </c>
      <c r="EI62" t="n">
        <v>228</v>
      </c>
      <c r="EJ62" t="n">
        <v>188.3</v>
      </c>
      <c r="EK62" t="n">
        <v>64.2</v>
      </c>
      <c r="EL62" t="n">
        <v>313.9</v>
      </c>
      <c r="EM62" t="n">
        <v>1344.8</v>
      </c>
      <c r="EN62" t="n">
        <v>2759.4</v>
      </c>
      <c r="EO62" t="n">
        <v>904.1</v>
      </c>
      <c r="EP62" t="n">
        <v>22.1</v>
      </c>
    </row>
    <row r="63">
      <c r="A63" t="inlineStr">
        <is>
          <t>Jaidon Anthony</t>
        </is>
      </c>
      <c r="B63" t="inlineStr">
        <is>
          <t>BRE</t>
        </is>
      </c>
      <c r="C63" t="inlineStr">
        <is>
          <t>MID</t>
        </is>
      </c>
      <c r="D63" t="inlineStr">
        <is>
          <t>MID</t>
        </is>
      </c>
      <c r="E63" t="n">
        <v>6</v>
      </c>
      <c r="F63" t="b">
        <v>1</v>
      </c>
      <c r="G63" t="b">
        <v>1</v>
      </c>
      <c r="H63" t="n">
        <v>26.7</v>
      </c>
      <c r="I63" t="inlineStr">
        <is>
          <t>a</t>
        </is>
      </c>
      <c r="L63" t="inlineStr">
        <is>
          <t>p444180</t>
        </is>
      </c>
      <c r="M63" t="n">
        <v>105</v>
      </c>
      <c r="Q63" t="n">
        <v>2717</v>
      </c>
      <c r="R63" t="n">
        <v>37</v>
      </c>
      <c r="S63" t="n">
        <v>32</v>
      </c>
      <c r="T63" t="n">
        <v>30.189</v>
      </c>
      <c r="U63" t="n">
        <v>73.40000000000001</v>
      </c>
      <c r="V63" t="n">
        <v>127</v>
      </c>
      <c r="W63" t="n">
        <v>4.207</v>
      </c>
      <c r="X63" t="n">
        <v>8</v>
      </c>
      <c r="Y63" t="n">
        <v>4</v>
      </c>
      <c r="Z63" t="n">
        <v>2</v>
      </c>
      <c r="AA63" t="n">
        <v>4</v>
      </c>
      <c r="AB63" t="n">
        <v>59</v>
      </c>
      <c r="AC63" t="n">
        <v>6</v>
      </c>
      <c r="AD63" t="n">
        <v>6</v>
      </c>
      <c r="AE63" t="n">
        <v>0</v>
      </c>
      <c r="AF63" t="n">
        <v>513</v>
      </c>
      <c r="AG63" t="n">
        <v>503</v>
      </c>
      <c r="AH63" t="n">
        <v>-10</v>
      </c>
      <c r="AI63" t="n">
        <v>127</v>
      </c>
      <c r="AJ63" t="n">
        <v>0.047</v>
      </c>
      <c r="AK63" t="n">
        <v>0.05</v>
      </c>
      <c r="AL63" t="n">
        <v>232</v>
      </c>
      <c r="AM63" t="n">
        <v>7.685</v>
      </c>
      <c r="AN63" t="n">
        <v>1</v>
      </c>
      <c r="AO63" t="n">
        <v>2</v>
      </c>
      <c r="AP63" t="n">
        <v>0.031</v>
      </c>
      <c r="AQ63" t="n">
        <v>0.25</v>
      </c>
      <c r="AR63" t="n">
        <v>0.031</v>
      </c>
      <c r="AS63" t="n">
        <v>0.842</v>
      </c>
      <c r="AT63" t="n">
        <v>0.8110000000000001</v>
      </c>
      <c r="AU63" t="n">
        <v>24</v>
      </c>
      <c r="AV63" t="n">
        <v>3</v>
      </c>
      <c r="AW63" t="n">
        <v>2.93</v>
      </c>
      <c r="AX63" t="n">
        <v>13</v>
      </c>
      <c r="AY63" t="n">
        <v>5.11</v>
      </c>
      <c r="AZ63" t="n">
        <v>5.564</v>
      </c>
      <c r="BA63" t="n">
        <v>5.337</v>
      </c>
      <c r="BB63" t="n">
        <v>5.564</v>
      </c>
      <c r="BC63" t="n">
        <v>0.169</v>
      </c>
      <c r="BD63" t="n">
        <v>0.184</v>
      </c>
      <c r="BE63" t="n">
        <v>0.177</v>
      </c>
      <c r="BF63" t="n">
        <v>8.199999999999999</v>
      </c>
      <c r="BG63" t="n">
        <v>0.272</v>
      </c>
      <c r="BH63" t="n">
        <v>1.244</v>
      </c>
      <c r="BI63" t="n">
        <v>6.87</v>
      </c>
      <c r="BJ63" t="n">
        <v>6.357</v>
      </c>
      <c r="BK63" t="n">
        <v>0.211</v>
      </c>
      <c r="BL63" t="n">
        <v>2.663</v>
      </c>
      <c r="BM63" t="n">
        <v>3.09</v>
      </c>
      <c r="BN63" t="n">
        <v>-0.2</v>
      </c>
      <c r="BO63" t="n">
        <v>-0.454</v>
      </c>
      <c r="BP63" t="n">
        <v>55</v>
      </c>
      <c r="BQ63" t="n">
        <v>23</v>
      </c>
      <c r="BR63" t="n">
        <v>3</v>
      </c>
      <c r="BS63" t="n">
        <v>108</v>
      </c>
      <c r="BT63" t="n">
        <v>3.577</v>
      </c>
      <c r="BW63" t="n">
        <v>2.85</v>
      </c>
      <c r="BX63" t="n">
        <v>4.374</v>
      </c>
      <c r="BY63" t="n">
        <v>3.612</v>
      </c>
      <c r="BZ63" t="n">
        <v>0.12</v>
      </c>
      <c r="CA63" t="n">
        <v>8.949</v>
      </c>
      <c r="CB63" t="n">
        <v>0.296</v>
      </c>
      <c r="CC63" t="n">
        <v>37</v>
      </c>
      <c r="CD63" t="n">
        <v>6</v>
      </c>
      <c r="CE63" t="n">
        <v>37</v>
      </c>
      <c r="CF63" t="n">
        <v>14</v>
      </c>
      <c r="CG63" t="n">
        <v>2</v>
      </c>
      <c r="CH63" t="n">
        <v>27</v>
      </c>
      <c r="CI63" t="n">
        <v>12.433</v>
      </c>
      <c r="CJ63" t="n">
        <v>5.834</v>
      </c>
      <c r="CK63" t="n">
        <v>49</v>
      </c>
      <c r="CL63" t="n">
        <v>141</v>
      </c>
      <c r="CM63" t="n">
        <v>42</v>
      </c>
      <c r="CN63" t="n">
        <v>22</v>
      </c>
      <c r="CO63" t="n">
        <v>15</v>
      </c>
      <c r="CP63" t="n">
        <v>27</v>
      </c>
      <c r="CQ63" t="n">
        <v>7</v>
      </c>
      <c r="CR63" t="n">
        <v>134</v>
      </c>
      <c r="CS63" t="n">
        <v>12</v>
      </c>
      <c r="CT63" t="n">
        <v>0.8</v>
      </c>
      <c r="CV63" t="n">
        <v>3</v>
      </c>
      <c r="CW63" t="n">
        <v>59</v>
      </c>
      <c r="CX63" t="n">
        <v>1.954</v>
      </c>
      <c r="CY63" t="n">
        <v>0</v>
      </c>
      <c r="DB63" t="n">
        <v>0</v>
      </c>
      <c r="DE63" t="n">
        <v>6.86</v>
      </c>
      <c r="DF63" t="n">
        <v>4</v>
      </c>
      <c r="DG63" t="n">
        <v>0</v>
      </c>
      <c r="DH63" t="n">
        <v>28</v>
      </c>
      <c r="DI63" t="n">
        <v>47</v>
      </c>
      <c r="DJ63" t="n">
        <v>1</v>
      </c>
      <c r="DK63" t="n">
        <v>1</v>
      </c>
      <c r="DL63" t="n">
        <v>36</v>
      </c>
      <c r="DM63" t="n">
        <v>41</v>
      </c>
      <c r="DN63" t="n">
        <v>9</v>
      </c>
      <c r="DO63" t="n">
        <v>0.2</v>
      </c>
      <c r="DP63" t="n">
        <v>41.33</v>
      </c>
      <c r="DQ63" t="n">
        <v>20.7</v>
      </c>
      <c r="DR63" t="n">
        <v>41.4</v>
      </c>
      <c r="DS63" t="n">
        <v>-0.07000000000000001</v>
      </c>
      <c r="DT63" t="n">
        <v>716</v>
      </c>
      <c r="DU63" t="n">
        <v>18.85</v>
      </c>
      <c r="DV63" t="inlineStr">
        <is>
          <t>flat</t>
        </is>
      </c>
      <c r="DW63" t="n">
        <v>86.73</v>
      </c>
      <c r="DX63" t="n">
        <v>88.45</v>
      </c>
      <c r="DY63" t="n">
        <v>86.23999999999999</v>
      </c>
      <c r="DZ63" t="n">
        <v>-0.49</v>
      </c>
      <c r="EA63" t="n">
        <v>78</v>
      </c>
      <c r="EB63" t="n">
        <v>19.24</v>
      </c>
      <c r="EC63" t="n">
        <v>36</v>
      </c>
      <c r="ED63" t="n">
        <v>120</v>
      </c>
      <c r="EE63" t="n">
        <v>129</v>
      </c>
      <c r="EF63" t="b">
        <v>1</v>
      </c>
      <c r="EG63" t="n">
        <v>3.1</v>
      </c>
      <c r="EH63" t="n">
        <v>13.4</v>
      </c>
      <c r="EI63" t="n">
        <v>108</v>
      </c>
      <c r="EJ63" t="n">
        <v>49.4</v>
      </c>
      <c r="EK63" t="n">
        <v>25.2</v>
      </c>
      <c r="EL63" t="n">
        <v>73.40000000000001</v>
      </c>
      <c r="EM63" t="n">
        <v>509.1</v>
      </c>
      <c r="EN63" t="n">
        <v>752.2</v>
      </c>
      <c r="EO63" t="n">
        <v>303.6</v>
      </c>
      <c r="EP63" t="n">
        <v>21.4</v>
      </c>
    </row>
    <row r="64">
      <c r="A64" t="inlineStr">
        <is>
          <t>Malick Thiaw</t>
        </is>
      </c>
      <c r="B64" t="inlineStr">
        <is>
          <t>NEW</t>
        </is>
      </c>
      <c r="C64" t="inlineStr">
        <is>
          <t>DEF</t>
        </is>
      </c>
      <c r="D64" t="inlineStr">
        <is>
          <t>DEF</t>
        </is>
      </c>
      <c r="E64" t="n">
        <v>5</v>
      </c>
      <c r="F64" t="b">
        <v>1</v>
      </c>
      <c r="G64" t="b">
        <v>1</v>
      </c>
      <c r="H64" t="n">
        <v>25</v>
      </c>
      <c r="I64" t="inlineStr">
        <is>
          <t>a</t>
        </is>
      </c>
      <c r="L64" t="inlineStr">
        <is>
          <t>p465642</t>
        </is>
      </c>
      <c r="M64" t="n">
        <v>445</v>
      </c>
      <c r="Q64" t="n">
        <v>2963</v>
      </c>
      <c r="R64" t="n">
        <v>35</v>
      </c>
      <c r="S64" t="n">
        <v>33</v>
      </c>
      <c r="T64" t="n">
        <v>32.922</v>
      </c>
      <c r="U64" t="n">
        <v>84.7</v>
      </c>
      <c r="V64" t="n">
        <v>126</v>
      </c>
      <c r="W64" t="n">
        <v>3.827</v>
      </c>
      <c r="X64" t="n">
        <v>4</v>
      </c>
      <c r="Y64" t="n">
        <v>0</v>
      </c>
      <c r="AA64" t="n">
        <v>5</v>
      </c>
      <c r="AB64" t="n">
        <v>52</v>
      </c>
      <c r="AC64" t="n">
        <v>12</v>
      </c>
      <c r="AD64" t="n">
        <v>9</v>
      </c>
      <c r="AE64" t="n">
        <v>-3</v>
      </c>
      <c r="AF64" t="n">
        <v>436</v>
      </c>
      <c r="AG64" t="n">
        <v>394</v>
      </c>
      <c r="AH64" t="n">
        <v>-42</v>
      </c>
      <c r="AI64" t="n">
        <v>123</v>
      </c>
      <c r="AJ64" t="n">
        <v>0.095</v>
      </c>
      <c r="AK64" t="n">
        <v>0.105</v>
      </c>
      <c r="AL64" t="n">
        <v>292</v>
      </c>
      <c r="AM64" t="n">
        <v>8.869</v>
      </c>
      <c r="AN64" t="n">
        <v>12</v>
      </c>
      <c r="AO64" t="n">
        <v>24</v>
      </c>
      <c r="AP64" t="n">
        <v>0.364</v>
      </c>
      <c r="AQ64" t="n">
        <v>0.364</v>
      </c>
      <c r="AR64" t="n">
        <v>0.182</v>
      </c>
      <c r="AS64" t="n">
        <v>0.868</v>
      </c>
      <c r="AT64" t="n">
        <v>0.914</v>
      </c>
      <c r="AU64" t="n">
        <v>21</v>
      </c>
      <c r="AV64" t="n">
        <v>3</v>
      </c>
      <c r="AW64" t="n">
        <v>4.19</v>
      </c>
      <c r="AX64" t="n">
        <v>17</v>
      </c>
      <c r="AY64" t="n">
        <v>4.8</v>
      </c>
      <c r="AZ64" t="n">
        <v>5.898</v>
      </c>
      <c r="BA64" t="n">
        <v>5.349</v>
      </c>
      <c r="BB64" t="n">
        <v>5.898</v>
      </c>
      <c r="BC64" t="n">
        <v>0.146</v>
      </c>
      <c r="BD64" t="n">
        <v>0.179</v>
      </c>
      <c r="BE64" t="n">
        <v>0.162</v>
      </c>
      <c r="BF64" t="n">
        <v>5.3</v>
      </c>
      <c r="BG64" t="n">
        <v>0.161</v>
      </c>
      <c r="BH64" t="n">
        <v>1.039</v>
      </c>
      <c r="BI64" t="n">
        <v>4.8</v>
      </c>
      <c r="BJ64" t="n">
        <v>4.988</v>
      </c>
      <c r="BK64" t="n">
        <v>0.152</v>
      </c>
      <c r="BL64" t="n">
        <v>-1.349</v>
      </c>
      <c r="BM64" t="n">
        <v>0.5</v>
      </c>
      <c r="BN64" t="n">
        <v>-1.3</v>
      </c>
      <c r="BO64" t="n">
        <v>-1.098</v>
      </c>
      <c r="BP64" t="n">
        <v>28</v>
      </c>
      <c r="BQ64" t="n">
        <v>14</v>
      </c>
      <c r="BR64" t="n">
        <v>6</v>
      </c>
      <c r="BS64" t="n">
        <v>50</v>
      </c>
      <c r="BT64" t="n">
        <v>1.519</v>
      </c>
      <c r="BV64" t="n">
        <v>2</v>
      </c>
      <c r="BW64" t="n">
        <v>0.96</v>
      </c>
      <c r="BX64" t="n">
        <v>0.827</v>
      </c>
      <c r="BY64" t="n">
        <v>0.893</v>
      </c>
      <c r="BZ64" t="n">
        <v>0.027</v>
      </c>
      <c r="CA64" t="n">
        <v>6.242</v>
      </c>
      <c r="CB64" t="n">
        <v>0.19</v>
      </c>
      <c r="CC64" t="n">
        <v>6</v>
      </c>
      <c r="CD64" t="n">
        <v>1</v>
      </c>
      <c r="CE64" t="n">
        <v>6</v>
      </c>
      <c r="CF64" t="n">
        <v>1</v>
      </c>
      <c r="CI64" t="n">
        <v>9.148</v>
      </c>
      <c r="CJ64" t="n">
        <v>8.645</v>
      </c>
      <c r="CK64" t="n">
        <v>248</v>
      </c>
      <c r="CL64" t="n">
        <v>118</v>
      </c>
      <c r="CM64" t="n">
        <v>44</v>
      </c>
      <c r="CN64" t="n">
        <v>32</v>
      </c>
      <c r="CO64" t="n">
        <v>31</v>
      </c>
      <c r="CP64" t="n">
        <v>184</v>
      </c>
      <c r="CQ64" t="n">
        <v>33</v>
      </c>
      <c r="CR64" t="n">
        <v>176</v>
      </c>
      <c r="CS64" t="n">
        <v>114</v>
      </c>
      <c r="CU64" t="n">
        <v>2</v>
      </c>
      <c r="CV64" t="n">
        <v>4</v>
      </c>
      <c r="CW64" t="n">
        <v>49.21</v>
      </c>
      <c r="CX64" t="n">
        <v>1.495</v>
      </c>
      <c r="CY64" t="n">
        <v>0</v>
      </c>
      <c r="DB64" t="n">
        <v>0</v>
      </c>
      <c r="DD64" t="n">
        <v>0</v>
      </c>
      <c r="DE64" t="n">
        <v>7.03</v>
      </c>
      <c r="DF64" t="n">
        <v>4</v>
      </c>
      <c r="DG64" t="n">
        <v>0</v>
      </c>
      <c r="DH64" t="n">
        <v>24</v>
      </c>
      <c r="DI64" t="n">
        <v>11</v>
      </c>
      <c r="DK64" t="n">
        <v>1</v>
      </c>
      <c r="DL64" t="n">
        <v>8</v>
      </c>
      <c r="DM64" t="n">
        <v>3</v>
      </c>
      <c r="DN64" t="n">
        <v>2</v>
      </c>
      <c r="DO64" t="n">
        <v>2</v>
      </c>
      <c r="DP64" t="n">
        <v>133.59</v>
      </c>
      <c r="DQ64" t="n">
        <v>66.8</v>
      </c>
      <c r="DR64" t="n">
        <v>133.6</v>
      </c>
      <c r="DS64" t="n">
        <v>-0.01</v>
      </c>
      <c r="DT64" t="n">
        <v>3243</v>
      </c>
      <c r="DU64" t="n">
        <v>85.34999999999999</v>
      </c>
      <c r="DV64" t="inlineStr">
        <is>
          <t>flat</t>
        </is>
      </c>
      <c r="DW64" t="n">
        <v>92.34</v>
      </c>
      <c r="DX64" t="n">
        <v>98.56</v>
      </c>
      <c r="DY64" t="n">
        <v>89.28</v>
      </c>
      <c r="DZ64" t="n">
        <v>-3.06</v>
      </c>
      <c r="EA64" t="n">
        <v>956</v>
      </c>
      <c r="EB64" t="n">
        <v>17.89</v>
      </c>
      <c r="EC64" t="n">
        <v>22.4</v>
      </c>
      <c r="ED64" t="n">
        <v>120</v>
      </c>
      <c r="EE64" t="n">
        <v>1817</v>
      </c>
      <c r="EF64" t="b">
        <v>1</v>
      </c>
      <c r="EG64" t="n">
        <v>55.8</v>
      </c>
      <c r="EH64" t="n">
        <v>33.2</v>
      </c>
      <c r="EI64" t="n">
        <v>230</v>
      </c>
      <c r="EJ64" t="n">
        <v>105.8</v>
      </c>
      <c r="EK64" t="n">
        <v>59.3</v>
      </c>
      <c r="EL64" t="n">
        <v>493.8</v>
      </c>
      <c r="EM64" t="n">
        <v>553.9</v>
      </c>
      <c r="EN64" t="n">
        <v>3316.4</v>
      </c>
      <c r="EO64" t="n">
        <v>474.7</v>
      </c>
      <c r="EP64" t="n">
        <v>23.5</v>
      </c>
    </row>
    <row r="65">
      <c r="A65" t="inlineStr">
        <is>
          <t>Brenden Aaronson</t>
        </is>
      </c>
      <c r="B65" t="inlineStr">
        <is>
          <t>LEE</t>
        </is>
      </c>
      <c r="C65" t="inlineStr">
        <is>
          <t>MID</t>
        </is>
      </c>
      <c r="D65" t="inlineStr">
        <is>
          <t>MID</t>
        </is>
      </c>
      <c r="E65" t="n">
        <v>5.5</v>
      </c>
      <c r="F65" t="b">
        <v>1</v>
      </c>
      <c r="G65" t="b">
        <v>1</v>
      </c>
      <c r="H65" t="n">
        <v>25.8</v>
      </c>
      <c r="I65" t="inlineStr">
        <is>
          <t>a</t>
        </is>
      </c>
      <c r="L65" t="inlineStr">
        <is>
          <t>p427637</t>
        </is>
      </c>
      <c r="M65" t="n">
        <v>337</v>
      </c>
      <c r="P65" t="n">
        <v>3</v>
      </c>
      <c r="Q65" t="n">
        <v>2449</v>
      </c>
      <c r="R65" t="n">
        <v>37</v>
      </c>
      <c r="S65" t="n">
        <v>30</v>
      </c>
      <c r="T65" t="n">
        <v>27.211</v>
      </c>
      <c r="U65" t="n">
        <v>66.2</v>
      </c>
      <c r="V65" t="n">
        <v>126</v>
      </c>
      <c r="W65" t="n">
        <v>4.63</v>
      </c>
      <c r="X65" t="n">
        <v>4</v>
      </c>
      <c r="Y65" t="n">
        <v>8</v>
      </c>
      <c r="Z65" t="n">
        <v>5</v>
      </c>
      <c r="AA65" t="n">
        <v>9</v>
      </c>
      <c r="AB65" t="n">
        <v>32</v>
      </c>
      <c r="AC65" t="n">
        <v>5</v>
      </c>
      <c r="AD65" t="n">
        <v>6</v>
      </c>
      <c r="AE65" t="n">
        <v>1</v>
      </c>
      <c r="AF65" t="n">
        <v>446</v>
      </c>
      <c r="AG65" t="n">
        <v>436</v>
      </c>
      <c r="AH65" t="n">
        <v>-10</v>
      </c>
      <c r="AI65" t="n">
        <v>127</v>
      </c>
      <c r="AJ65" t="n">
        <v>0.04</v>
      </c>
      <c r="AK65" t="n">
        <v>0.041</v>
      </c>
      <c r="AL65" t="n">
        <v>216</v>
      </c>
      <c r="AM65" t="n">
        <v>7.938</v>
      </c>
      <c r="AN65" t="n">
        <v>3</v>
      </c>
      <c r="AO65" t="n">
        <v>6</v>
      </c>
      <c r="AP65" t="n">
        <v>0.1</v>
      </c>
      <c r="AQ65" t="n">
        <v>0.167</v>
      </c>
      <c r="AR65" t="n">
        <v>0.1</v>
      </c>
      <c r="AS65" t="n">
        <v>0.789</v>
      </c>
      <c r="AT65" t="n">
        <v>0.757</v>
      </c>
      <c r="AU65" t="n">
        <v>19</v>
      </c>
      <c r="AV65" t="n">
        <v>2</v>
      </c>
      <c r="AW65" t="n">
        <v>2.85</v>
      </c>
      <c r="AX65" t="n">
        <v>14</v>
      </c>
      <c r="AY65" t="n">
        <v>4.53</v>
      </c>
      <c r="AZ65" t="n">
        <v>5.881</v>
      </c>
      <c r="BA65" t="n">
        <v>5.206</v>
      </c>
      <c r="BB65" t="n">
        <v>5.881</v>
      </c>
      <c r="BC65" t="n">
        <v>0.166</v>
      </c>
      <c r="BD65" t="n">
        <v>0.216</v>
      </c>
      <c r="BE65" t="n">
        <v>0.191</v>
      </c>
      <c r="BF65" t="n">
        <v>4.5</v>
      </c>
      <c r="BG65" t="n">
        <v>0.165</v>
      </c>
      <c r="BH65" t="n">
        <v>0.957</v>
      </c>
      <c r="BI65" t="n">
        <v>8.51</v>
      </c>
      <c r="BJ65" t="n">
        <v>4.335</v>
      </c>
      <c r="BK65" t="n">
        <v>0.159</v>
      </c>
      <c r="BL65" t="n">
        <v>-1.206</v>
      </c>
      <c r="BM65" t="n">
        <v>-0.03</v>
      </c>
      <c r="BN65" t="n">
        <v>-0.5</v>
      </c>
      <c r="BO65" t="n">
        <v>-1.351</v>
      </c>
      <c r="BP65" t="n">
        <v>47</v>
      </c>
      <c r="BQ65" t="n">
        <v>17</v>
      </c>
      <c r="BR65" t="n">
        <v>4</v>
      </c>
      <c r="BS65" t="n">
        <v>98</v>
      </c>
      <c r="BT65" t="n">
        <v>3.601</v>
      </c>
      <c r="BW65" t="n">
        <v>3.6</v>
      </c>
      <c r="BX65" t="n">
        <v>5.663</v>
      </c>
      <c r="BY65" t="n">
        <v>4.631</v>
      </c>
      <c r="BZ65" t="n">
        <v>0.17</v>
      </c>
      <c r="CA65" t="n">
        <v>9.837</v>
      </c>
      <c r="CB65" t="n">
        <v>0.362</v>
      </c>
      <c r="CC65" t="n">
        <v>34</v>
      </c>
      <c r="CD65" t="n">
        <v>9</v>
      </c>
      <c r="CE65" t="n">
        <v>34</v>
      </c>
      <c r="CF65" t="n">
        <v>10</v>
      </c>
      <c r="CG65" t="n">
        <v>3</v>
      </c>
      <c r="CH65" t="n">
        <v>0</v>
      </c>
      <c r="CI65" t="n">
        <v>13.204</v>
      </c>
      <c r="CJ65" t="n">
        <v>3.488</v>
      </c>
      <c r="CK65" t="n">
        <v>36</v>
      </c>
      <c r="CL65" t="n">
        <v>130</v>
      </c>
      <c r="CM65" t="n">
        <v>50</v>
      </c>
      <c r="CN65" t="n">
        <v>25</v>
      </c>
      <c r="CO65" t="n">
        <v>15</v>
      </c>
      <c r="CP65" t="n">
        <v>17</v>
      </c>
      <c r="CQ65" t="n">
        <v>4</v>
      </c>
      <c r="CR65" t="n">
        <v>156</v>
      </c>
      <c r="CS65" t="n">
        <v>24</v>
      </c>
      <c r="CT65" t="n">
        <v>0.6</v>
      </c>
      <c r="CW65" t="n">
        <v>37.07</v>
      </c>
      <c r="CX65" t="n">
        <v>1.362</v>
      </c>
      <c r="CY65" t="n">
        <v>0</v>
      </c>
      <c r="DB65" t="n">
        <v>0</v>
      </c>
      <c r="DE65" t="n">
        <v>6.69</v>
      </c>
      <c r="DF65" t="n">
        <v>3</v>
      </c>
      <c r="DG65" t="n">
        <v>0</v>
      </c>
      <c r="DH65" t="n">
        <v>20</v>
      </c>
      <c r="DI65" t="n">
        <v>51</v>
      </c>
      <c r="DK65" t="n">
        <v>1</v>
      </c>
      <c r="DL65" t="n">
        <v>31</v>
      </c>
      <c r="DM65" t="n">
        <v>74</v>
      </c>
      <c r="DN65" t="n">
        <v>5</v>
      </c>
      <c r="DO65" t="n">
        <v>0.9</v>
      </c>
      <c r="DP65" t="n">
        <v>53.67</v>
      </c>
      <c r="DQ65" t="n">
        <v>26.99</v>
      </c>
      <c r="DR65" t="n">
        <v>53.98</v>
      </c>
      <c r="DS65" t="n">
        <v>-0.31</v>
      </c>
      <c r="DT65" t="n">
        <v>1035</v>
      </c>
      <c r="DU65" t="n">
        <v>27.24</v>
      </c>
      <c r="DV65" t="inlineStr">
        <is>
          <t>flat</t>
        </is>
      </c>
      <c r="DW65" t="n">
        <v>84.48</v>
      </c>
      <c r="DX65" t="n">
        <v>83.78</v>
      </c>
      <c r="DY65" t="n">
        <v>82.09999999999999</v>
      </c>
      <c r="DZ65" t="n">
        <v>-2.38</v>
      </c>
      <c r="EA65" t="n">
        <v>122</v>
      </c>
      <c r="EB65" t="n">
        <v>20.59</v>
      </c>
      <c r="EC65" t="n">
        <v>18</v>
      </c>
      <c r="ED65" t="n">
        <v>120</v>
      </c>
      <c r="EE65" t="n">
        <v>196</v>
      </c>
      <c r="EF65" t="b">
        <v>1</v>
      </c>
      <c r="EG65" t="n">
        <v>4.5</v>
      </c>
      <c r="EH65" t="n">
        <v>10.9</v>
      </c>
      <c r="EI65" t="n">
        <v>120</v>
      </c>
      <c r="EJ65" t="n">
        <v>52.1</v>
      </c>
      <c r="EK65" t="n">
        <v>25</v>
      </c>
      <c r="EL65" t="n">
        <v>72</v>
      </c>
      <c r="EM65" t="n">
        <v>470.5</v>
      </c>
      <c r="EN65" t="n">
        <v>528.8</v>
      </c>
      <c r="EO65" t="n">
        <v>249</v>
      </c>
      <c r="EP65" t="n">
        <v>19.4</v>
      </c>
    </row>
    <row r="66">
      <c r="A66" t="inlineStr">
        <is>
          <t>Danny Welbeck</t>
        </is>
      </c>
      <c r="B66" t="inlineStr">
        <is>
          <t>CHE</t>
        </is>
      </c>
      <c r="C66" t="inlineStr">
        <is>
          <t>FWD</t>
        </is>
      </c>
      <c r="D66" t="inlineStr">
        <is>
          <t>FWD</t>
        </is>
      </c>
      <c r="E66" t="n">
        <v>6</v>
      </c>
      <c r="F66" t="b">
        <v>1</v>
      </c>
      <c r="G66" t="b">
        <v>1</v>
      </c>
      <c r="H66" t="n">
        <v>35.7</v>
      </c>
      <c r="I66" t="inlineStr">
        <is>
          <t>a</t>
        </is>
      </c>
      <c r="L66" t="inlineStr">
        <is>
          <t>p50175</t>
        </is>
      </c>
      <c r="M66" t="n">
        <v>136</v>
      </c>
      <c r="Q66" t="n">
        <v>2249</v>
      </c>
      <c r="R66" t="n">
        <v>37</v>
      </c>
      <c r="S66" t="n">
        <v>26</v>
      </c>
      <c r="T66" t="n">
        <v>24.989</v>
      </c>
      <c r="U66" t="n">
        <v>60.8</v>
      </c>
      <c r="V66" t="n">
        <v>126</v>
      </c>
      <c r="W66" t="n">
        <v>5.042</v>
      </c>
      <c r="X66" t="n">
        <v>13</v>
      </c>
      <c r="Y66" t="n">
        <v>1</v>
      </c>
      <c r="Z66" t="n">
        <v>1</v>
      </c>
      <c r="AA66" t="n">
        <v>10</v>
      </c>
      <c r="AB66" t="n">
        <v>28</v>
      </c>
      <c r="AC66" t="n">
        <v>18</v>
      </c>
      <c r="AD66" t="n">
        <v>18</v>
      </c>
      <c r="AE66" t="n">
        <v>0</v>
      </c>
      <c r="AF66" t="n">
        <v>511</v>
      </c>
      <c r="AG66" t="n">
        <v>500</v>
      </c>
      <c r="AH66" t="n">
        <v>-11</v>
      </c>
      <c r="AI66" t="n">
        <v>126</v>
      </c>
      <c r="AJ66" t="n">
        <v>0.143</v>
      </c>
      <c r="AK66" t="n">
        <v>0.167</v>
      </c>
      <c r="AL66" t="n">
        <v>112</v>
      </c>
      <c r="AM66" t="n">
        <v>4.482</v>
      </c>
      <c r="AN66" t="n">
        <v>0</v>
      </c>
      <c r="AO66" t="n">
        <v>0</v>
      </c>
      <c r="AP66" t="n">
        <v>0</v>
      </c>
      <c r="AQ66" t="n">
        <v>0</v>
      </c>
      <c r="AR66" t="n">
        <v>0</v>
      </c>
      <c r="AS66" t="n">
        <v>0.6840000000000001</v>
      </c>
      <c r="AT66" t="n">
        <v>0.676</v>
      </c>
      <c r="AU66" t="n">
        <v>26</v>
      </c>
      <c r="AV66" t="n">
        <v>3</v>
      </c>
      <c r="AW66" t="n">
        <v>3.48</v>
      </c>
      <c r="AX66" t="n">
        <v>13</v>
      </c>
      <c r="AY66" t="n">
        <v>12.36</v>
      </c>
      <c r="AZ66" t="n">
        <v>12.719</v>
      </c>
      <c r="BA66" t="n">
        <v>12.539</v>
      </c>
      <c r="BB66" t="n">
        <v>10.435</v>
      </c>
      <c r="BC66" t="n">
        <v>0.495</v>
      </c>
      <c r="BD66" t="n">
        <v>0.509</v>
      </c>
      <c r="BE66" t="n">
        <v>0.502</v>
      </c>
      <c r="BF66" t="n">
        <v>11.9</v>
      </c>
      <c r="BG66" t="n">
        <v>0.476</v>
      </c>
      <c r="BH66" t="n">
        <v>0.986</v>
      </c>
      <c r="BI66" t="n">
        <v>35.62</v>
      </c>
      <c r="BJ66" t="n">
        <v>12.184</v>
      </c>
      <c r="BK66" t="n">
        <v>0.488</v>
      </c>
      <c r="BL66" t="n">
        <v>0.461</v>
      </c>
      <c r="BM66" t="n">
        <v>-0.46</v>
      </c>
      <c r="BN66" t="n">
        <v>1.1</v>
      </c>
      <c r="BO66" t="n">
        <v>-0.359</v>
      </c>
      <c r="BP66" t="n">
        <v>56</v>
      </c>
      <c r="BQ66" t="n">
        <v>28</v>
      </c>
      <c r="BR66" t="n">
        <v>11</v>
      </c>
      <c r="BS66" t="n">
        <v>114</v>
      </c>
      <c r="BT66" t="n">
        <v>4.562</v>
      </c>
      <c r="BU66" t="n">
        <v>1</v>
      </c>
      <c r="BV66" t="n">
        <v>2</v>
      </c>
      <c r="BW66" t="n">
        <v>1.4</v>
      </c>
      <c r="BX66" t="n">
        <v>2.263</v>
      </c>
      <c r="BY66" t="n">
        <v>1.831</v>
      </c>
      <c r="BZ66" t="n">
        <v>0.073</v>
      </c>
      <c r="CA66" t="n">
        <v>14.371</v>
      </c>
      <c r="CB66" t="n">
        <v>0.575</v>
      </c>
      <c r="CC66" t="n">
        <v>20</v>
      </c>
      <c r="CD66" t="n">
        <v>4</v>
      </c>
      <c r="CE66" t="n">
        <v>20</v>
      </c>
      <c r="CF66" t="n">
        <v>0</v>
      </c>
      <c r="CG66" t="n">
        <v>3</v>
      </c>
      <c r="CH66" t="n">
        <v>0</v>
      </c>
      <c r="CI66" t="n">
        <v>14.985</v>
      </c>
      <c r="CJ66" t="n">
        <v>4.797</v>
      </c>
      <c r="CK66" t="n">
        <v>39</v>
      </c>
      <c r="CL66" t="n">
        <v>49</v>
      </c>
      <c r="CM66" t="n">
        <v>24</v>
      </c>
      <c r="CN66" t="n">
        <v>14</v>
      </c>
      <c r="CO66" t="n">
        <v>9</v>
      </c>
      <c r="CP66" t="n">
        <v>30</v>
      </c>
      <c r="CQ66" t="n">
        <v>0</v>
      </c>
      <c r="CR66" t="n">
        <v>64</v>
      </c>
      <c r="CS66" t="n">
        <v>19</v>
      </c>
      <c r="CT66" t="n">
        <v>0.6</v>
      </c>
      <c r="CU66" t="n">
        <v>1</v>
      </c>
      <c r="CV66" t="n">
        <v>1</v>
      </c>
      <c r="CW66" t="n">
        <v>31.68</v>
      </c>
      <c r="CX66" t="n">
        <v>1.268</v>
      </c>
      <c r="CY66" t="n">
        <v>0</v>
      </c>
      <c r="DB66" t="n">
        <v>0</v>
      </c>
      <c r="DE66" t="n">
        <v>6.79</v>
      </c>
      <c r="DF66" t="n">
        <v>5</v>
      </c>
      <c r="DG66" t="n">
        <v>0</v>
      </c>
      <c r="DH66" t="n">
        <v>30</v>
      </c>
      <c r="DI66" t="n">
        <v>10</v>
      </c>
      <c r="DL66" t="n">
        <v>11</v>
      </c>
      <c r="DM66" t="n">
        <v>20</v>
      </c>
      <c r="DN66" t="n">
        <v>5</v>
      </c>
      <c r="DO66" t="n">
        <v>2.5</v>
      </c>
      <c r="DP66" t="n">
        <v>57.91</v>
      </c>
      <c r="DQ66" t="n">
        <v>28.98</v>
      </c>
      <c r="DR66" t="n">
        <v>57.96</v>
      </c>
      <c r="DS66" t="n">
        <v>-0.05</v>
      </c>
      <c r="DT66" t="n">
        <v>586</v>
      </c>
      <c r="DU66" t="n">
        <v>15.42</v>
      </c>
      <c r="DV66" t="inlineStr">
        <is>
          <t>flat</t>
        </is>
      </c>
      <c r="DW66" t="n">
        <v>67.34</v>
      </c>
      <c r="DX66" t="n">
        <v>66.06999999999999</v>
      </c>
      <c r="DY66" t="n">
        <v>67.08</v>
      </c>
      <c r="DZ66" t="n">
        <v>-0.26</v>
      </c>
      <c r="EA66" t="n">
        <v>987</v>
      </c>
      <c r="EB66" t="n">
        <v>25.96</v>
      </c>
      <c r="EC66" t="n">
        <v>2</v>
      </c>
      <c r="ED66" t="n">
        <v>120</v>
      </c>
      <c r="EE66" t="n">
        <v>1747</v>
      </c>
      <c r="EF66" t="b">
        <v>1</v>
      </c>
      <c r="EG66" t="n">
        <v>82.5</v>
      </c>
      <c r="EH66" t="n">
        <v>56.6</v>
      </c>
      <c r="EI66" t="n">
        <v>72</v>
      </c>
      <c r="EJ66" t="n">
        <v>40.2</v>
      </c>
      <c r="EK66" t="n">
        <v>19.7</v>
      </c>
      <c r="EL66" t="n">
        <v>112.4</v>
      </c>
      <c r="EM66" t="n">
        <v>179.4</v>
      </c>
      <c r="EN66" t="n">
        <v>1228.1</v>
      </c>
      <c r="EO66" t="n">
        <v>156.5</v>
      </c>
      <c r="EP66" t="n">
        <v>17.8</v>
      </c>
    </row>
    <row r="67">
      <c r="A67" t="inlineStr">
        <is>
          <t>Florian Wirtz</t>
        </is>
      </c>
      <c r="B67" t="inlineStr">
        <is>
          <t>LIV</t>
        </is>
      </c>
      <c r="C67" t="inlineStr">
        <is>
          <t>MID</t>
        </is>
      </c>
      <c r="D67" t="inlineStr">
        <is>
          <t>MID</t>
        </is>
      </c>
      <c r="E67" t="n">
        <v>7.5</v>
      </c>
      <c r="F67" t="b">
        <v>1</v>
      </c>
      <c r="G67" t="b">
        <v>1</v>
      </c>
      <c r="H67" t="n">
        <v>23.3</v>
      </c>
      <c r="I67" t="inlineStr">
        <is>
          <t>a</t>
        </is>
      </c>
      <c r="L67" t="inlineStr">
        <is>
          <t>p494595</t>
        </is>
      </c>
      <c r="M67" t="n">
        <v>366</v>
      </c>
      <c r="N67" t="n">
        <v>4</v>
      </c>
      <c r="O67" t="n">
        <v>3</v>
      </c>
      <c r="P67" t="n">
        <v>2</v>
      </c>
      <c r="Q67" t="n">
        <v>2374</v>
      </c>
      <c r="R67" t="n">
        <v>33</v>
      </c>
      <c r="S67" t="n">
        <v>27</v>
      </c>
      <c r="T67" t="n">
        <v>26.378</v>
      </c>
      <c r="U67" t="n">
        <v>71.90000000000001</v>
      </c>
      <c r="V67" t="n">
        <v>125</v>
      </c>
      <c r="W67" t="n">
        <v>4.739</v>
      </c>
      <c r="X67" t="n">
        <v>5</v>
      </c>
      <c r="Y67" t="n">
        <v>4</v>
      </c>
      <c r="Z67" t="n">
        <v>3</v>
      </c>
      <c r="AA67" t="n">
        <v>10</v>
      </c>
      <c r="AB67" t="n">
        <v>32</v>
      </c>
      <c r="AC67" t="n">
        <v>17</v>
      </c>
      <c r="AD67" t="n">
        <v>17</v>
      </c>
      <c r="AE67" t="n">
        <v>0</v>
      </c>
      <c r="AF67" t="n">
        <v>521</v>
      </c>
      <c r="AG67" t="n">
        <v>516</v>
      </c>
      <c r="AH67" t="n">
        <v>-5</v>
      </c>
      <c r="AI67" t="n">
        <v>125</v>
      </c>
      <c r="AJ67" t="n">
        <v>0.136</v>
      </c>
      <c r="AK67" t="n">
        <v>0.157</v>
      </c>
      <c r="AL67" t="n">
        <v>176</v>
      </c>
      <c r="AM67" t="n">
        <v>6.672</v>
      </c>
      <c r="AN67" t="n">
        <v>1</v>
      </c>
      <c r="AO67" t="n">
        <v>2</v>
      </c>
      <c r="AP67" t="n">
        <v>0.037</v>
      </c>
      <c r="AQ67" t="n">
        <v>0.074</v>
      </c>
      <c r="AR67" t="n">
        <v>0.037</v>
      </c>
      <c r="AS67" t="n">
        <v>0.711</v>
      </c>
      <c r="AT67" t="n">
        <v>0.8179999999999999</v>
      </c>
      <c r="AU67" t="n">
        <v>16</v>
      </c>
      <c r="AV67" t="n">
        <v>4</v>
      </c>
      <c r="AW67" t="n">
        <v>3.24</v>
      </c>
      <c r="AX67" t="n">
        <v>12</v>
      </c>
      <c r="AY67" t="n">
        <v>6.83</v>
      </c>
      <c r="AZ67" t="n">
        <v>7.577</v>
      </c>
      <c r="BA67" t="n">
        <v>7.203</v>
      </c>
      <c r="BB67" t="n">
        <v>7.577</v>
      </c>
      <c r="BC67" t="n">
        <v>0.259</v>
      </c>
      <c r="BD67" t="n">
        <v>0.287</v>
      </c>
      <c r="BE67" t="n">
        <v>0.273</v>
      </c>
      <c r="BF67" t="n">
        <v>6.5</v>
      </c>
      <c r="BG67" t="n">
        <v>0.246</v>
      </c>
      <c r="BH67" t="n">
        <v>0.978</v>
      </c>
      <c r="BI67" t="n">
        <v>6.83</v>
      </c>
      <c r="BJ67" t="n">
        <v>6.678</v>
      </c>
      <c r="BK67" t="n">
        <v>0.253</v>
      </c>
      <c r="BL67" t="n">
        <v>-2.203</v>
      </c>
      <c r="BM67" t="n">
        <v>-0.33</v>
      </c>
      <c r="BN67" t="n">
        <v>-1.5</v>
      </c>
      <c r="BO67" t="n">
        <v>-0.747</v>
      </c>
      <c r="BP67" t="n">
        <v>51</v>
      </c>
      <c r="BQ67" t="n">
        <v>18</v>
      </c>
      <c r="BR67" t="n">
        <v>8</v>
      </c>
      <c r="BS67" t="n">
        <v>161</v>
      </c>
      <c r="BT67" t="n">
        <v>6.104</v>
      </c>
      <c r="BW67" t="n">
        <v>5.14</v>
      </c>
      <c r="BX67" t="n">
        <v>5.384</v>
      </c>
      <c r="BY67" t="n">
        <v>5.262</v>
      </c>
      <c r="BZ67" t="n">
        <v>0.199</v>
      </c>
      <c r="CA67" t="n">
        <v>12.466</v>
      </c>
      <c r="CB67" t="n">
        <v>0.473</v>
      </c>
      <c r="CC67" t="n">
        <v>60</v>
      </c>
      <c r="CD67" t="n">
        <v>5</v>
      </c>
      <c r="CE67" t="n">
        <v>60</v>
      </c>
      <c r="CF67" t="n">
        <v>5</v>
      </c>
      <c r="CG67" t="n">
        <v>6</v>
      </c>
      <c r="CH67" t="n">
        <v>20</v>
      </c>
      <c r="CI67" t="n">
        <v>20.642</v>
      </c>
      <c r="CJ67" t="n">
        <v>10.743</v>
      </c>
      <c r="CK67" t="n">
        <v>26</v>
      </c>
      <c r="CL67" t="n">
        <v>116</v>
      </c>
      <c r="CM67" t="n">
        <v>34</v>
      </c>
      <c r="CN67" t="n">
        <v>26</v>
      </c>
      <c r="CO67" t="n">
        <v>11</v>
      </c>
      <c r="CP67" t="n">
        <v>13</v>
      </c>
      <c r="CQ67" t="n">
        <v>2</v>
      </c>
      <c r="CR67" t="n">
        <v>99</v>
      </c>
      <c r="CS67" t="n">
        <v>7</v>
      </c>
      <c r="CT67" t="n">
        <v>0.8</v>
      </c>
      <c r="CV67" t="n">
        <v>1</v>
      </c>
      <c r="CW67" t="n">
        <v>33.99</v>
      </c>
      <c r="CX67" t="n">
        <v>1.289</v>
      </c>
      <c r="CY67" t="n">
        <v>0</v>
      </c>
      <c r="DB67" t="n">
        <v>0</v>
      </c>
      <c r="DE67" t="n">
        <v>7.16</v>
      </c>
      <c r="DF67" t="n">
        <v>1</v>
      </c>
      <c r="DG67" t="n">
        <v>0</v>
      </c>
      <c r="DH67" t="n">
        <v>22</v>
      </c>
      <c r="DI67" t="n">
        <v>19</v>
      </c>
      <c r="DL67" t="n">
        <v>39</v>
      </c>
      <c r="DM67" t="n">
        <v>36</v>
      </c>
      <c r="DN67" t="n">
        <v>2</v>
      </c>
      <c r="DO67" t="n">
        <v>14.7</v>
      </c>
      <c r="DP67" t="n">
        <v>174.06</v>
      </c>
      <c r="DQ67" t="n">
        <v>87.03</v>
      </c>
      <c r="DR67" t="n">
        <v>174.06</v>
      </c>
      <c r="DS67" t="n">
        <v>0</v>
      </c>
      <c r="DT67" t="n">
        <v>2902</v>
      </c>
      <c r="DU67" t="n">
        <v>76.36</v>
      </c>
      <c r="DV67" t="inlineStr">
        <is>
          <t>flat</t>
        </is>
      </c>
      <c r="DW67" t="n">
        <v>19.58</v>
      </c>
      <c r="DX67" t="n">
        <v>18.35</v>
      </c>
      <c r="DY67" t="n">
        <v>18.47</v>
      </c>
      <c r="DZ67" t="n">
        <v>-1.11</v>
      </c>
      <c r="EA67" t="n">
        <v>1516</v>
      </c>
      <c r="EB67" t="n">
        <v>10.84</v>
      </c>
      <c r="EC67" t="n">
        <v>1.45</v>
      </c>
      <c r="ED67" t="n">
        <v>112</v>
      </c>
      <c r="EE67" t="n">
        <v>3212</v>
      </c>
      <c r="EF67" t="b">
        <v>1</v>
      </c>
      <c r="EG67" t="n">
        <v>99.8</v>
      </c>
      <c r="EH67" t="n">
        <v>34</v>
      </c>
      <c r="EI67" t="n">
        <v>18</v>
      </c>
      <c r="EJ67" t="n">
        <v>46.5</v>
      </c>
      <c r="EK67" t="n">
        <v>14.7</v>
      </c>
      <c r="EL67" t="n">
        <v>39.6</v>
      </c>
      <c r="EM67" t="n">
        <v>329.6</v>
      </c>
      <c r="EN67" t="n">
        <v>451.1</v>
      </c>
      <c r="EO67" t="n">
        <v>190.4</v>
      </c>
      <c r="EP67" t="n">
        <v>19</v>
      </c>
    </row>
    <row r="68">
      <c r="A68" t="inlineStr">
        <is>
          <t>Pedro Neto</t>
        </is>
      </c>
      <c r="B68" t="inlineStr">
        <is>
          <t>CHE</t>
        </is>
      </c>
      <c r="C68" t="inlineStr">
        <is>
          <t>MID</t>
        </is>
      </c>
      <c r="D68" t="inlineStr">
        <is>
          <t>MID</t>
        </is>
      </c>
      <c r="E68" t="n">
        <v>6.5</v>
      </c>
      <c r="F68" t="b">
        <v>1</v>
      </c>
      <c r="G68" t="b">
        <v>1</v>
      </c>
      <c r="H68" t="n">
        <v>26.5</v>
      </c>
      <c r="I68" t="inlineStr">
        <is>
          <t>a</t>
        </is>
      </c>
      <c r="L68" t="inlineStr">
        <is>
          <t>p247632</t>
        </is>
      </c>
      <c r="M68" t="n">
        <v>156</v>
      </c>
      <c r="O68" t="n">
        <v>3</v>
      </c>
      <c r="P68" t="n">
        <v>4</v>
      </c>
      <c r="Q68" t="n">
        <v>2629</v>
      </c>
      <c r="R68" t="n">
        <v>34</v>
      </c>
      <c r="S68" t="n">
        <v>30</v>
      </c>
      <c r="T68" t="n">
        <v>29.211</v>
      </c>
      <c r="U68" t="n">
        <v>77.3</v>
      </c>
      <c r="V68" t="n">
        <v>125</v>
      </c>
      <c r="W68" t="n">
        <v>4.279</v>
      </c>
      <c r="X68" t="n">
        <v>5</v>
      </c>
      <c r="Y68" t="n">
        <v>7</v>
      </c>
      <c r="Z68" t="n">
        <v>6</v>
      </c>
      <c r="AA68" t="n">
        <v>11</v>
      </c>
      <c r="AB68" t="n">
        <v>33</v>
      </c>
      <c r="AC68" t="n">
        <v>9</v>
      </c>
      <c r="AD68" t="n">
        <v>10</v>
      </c>
      <c r="AE68" t="n">
        <v>1</v>
      </c>
      <c r="AF68" t="n">
        <v>543</v>
      </c>
      <c r="AG68" t="n">
        <v>539</v>
      </c>
      <c r="AH68" t="n">
        <v>-4</v>
      </c>
      <c r="AI68" t="n">
        <v>126</v>
      </c>
      <c r="AJ68" t="n">
        <v>0.07199999999999999</v>
      </c>
      <c r="AK68" t="n">
        <v>0.078</v>
      </c>
      <c r="AL68" t="n">
        <v>122</v>
      </c>
      <c r="AM68" t="n">
        <v>4.176</v>
      </c>
      <c r="AN68" t="n">
        <v>0</v>
      </c>
      <c r="AO68" t="n">
        <v>0</v>
      </c>
      <c r="AP68" t="n">
        <v>0</v>
      </c>
      <c r="AQ68" t="n">
        <v>0</v>
      </c>
      <c r="AR68" t="n">
        <v>0</v>
      </c>
      <c r="AS68" t="n">
        <v>0.789</v>
      </c>
      <c r="AT68" t="n">
        <v>0.882</v>
      </c>
      <c r="AU68" t="n">
        <v>18</v>
      </c>
      <c r="AV68" t="n">
        <v>1</v>
      </c>
      <c r="AW68" t="n">
        <v>2.93</v>
      </c>
      <c r="AX68" t="n">
        <v>12</v>
      </c>
      <c r="AY68" t="n">
        <v>4.59</v>
      </c>
      <c r="AZ68" t="n">
        <v>5.15</v>
      </c>
      <c r="BA68" t="n">
        <v>4.87</v>
      </c>
      <c r="BB68" t="n">
        <v>5.15</v>
      </c>
      <c r="BC68" t="n">
        <v>0.157</v>
      </c>
      <c r="BD68" t="n">
        <v>0.176</v>
      </c>
      <c r="BE68" t="n">
        <v>0.167</v>
      </c>
      <c r="BF68" t="n">
        <v>3.8</v>
      </c>
      <c r="BG68" t="n">
        <v>0.13</v>
      </c>
      <c r="BH68" t="n">
        <v>0.82</v>
      </c>
      <c r="BI68" t="n">
        <v>12.36</v>
      </c>
      <c r="BJ68" t="n">
        <v>3.765</v>
      </c>
      <c r="BK68" t="n">
        <v>0.129</v>
      </c>
      <c r="BL68" t="n">
        <v>0.13</v>
      </c>
      <c r="BM68" t="n">
        <v>-0.79</v>
      </c>
      <c r="BN68" t="n">
        <v>1.2</v>
      </c>
      <c r="BO68" t="n">
        <v>-0.5600000000000001</v>
      </c>
      <c r="BP68" t="n">
        <v>46</v>
      </c>
      <c r="BQ68" t="n">
        <v>13</v>
      </c>
      <c r="BR68" t="n">
        <v>3</v>
      </c>
      <c r="BS68" t="n">
        <v>107</v>
      </c>
      <c r="BT68" t="n">
        <v>3.663</v>
      </c>
      <c r="BV68" t="n">
        <v>1</v>
      </c>
      <c r="BW68" t="n">
        <v>6.84</v>
      </c>
      <c r="BX68" t="n">
        <v>7.934</v>
      </c>
      <c r="BY68" t="n">
        <v>7.387</v>
      </c>
      <c r="BZ68" t="n">
        <v>0.253</v>
      </c>
      <c r="CA68" t="n">
        <v>12.257</v>
      </c>
      <c r="CB68" t="n">
        <v>0.42</v>
      </c>
      <c r="CC68" t="n">
        <v>53</v>
      </c>
      <c r="CD68" t="n">
        <v>12</v>
      </c>
      <c r="CE68" t="n">
        <v>53</v>
      </c>
      <c r="CF68" t="n">
        <v>38</v>
      </c>
      <c r="CG68" t="n">
        <v>2</v>
      </c>
      <c r="CH68" t="n">
        <v>71</v>
      </c>
      <c r="CI68" t="n">
        <v>19.275</v>
      </c>
      <c r="CJ68" t="n">
        <v>9.827</v>
      </c>
      <c r="CK68" t="n">
        <v>19</v>
      </c>
      <c r="CL68" t="n">
        <v>84</v>
      </c>
      <c r="CM68" t="n">
        <v>19</v>
      </c>
      <c r="CN68" t="n">
        <v>11</v>
      </c>
      <c r="CO68" t="n">
        <v>6</v>
      </c>
      <c r="CP68" t="n">
        <v>13</v>
      </c>
      <c r="CR68" t="n">
        <v>100</v>
      </c>
      <c r="CS68" t="n">
        <v>9</v>
      </c>
      <c r="CT68" t="n">
        <v>0.4</v>
      </c>
      <c r="CW68" t="n">
        <v>37.54</v>
      </c>
      <c r="CX68" t="n">
        <v>1.285</v>
      </c>
      <c r="CY68" t="n">
        <v>0</v>
      </c>
      <c r="DB68" t="n">
        <v>0</v>
      </c>
      <c r="DE68" t="n">
        <v>7.04</v>
      </c>
      <c r="DF68" t="n">
        <v>2</v>
      </c>
      <c r="DG68" t="n">
        <v>1</v>
      </c>
      <c r="DH68" t="n">
        <v>16</v>
      </c>
      <c r="DI68" t="n">
        <v>25</v>
      </c>
      <c r="DL68" t="n">
        <v>47</v>
      </c>
      <c r="DM68" t="n">
        <v>25</v>
      </c>
      <c r="DN68" t="n">
        <v>6</v>
      </c>
      <c r="DO68" t="n">
        <v>1.4</v>
      </c>
      <c r="DP68" t="n">
        <v>82.77</v>
      </c>
      <c r="DQ68" t="n">
        <v>41.5</v>
      </c>
      <c r="DR68" t="n">
        <v>83</v>
      </c>
      <c r="DS68" t="n">
        <v>-0.23</v>
      </c>
      <c r="DT68" t="n">
        <v>1773</v>
      </c>
      <c r="DU68" t="n">
        <v>46.65</v>
      </c>
      <c r="DV68" t="inlineStr">
        <is>
          <t>flat</t>
        </is>
      </c>
      <c r="DW68" t="n">
        <v>60</v>
      </c>
      <c r="DX68" t="n">
        <v>59.03</v>
      </c>
      <c r="DY68" t="n">
        <v>59.88</v>
      </c>
      <c r="DZ68" t="n">
        <v>-0.12</v>
      </c>
      <c r="EA68" t="n">
        <v>981</v>
      </c>
      <c r="EB68" t="n">
        <v>23.82</v>
      </c>
      <c r="EC68" t="n">
        <v>6.55</v>
      </c>
      <c r="ED68" t="n">
        <v>120</v>
      </c>
      <c r="EE68" t="n">
        <v>1652</v>
      </c>
      <c r="EF68" t="b">
        <v>1</v>
      </c>
      <c r="EG68" t="n">
        <v>78.59999999999999</v>
      </c>
      <c r="EH68" t="n">
        <v>56.9</v>
      </c>
      <c r="EI68" t="n">
        <v>38</v>
      </c>
      <c r="EJ68" t="n">
        <v>57.2</v>
      </c>
      <c r="EK68" t="n">
        <v>24.6</v>
      </c>
      <c r="EL68" t="n">
        <v>49.6</v>
      </c>
      <c r="EM68" t="n">
        <v>539.9</v>
      </c>
      <c r="EN68" t="n">
        <v>355.9</v>
      </c>
      <c r="EO68" t="n">
        <v>214.5</v>
      </c>
      <c r="EP68" t="n">
        <v>21</v>
      </c>
    </row>
    <row r="69">
      <c r="A69" t="inlineStr">
        <is>
          <t>Hugo Ekitiké</t>
        </is>
      </c>
      <c r="B69" t="inlineStr">
        <is>
          <t>LIV</t>
        </is>
      </c>
      <c r="C69" t="inlineStr">
        <is>
          <t>FWD</t>
        </is>
      </c>
      <c r="D69" t="inlineStr">
        <is>
          <t>FWD</t>
        </is>
      </c>
      <c r="E69" t="n">
        <v>7.5</v>
      </c>
      <c r="F69" t="b">
        <v>1</v>
      </c>
      <c r="G69" t="b">
        <v>1</v>
      </c>
      <c r="H69" t="n">
        <v>24.2</v>
      </c>
      <c r="I69" t="inlineStr">
        <is>
          <t>i</t>
        </is>
      </c>
      <c r="J69" t="inlineStr">
        <is>
          <t>Achilles injury - Unknown return date</t>
        </is>
      </c>
      <c r="K69" t="n">
        <v>0</v>
      </c>
      <c r="L69" t="inlineStr">
        <is>
          <t>p510663</t>
        </is>
      </c>
      <c r="M69" t="n">
        <v>380</v>
      </c>
      <c r="Q69" t="n">
        <v>1797</v>
      </c>
      <c r="R69" t="n">
        <v>28</v>
      </c>
      <c r="S69" t="n">
        <v>21</v>
      </c>
      <c r="T69" t="n">
        <v>19.967</v>
      </c>
      <c r="U69" t="n">
        <v>64.2</v>
      </c>
      <c r="V69" t="n">
        <v>125</v>
      </c>
      <c r="W69" t="n">
        <v>6.26</v>
      </c>
      <c r="X69" t="n">
        <v>11</v>
      </c>
      <c r="Y69" t="n">
        <v>4</v>
      </c>
      <c r="Z69" t="n">
        <v>4</v>
      </c>
      <c r="AA69" t="n">
        <v>7</v>
      </c>
      <c r="AB69" t="n">
        <v>25</v>
      </c>
      <c r="AC69" t="n">
        <v>22</v>
      </c>
      <c r="AD69" t="n">
        <v>22</v>
      </c>
      <c r="AE69" t="n">
        <v>0</v>
      </c>
      <c r="AF69" t="n">
        <v>433</v>
      </c>
      <c r="AG69" t="n">
        <v>429</v>
      </c>
      <c r="AH69" t="n">
        <v>-4</v>
      </c>
      <c r="AI69" t="n">
        <v>125</v>
      </c>
      <c r="AJ69" t="n">
        <v>0.176</v>
      </c>
      <c r="AK69" t="n">
        <v>0.214</v>
      </c>
      <c r="AL69" t="n">
        <v>85</v>
      </c>
      <c r="AM69" t="n">
        <v>4.257</v>
      </c>
      <c r="AN69" t="n">
        <v>0</v>
      </c>
      <c r="AO69" t="n">
        <v>0</v>
      </c>
      <c r="AP69" t="n">
        <v>0</v>
      </c>
      <c r="AQ69" t="n">
        <v>0.048</v>
      </c>
      <c r="AR69" t="n">
        <v>0</v>
      </c>
      <c r="AS69" t="n">
        <v>0.553</v>
      </c>
      <c r="AT69" t="n">
        <v>0.679</v>
      </c>
      <c r="AU69" t="n">
        <v>19</v>
      </c>
      <c r="AV69" t="n">
        <v>5</v>
      </c>
      <c r="AW69" t="n">
        <v>4.48</v>
      </c>
      <c r="AX69" t="n">
        <v>15</v>
      </c>
      <c r="AY69" t="n">
        <v>10.1</v>
      </c>
      <c r="AZ69" t="n">
        <v>11.932</v>
      </c>
      <c r="BA69" t="n">
        <v>11.016</v>
      </c>
      <c r="BB69" t="n">
        <v>11.932</v>
      </c>
      <c r="BC69" t="n">
        <v>0.506</v>
      </c>
      <c r="BD69" t="n">
        <v>0.598</v>
      </c>
      <c r="BE69" t="n">
        <v>0.552</v>
      </c>
      <c r="BF69" t="n">
        <v>9.199999999999999</v>
      </c>
      <c r="BG69" t="n">
        <v>0.461</v>
      </c>
      <c r="BH69" t="n">
        <v>0.95</v>
      </c>
      <c r="BI69" t="n">
        <v>10.1</v>
      </c>
      <c r="BJ69" t="n">
        <v>9.598000000000001</v>
      </c>
      <c r="BK69" t="n">
        <v>0.481</v>
      </c>
      <c r="BL69" t="n">
        <v>-0.016</v>
      </c>
      <c r="BM69" t="n">
        <v>-0.9</v>
      </c>
      <c r="BN69" t="n">
        <v>1.8</v>
      </c>
      <c r="BO69" t="n">
        <v>-1.832</v>
      </c>
      <c r="BP69" t="n">
        <v>65</v>
      </c>
      <c r="BQ69" t="n">
        <v>19</v>
      </c>
      <c r="BR69" t="n">
        <v>11</v>
      </c>
      <c r="BS69" t="n">
        <v>136</v>
      </c>
      <c r="BT69" t="n">
        <v>6.811</v>
      </c>
      <c r="BV69" t="n">
        <v>2</v>
      </c>
      <c r="BW69" t="n">
        <v>2.45</v>
      </c>
      <c r="BX69" t="n">
        <v>2.491</v>
      </c>
      <c r="BY69" t="n">
        <v>2.471</v>
      </c>
      <c r="BZ69" t="n">
        <v>0.124</v>
      </c>
      <c r="CA69" t="n">
        <v>13.487</v>
      </c>
      <c r="CB69" t="n">
        <v>0.675</v>
      </c>
      <c r="CC69" t="n">
        <v>21</v>
      </c>
      <c r="CD69" t="n">
        <v>3</v>
      </c>
      <c r="CE69" t="n">
        <v>21</v>
      </c>
      <c r="CF69" t="n">
        <v>1</v>
      </c>
      <c r="CG69" t="n">
        <v>1</v>
      </c>
      <c r="CI69" t="n">
        <v>16.323</v>
      </c>
      <c r="CJ69" t="n">
        <v>4.886</v>
      </c>
      <c r="CK69" t="n">
        <v>32</v>
      </c>
      <c r="CL69" t="n">
        <v>42</v>
      </c>
      <c r="CM69" t="n">
        <v>11</v>
      </c>
      <c r="CN69" t="n">
        <v>7</v>
      </c>
      <c r="CO69" t="n">
        <v>3</v>
      </c>
      <c r="CP69" t="n">
        <v>27</v>
      </c>
      <c r="CQ69" t="n">
        <v>2</v>
      </c>
      <c r="CR69" t="n">
        <v>92</v>
      </c>
      <c r="CS69" t="n">
        <v>31</v>
      </c>
      <c r="CT69" t="n">
        <v>0.7</v>
      </c>
      <c r="CW69" t="n">
        <v>26.11</v>
      </c>
      <c r="CX69" t="n">
        <v>1.308</v>
      </c>
      <c r="CY69" t="n">
        <v>0</v>
      </c>
      <c r="DB69" t="n">
        <v>0</v>
      </c>
      <c r="DE69" t="n">
        <v>7.08</v>
      </c>
      <c r="DF69" t="n">
        <v>0</v>
      </c>
      <c r="DG69" t="n">
        <v>0</v>
      </c>
      <c r="DH69" t="n">
        <v>35</v>
      </c>
      <c r="DI69" t="n">
        <v>12</v>
      </c>
      <c r="DL69" t="n">
        <v>38</v>
      </c>
      <c r="DM69" t="n">
        <v>26</v>
      </c>
      <c r="DN69" t="n">
        <v>10</v>
      </c>
      <c r="DO69" t="n">
        <v>0.2</v>
      </c>
      <c r="DP69" t="n">
        <v>58.16</v>
      </c>
      <c r="DQ69" t="n">
        <v>22.62</v>
      </c>
      <c r="DR69" t="n">
        <v>45.24</v>
      </c>
      <c r="DS69" t="n">
        <v>12.92</v>
      </c>
      <c r="DT69" t="n">
        <v>942</v>
      </c>
      <c r="DU69" t="n">
        <v>24.78</v>
      </c>
      <c r="DV69" t="inlineStr">
        <is>
          <t>flat</t>
        </is>
      </c>
      <c r="DW69" t="n">
        <v>61.27</v>
      </c>
      <c r="DX69" t="n">
        <v>55.74</v>
      </c>
      <c r="DY69" t="n">
        <v>63.85</v>
      </c>
      <c r="DZ69" t="n">
        <v>2.58</v>
      </c>
      <c r="EA69" t="n">
        <v>384</v>
      </c>
      <c r="EB69" t="n">
        <v>35.32</v>
      </c>
      <c r="EC69" t="n">
        <v>2.29</v>
      </c>
      <c r="ED69" t="n">
        <v>120</v>
      </c>
      <c r="EE69" t="n">
        <v>649</v>
      </c>
      <c r="EF69" t="b">
        <v>1</v>
      </c>
      <c r="EG69" t="n">
        <v>83.09999999999999</v>
      </c>
      <c r="EH69" t="n">
        <v>84</v>
      </c>
      <c r="EI69" t="n">
        <v>19</v>
      </c>
      <c r="EJ69" t="n">
        <v>27.6</v>
      </c>
      <c r="EK69" t="n">
        <v>13.2</v>
      </c>
      <c r="EL69" t="n">
        <v>85.59999999999999</v>
      </c>
      <c r="EM69" t="n">
        <v>163.1</v>
      </c>
      <c r="EN69" t="n">
        <v>727.3</v>
      </c>
      <c r="EO69" t="n">
        <v>133.2</v>
      </c>
      <c r="EP69" t="n">
        <v>14.4</v>
      </c>
    </row>
    <row r="70">
      <c r="A70" t="inlineStr">
        <is>
          <t>Omar Alderete</t>
        </is>
      </c>
      <c r="B70" t="inlineStr">
        <is>
          <t>SUN</t>
        </is>
      </c>
      <c r="C70" t="inlineStr">
        <is>
          <t>DEF</t>
        </is>
      </c>
      <c r="D70" t="inlineStr">
        <is>
          <t>DEF</t>
        </is>
      </c>
      <c r="E70" t="n">
        <v>5</v>
      </c>
      <c r="F70" t="b">
        <v>1</v>
      </c>
      <c r="G70" t="b">
        <v>1</v>
      </c>
      <c r="H70" t="n">
        <v>29.7</v>
      </c>
      <c r="I70" t="inlineStr">
        <is>
          <t>d</t>
        </is>
      </c>
      <c r="J70" t="inlineStr">
        <is>
          <t>Knock - 75% chance of playing</t>
        </is>
      </c>
      <c r="K70" t="n">
        <v>75</v>
      </c>
      <c r="L70" t="inlineStr">
        <is>
          <t>p201895</t>
        </is>
      </c>
      <c r="M70" t="n">
        <v>535</v>
      </c>
      <c r="Q70" t="n">
        <v>2797</v>
      </c>
      <c r="R70" t="n">
        <v>33</v>
      </c>
      <c r="S70" t="n">
        <v>32</v>
      </c>
      <c r="T70" t="n">
        <v>31.078</v>
      </c>
      <c r="U70" t="n">
        <v>84.8</v>
      </c>
      <c r="V70" t="n">
        <v>125</v>
      </c>
      <c r="W70" t="n">
        <v>4.022</v>
      </c>
      <c r="X70" t="n">
        <v>1</v>
      </c>
      <c r="Y70" t="n">
        <v>1</v>
      </c>
      <c r="Z70" t="n">
        <v>1</v>
      </c>
      <c r="AA70" t="n">
        <v>10</v>
      </c>
      <c r="AB70" t="n">
        <v>40</v>
      </c>
      <c r="AC70" t="n">
        <v>5</v>
      </c>
      <c r="AD70" t="n">
        <v>5</v>
      </c>
      <c r="AE70" t="n">
        <v>0</v>
      </c>
      <c r="AF70" t="n">
        <v>400</v>
      </c>
      <c r="AG70" t="n">
        <v>348</v>
      </c>
      <c r="AH70" t="n">
        <v>-52</v>
      </c>
      <c r="AI70" t="n">
        <v>125</v>
      </c>
      <c r="AJ70" t="n">
        <v>0.04</v>
      </c>
      <c r="AK70" t="n">
        <v>0.042</v>
      </c>
      <c r="AL70" t="n">
        <v>312</v>
      </c>
      <c r="AM70" t="n">
        <v>10.039</v>
      </c>
      <c r="AN70" t="n">
        <v>12</v>
      </c>
      <c r="AO70" t="n">
        <v>24</v>
      </c>
      <c r="AP70" t="n">
        <v>0.375</v>
      </c>
      <c r="AQ70" t="n">
        <v>0.375</v>
      </c>
      <c r="AR70" t="n">
        <v>0.219</v>
      </c>
      <c r="AS70" t="n">
        <v>0.842</v>
      </c>
      <c r="AT70" t="n">
        <v>0.9389999999999999</v>
      </c>
      <c r="AU70" t="n">
        <v>16</v>
      </c>
      <c r="AV70" t="n">
        <v>1</v>
      </c>
      <c r="AW70" t="n">
        <v>3.63</v>
      </c>
      <c r="AX70" t="n">
        <v>17</v>
      </c>
      <c r="AY70" t="n">
        <v>1.62</v>
      </c>
      <c r="AZ70" t="n">
        <v>1.546</v>
      </c>
      <c r="BA70" t="n">
        <v>1.583</v>
      </c>
      <c r="BB70" t="n">
        <v>1.546</v>
      </c>
      <c r="BC70" t="n">
        <v>0.052</v>
      </c>
      <c r="BD70" t="n">
        <v>0.05</v>
      </c>
      <c r="BE70" t="n">
        <v>0.051</v>
      </c>
      <c r="BF70" t="n">
        <v>1.5</v>
      </c>
      <c r="BG70" t="n">
        <v>0.048</v>
      </c>
      <c r="BH70" t="n">
        <v>0.988</v>
      </c>
      <c r="BI70" t="n">
        <v>1.62</v>
      </c>
      <c r="BJ70" t="n">
        <v>1.6</v>
      </c>
      <c r="BK70" t="n">
        <v>0.051</v>
      </c>
      <c r="BL70" t="n">
        <v>-0.583</v>
      </c>
      <c r="BM70" t="n">
        <v>-0.12</v>
      </c>
      <c r="BN70" t="n">
        <v>-0.5</v>
      </c>
      <c r="BO70" t="n">
        <v>0.074</v>
      </c>
      <c r="BP70" t="n">
        <v>24</v>
      </c>
      <c r="BQ70" t="n">
        <v>9</v>
      </c>
      <c r="BR70" t="n">
        <v>2</v>
      </c>
      <c r="BS70" t="n">
        <v>47</v>
      </c>
      <c r="BT70" t="n">
        <v>1.512</v>
      </c>
      <c r="BV70" t="n">
        <v>1</v>
      </c>
      <c r="BW70" t="n">
        <v>0.91</v>
      </c>
      <c r="BX70" t="n">
        <v>0.607</v>
      </c>
      <c r="BY70" t="n">
        <v>0.759</v>
      </c>
      <c r="BZ70" t="n">
        <v>0.024</v>
      </c>
      <c r="CA70" t="n">
        <v>2.342</v>
      </c>
      <c r="CB70" t="n">
        <v>0.075</v>
      </c>
      <c r="CC70" t="n">
        <v>9</v>
      </c>
      <c r="CD70" t="n">
        <v>1</v>
      </c>
      <c r="CE70" t="n">
        <v>9</v>
      </c>
      <c r="CF70" t="n">
        <v>3</v>
      </c>
      <c r="CG70" t="n">
        <v>3</v>
      </c>
      <c r="CI70" t="n">
        <v>4.55</v>
      </c>
      <c r="CJ70" t="n">
        <v>3.773</v>
      </c>
      <c r="CK70" t="n">
        <v>280</v>
      </c>
      <c r="CL70" t="n">
        <v>103</v>
      </c>
      <c r="CM70" t="n">
        <v>32</v>
      </c>
      <c r="CN70" t="n">
        <v>18</v>
      </c>
      <c r="CO70" t="n">
        <v>36</v>
      </c>
      <c r="CP70" t="n">
        <v>217</v>
      </c>
      <c r="CQ70" t="n">
        <v>29</v>
      </c>
      <c r="CR70" t="n">
        <v>146</v>
      </c>
      <c r="CS70" t="n">
        <v>88</v>
      </c>
      <c r="CT70" t="n">
        <v>0.1</v>
      </c>
      <c r="CV70" t="n">
        <v>5</v>
      </c>
      <c r="CW70" t="n">
        <v>44.52</v>
      </c>
      <c r="CX70" t="n">
        <v>1.433</v>
      </c>
      <c r="CY70" t="n">
        <v>0</v>
      </c>
      <c r="DB70" t="n">
        <v>0</v>
      </c>
      <c r="DE70" t="n">
        <v>6.92</v>
      </c>
      <c r="DF70" t="n">
        <v>6</v>
      </c>
      <c r="DG70" t="n">
        <v>0</v>
      </c>
      <c r="DH70" t="n">
        <v>34</v>
      </c>
      <c r="DI70" t="n">
        <v>10</v>
      </c>
      <c r="DK70" t="n">
        <v>0</v>
      </c>
      <c r="DL70" t="n">
        <v>17</v>
      </c>
      <c r="DM70" t="n">
        <v>12</v>
      </c>
      <c r="DN70" t="n">
        <v>5</v>
      </c>
      <c r="DO70" t="n">
        <v>0.7</v>
      </c>
      <c r="DP70" t="n">
        <v>131.07</v>
      </c>
      <c r="DQ70" t="n">
        <v>65.19</v>
      </c>
      <c r="DR70" t="n">
        <v>130.38</v>
      </c>
      <c r="DS70" t="n">
        <v>0.6899999999999999</v>
      </c>
      <c r="DT70" t="n">
        <v>3067</v>
      </c>
      <c r="DU70" t="n">
        <v>80.7</v>
      </c>
      <c r="DV70" t="inlineStr">
        <is>
          <t>flat</t>
        </is>
      </c>
      <c r="DW70" t="n">
        <v>101.06</v>
      </c>
      <c r="DX70" t="n">
        <v>105.04</v>
      </c>
      <c r="DY70" t="n">
        <v>100.79</v>
      </c>
      <c r="DZ70" t="n">
        <v>-0.27</v>
      </c>
      <c r="EA70" t="n">
        <v>221</v>
      </c>
      <c r="EB70" t="n">
        <v>15.07</v>
      </c>
      <c r="EC70" t="n">
        <v>18.67</v>
      </c>
      <c r="ED70" t="n">
        <v>120</v>
      </c>
      <c r="EE70" t="n">
        <v>656</v>
      </c>
      <c r="EF70" t="b">
        <v>1</v>
      </c>
      <c r="EG70" t="n">
        <v>28.5</v>
      </c>
      <c r="EH70" t="n">
        <v>52.8</v>
      </c>
      <c r="EI70" t="n">
        <v>231</v>
      </c>
      <c r="EJ70" t="n">
        <v>116.5</v>
      </c>
      <c r="EK70" t="n">
        <v>59.5</v>
      </c>
      <c r="EL70" t="n">
        <v>310.8</v>
      </c>
      <c r="EM70" t="n">
        <v>1767.1</v>
      </c>
      <c r="EN70" t="n">
        <v>3686.4</v>
      </c>
      <c r="EO70" t="n">
        <v>1194.5</v>
      </c>
      <c r="EP70" t="n">
        <v>22.4</v>
      </c>
    </row>
    <row r="71">
      <c r="A71" t="inlineStr">
        <is>
          <t>Kevin Schade</t>
        </is>
      </c>
      <c r="B71" t="inlineStr">
        <is>
          <t>BRE</t>
        </is>
      </c>
      <c r="C71" t="inlineStr">
        <is>
          <t>MID</t>
        </is>
      </c>
      <c r="D71" t="inlineStr">
        <is>
          <t>MID</t>
        </is>
      </c>
      <c r="E71" t="n">
        <v>6</v>
      </c>
      <c r="F71" t="b">
        <v>1</v>
      </c>
      <c r="G71" t="b">
        <v>1</v>
      </c>
      <c r="H71" t="n">
        <v>24.7</v>
      </c>
      <c r="I71" t="inlineStr">
        <is>
          <t>a</t>
        </is>
      </c>
      <c r="L71" t="inlineStr">
        <is>
          <t>p513418</t>
        </is>
      </c>
      <c r="M71" t="n">
        <v>94</v>
      </c>
      <c r="N71" t="n">
        <v>2</v>
      </c>
      <c r="Q71" t="n">
        <v>2744</v>
      </c>
      <c r="R71" t="n">
        <v>35</v>
      </c>
      <c r="S71" t="n">
        <v>32</v>
      </c>
      <c r="T71" t="n">
        <v>30.489</v>
      </c>
      <c r="U71" t="n">
        <v>78.40000000000001</v>
      </c>
      <c r="V71" t="n">
        <v>125</v>
      </c>
      <c r="W71" t="n">
        <v>4.1</v>
      </c>
      <c r="X71" t="n">
        <v>8</v>
      </c>
      <c r="Y71" t="n">
        <v>5</v>
      </c>
      <c r="Z71" t="n">
        <v>3</v>
      </c>
      <c r="AA71" t="n">
        <v>11</v>
      </c>
      <c r="AB71" t="n">
        <v>34</v>
      </c>
      <c r="AC71" t="n">
        <v>5</v>
      </c>
      <c r="AD71" t="n">
        <v>5</v>
      </c>
      <c r="AE71" t="n">
        <v>0</v>
      </c>
      <c r="AF71" t="n">
        <v>385</v>
      </c>
      <c r="AG71" t="n">
        <v>371</v>
      </c>
      <c r="AH71" t="n">
        <v>-14</v>
      </c>
      <c r="AI71" t="n">
        <v>125</v>
      </c>
      <c r="AJ71" t="n">
        <v>0.04</v>
      </c>
      <c r="AK71" t="n">
        <v>0.042</v>
      </c>
      <c r="AL71" t="n">
        <v>190</v>
      </c>
      <c r="AM71" t="n">
        <v>6.232</v>
      </c>
      <c r="AN71" t="n">
        <v>0</v>
      </c>
      <c r="AO71" t="n">
        <v>0</v>
      </c>
      <c r="AP71" t="n">
        <v>0</v>
      </c>
      <c r="AQ71" t="n">
        <v>0.062</v>
      </c>
      <c r="AR71" t="n">
        <v>0</v>
      </c>
      <c r="AS71" t="n">
        <v>0.842</v>
      </c>
      <c r="AT71" t="n">
        <v>0.857</v>
      </c>
      <c r="AU71" t="n">
        <v>16</v>
      </c>
      <c r="AV71" t="n">
        <v>1</v>
      </c>
      <c r="AW71" t="n">
        <v>3.7</v>
      </c>
      <c r="AX71" t="n">
        <v>20</v>
      </c>
      <c r="AY71" t="n">
        <v>12.08</v>
      </c>
      <c r="AZ71" t="n">
        <v>11.833</v>
      </c>
      <c r="BA71" t="n">
        <v>11.956</v>
      </c>
      <c r="BB71" t="n">
        <v>11.072</v>
      </c>
      <c r="BC71" t="n">
        <v>0.396</v>
      </c>
      <c r="BD71" t="n">
        <v>0.388</v>
      </c>
      <c r="BE71" t="n">
        <v>0.392</v>
      </c>
      <c r="BF71" t="n">
        <v>9.800000000000001</v>
      </c>
      <c r="BG71" t="n">
        <v>0.321</v>
      </c>
      <c r="BH71" t="n">
        <v>0.953</v>
      </c>
      <c r="BI71" t="n">
        <v>23.89</v>
      </c>
      <c r="BJ71" t="n">
        <v>11.516</v>
      </c>
      <c r="BK71" t="n">
        <v>0.378</v>
      </c>
      <c r="BL71" t="n">
        <v>-3.956</v>
      </c>
      <c r="BM71" t="n">
        <v>-2.28</v>
      </c>
      <c r="BN71" t="n">
        <v>-1.8</v>
      </c>
      <c r="BO71" t="n">
        <v>0.247</v>
      </c>
      <c r="BP71" t="n">
        <v>57</v>
      </c>
      <c r="BQ71" t="n">
        <v>24</v>
      </c>
      <c r="BR71" t="n">
        <v>15</v>
      </c>
      <c r="BS71" t="n">
        <v>141</v>
      </c>
      <c r="BT71" t="n">
        <v>4.625</v>
      </c>
      <c r="BV71" t="n">
        <v>3</v>
      </c>
      <c r="BW71" t="n">
        <v>2.05</v>
      </c>
      <c r="BX71" t="n">
        <v>4.565</v>
      </c>
      <c r="BY71" t="n">
        <v>3.308</v>
      </c>
      <c r="BZ71" t="n">
        <v>0.108</v>
      </c>
      <c r="CA71" t="n">
        <v>15.264</v>
      </c>
      <c r="CB71" t="n">
        <v>0.501</v>
      </c>
      <c r="CC71" t="n">
        <v>29</v>
      </c>
      <c r="CD71" t="n">
        <v>7</v>
      </c>
      <c r="CE71" t="n">
        <v>28</v>
      </c>
      <c r="CF71" t="n">
        <v>5</v>
      </c>
      <c r="CH71" t="n">
        <v>1</v>
      </c>
      <c r="CI71" t="n">
        <v>17.375</v>
      </c>
      <c r="CJ71" t="n">
        <v>3.947</v>
      </c>
      <c r="CK71" t="n">
        <v>54</v>
      </c>
      <c r="CL71" t="n">
        <v>94</v>
      </c>
      <c r="CM71" t="n">
        <v>42</v>
      </c>
      <c r="CN71" t="n">
        <v>24</v>
      </c>
      <c r="CO71" t="n">
        <v>18</v>
      </c>
      <c r="CP71" t="n">
        <v>31</v>
      </c>
      <c r="CQ71" t="n">
        <v>3</v>
      </c>
      <c r="CR71" t="n">
        <v>190</v>
      </c>
      <c r="CS71" t="n">
        <v>87</v>
      </c>
      <c r="CT71" t="n">
        <v>0.3</v>
      </c>
      <c r="CW71" t="n">
        <v>40.05</v>
      </c>
      <c r="CX71" t="n">
        <v>1.314</v>
      </c>
      <c r="CY71" t="n">
        <v>0</v>
      </c>
      <c r="DB71" t="n">
        <v>0</v>
      </c>
      <c r="DE71" t="n">
        <v>6.83</v>
      </c>
      <c r="DF71" t="n">
        <v>6</v>
      </c>
      <c r="DG71" t="n">
        <v>1</v>
      </c>
      <c r="DH71" t="n">
        <v>50</v>
      </c>
      <c r="DI71" t="n">
        <v>43</v>
      </c>
      <c r="DJ71" t="n">
        <v>2</v>
      </c>
      <c r="DL71" t="n">
        <v>20</v>
      </c>
      <c r="DM71" t="n">
        <v>45</v>
      </c>
      <c r="DN71" t="n">
        <v>10</v>
      </c>
      <c r="DO71" t="n">
        <v>1.9</v>
      </c>
      <c r="DP71" t="n">
        <v>148.66</v>
      </c>
      <c r="DQ71" t="n">
        <v>74.33</v>
      </c>
      <c r="DR71" t="n">
        <v>148.66</v>
      </c>
      <c r="DS71" t="n">
        <v>0</v>
      </c>
      <c r="DT71" t="n">
        <v>2804</v>
      </c>
      <c r="DU71" t="n">
        <v>73.8</v>
      </c>
      <c r="DV71" t="inlineStr">
        <is>
          <t>flat</t>
        </is>
      </c>
      <c r="DW71" t="n">
        <v>76.44</v>
      </c>
      <c r="DX71" t="n">
        <v>81.08</v>
      </c>
      <c r="DY71" t="n">
        <v>73.62</v>
      </c>
      <c r="DZ71" t="n">
        <v>-2.82</v>
      </c>
      <c r="EA71" t="n">
        <v>802</v>
      </c>
      <c r="EB71" t="n">
        <v>21.15</v>
      </c>
      <c r="EC71" t="n">
        <v>2</v>
      </c>
      <c r="ED71" t="n">
        <v>120</v>
      </c>
      <c r="EE71" t="n">
        <v>1586</v>
      </c>
      <c r="EF71" t="b">
        <v>1</v>
      </c>
      <c r="EG71" t="n">
        <v>35.8</v>
      </c>
      <c r="EH71" t="n">
        <v>9.199999999999999</v>
      </c>
      <c r="EI71" t="n">
        <v>73</v>
      </c>
      <c r="EJ71" t="n">
        <v>48.1</v>
      </c>
      <c r="EK71" t="n">
        <v>19.5</v>
      </c>
      <c r="EL71" t="n">
        <v>98</v>
      </c>
      <c r="EM71" t="n">
        <v>229.5</v>
      </c>
      <c r="EN71" t="n">
        <v>829.6</v>
      </c>
      <c r="EO71" t="n">
        <v>179.8</v>
      </c>
      <c r="EP71" t="n">
        <v>22</v>
      </c>
    </row>
    <row r="72">
      <c r="A72" t="inlineStr">
        <is>
          <t>Djordje Petrovic</t>
        </is>
      </c>
      <c r="B72" t="inlineStr">
        <is>
          <t>BOU</t>
        </is>
      </c>
      <c r="C72" t="inlineStr">
        <is>
          <t>GKP</t>
        </is>
      </c>
      <c r="D72" t="inlineStr">
        <is>
          <t>GKP</t>
        </is>
      </c>
      <c r="E72" t="n">
        <v>4.5</v>
      </c>
      <c r="F72" t="b">
        <v>1</v>
      </c>
      <c r="G72" t="b">
        <v>1</v>
      </c>
      <c r="H72" t="n">
        <v>26.9</v>
      </c>
      <c r="I72" t="inlineStr">
        <is>
          <t>a</t>
        </is>
      </c>
      <c r="L72" t="inlineStr">
        <is>
          <t>p457569</t>
        </is>
      </c>
      <c r="M72" t="n">
        <v>57</v>
      </c>
      <c r="Q72" t="n">
        <v>3420</v>
      </c>
      <c r="R72" t="n">
        <v>38</v>
      </c>
      <c r="S72" t="n">
        <v>38</v>
      </c>
      <c r="T72" t="n">
        <v>38</v>
      </c>
      <c r="U72" t="n">
        <v>90</v>
      </c>
      <c r="V72" t="n">
        <v>124</v>
      </c>
      <c r="W72" t="n">
        <v>3.263</v>
      </c>
      <c r="X72" t="n">
        <v>0</v>
      </c>
      <c r="Y72" t="n">
        <v>0</v>
      </c>
      <c r="AA72" t="n">
        <v>11</v>
      </c>
      <c r="AB72" t="n">
        <v>54</v>
      </c>
      <c r="AC72" t="n">
        <v>5</v>
      </c>
      <c r="AD72" t="n">
        <v>7</v>
      </c>
      <c r="AE72" t="n">
        <v>2</v>
      </c>
      <c r="AF72" t="n">
        <v>512</v>
      </c>
      <c r="AG72" t="n">
        <v>496</v>
      </c>
      <c r="AH72" t="n">
        <v>-16</v>
      </c>
      <c r="AI72" t="n">
        <v>126</v>
      </c>
      <c r="AJ72" t="n">
        <v>0.04</v>
      </c>
      <c r="AK72" t="n">
        <v>0.042</v>
      </c>
      <c r="AL72" t="n">
        <v>0</v>
      </c>
      <c r="AM72" t="n">
        <v>0</v>
      </c>
      <c r="AN72" t="n">
        <v>0</v>
      </c>
      <c r="AO72" t="n">
        <v>0</v>
      </c>
      <c r="AP72" t="n">
        <v>0</v>
      </c>
      <c r="AQ72" t="n">
        <v>0</v>
      </c>
      <c r="AR72" t="n">
        <v>0</v>
      </c>
      <c r="AS72" t="n">
        <v>1</v>
      </c>
      <c r="AT72" t="n">
        <v>1</v>
      </c>
      <c r="AU72" t="n">
        <v>20</v>
      </c>
      <c r="AV72" t="n">
        <v>1</v>
      </c>
      <c r="AW72" t="n">
        <v>2.56</v>
      </c>
      <c r="AX72" t="n">
        <v>10</v>
      </c>
      <c r="AY72" t="n">
        <v>0</v>
      </c>
      <c r="AZ72" t="n">
        <v>0</v>
      </c>
      <c r="BA72" t="n">
        <v>0</v>
      </c>
      <c r="BB72" t="n">
        <v>0</v>
      </c>
      <c r="BC72" t="n">
        <v>0</v>
      </c>
      <c r="BD72" t="n">
        <v>0</v>
      </c>
      <c r="BE72" t="n">
        <v>0</v>
      </c>
      <c r="BH72" t="n">
        <v>1</v>
      </c>
      <c r="BI72" t="n">
        <v>0</v>
      </c>
      <c r="BJ72" t="n">
        <v>0</v>
      </c>
      <c r="BK72" t="n">
        <v>0</v>
      </c>
      <c r="BL72" t="n">
        <v>0</v>
      </c>
      <c r="BO72" t="n">
        <v>0</v>
      </c>
      <c r="BW72" t="n">
        <v>0</v>
      </c>
      <c r="BX72" t="n">
        <v>0</v>
      </c>
      <c r="BY72" t="n">
        <v>0</v>
      </c>
      <c r="BZ72" t="n">
        <v>0</v>
      </c>
      <c r="CA72" t="n">
        <v>0</v>
      </c>
      <c r="CB72" t="n">
        <v>0</v>
      </c>
      <c r="CC72" t="n">
        <v>0</v>
      </c>
      <c r="CI72" t="n">
        <v>3.018</v>
      </c>
      <c r="CJ72" t="n">
        <v>3.018</v>
      </c>
      <c r="CK72" t="n">
        <v>62</v>
      </c>
      <c r="CL72" t="n">
        <v>285</v>
      </c>
      <c r="CM72" t="n">
        <v>0</v>
      </c>
      <c r="CP72" t="n">
        <v>62</v>
      </c>
      <c r="CR72" t="n">
        <v>23</v>
      </c>
      <c r="CS72" t="n">
        <v>20</v>
      </c>
      <c r="CU72" t="n">
        <v>2</v>
      </c>
      <c r="CV72" t="n">
        <v>2</v>
      </c>
      <c r="CW72" t="n">
        <v>56.72</v>
      </c>
      <c r="CX72" t="n">
        <v>1.493</v>
      </c>
      <c r="CY72" t="n">
        <v>109</v>
      </c>
      <c r="CZ72" t="n">
        <v>66.90000000000001</v>
      </c>
      <c r="DA72" t="n">
        <v>-3</v>
      </c>
      <c r="DB72" t="n">
        <v>0</v>
      </c>
      <c r="DC72" t="n">
        <v>41</v>
      </c>
      <c r="DD72" t="n">
        <v>35</v>
      </c>
      <c r="DE72" t="n">
        <v>6.94</v>
      </c>
      <c r="DF72" t="n">
        <v>3</v>
      </c>
      <c r="DG72" t="n">
        <v>0</v>
      </c>
      <c r="DI72" t="n">
        <v>2</v>
      </c>
      <c r="DM72" t="n">
        <v>0</v>
      </c>
      <c r="DO72" t="n">
        <v>3.7</v>
      </c>
      <c r="DP72" t="n">
        <v>120.28</v>
      </c>
      <c r="DQ72" t="n">
        <v>60.14</v>
      </c>
      <c r="DR72" t="n">
        <v>120.28</v>
      </c>
      <c r="DS72" t="n">
        <v>0</v>
      </c>
      <c r="DT72" t="n">
        <v>3385</v>
      </c>
      <c r="DU72" t="n">
        <v>89.09</v>
      </c>
      <c r="DV72" t="inlineStr">
        <is>
          <t>flat</t>
        </is>
      </c>
      <c r="DW72" t="n">
        <v>108.94</v>
      </c>
      <c r="DX72" t="n">
        <v>112.88</v>
      </c>
      <c r="DY72" t="n">
        <v>108.47</v>
      </c>
      <c r="DZ72" t="n">
        <v>-0.47</v>
      </c>
      <c r="EA72" t="n">
        <v>900</v>
      </c>
      <c r="EB72" t="n">
        <v>15.93</v>
      </c>
      <c r="EC72" t="n">
        <v>11.43</v>
      </c>
      <c r="ED72" t="n">
        <v>120</v>
      </c>
      <c r="EE72" t="n">
        <v>1503</v>
      </c>
      <c r="EF72" t="b">
        <v>1</v>
      </c>
      <c r="EG72" t="n">
        <v>33.9</v>
      </c>
      <c r="EH72" t="n">
        <v>9.1</v>
      </c>
      <c r="EI72" t="n">
        <v>392</v>
      </c>
      <c r="EP72" t="n">
        <v>27.6</v>
      </c>
    </row>
    <row r="73">
      <c r="A73" t="inlineStr">
        <is>
          <t>Granit Xhaka</t>
        </is>
      </c>
      <c r="B73" t="inlineStr">
        <is>
          <t>SUN</t>
        </is>
      </c>
      <c r="C73" t="inlineStr">
        <is>
          <t>MID</t>
        </is>
      </c>
      <c r="D73" t="inlineStr">
        <is>
          <t>MID</t>
        </is>
      </c>
      <c r="E73" t="n">
        <v>5.5</v>
      </c>
      <c r="F73" t="b">
        <v>1</v>
      </c>
      <c r="G73" t="b">
        <v>1</v>
      </c>
      <c r="H73" t="n">
        <v>33.9</v>
      </c>
      <c r="I73" t="inlineStr">
        <is>
          <t>a</t>
        </is>
      </c>
      <c r="L73" t="inlineStr">
        <is>
          <t>p84450</t>
        </is>
      </c>
      <c r="M73" t="n">
        <v>544</v>
      </c>
      <c r="O73" t="n">
        <v>2</v>
      </c>
      <c r="P73" t="n">
        <v>1</v>
      </c>
      <c r="Q73" t="n">
        <v>2901</v>
      </c>
      <c r="R73" t="n">
        <v>34</v>
      </c>
      <c r="S73" t="n">
        <v>32</v>
      </c>
      <c r="T73" t="n">
        <v>32.233</v>
      </c>
      <c r="U73" t="n">
        <v>85.3</v>
      </c>
      <c r="V73" t="n">
        <v>124</v>
      </c>
      <c r="W73" t="n">
        <v>3.847</v>
      </c>
      <c r="X73" t="n">
        <v>1</v>
      </c>
      <c r="Y73" t="n">
        <v>6</v>
      </c>
      <c r="Z73" t="n">
        <v>6</v>
      </c>
      <c r="AA73" t="n">
        <v>9</v>
      </c>
      <c r="AB73" t="n">
        <v>39</v>
      </c>
      <c r="AC73" t="n">
        <v>8</v>
      </c>
      <c r="AD73" t="n">
        <v>8</v>
      </c>
      <c r="AE73" t="n">
        <v>0</v>
      </c>
      <c r="AF73" t="n">
        <v>603</v>
      </c>
      <c r="AG73" t="n">
        <v>583</v>
      </c>
      <c r="AH73" t="n">
        <v>-20</v>
      </c>
      <c r="AI73" t="n">
        <v>124</v>
      </c>
      <c r="AJ73" t="n">
        <v>0.065</v>
      </c>
      <c r="AK73" t="n">
        <v>0.06900000000000001</v>
      </c>
      <c r="AL73" t="n">
        <v>362</v>
      </c>
      <c r="AM73" t="n">
        <v>11.231</v>
      </c>
      <c r="AN73" t="n">
        <v>13</v>
      </c>
      <c r="AO73" t="n">
        <v>26</v>
      </c>
      <c r="AP73" t="n">
        <v>0.406</v>
      </c>
      <c r="AQ73" t="n">
        <v>0.594</v>
      </c>
      <c r="AR73" t="n">
        <v>0.406</v>
      </c>
      <c r="AS73" t="n">
        <v>0.842</v>
      </c>
      <c r="AT73" t="n">
        <v>0.9409999999999999</v>
      </c>
      <c r="AU73" t="n">
        <v>13</v>
      </c>
      <c r="AV73" t="n">
        <v>1</v>
      </c>
      <c r="AW73" t="n">
        <v>2.45</v>
      </c>
      <c r="AX73" t="n">
        <v>10</v>
      </c>
      <c r="AY73" t="n">
        <v>1.01</v>
      </c>
      <c r="AZ73" t="n">
        <v>0.8070000000000001</v>
      </c>
      <c r="BA73" t="n">
        <v>0.909</v>
      </c>
      <c r="BB73" t="n">
        <v>0.8070000000000001</v>
      </c>
      <c r="BC73" t="n">
        <v>0.031</v>
      </c>
      <c r="BD73" t="n">
        <v>0.025</v>
      </c>
      <c r="BE73" t="n">
        <v>0.028</v>
      </c>
      <c r="BF73" t="n">
        <v>0.8</v>
      </c>
      <c r="BG73" t="n">
        <v>0.025</v>
      </c>
      <c r="BH73" t="n">
        <v>1.091</v>
      </c>
      <c r="BI73" t="n">
        <v>5.66</v>
      </c>
      <c r="BJ73" t="n">
        <v>1.102</v>
      </c>
      <c r="BK73" t="n">
        <v>0.034</v>
      </c>
      <c r="BL73" t="n">
        <v>0.091</v>
      </c>
      <c r="BM73" t="n">
        <v>-0.21</v>
      </c>
      <c r="BN73" t="n">
        <v>0.2</v>
      </c>
      <c r="BO73" t="n">
        <v>0.203</v>
      </c>
      <c r="BP73" t="n">
        <v>21</v>
      </c>
      <c r="BQ73" t="n">
        <v>5</v>
      </c>
      <c r="BS73" t="n">
        <v>16</v>
      </c>
      <c r="BT73" t="n">
        <v>0.496</v>
      </c>
      <c r="BW73" t="n">
        <v>3.73</v>
      </c>
      <c r="BX73" t="n">
        <v>3.705</v>
      </c>
      <c r="BY73" t="n">
        <v>3.717</v>
      </c>
      <c r="BZ73" t="n">
        <v>0.115</v>
      </c>
      <c r="CA73" t="n">
        <v>4.626</v>
      </c>
      <c r="CB73" t="n">
        <v>0.144</v>
      </c>
      <c r="CC73" t="n">
        <v>34</v>
      </c>
      <c r="CD73" t="n">
        <v>9</v>
      </c>
      <c r="CE73" t="n">
        <v>34</v>
      </c>
      <c r="CF73" t="n">
        <v>23</v>
      </c>
      <c r="CG73" t="n">
        <v>3</v>
      </c>
      <c r="CH73" t="n">
        <v>61</v>
      </c>
      <c r="CI73" t="n">
        <v>10.455</v>
      </c>
      <c r="CJ73" t="n">
        <v>8.981</v>
      </c>
      <c r="CK73" t="n">
        <v>134</v>
      </c>
      <c r="CL73" t="n">
        <v>178</v>
      </c>
      <c r="CM73" t="n">
        <v>50</v>
      </c>
      <c r="CN73" t="n">
        <v>33</v>
      </c>
      <c r="CO73" t="n">
        <v>29</v>
      </c>
      <c r="CP73" t="n">
        <v>85</v>
      </c>
      <c r="CQ73" t="n">
        <v>20</v>
      </c>
      <c r="CR73" t="n">
        <v>155</v>
      </c>
      <c r="CS73" t="n">
        <v>56</v>
      </c>
      <c r="CT73" t="n">
        <v>0.3</v>
      </c>
      <c r="CV73" t="n">
        <v>3</v>
      </c>
      <c r="CW73" t="n">
        <v>45.68</v>
      </c>
      <c r="CX73" t="n">
        <v>1.417</v>
      </c>
      <c r="CY73" t="n">
        <v>0</v>
      </c>
      <c r="DB73" t="n">
        <v>0</v>
      </c>
      <c r="DE73" t="n">
        <v>7.24</v>
      </c>
      <c r="DF73" t="n">
        <v>8</v>
      </c>
      <c r="DG73" t="n">
        <v>0</v>
      </c>
      <c r="DH73" t="n">
        <v>23</v>
      </c>
      <c r="DI73" t="n">
        <v>41</v>
      </c>
      <c r="DL73" t="n">
        <v>11</v>
      </c>
      <c r="DM73" t="n">
        <v>17</v>
      </c>
      <c r="DO73" t="n">
        <v>5.1</v>
      </c>
      <c r="DP73" t="n">
        <v>132.54</v>
      </c>
      <c r="DQ73" t="n">
        <v>66.27</v>
      </c>
      <c r="DR73" t="n">
        <v>132.54</v>
      </c>
      <c r="DS73" t="n">
        <v>0</v>
      </c>
      <c r="DT73" t="n">
        <v>3295</v>
      </c>
      <c r="DU73" t="n">
        <v>86.7</v>
      </c>
      <c r="DV73" t="inlineStr">
        <is>
          <t>flat</t>
        </is>
      </c>
      <c r="DW73" t="n">
        <v>77.44</v>
      </c>
      <c r="DX73" t="n">
        <v>81.5</v>
      </c>
      <c r="DY73" t="n">
        <v>76.2</v>
      </c>
      <c r="DZ73" t="n">
        <v>-1.24</v>
      </c>
      <c r="EA73" t="n">
        <v>490</v>
      </c>
      <c r="EB73" t="n">
        <v>22.43</v>
      </c>
      <c r="EC73" t="n">
        <v>3</v>
      </c>
      <c r="ED73" t="n">
        <v>120</v>
      </c>
      <c r="EE73" t="n">
        <v>947</v>
      </c>
      <c r="EF73" t="b">
        <v>1</v>
      </c>
      <c r="EG73" t="n">
        <v>21.8</v>
      </c>
      <c r="EH73" t="n">
        <v>11</v>
      </c>
      <c r="EI73" t="n">
        <v>121</v>
      </c>
      <c r="EJ73" t="n">
        <v>138.1</v>
      </c>
      <c r="EK73" t="n">
        <v>181.3</v>
      </c>
      <c r="EL73" t="n">
        <v>85.3</v>
      </c>
      <c r="EM73" t="n">
        <v>3192.7</v>
      </c>
      <c r="EN73" t="n">
        <v>780.4</v>
      </c>
      <c r="EO73" t="n">
        <v>627.1</v>
      </c>
      <c r="EP73" t="n">
        <v>23.4</v>
      </c>
    </row>
    <row r="74">
      <c r="A74" t="inlineStr">
        <is>
          <t>Joachim Andersen</t>
        </is>
      </c>
      <c r="B74" t="inlineStr">
        <is>
          <t>FUL</t>
        </is>
      </c>
      <c r="C74" t="inlineStr">
        <is>
          <t>DEF</t>
        </is>
      </c>
      <c r="D74" t="inlineStr">
        <is>
          <t>DEF</t>
        </is>
      </c>
      <c r="E74" t="n">
        <v>5</v>
      </c>
      <c r="F74" t="b">
        <v>1</v>
      </c>
      <c r="G74" t="b">
        <v>1</v>
      </c>
      <c r="H74" t="n">
        <v>30.2</v>
      </c>
      <c r="I74" t="inlineStr">
        <is>
          <t>s</t>
        </is>
      </c>
      <c r="J74" t="inlineStr">
        <is>
          <t>Suspended until 30 Aug</t>
        </is>
      </c>
      <c r="K74" t="n">
        <v>0</v>
      </c>
      <c r="L74" t="inlineStr">
        <is>
          <t>p174874</t>
        </is>
      </c>
      <c r="M74" t="n">
        <v>253</v>
      </c>
      <c r="Q74" t="n">
        <v>2882</v>
      </c>
      <c r="R74" t="n">
        <v>33</v>
      </c>
      <c r="S74" t="n">
        <v>33</v>
      </c>
      <c r="T74" t="n">
        <v>32.022</v>
      </c>
      <c r="U74" t="n">
        <v>87.3</v>
      </c>
      <c r="V74" t="n">
        <v>123</v>
      </c>
      <c r="W74" t="n">
        <v>3.841</v>
      </c>
      <c r="X74" t="n">
        <v>0</v>
      </c>
      <c r="Y74" t="n">
        <v>1</v>
      </c>
      <c r="Z74" t="n">
        <v>1</v>
      </c>
      <c r="AA74" t="n">
        <v>8</v>
      </c>
      <c r="AB74" t="n">
        <v>45</v>
      </c>
      <c r="AC74" t="n">
        <v>8</v>
      </c>
      <c r="AD74" t="n">
        <v>6</v>
      </c>
      <c r="AE74" t="n">
        <v>-2</v>
      </c>
      <c r="AF74" t="n">
        <v>424</v>
      </c>
      <c r="AG74" t="n">
        <v>372</v>
      </c>
      <c r="AH74" t="n">
        <v>-52</v>
      </c>
      <c r="AI74" t="n">
        <v>121</v>
      </c>
      <c r="AJ74" t="n">
        <v>0.065</v>
      </c>
      <c r="AK74" t="n">
        <v>0.07000000000000001</v>
      </c>
      <c r="AL74" t="n">
        <v>329</v>
      </c>
      <c r="AM74" t="n">
        <v>10.274</v>
      </c>
      <c r="AN74" t="n">
        <v>20</v>
      </c>
      <c r="AO74" t="n">
        <v>40</v>
      </c>
      <c r="AP74" t="n">
        <v>0.606</v>
      </c>
      <c r="AQ74" t="n">
        <v>0.606</v>
      </c>
      <c r="AR74" t="n">
        <v>0.394</v>
      </c>
      <c r="AS74" t="n">
        <v>0.868</v>
      </c>
      <c r="AT74" t="n">
        <v>0.9389999999999999</v>
      </c>
      <c r="AU74" t="n">
        <v>12</v>
      </c>
      <c r="AV74" t="n">
        <v>3</v>
      </c>
      <c r="AW74" t="n">
        <v>3.09</v>
      </c>
      <c r="AX74" t="n">
        <v>11</v>
      </c>
      <c r="AY74" t="n">
        <v>1.43</v>
      </c>
      <c r="AZ74" t="n">
        <v>1.659</v>
      </c>
      <c r="BA74" t="n">
        <v>1.545</v>
      </c>
      <c r="BB74" t="n">
        <v>1.659</v>
      </c>
      <c r="BC74" t="n">
        <v>0.045</v>
      </c>
      <c r="BD74" t="n">
        <v>0.052</v>
      </c>
      <c r="BE74" t="n">
        <v>0.048</v>
      </c>
      <c r="BF74" t="n">
        <v>0.8</v>
      </c>
      <c r="BG74" t="n">
        <v>0.025</v>
      </c>
      <c r="BH74" t="n">
        <v>0.958</v>
      </c>
      <c r="BI74" t="n">
        <v>6.09</v>
      </c>
      <c r="BJ74" t="n">
        <v>1.37</v>
      </c>
      <c r="BK74" t="n">
        <v>0.043</v>
      </c>
      <c r="BL74" t="n">
        <v>-1.545</v>
      </c>
      <c r="BM74" t="n">
        <v>-0.63</v>
      </c>
      <c r="BN74" t="n">
        <v>-0.8</v>
      </c>
      <c r="BO74" t="n">
        <v>-0.229</v>
      </c>
      <c r="BP74" t="n">
        <v>16</v>
      </c>
      <c r="BQ74" t="n">
        <v>4</v>
      </c>
      <c r="BR74" t="n">
        <v>2</v>
      </c>
      <c r="BS74" t="n">
        <v>35</v>
      </c>
      <c r="BT74" t="n">
        <v>1.093</v>
      </c>
      <c r="BW74" t="n">
        <v>1.83</v>
      </c>
      <c r="BX74" t="n">
        <v>0.581</v>
      </c>
      <c r="BY74" t="n">
        <v>1.205</v>
      </c>
      <c r="BZ74" t="n">
        <v>0.038</v>
      </c>
      <c r="CA74" t="n">
        <v>2.75</v>
      </c>
      <c r="CB74" t="n">
        <v>0.08599999999999999</v>
      </c>
      <c r="CC74" t="n">
        <v>6</v>
      </c>
      <c r="CD74" t="n">
        <v>3</v>
      </c>
      <c r="CE74" t="n">
        <v>7</v>
      </c>
      <c r="CF74" t="n">
        <v>4</v>
      </c>
      <c r="CI74" t="n">
        <v>9.26</v>
      </c>
      <c r="CJ74" t="n">
        <v>8.928000000000001</v>
      </c>
      <c r="CK74" t="n">
        <v>284</v>
      </c>
      <c r="CL74" t="n">
        <v>114</v>
      </c>
      <c r="CM74" t="n">
        <v>45</v>
      </c>
      <c r="CN74" t="n">
        <v>27</v>
      </c>
      <c r="CO74" t="n">
        <v>36</v>
      </c>
      <c r="CP74" t="n">
        <v>229</v>
      </c>
      <c r="CQ74" t="n">
        <v>19</v>
      </c>
      <c r="CR74" t="n">
        <v>141</v>
      </c>
      <c r="CS74" t="n">
        <v>79</v>
      </c>
      <c r="CT74" t="n">
        <v>0</v>
      </c>
      <c r="CU74" t="n">
        <v>2</v>
      </c>
      <c r="CV74" t="n">
        <v>1</v>
      </c>
      <c r="CW74" t="n">
        <v>44.88</v>
      </c>
      <c r="CX74" t="n">
        <v>1.402</v>
      </c>
      <c r="CY74" t="n">
        <v>0</v>
      </c>
      <c r="DB74" t="n">
        <v>0</v>
      </c>
      <c r="DE74" t="n">
        <v>6.94</v>
      </c>
      <c r="DF74" t="n">
        <v>7</v>
      </c>
      <c r="DG74" t="n">
        <v>1</v>
      </c>
      <c r="DH74" t="n">
        <v>31</v>
      </c>
      <c r="DI74" t="n">
        <v>13</v>
      </c>
      <c r="DL74" t="n">
        <v>6</v>
      </c>
      <c r="DM74" t="n">
        <v>3</v>
      </c>
      <c r="DO74" t="n">
        <v>0.1</v>
      </c>
      <c r="DP74" t="n">
        <v>124.77</v>
      </c>
      <c r="DQ74" t="n">
        <v>60.7</v>
      </c>
      <c r="DR74" t="n">
        <v>121.4</v>
      </c>
      <c r="DS74" t="n">
        <v>3.37</v>
      </c>
      <c r="DT74" t="n">
        <v>3032</v>
      </c>
      <c r="DU74" t="n">
        <v>79.8</v>
      </c>
      <c r="DV74" t="inlineStr">
        <is>
          <t>flat</t>
        </is>
      </c>
      <c r="DW74" t="n">
        <v>100.2</v>
      </c>
      <c r="DX74" t="n">
        <v>101.85</v>
      </c>
      <c r="DY74" t="n">
        <v>100.94</v>
      </c>
      <c r="DZ74" t="n">
        <v>0.74</v>
      </c>
      <c r="EA74" t="n">
        <v>119</v>
      </c>
      <c r="EB74" t="n">
        <v>14.54</v>
      </c>
      <c r="EC74" t="n">
        <v>25.33</v>
      </c>
      <c r="ED74" t="n">
        <v>120</v>
      </c>
      <c r="EE74" t="n">
        <v>197</v>
      </c>
      <c r="EF74" t="b">
        <v>1</v>
      </c>
      <c r="EG74" t="n">
        <v>14.6</v>
      </c>
      <c r="EH74" t="n">
        <v>72.3</v>
      </c>
      <c r="EI74" t="n">
        <v>232</v>
      </c>
      <c r="EJ74" t="n">
        <v>180.1</v>
      </c>
      <c r="EK74" t="n">
        <v>82.3</v>
      </c>
      <c r="EL74" t="n">
        <v>411.7</v>
      </c>
      <c r="EM74" t="n">
        <v>1865.8</v>
      </c>
      <c r="EN74" t="n">
        <v>2390.8</v>
      </c>
      <c r="EO74" t="n">
        <v>1048</v>
      </c>
      <c r="EP74" t="n">
        <v>23.4</v>
      </c>
    </row>
    <row r="75">
      <c r="A75" t="inlineStr">
        <is>
          <t>Bernd Leno</t>
        </is>
      </c>
      <c r="B75" t="inlineStr">
        <is>
          <t>FUL</t>
        </is>
      </c>
      <c r="C75" t="inlineStr">
        <is>
          <t>GKP</t>
        </is>
      </c>
      <c r="D75" t="inlineStr">
        <is>
          <t>GKP</t>
        </is>
      </c>
      <c r="E75" t="n">
        <v>4.5</v>
      </c>
      <c r="F75" t="b">
        <v>1</v>
      </c>
      <c r="G75" t="b">
        <v>1</v>
      </c>
      <c r="H75" t="n">
        <v>34.5</v>
      </c>
      <c r="I75" t="inlineStr">
        <is>
          <t>a</t>
        </is>
      </c>
      <c r="L75" t="inlineStr">
        <is>
          <t>p80201</t>
        </is>
      </c>
      <c r="M75" t="n">
        <v>250</v>
      </c>
      <c r="Q75" t="n">
        <v>3420</v>
      </c>
      <c r="R75" t="n">
        <v>38</v>
      </c>
      <c r="S75" t="n">
        <v>38</v>
      </c>
      <c r="T75" t="n">
        <v>38</v>
      </c>
      <c r="U75" t="n">
        <v>90</v>
      </c>
      <c r="V75" t="n">
        <v>122</v>
      </c>
      <c r="W75" t="n">
        <v>3.211</v>
      </c>
      <c r="X75" t="n">
        <v>0</v>
      </c>
      <c r="Y75" t="n">
        <v>0</v>
      </c>
      <c r="AA75" t="n">
        <v>9</v>
      </c>
      <c r="AB75" t="n">
        <v>51</v>
      </c>
      <c r="AC75" t="n">
        <v>8</v>
      </c>
      <c r="AD75" t="n">
        <v>10</v>
      </c>
      <c r="AE75" t="n">
        <v>2</v>
      </c>
      <c r="AF75" t="n">
        <v>556</v>
      </c>
      <c r="AG75" t="n">
        <v>546</v>
      </c>
      <c r="AH75" t="n">
        <v>-10</v>
      </c>
      <c r="AI75" t="n">
        <v>124</v>
      </c>
      <c r="AJ75" t="n">
        <v>0.066</v>
      </c>
      <c r="AK75" t="n">
        <v>0.07000000000000001</v>
      </c>
      <c r="AL75" t="n">
        <v>0</v>
      </c>
      <c r="AM75" t="n">
        <v>0</v>
      </c>
      <c r="AN75" t="n">
        <v>0</v>
      </c>
      <c r="AO75" t="n">
        <v>0</v>
      </c>
      <c r="AP75" t="n">
        <v>0</v>
      </c>
      <c r="AQ75" t="n">
        <v>0</v>
      </c>
      <c r="AR75" t="n">
        <v>0</v>
      </c>
      <c r="AS75" t="n">
        <v>1</v>
      </c>
      <c r="AT75" t="n">
        <v>1</v>
      </c>
      <c r="AU75" t="n">
        <v>18</v>
      </c>
      <c r="AV75" t="n">
        <v>1</v>
      </c>
      <c r="AW75" t="n">
        <v>2.41</v>
      </c>
      <c r="AX75" t="n">
        <v>10</v>
      </c>
      <c r="AY75" t="n">
        <v>0</v>
      </c>
      <c r="AZ75" t="n">
        <v>0</v>
      </c>
      <c r="BA75" t="n">
        <v>0</v>
      </c>
      <c r="BB75" t="n">
        <v>0</v>
      </c>
      <c r="BC75" t="n">
        <v>0</v>
      </c>
      <c r="BD75" t="n">
        <v>0</v>
      </c>
      <c r="BE75" t="n">
        <v>0</v>
      </c>
      <c r="BH75" t="n">
        <v>1</v>
      </c>
      <c r="BI75" t="n">
        <v>0</v>
      </c>
      <c r="BJ75" t="n">
        <v>0</v>
      </c>
      <c r="BK75" t="n">
        <v>0</v>
      </c>
      <c r="BL75" t="n">
        <v>0</v>
      </c>
      <c r="BO75" t="n">
        <v>0</v>
      </c>
      <c r="BW75" t="n">
        <v>0.02</v>
      </c>
      <c r="BX75" t="n">
        <v>0</v>
      </c>
      <c r="BY75" t="n">
        <v>0.01</v>
      </c>
      <c r="BZ75" t="n">
        <v>0</v>
      </c>
      <c r="CA75" t="n">
        <v>0.01</v>
      </c>
      <c r="CB75" t="n">
        <v>0</v>
      </c>
      <c r="CC75" t="n">
        <v>0</v>
      </c>
      <c r="CI75" t="n">
        <v>4.903</v>
      </c>
      <c r="CJ75" t="n">
        <v>4.903</v>
      </c>
      <c r="CK75" t="n">
        <v>46</v>
      </c>
      <c r="CL75" t="n">
        <v>318</v>
      </c>
      <c r="CM75" t="n">
        <v>4</v>
      </c>
      <c r="CN75" t="n">
        <v>1</v>
      </c>
      <c r="CO75" t="n">
        <v>1</v>
      </c>
      <c r="CP75" t="n">
        <v>45</v>
      </c>
      <c r="CR75" t="n">
        <v>28</v>
      </c>
      <c r="CS75" t="n">
        <v>21</v>
      </c>
      <c r="CU75" t="n">
        <v>1</v>
      </c>
      <c r="CV75" t="n">
        <v>4</v>
      </c>
      <c r="CW75" t="n">
        <v>52.73</v>
      </c>
      <c r="CX75" t="n">
        <v>1.388</v>
      </c>
      <c r="CY75" t="n">
        <v>98</v>
      </c>
      <c r="CZ75" t="n">
        <v>65.8</v>
      </c>
      <c r="DA75" t="n">
        <v>-5.8</v>
      </c>
      <c r="DB75" t="n">
        <v>0</v>
      </c>
      <c r="DC75" t="n">
        <v>30</v>
      </c>
      <c r="DD75" t="n">
        <v>30</v>
      </c>
      <c r="DE75" t="n">
        <v>6.85</v>
      </c>
      <c r="DF75" t="n">
        <v>3</v>
      </c>
      <c r="DG75" t="n">
        <v>0</v>
      </c>
      <c r="DI75" t="n">
        <v>6</v>
      </c>
      <c r="DL75" t="n">
        <v>0</v>
      </c>
      <c r="DO75" t="n">
        <v>3.3</v>
      </c>
      <c r="DP75" t="n">
        <v>120.4</v>
      </c>
      <c r="DQ75" t="n">
        <v>60.2</v>
      </c>
      <c r="DR75" t="n">
        <v>120.4</v>
      </c>
      <c r="DS75" t="n">
        <v>0</v>
      </c>
      <c r="DT75" t="n">
        <v>3420</v>
      </c>
      <c r="DU75" t="n">
        <v>89.98999999999999</v>
      </c>
      <c r="DV75" t="inlineStr">
        <is>
          <t>flat</t>
        </is>
      </c>
      <c r="DW75" t="n">
        <v>110.74</v>
      </c>
      <c r="DX75" t="n">
        <v>114.47</v>
      </c>
      <c r="DY75" t="n">
        <v>110.13</v>
      </c>
      <c r="DZ75" t="n">
        <v>-0.61</v>
      </c>
      <c r="EA75" t="n">
        <v>885</v>
      </c>
      <c r="EB75" t="n">
        <v>13.91</v>
      </c>
      <c r="EC75" t="n">
        <v>20</v>
      </c>
      <c r="ED75" t="n">
        <v>120</v>
      </c>
      <c r="EE75" t="n">
        <v>1380</v>
      </c>
      <c r="EF75" t="b">
        <v>1</v>
      </c>
      <c r="EG75" t="n">
        <v>30.4</v>
      </c>
      <c r="EH75" t="n">
        <v>6.9</v>
      </c>
      <c r="EI75" t="n">
        <v>393</v>
      </c>
      <c r="EN75" t="n">
        <v>342000</v>
      </c>
      <c r="EO75" t="n">
        <v>342000</v>
      </c>
      <c r="EP75" t="n">
        <v>28</v>
      </c>
    </row>
    <row r="76">
      <c r="A76" t="inlineStr">
        <is>
          <t>Emiliano Martínez</t>
        </is>
      </c>
      <c r="B76" t="inlineStr">
        <is>
          <t>AVL</t>
        </is>
      </c>
      <c r="C76" t="inlineStr">
        <is>
          <t>GKP</t>
        </is>
      </c>
      <c r="D76" t="inlineStr">
        <is>
          <t>GKP</t>
        </is>
      </c>
      <c r="E76" t="n">
        <v>5</v>
      </c>
      <c r="F76" t="b">
        <v>1</v>
      </c>
      <c r="G76" t="b">
        <v>1</v>
      </c>
      <c r="H76" t="n">
        <v>34</v>
      </c>
      <c r="I76" t="inlineStr">
        <is>
          <t>a</t>
        </is>
      </c>
      <c r="L76" t="inlineStr">
        <is>
          <t>p98980</t>
        </is>
      </c>
      <c r="M76" t="n">
        <v>28</v>
      </c>
      <c r="Q76" t="n">
        <v>2835</v>
      </c>
      <c r="R76" t="n">
        <v>32</v>
      </c>
      <c r="S76" t="n">
        <v>32</v>
      </c>
      <c r="T76" t="n">
        <v>31.5</v>
      </c>
      <c r="U76" t="n">
        <v>88.59999999999999</v>
      </c>
      <c r="V76" t="n">
        <v>120</v>
      </c>
      <c r="W76" t="n">
        <v>3.81</v>
      </c>
      <c r="X76" t="n">
        <v>0</v>
      </c>
      <c r="Y76" t="n">
        <v>1</v>
      </c>
      <c r="Z76" t="n">
        <v>1</v>
      </c>
      <c r="AA76" t="n">
        <v>7</v>
      </c>
      <c r="AB76" t="n">
        <v>39</v>
      </c>
      <c r="AC76" t="n">
        <v>11</v>
      </c>
      <c r="AD76" t="n">
        <v>10</v>
      </c>
      <c r="AE76" t="n">
        <v>-1</v>
      </c>
      <c r="AF76" t="n">
        <v>530</v>
      </c>
      <c r="AG76" t="n">
        <v>525</v>
      </c>
      <c r="AH76" t="n">
        <v>-5</v>
      </c>
      <c r="AI76" t="n">
        <v>119</v>
      </c>
      <c r="AJ76" t="n">
        <v>0.092</v>
      </c>
      <c r="AK76" t="n">
        <v>0.101</v>
      </c>
      <c r="AL76" t="n">
        <v>0</v>
      </c>
      <c r="AM76" t="n">
        <v>0</v>
      </c>
      <c r="AN76" t="n">
        <v>0</v>
      </c>
      <c r="AO76" t="n">
        <v>0</v>
      </c>
      <c r="AP76" t="n">
        <v>0</v>
      </c>
      <c r="AQ76" t="n">
        <v>0</v>
      </c>
      <c r="AR76" t="n">
        <v>0</v>
      </c>
      <c r="AS76" t="n">
        <v>0.842</v>
      </c>
      <c r="AT76" t="n">
        <v>0.969</v>
      </c>
      <c r="AU76" t="n">
        <v>15</v>
      </c>
      <c r="AV76" t="n">
        <v>2</v>
      </c>
      <c r="AW76" t="n">
        <v>3.12</v>
      </c>
      <c r="AX76" t="n">
        <v>14</v>
      </c>
      <c r="AY76" t="n">
        <v>0</v>
      </c>
      <c r="AZ76" t="n">
        <v>0</v>
      </c>
      <c r="BA76" t="n">
        <v>0</v>
      </c>
      <c r="BB76" t="n">
        <v>0</v>
      </c>
      <c r="BC76" t="n">
        <v>0</v>
      </c>
      <c r="BD76" t="n">
        <v>0</v>
      </c>
      <c r="BE76" t="n">
        <v>0</v>
      </c>
      <c r="BH76" t="n">
        <v>1</v>
      </c>
      <c r="BI76" t="n">
        <v>0</v>
      </c>
      <c r="BJ76" t="n">
        <v>0</v>
      </c>
      <c r="BK76" t="n">
        <v>0</v>
      </c>
      <c r="BL76" t="n">
        <v>0</v>
      </c>
      <c r="BO76" t="n">
        <v>0</v>
      </c>
      <c r="BW76" t="n">
        <v>0.08</v>
      </c>
      <c r="BX76" t="n">
        <v>0.354</v>
      </c>
      <c r="BY76" t="n">
        <v>0.217</v>
      </c>
      <c r="BZ76" t="n">
        <v>0.007</v>
      </c>
      <c r="CA76" t="n">
        <v>0.217</v>
      </c>
      <c r="CB76" t="n">
        <v>0.007</v>
      </c>
      <c r="CC76" t="n">
        <v>2</v>
      </c>
      <c r="CD76" t="n">
        <v>2</v>
      </c>
      <c r="CE76" t="n">
        <v>2</v>
      </c>
      <c r="CI76" t="n">
        <v>4.598</v>
      </c>
      <c r="CJ76" t="n">
        <v>4.244</v>
      </c>
      <c r="CK76" t="n">
        <v>27</v>
      </c>
      <c r="CL76" t="n">
        <v>272</v>
      </c>
      <c r="CM76" t="n">
        <v>0</v>
      </c>
      <c r="CP76" t="n">
        <v>27</v>
      </c>
      <c r="CR76" t="n">
        <v>28</v>
      </c>
      <c r="CS76" t="n">
        <v>16</v>
      </c>
      <c r="CU76" t="n">
        <v>3</v>
      </c>
      <c r="CV76" t="n">
        <v>2</v>
      </c>
      <c r="CW76" t="n">
        <v>42.92</v>
      </c>
      <c r="CX76" t="n">
        <v>1.363</v>
      </c>
      <c r="CY76" t="n">
        <v>95</v>
      </c>
      <c r="CZ76" t="n">
        <v>70.90000000000001</v>
      </c>
      <c r="DA76" t="n">
        <v>3.5</v>
      </c>
      <c r="DB76" t="n">
        <v>1</v>
      </c>
      <c r="DC76" t="n">
        <v>48</v>
      </c>
      <c r="DD76" t="n">
        <v>10</v>
      </c>
      <c r="DE76" t="n">
        <v>7.07</v>
      </c>
      <c r="DF76" t="n">
        <v>2</v>
      </c>
      <c r="DG76" t="n">
        <v>0</v>
      </c>
      <c r="DI76" t="n">
        <v>17</v>
      </c>
      <c r="DO76" t="n">
        <v>5</v>
      </c>
      <c r="DP76" t="n">
        <v>129.04</v>
      </c>
      <c r="DQ76" t="n">
        <v>64.52</v>
      </c>
      <c r="DR76" t="n">
        <v>129.04</v>
      </c>
      <c r="DS76" t="n">
        <v>0</v>
      </c>
      <c r="DT76" t="n">
        <v>3385</v>
      </c>
      <c r="DU76" t="n">
        <v>89.09</v>
      </c>
      <c r="DV76" t="inlineStr">
        <is>
          <t>flat</t>
        </is>
      </c>
      <c r="DW76" t="n">
        <v>83.72</v>
      </c>
      <c r="DX76" t="n">
        <v>88.92</v>
      </c>
      <c r="DY76" t="n">
        <v>80.44</v>
      </c>
      <c r="DZ76" t="n">
        <v>-3.27</v>
      </c>
      <c r="EA76" t="n">
        <v>1536</v>
      </c>
      <c r="EB76" t="n">
        <v>26.66</v>
      </c>
      <c r="EC76" t="n">
        <v>2</v>
      </c>
      <c r="ED76" t="n">
        <v>120</v>
      </c>
      <c r="EE76" t="n">
        <v>2935</v>
      </c>
      <c r="EF76" t="b">
        <v>1</v>
      </c>
      <c r="EG76" t="n">
        <v>99</v>
      </c>
      <c r="EH76" t="n">
        <v>39.2</v>
      </c>
      <c r="EI76" t="n">
        <v>233</v>
      </c>
      <c r="EL76" t="n">
        <v>1417.5</v>
      </c>
      <c r="EN76" t="n">
        <v>13069.3</v>
      </c>
      <c r="EO76" t="n">
        <v>13069.3</v>
      </c>
      <c r="EP76" t="n">
        <v>23.6</v>
      </c>
    </row>
    <row r="77">
      <c r="A77" t="inlineStr">
        <is>
          <t>Jérémy Doku</t>
        </is>
      </c>
      <c r="B77" t="inlineStr">
        <is>
          <t>MCI</t>
        </is>
      </c>
      <c r="C77" t="inlineStr">
        <is>
          <t>MID</t>
        </is>
      </c>
      <c r="D77" t="inlineStr">
        <is>
          <t>MID</t>
        </is>
      </c>
      <c r="E77" t="n">
        <v>7.5</v>
      </c>
      <c r="F77" t="b">
        <v>1</v>
      </c>
      <c r="G77" t="b">
        <v>1</v>
      </c>
      <c r="H77" t="n">
        <v>24.2</v>
      </c>
      <c r="I77" t="inlineStr">
        <is>
          <t>a</t>
        </is>
      </c>
      <c r="L77" t="inlineStr">
        <is>
          <t>p248875</t>
        </is>
      </c>
      <c r="M77" t="n">
        <v>400</v>
      </c>
      <c r="N77" t="n">
        <v>4</v>
      </c>
      <c r="Q77" t="n">
        <v>1773</v>
      </c>
      <c r="R77" t="n">
        <v>30</v>
      </c>
      <c r="S77" t="n">
        <v>19</v>
      </c>
      <c r="T77" t="n">
        <v>19.7</v>
      </c>
      <c r="U77" t="n">
        <v>59.1</v>
      </c>
      <c r="V77" t="n">
        <v>120</v>
      </c>
      <c r="W77" t="n">
        <v>6.091</v>
      </c>
      <c r="X77" t="n">
        <v>5</v>
      </c>
      <c r="Y77" t="n">
        <v>8</v>
      </c>
      <c r="Z77" t="n">
        <v>5</v>
      </c>
      <c r="AA77" t="n">
        <v>8</v>
      </c>
      <c r="AB77" t="n">
        <v>18</v>
      </c>
      <c r="AC77" t="n">
        <v>15</v>
      </c>
      <c r="AD77" t="n">
        <v>15</v>
      </c>
      <c r="AE77" t="n">
        <v>0</v>
      </c>
      <c r="AF77" t="n">
        <v>526</v>
      </c>
      <c r="AG77" t="n">
        <v>523</v>
      </c>
      <c r="AH77" t="n">
        <v>-3</v>
      </c>
      <c r="AI77" t="n">
        <v>120</v>
      </c>
      <c r="AJ77" t="n">
        <v>0.125</v>
      </c>
      <c r="AK77" t="n">
        <v>0.143</v>
      </c>
      <c r="AL77" t="n">
        <v>126</v>
      </c>
      <c r="AM77" t="n">
        <v>6.396</v>
      </c>
      <c r="AN77" t="n">
        <v>0</v>
      </c>
      <c r="AO77" t="n">
        <v>0</v>
      </c>
      <c r="AP77" t="n">
        <v>0</v>
      </c>
      <c r="AQ77" t="n">
        <v>0.105</v>
      </c>
      <c r="AR77" t="n">
        <v>0</v>
      </c>
      <c r="AS77" t="n">
        <v>0.5</v>
      </c>
      <c r="AT77" t="n">
        <v>0.6</v>
      </c>
      <c r="AU77" t="n">
        <v>18</v>
      </c>
      <c r="AV77" t="n">
        <v>5</v>
      </c>
      <c r="AW77" t="n">
        <v>3.96</v>
      </c>
      <c r="AX77" t="n">
        <v>15</v>
      </c>
      <c r="AY77" t="n">
        <v>2.87</v>
      </c>
      <c r="AZ77" t="n">
        <v>4</v>
      </c>
      <c r="BA77" t="n">
        <v>3.435</v>
      </c>
      <c r="BB77" t="n">
        <v>4</v>
      </c>
      <c r="BC77" t="n">
        <v>0.146</v>
      </c>
      <c r="BD77" t="n">
        <v>0.203</v>
      </c>
      <c r="BE77" t="n">
        <v>0.174</v>
      </c>
      <c r="BF77" t="n">
        <v>5.2</v>
      </c>
      <c r="BG77" t="n">
        <v>0.264</v>
      </c>
      <c r="BH77" t="n">
        <v>1.28</v>
      </c>
      <c r="BI77" t="n">
        <v>6.76</v>
      </c>
      <c r="BJ77" t="n">
        <v>3.675</v>
      </c>
      <c r="BK77" t="n">
        <v>0.187</v>
      </c>
      <c r="BL77" t="n">
        <v>1.565</v>
      </c>
      <c r="BM77" t="n">
        <v>2.33</v>
      </c>
      <c r="BN77" t="n">
        <v>-0.2</v>
      </c>
      <c r="BO77" t="n">
        <v>-1.13</v>
      </c>
      <c r="BP77" t="n">
        <v>39</v>
      </c>
      <c r="BQ77" t="n">
        <v>15</v>
      </c>
      <c r="BR77" t="n">
        <v>4</v>
      </c>
      <c r="BS77" t="n">
        <v>194</v>
      </c>
      <c r="BT77" t="n">
        <v>9.848000000000001</v>
      </c>
      <c r="BW77" t="n">
        <v>5.86</v>
      </c>
      <c r="BX77" t="n">
        <v>7.553</v>
      </c>
      <c r="BY77" t="n">
        <v>6.707</v>
      </c>
      <c r="BZ77" t="n">
        <v>0.34</v>
      </c>
      <c r="CA77" t="n">
        <v>10.142</v>
      </c>
      <c r="CB77" t="n">
        <v>0.515</v>
      </c>
      <c r="CC77" t="n">
        <v>59</v>
      </c>
      <c r="CD77" t="n">
        <v>13</v>
      </c>
      <c r="CE77" t="n">
        <v>59</v>
      </c>
      <c r="CF77" t="n">
        <v>16</v>
      </c>
      <c r="CG77" t="n">
        <v>10</v>
      </c>
      <c r="CH77" t="n">
        <v>1</v>
      </c>
      <c r="CI77" t="n">
        <v>18.844</v>
      </c>
      <c r="CJ77" t="n">
        <v>9.702</v>
      </c>
      <c r="CK77" t="n">
        <v>15</v>
      </c>
      <c r="CL77" t="n">
        <v>88</v>
      </c>
      <c r="CM77" t="n">
        <v>23</v>
      </c>
      <c r="CN77" t="n">
        <v>15</v>
      </c>
      <c r="CO77" t="n">
        <v>13</v>
      </c>
      <c r="CP77" t="n">
        <v>2</v>
      </c>
      <c r="CR77" t="n">
        <v>171</v>
      </c>
      <c r="CS77" t="n">
        <v>4</v>
      </c>
      <c r="CT77" t="n">
        <v>1</v>
      </c>
      <c r="CW77" t="n">
        <v>23.2</v>
      </c>
      <c r="CX77" t="n">
        <v>1.178</v>
      </c>
      <c r="CY77" t="n">
        <v>0</v>
      </c>
      <c r="DB77" t="n">
        <v>0</v>
      </c>
      <c r="DE77" t="n">
        <v>7.33</v>
      </c>
      <c r="DF77" t="n">
        <v>0</v>
      </c>
      <c r="DG77" t="n">
        <v>0</v>
      </c>
      <c r="DH77" t="n">
        <v>23</v>
      </c>
      <c r="DI77" t="n">
        <v>61</v>
      </c>
      <c r="DJ77" t="n">
        <v>2</v>
      </c>
      <c r="DL77" t="n">
        <v>84</v>
      </c>
      <c r="DM77" t="n">
        <v>49</v>
      </c>
      <c r="DN77" t="n">
        <v>3</v>
      </c>
      <c r="DO77" t="n">
        <v>6.4</v>
      </c>
      <c r="DP77" t="n">
        <v>140.01</v>
      </c>
      <c r="DQ77" t="n">
        <v>70.03</v>
      </c>
      <c r="DR77" t="n">
        <v>140.06</v>
      </c>
      <c r="DS77" t="n">
        <v>-0.05</v>
      </c>
      <c r="DT77" t="n">
        <v>2502</v>
      </c>
      <c r="DU77" t="n">
        <v>65.84999999999999</v>
      </c>
      <c r="DV77" t="inlineStr">
        <is>
          <t>flat</t>
        </is>
      </c>
      <c r="DW77" t="n">
        <v>27.88</v>
      </c>
      <c r="DX77" t="n">
        <v>25.77</v>
      </c>
      <c r="DY77" t="n">
        <v>28.04</v>
      </c>
      <c r="DZ77" t="n">
        <v>0.16</v>
      </c>
      <c r="EA77" t="n">
        <v>1456</v>
      </c>
      <c r="EB77" t="n">
        <v>15.72</v>
      </c>
      <c r="EC77" t="n">
        <v>2</v>
      </c>
      <c r="ED77" t="n">
        <v>120</v>
      </c>
      <c r="EE77" t="n">
        <v>2589</v>
      </c>
      <c r="EF77" t="b">
        <v>1</v>
      </c>
      <c r="EG77" t="n">
        <v>99.2</v>
      </c>
      <c r="EH77" t="n">
        <v>46.5</v>
      </c>
      <c r="EI77" t="n">
        <v>20</v>
      </c>
      <c r="EJ77" t="n">
        <v>45.5</v>
      </c>
      <c r="EK77" t="n">
        <v>9.1</v>
      </c>
      <c r="EL77" t="n">
        <v>30.1</v>
      </c>
      <c r="EM77" t="n">
        <v>516.2</v>
      </c>
      <c r="EN77" t="n">
        <v>264.4</v>
      </c>
      <c r="EO77" t="n">
        <v>174.8</v>
      </c>
      <c r="EP77" t="n">
        <v>14.8</v>
      </c>
    </row>
    <row r="78">
      <c r="A78" t="inlineStr">
        <is>
          <t>Nikola Milenkovic</t>
        </is>
      </c>
      <c r="B78" t="inlineStr">
        <is>
          <t>NFO</t>
        </is>
      </c>
      <c r="C78" t="inlineStr">
        <is>
          <t>DEF</t>
        </is>
      </c>
      <c r="D78" t="inlineStr">
        <is>
          <t>DEF</t>
        </is>
      </c>
      <c r="E78" t="n">
        <v>5.5</v>
      </c>
      <c r="F78" t="b">
        <v>1</v>
      </c>
      <c r="G78" t="b">
        <v>1</v>
      </c>
      <c r="H78" t="n">
        <v>28.9</v>
      </c>
      <c r="I78" t="inlineStr">
        <is>
          <t>a</t>
        </is>
      </c>
      <c r="L78" t="inlineStr">
        <is>
          <t>p227444</t>
        </is>
      </c>
      <c r="M78" t="n">
        <v>471</v>
      </c>
      <c r="Q78" t="n">
        <v>3375</v>
      </c>
      <c r="R78" t="n">
        <v>38</v>
      </c>
      <c r="S78" t="n">
        <v>37</v>
      </c>
      <c r="T78" t="n">
        <v>37.5</v>
      </c>
      <c r="U78" t="n">
        <v>88.8</v>
      </c>
      <c r="V78" t="n">
        <v>119</v>
      </c>
      <c r="W78" t="n">
        <v>3.173</v>
      </c>
      <c r="X78" t="n">
        <v>0</v>
      </c>
      <c r="Y78" t="n">
        <v>1</v>
      </c>
      <c r="AA78" t="n">
        <v>9</v>
      </c>
      <c r="AB78" t="n">
        <v>51</v>
      </c>
      <c r="AC78" t="n">
        <v>2</v>
      </c>
      <c r="AD78" t="n">
        <v>1</v>
      </c>
      <c r="AE78" t="n">
        <v>-1</v>
      </c>
      <c r="AF78" t="n">
        <v>401</v>
      </c>
      <c r="AG78" t="n">
        <v>346</v>
      </c>
      <c r="AH78" t="n">
        <v>-55</v>
      </c>
      <c r="AI78" t="n">
        <v>118</v>
      </c>
      <c r="AJ78" t="n">
        <v>0.017</v>
      </c>
      <c r="AK78" t="n">
        <v>0.017</v>
      </c>
      <c r="AL78" t="n">
        <v>311</v>
      </c>
      <c r="AM78" t="n">
        <v>8.292999999999999</v>
      </c>
      <c r="AN78" t="n">
        <v>13</v>
      </c>
      <c r="AO78" t="n">
        <v>26</v>
      </c>
      <c r="AP78" t="n">
        <v>0.351</v>
      </c>
      <c r="AQ78" t="n">
        <v>0.351</v>
      </c>
      <c r="AR78" t="n">
        <v>0.189</v>
      </c>
      <c r="AS78" t="n">
        <v>0.974</v>
      </c>
      <c r="AT78" t="n">
        <v>0.974</v>
      </c>
      <c r="AU78" t="n">
        <v>21</v>
      </c>
      <c r="AV78" t="n">
        <v>0</v>
      </c>
      <c r="AW78" t="n">
        <v>2.62</v>
      </c>
      <c r="AX78" t="n">
        <v>9</v>
      </c>
      <c r="AY78" t="n">
        <v>0.83</v>
      </c>
      <c r="AZ78" t="n">
        <v>0.509</v>
      </c>
      <c r="BA78" t="n">
        <v>0.67</v>
      </c>
      <c r="BB78" t="n">
        <v>0.509</v>
      </c>
      <c r="BC78" t="n">
        <v>0.022</v>
      </c>
      <c r="BD78" t="n">
        <v>0.014</v>
      </c>
      <c r="BE78" t="n">
        <v>0.018</v>
      </c>
      <c r="BF78" t="n">
        <v>0.1</v>
      </c>
      <c r="BG78" t="n">
        <v>0.003</v>
      </c>
      <c r="BH78" t="n">
        <v>0.994</v>
      </c>
      <c r="BI78" t="n">
        <v>4.88</v>
      </c>
      <c r="BJ78" t="n">
        <v>0.825</v>
      </c>
      <c r="BK78" t="n">
        <v>0.022</v>
      </c>
      <c r="BL78" t="n">
        <v>-0.67</v>
      </c>
      <c r="BM78" t="n">
        <v>-0.73</v>
      </c>
      <c r="BN78" t="n">
        <v>-0.1</v>
      </c>
      <c r="BO78" t="n">
        <v>0.321</v>
      </c>
      <c r="BP78" t="n">
        <v>16</v>
      </c>
      <c r="BQ78" t="n">
        <v>1</v>
      </c>
      <c r="BR78" t="n">
        <v>2</v>
      </c>
      <c r="BS78" t="n">
        <v>35</v>
      </c>
      <c r="BT78" t="n">
        <v>0.9330000000000001</v>
      </c>
      <c r="BW78" t="n">
        <v>0.68</v>
      </c>
      <c r="BX78" t="n">
        <v>0.268</v>
      </c>
      <c r="BY78" t="n">
        <v>0.474</v>
      </c>
      <c r="BZ78" t="n">
        <v>0.013</v>
      </c>
      <c r="CA78" t="n">
        <v>1.143</v>
      </c>
      <c r="CB78" t="n">
        <v>0.03</v>
      </c>
      <c r="CC78" t="n">
        <v>3</v>
      </c>
      <c r="CD78" t="n">
        <v>1</v>
      </c>
      <c r="CE78" t="n">
        <v>3</v>
      </c>
      <c r="CI78" t="n">
        <v>8.07</v>
      </c>
      <c r="CJ78" t="n">
        <v>7.998</v>
      </c>
      <c r="CK78" t="n">
        <v>281</v>
      </c>
      <c r="CL78" t="n">
        <v>107</v>
      </c>
      <c r="CM78" t="n">
        <v>30</v>
      </c>
      <c r="CN78" t="n">
        <v>17</v>
      </c>
      <c r="CO78" t="n">
        <v>29</v>
      </c>
      <c r="CP78" t="n">
        <v>218</v>
      </c>
      <c r="CQ78" t="n">
        <v>36</v>
      </c>
      <c r="CR78" t="n">
        <v>143</v>
      </c>
      <c r="CS78" t="n">
        <v>89</v>
      </c>
      <c r="CU78" t="n">
        <v>2</v>
      </c>
      <c r="CV78" t="n">
        <v>1</v>
      </c>
      <c r="CW78" t="n">
        <v>54.98</v>
      </c>
      <c r="CX78" t="n">
        <v>1.466</v>
      </c>
      <c r="CY78" t="n">
        <v>0</v>
      </c>
      <c r="DB78" t="n">
        <v>0</v>
      </c>
      <c r="DE78" t="n">
        <v>6.68</v>
      </c>
      <c r="DF78" t="n">
        <v>6</v>
      </c>
      <c r="DG78" t="n">
        <v>0</v>
      </c>
      <c r="DH78" t="n">
        <v>21</v>
      </c>
      <c r="DI78" t="n">
        <v>20</v>
      </c>
      <c r="DL78" t="n">
        <v>3</v>
      </c>
      <c r="DM78" t="n">
        <v>2</v>
      </c>
      <c r="DN78" t="n">
        <v>1</v>
      </c>
      <c r="DO78" t="n">
        <v>2.3</v>
      </c>
      <c r="DP78" t="n">
        <v>132.2</v>
      </c>
      <c r="DQ78" t="n">
        <v>66.09999999999999</v>
      </c>
      <c r="DR78" t="n">
        <v>132.2</v>
      </c>
      <c r="DS78" t="n">
        <v>0</v>
      </c>
      <c r="DT78" t="n">
        <v>3312</v>
      </c>
      <c r="DU78" t="n">
        <v>87.15000000000001</v>
      </c>
      <c r="DV78" t="inlineStr">
        <is>
          <t>flat</t>
        </is>
      </c>
      <c r="DW78" t="n">
        <v>80.91</v>
      </c>
      <c r="DX78" t="n">
        <v>82.41</v>
      </c>
      <c r="DY78" t="n">
        <v>80.09</v>
      </c>
      <c r="DZ78" t="n">
        <v>-0.82</v>
      </c>
      <c r="EA78" t="n">
        <v>1174</v>
      </c>
      <c r="EB78" t="n">
        <v>18.39</v>
      </c>
      <c r="EC78" t="n">
        <v>12</v>
      </c>
      <c r="ED78" t="n">
        <v>120</v>
      </c>
      <c r="EE78" t="n">
        <v>1855</v>
      </c>
      <c r="EF78" t="b">
        <v>1</v>
      </c>
      <c r="EG78" t="n">
        <v>90.2</v>
      </c>
      <c r="EH78" t="n">
        <v>57.8</v>
      </c>
      <c r="EI78" t="n">
        <v>122</v>
      </c>
      <c r="EJ78" t="n">
        <v>210.9</v>
      </c>
      <c r="EK78" t="n">
        <v>96.40000000000001</v>
      </c>
      <c r="EL78" t="n">
        <v>1125</v>
      </c>
      <c r="EM78" t="n">
        <v>5039.5</v>
      </c>
      <c r="EN78" t="n">
        <v>7123.4</v>
      </c>
      <c r="EO78" t="n">
        <v>2951.5</v>
      </c>
      <c r="EP78" t="n">
        <v>28.4</v>
      </c>
    </row>
    <row r="79">
      <c r="A79" t="inlineStr">
        <is>
          <t>Richarlison</t>
        </is>
      </c>
      <c r="B79" t="inlineStr">
        <is>
          <t>TOT</t>
        </is>
      </c>
      <c r="C79" t="inlineStr">
        <is>
          <t>FWD</t>
        </is>
      </c>
      <c r="D79" t="inlineStr">
        <is>
          <t>FWD</t>
        </is>
      </c>
      <c r="E79" t="n">
        <v>6</v>
      </c>
      <c r="F79" t="b">
        <v>1</v>
      </c>
      <c r="G79" t="b">
        <v>1</v>
      </c>
      <c r="H79" t="n">
        <v>29.3</v>
      </c>
      <c r="I79" t="inlineStr">
        <is>
          <t>a</t>
        </is>
      </c>
      <c r="L79" t="inlineStr">
        <is>
          <t>p212319</t>
        </is>
      </c>
      <c r="M79" t="n">
        <v>527</v>
      </c>
      <c r="N79" t="n">
        <v>4</v>
      </c>
      <c r="Q79" t="n">
        <v>1954</v>
      </c>
      <c r="R79" t="n">
        <v>32</v>
      </c>
      <c r="S79" t="n">
        <v>20</v>
      </c>
      <c r="T79" t="n">
        <v>21.711</v>
      </c>
      <c r="U79" t="n">
        <v>61.1</v>
      </c>
      <c r="V79" t="n">
        <v>119</v>
      </c>
      <c r="W79" t="n">
        <v>5.481</v>
      </c>
      <c r="X79" t="n">
        <v>11</v>
      </c>
      <c r="Y79" t="n">
        <v>4</v>
      </c>
      <c r="Z79" t="n">
        <v>4</v>
      </c>
      <c r="AA79" t="n">
        <v>7</v>
      </c>
      <c r="AB79" t="n">
        <v>27</v>
      </c>
      <c r="AC79" t="n">
        <v>17</v>
      </c>
      <c r="AD79" t="n">
        <v>17</v>
      </c>
      <c r="AE79" t="n">
        <v>0</v>
      </c>
      <c r="AF79" t="n">
        <v>505</v>
      </c>
      <c r="AG79" t="n">
        <v>493</v>
      </c>
      <c r="AH79" t="n">
        <v>-12</v>
      </c>
      <c r="AI79" t="n">
        <v>119</v>
      </c>
      <c r="AJ79" t="n">
        <v>0.143</v>
      </c>
      <c r="AK79" t="n">
        <v>0.167</v>
      </c>
      <c r="AL79" t="n">
        <v>147</v>
      </c>
      <c r="AM79" t="n">
        <v>6.771</v>
      </c>
      <c r="AN79" t="n">
        <v>0</v>
      </c>
      <c r="AO79" t="n">
        <v>0</v>
      </c>
      <c r="AP79" t="n">
        <v>0</v>
      </c>
      <c r="AQ79" t="n">
        <v>0.15</v>
      </c>
      <c r="AR79" t="n">
        <v>0</v>
      </c>
      <c r="AS79" t="n">
        <v>0.526</v>
      </c>
      <c r="AT79" t="n">
        <v>0.594</v>
      </c>
      <c r="AU79" t="n">
        <v>18</v>
      </c>
      <c r="AV79" t="n">
        <v>1</v>
      </c>
      <c r="AW79" t="n">
        <v>3.21</v>
      </c>
      <c r="AX79" t="n">
        <v>13</v>
      </c>
      <c r="AY79" t="n">
        <v>8.640000000000001</v>
      </c>
      <c r="AZ79" t="n">
        <v>9.866</v>
      </c>
      <c r="BA79" t="n">
        <v>9.253</v>
      </c>
      <c r="BB79" t="n">
        <v>9.866</v>
      </c>
      <c r="BC79" t="n">
        <v>0.398</v>
      </c>
      <c r="BD79" t="n">
        <v>0.454</v>
      </c>
      <c r="BE79" t="n">
        <v>0.426</v>
      </c>
      <c r="BF79" t="n">
        <v>12</v>
      </c>
      <c r="BG79" t="n">
        <v>0.553</v>
      </c>
      <c r="BH79" t="n">
        <v>1.055</v>
      </c>
      <c r="BI79" t="n">
        <v>25.27</v>
      </c>
      <c r="BJ79" t="n">
        <v>9.115</v>
      </c>
      <c r="BK79" t="n">
        <v>0.42</v>
      </c>
      <c r="BL79" t="n">
        <v>1.747</v>
      </c>
      <c r="BM79" t="n">
        <v>3.36</v>
      </c>
      <c r="BN79" t="n">
        <v>-1</v>
      </c>
      <c r="BO79" t="n">
        <v>-1.226</v>
      </c>
      <c r="BP79" t="n">
        <v>61</v>
      </c>
      <c r="BQ79" t="n">
        <v>26</v>
      </c>
      <c r="BR79" t="n">
        <v>10</v>
      </c>
      <c r="BS79" t="n">
        <v>125</v>
      </c>
      <c r="BT79" t="n">
        <v>5.757</v>
      </c>
      <c r="BV79" t="n">
        <v>3</v>
      </c>
      <c r="BW79" t="n">
        <v>1.46</v>
      </c>
      <c r="BX79" t="n">
        <v>3.408</v>
      </c>
      <c r="BY79" t="n">
        <v>2.434</v>
      </c>
      <c r="BZ79" t="n">
        <v>0.112</v>
      </c>
      <c r="CA79" t="n">
        <v>11.687</v>
      </c>
      <c r="CB79" t="n">
        <v>0.538</v>
      </c>
      <c r="CC79" t="n">
        <v>19</v>
      </c>
      <c r="CD79" t="n">
        <v>5</v>
      </c>
      <c r="CE79" t="n">
        <v>20</v>
      </c>
      <c r="CG79" t="n">
        <v>1</v>
      </c>
      <c r="CI79" t="n">
        <v>11.188</v>
      </c>
      <c r="CJ79" t="n">
        <v>2.256</v>
      </c>
      <c r="CK79" t="n">
        <v>60</v>
      </c>
      <c r="CL79" t="n">
        <v>60</v>
      </c>
      <c r="CM79" t="n">
        <v>27</v>
      </c>
      <c r="CN79" t="n">
        <v>16</v>
      </c>
      <c r="CO79" t="n">
        <v>5</v>
      </c>
      <c r="CP79" t="n">
        <v>51</v>
      </c>
      <c r="CQ79" t="n">
        <v>3</v>
      </c>
      <c r="CR79" t="n">
        <v>139</v>
      </c>
      <c r="CS79" t="n">
        <v>69</v>
      </c>
      <c r="CT79" t="n">
        <v>0.7</v>
      </c>
      <c r="CV79" t="n">
        <v>1</v>
      </c>
      <c r="CW79" t="n">
        <v>25.64</v>
      </c>
      <c r="CX79" t="n">
        <v>1.181</v>
      </c>
      <c r="CY79" t="n">
        <v>0</v>
      </c>
      <c r="DB79" t="n">
        <v>0</v>
      </c>
      <c r="DE79" t="n">
        <v>6.87</v>
      </c>
      <c r="DF79" t="n">
        <v>5</v>
      </c>
      <c r="DG79" t="n">
        <v>0</v>
      </c>
      <c r="DH79" t="n">
        <v>23</v>
      </c>
      <c r="DI79" t="n">
        <v>33</v>
      </c>
      <c r="DL79" t="n">
        <v>12</v>
      </c>
      <c r="DM79" t="n">
        <v>30</v>
      </c>
      <c r="DN79" t="n">
        <v>10</v>
      </c>
      <c r="DO79" t="n">
        <v>2</v>
      </c>
      <c r="DP79" t="n">
        <v>61.65</v>
      </c>
      <c r="DQ79" t="n">
        <v>36.63</v>
      </c>
      <c r="DR79" t="n">
        <v>73.26000000000001</v>
      </c>
      <c r="DS79" t="n">
        <v>-11.61</v>
      </c>
      <c r="DT79" t="n">
        <v>697</v>
      </c>
      <c r="DU79" t="n">
        <v>18.34</v>
      </c>
      <c r="DV79" t="inlineStr">
        <is>
          <t>fade (losing his place)</t>
        </is>
      </c>
      <c r="DW79" t="n">
        <v>65.59</v>
      </c>
      <c r="DX79" t="n">
        <v>64.98</v>
      </c>
      <c r="DY79" t="n">
        <v>63.14</v>
      </c>
      <c r="DZ79" t="n">
        <v>-2.44</v>
      </c>
      <c r="EA79" t="n">
        <v>1264</v>
      </c>
      <c r="EB79" t="n">
        <v>25.54</v>
      </c>
      <c r="EC79" t="n">
        <v>5</v>
      </c>
      <c r="ED79" t="n">
        <v>120</v>
      </c>
      <c r="EE79" t="n">
        <v>2336</v>
      </c>
      <c r="EF79" t="b">
        <v>1</v>
      </c>
      <c r="EG79" t="n">
        <v>88.09999999999999</v>
      </c>
      <c r="EH79" t="n">
        <v>45.6</v>
      </c>
      <c r="EI79" t="n">
        <v>74</v>
      </c>
      <c r="EJ79" t="n">
        <v>32</v>
      </c>
      <c r="EK79" t="n">
        <v>15.6</v>
      </c>
      <c r="EL79" t="n">
        <v>97.7</v>
      </c>
      <c r="EM79" t="n">
        <v>211.2</v>
      </c>
      <c r="EN79" t="n">
        <v>802.8</v>
      </c>
      <c r="EO79" t="n">
        <v>167.2</v>
      </c>
      <c r="EP79" t="n">
        <v>16.4</v>
      </c>
    </row>
    <row r="80">
      <c r="A80" t="inlineStr">
        <is>
          <t>Ferdi Kadioglu</t>
        </is>
      </c>
      <c r="B80" t="inlineStr">
        <is>
          <t>BHA</t>
        </is>
      </c>
      <c r="C80" t="inlineStr">
        <is>
          <t>DEF</t>
        </is>
      </c>
      <c r="D80" t="inlineStr">
        <is>
          <t>DEF</t>
        </is>
      </c>
      <c r="E80" t="n">
        <v>4.5</v>
      </c>
      <c r="F80" t="b">
        <v>1</v>
      </c>
      <c r="G80" t="b">
        <v>1</v>
      </c>
      <c r="H80" t="n">
        <v>26.9</v>
      </c>
      <c r="I80" t="inlineStr">
        <is>
          <t>a</t>
        </is>
      </c>
      <c r="L80" t="inlineStr">
        <is>
          <t>p231416</t>
        </is>
      </c>
      <c r="M80" t="n">
        <v>113</v>
      </c>
      <c r="O80" t="n">
        <v>2</v>
      </c>
      <c r="Q80" t="n">
        <v>3130</v>
      </c>
      <c r="R80" t="n">
        <v>37</v>
      </c>
      <c r="S80" t="n">
        <v>34</v>
      </c>
      <c r="T80" t="n">
        <v>34.778</v>
      </c>
      <c r="U80" t="n">
        <v>84.59999999999999</v>
      </c>
      <c r="V80" t="n">
        <v>118</v>
      </c>
      <c r="W80" t="n">
        <v>3.393</v>
      </c>
      <c r="X80" t="n">
        <v>1</v>
      </c>
      <c r="Y80" t="n">
        <v>2</v>
      </c>
      <c r="AA80" t="n">
        <v>10</v>
      </c>
      <c r="AB80" t="n">
        <v>41</v>
      </c>
      <c r="AC80" t="n">
        <v>7</v>
      </c>
      <c r="AD80" t="n">
        <v>8</v>
      </c>
      <c r="AE80" t="n">
        <v>1</v>
      </c>
      <c r="AF80" t="n">
        <v>514</v>
      </c>
      <c r="AG80" t="n">
        <v>493</v>
      </c>
      <c r="AH80" t="n">
        <v>-21</v>
      </c>
      <c r="AI80" t="n">
        <v>119</v>
      </c>
      <c r="AJ80" t="n">
        <v>0.059</v>
      </c>
      <c r="AK80" t="n">
        <v>0.063</v>
      </c>
      <c r="AL80" t="n">
        <v>170</v>
      </c>
      <c r="AM80" t="n">
        <v>4.888</v>
      </c>
      <c r="AN80" t="n">
        <v>2</v>
      </c>
      <c r="AO80" t="n">
        <v>4</v>
      </c>
      <c r="AP80" t="n">
        <v>0.059</v>
      </c>
      <c r="AQ80" t="n">
        <v>0.059</v>
      </c>
      <c r="AR80" t="n">
        <v>0</v>
      </c>
      <c r="AS80" t="n">
        <v>0.895</v>
      </c>
      <c r="AT80" t="n">
        <v>0.946</v>
      </c>
      <c r="AU80" t="n">
        <v>25</v>
      </c>
      <c r="AV80" t="n">
        <v>1</v>
      </c>
      <c r="AW80" t="n">
        <v>3.24</v>
      </c>
      <c r="AX80" t="n">
        <v>15</v>
      </c>
      <c r="AY80" t="n">
        <v>2.06</v>
      </c>
      <c r="AZ80" t="n">
        <v>2.02</v>
      </c>
      <c r="BA80" t="n">
        <v>2.04</v>
      </c>
      <c r="BB80" t="n">
        <v>2.02</v>
      </c>
      <c r="BC80" t="n">
        <v>0.059</v>
      </c>
      <c r="BD80" t="n">
        <v>0.058</v>
      </c>
      <c r="BE80" t="n">
        <v>0.059</v>
      </c>
      <c r="BF80" t="n">
        <v>3.1</v>
      </c>
      <c r="BG80" t="n">
        <v>0.089</v>
      </c>
      <c r="BH80" t="n">
        <v>1.057</v>
      </c>
      <c r="BI80" t="n">
        <v>2.5</v>
      </c>
      <c r="BJ80" t="n">
        <v>2.178</v>
      </c>
      <c r="BK80" t="n">
        <v>0.063</v>
      </c>
      <c r="BL80" t="n">
        <v>-1.04</v>
      </c>
      <c r="BM80" t="n">
        <v>1.04</v>
      </c>
      <c r="BN80" t="n">
        <v>-2.1</v>
      </c>
      <c r="BO80" t="n">
        <v>0.04</v>
      </c>
      <c r="BP80" t="n">
        <v>28</v>
      </c>
      <c r="BQ80" t="n">
        <v>13</v>
      </c>
      <c r="BR80" t="n">
        <v>3</v>
      </c>
      <c r="BS80" t="n">
        <v>58</v>
      </c>
      <c r="BT80" t="n">
        <v>1.668</v>
      </c>
      <c r="BW80" t="n">
        <v>3.31</v>
      </c>
      <c r="BX80" t="n">
        <v>2.245</v>
      </c>
      <c r="BY80" t="n">
        <v>2.777</v>
      </c>
      <c r="BZ80" t="n">
        <v>0.08</v>
      </c>
      <c r="CA80" t="n">
        <v>4.817</v>
      </c>
      <c r="CB80" t="n">
        <v>0.139</v>
      </c>
      <c r="CC80" t="n">
        <v>22</v>
      </c>
      <c r="CD80" t="n">
        <v>2</v>
      </c>
      <c r="CE80" t="n">
        <v>21</v>
      </c>
      <c r="CF80" t="n">
        <v>23</v>
      </c>
      <c r="CH80" t="n">
        <v>25</v>
      </c>
      <c r="CI80" t="n">
        <v>14.009</v>
      </c>
      <c r="CJ80" t="n">
        <v>11.696</v>
      </c>
      <c r="CK80" t="n">
        <v>113</v>
      </c>
      <c r="CL80" t="n">
        <v>130</v>
      </c>
      <c r="CM80" t="n">
        <v>57</v>
      </c>
      <c r="CN80" t="n">
        <v>39</v>
      </c>
      <c r="CO80" t="n">
        <v>26</v>
      </c>
      <c r="CP80" t="n">
        <v>81</v>
      </c>
      <c r="CQ80" t="n">
        <v>7</v>
      </c>
      <c r="CR80" t="n">
        <v>136</v>
      </c>
      <c r="CS80" t="n">
        <v>32</v>
      </c>
      <c r="CT80" t="n">
        <v>0.3</v>
      </c>
      <c r="CW80" t="n">
        <v>44.61</v>
      </c>
      <c r="CX80" t="n">
        <v>1.283</v>
      </c>
      <c r="CY80" t="n">
        <v>0</v>
      </c>
      <c r="DB80" t="n">
        <v>0</v>
      </c>
      <c r="DE80" t="n">
        <v>6.93</v>
      </c>
      <c r="DF80" t="n">
        <v>6</v>
      </c>
      <c r="DG80" t="n">
        <v>0</v>
      </c>
      <c r="DH80" t="n">
        <v>22</v>
      </c>
      <c r="DI80" t="n">
        <v>36</v>
      </c>
      <c r="DL80" t="n">
        <v>12</v>
      </c>
      <c r="DM80" t="n">
        <v>18</v>
      </c>
      <c r="DN80" t="n">
        <v>7</v>
      </c>
      <c r="DO80" t="n">
        <v>3.1</v>
      </c>
      <c r="DP80" t="n">
        <v>118.37</v>
      </c>
      <c r="DQ80" t="n">
        <v>59.43</v>
      </c>
      <c r="DR80" t="n">
        <v>118.86</v>
      </c>
      <c r="DS80" t="n">
        <v>-0.49</v>
      </c>
      <c r="DT80" t="n">
        <v>3198</v>
      </c>
      <c r="DU80" t="n">
        <v>84.15000000000001</v>
      </c>
      <c r="DV80" t="inlineStr">
        <is>
          <t>flat</t>
        </is>
      </c>
      <c r="DW80" t="n">
        <v>96.95</v>
      </c>
      <c r="DX80" t="n">
        <v>99.51000000000001</v>
      </c>
      <c r="DY80" t="n">
        <v>97.01000000000001</v>
      </c>
      <c r="DZ80" t="n">
        <v>0.06</v>
      </c>
      <c r="EA80" t="n">
        <v>392</v>
      </c>
      <c r="EB80" t="n">
        <v>17.62</v>
      </c>
      <c r="EC80" t="n">
        <v>14</v>
      </c>
      <c r="ED80" t="n">
        <v>120</v>
      </c>
      <c r="EE80" t="n">
        <v>630</v>
      </c>
      <c r="EF80" t="b">
        <v>1</v>
      </c>
      <c r="EG80" t="n">
        <v>14</v>
      </c>
      <c r="EH80" t="n">
        <v>7.5</v>
      </c>
      <c r="EI80" t="n">
        <v>394</v>
      </c>
      <c r="EJ80" t="n">
        <v>111.8</v>
      </c>
      <c r="EK80" t="n">
        <v>54</v>
      </c>
      <c r="EL80" t="n">
        <v>149</v>
      </c>
      <c r="EM80" t="n">
        <v>1534.5</v>
      </c>
      <c r="EN80" t="n">
        <v>1127</v>
      </c>
      <c r="EO80" t="n">
        <v>649.8</v>
      </c>
      <c r="EP80" t="n">
        <v>26.5</v>
      </c>
    </row>
    <row r="81">
      <c r="A81" t="inlineStr">
        <is>
          <t>Ismaïla Sarr</t>
        </is>
      </c>
      <c r="B81" t="inlineStr">
        <is>
          <t>CRY</t>
        </is>
      </c>
      <c r="C81" t="inlineStr">
        <is>
          <t>MID</t>
        </is>
      </c>
      <c r="D81" t="inlineStr">
        <is>
          <t>MID</t>
        </is>
      </c>
      <c r="E81" t="n">
        <v>6.5</v>
      </c>
      <c r="F81" t="b">
        <v>1</v>
      </c>
      <c r="G81" t="b">
        <v>1</v>
      </c>
      <c r="H81" t="n">
        <v>28.5</v>
      </c>
      <c r="I81" t="inlineStr">
        <is>
          <t>a</t>
        </is>
      </c>
      <c r="L81" t="inlineStr">
        <is>
          <t>p232185</t>
        </is>
      </c>
      <c r="M81" t="n">
        <v>208</v>
      </c>
      <c r="N81" t="n">
        <v>2</v>
      </c>
      <c r="Q81" t="n">
        <v>2173</v>
      </c>
      <c r="R81" t="n">
        <v>28</v>
      </c>
      <c r="S81" t="n">
        <v>24</v>
      </c>
      <c r="T81" t="n">
        <v>24.144</v>
      </c>
      <c r="U81" t="n">
        <v>77.59999999999999</v>
      </c>
      <c r="V81" t="n">
        <v>117</v>
      </c>
      <c r="W81" t="n">
        <v>4.846</v>
      </c>
      <c r="X81" t="n">
        <v>9</v>
      </c>
      <c r="Y81" t="n">
        <v>2</v>
      </c>
      <c r="Z81" t="n">
        <v>1</v>
      </c>
      <c r="AA81" t="n">
        <v>9</v>
      </c>
      <c r="AB81" t="n">
        <v>29</v>
      </c>
      <c r="AC81" t="n">
        <v>9</v>
      </c>
      <c r="AD81" t="n">
        <v>10</v>
      </c>
      <c r="AE81" t="n">
        <v>1</v>
      </c>
      <c r="AF81" t="n">
        <v>359</v>
      </c>
      <c r="AG81" t="n">
        <v>346</v>
      </c>
      <c r="AH81" t="n">
        <v>-13</v>
      </c>
      <c r="AI81" t="n">
        <v>118</v>
      </c>
      <c r="AJ81" t="n">
        <v>0.077</v>
      </c>
      <c r="AK81" t="n">
        <v>0.083</v>
      </c>
      <c r="AL81" t="n">
        <v>137</v>
      </c>
      <c r="AM81" t="n">
        <v>5.674</v>
      </c>
      <c r="AN81" t="n">
        <v>0</v>
      </c>
      <c r="AO81" t="n">
        <v>0</v>
      </c>
      <c r="AP81" t="n">
        <v>0</v>
      </c>
      <c r="AQ81" t="n">
        <v>0.083</v>
      </c>
      <c r="AR81" t="n">
        <v>0</v>
      </c>
      <c r="AS81" t="n">
        <v>0.632</v>
      </c>
      <c r="AT81" t="n">
        <v>0.786</v>
      </c>
      <c r="AU81" t="n">
        <v>13</v>
      </c>
      <c r="AV81" t="n">
        <v>2</v>
      </c>
      <c r="AW81" t="n">
        <v>3.54</v>
      </c>
      <c r="AX81" t="n">
        <v>15</v>
      </c>
      <c r="AY81" t="n">
        <v>10.93</v>
      </c>
      <c r="AZ81" t="n">
        <v>11.543</v>
      </c>
      <c r="BA81" t="n">
        <v>11.237</v>
      </c>
      <c r="BB81" t="n">
        <v>9.26</v>
      </c>
      <c r="BC81" t="n">
        <v>0.453</v>
      </c>
      <c r="BD81" t="n">
        <v>0.478</v>
      </c>
      <c r="BE81" t="n">
        <v>0.465</v>
      </c>
      <c r="BF81" t="n">
        <v>9.6</v>
      </c>
      <c r="BG81" t="n">
        <v>0.398</v>
      </c>
      <c r="BH81" t="n">
        <v>0.992</v>
      </c>
      <c r="BI81" t="n">
        <v>21.75</v>
      </c>
      <c r="BJ81" t="n">
        <v>10.838</v>
      </c>
      <c r="BK81" t="n">
        <v>0.449</v>
      </c>
      <c r="BL81" t="n">
        <v>-2.237</v>
      </c>
      <c r="BM81" t="n">
        <v>-1.33</v>
      </c>
      <c r="BN81" t="n">
        <v>-0.6</v>
      </c>
      <c r="BO81" t="n">
        <v>-0.613</v>
      </c>
      <c r="BP81" t="n">
        <v>48</v>
      </c>
      <c r="BQ81" t="n">
        <v>21</v>
      </c>
      <c r="BR81" t="n">
        <v>11</v>
      </c>
      <c r="BS81" t="n">
        <v>99</v>
      </c>
      <c r="BT81" t="n">
        <v>4.1</v>
      </c>
      <c r="BU81" t="n">
        <v>3</v>
      </c>
      <c r="BV81" t="n">
        <v>1</v>
      </c>
      <c r="BW81" t="n">
        <v>1.17</v>
      </c>
      <c r="BX81" t="n">
        <v>2.2</v>
      </c>
      <c r="BY81" t="n">
        <v>1.685</v>
      </c>
      <c r="BZ81" t="n">
        <v>0.07000000000000001</v>
      </c>
      <c r="CA81" t="n">
        <v>12.922</v>
      </c>
      <c r="CB81" t="n">
        <v>0.535</v>
      </c>
      <c r="CC81" t="n">
        <v>19</v>
      </c>
      <c r="CD81" t="n">
        <v>3</v>
      </c>
      <c r="CE81" t="n">
        <v>19</v>
      </c>
      <c r="CF81" t="n">
        <v>3</v>
      </c>
      <c r="CH81" t="n">
        <v>0</v>
      </c>
      <c r="CI81" t="n">
        <v>12.696</v>
      </c>
      <c r="CJ81" t="n">
        <v>3.183</v>
      </c>
      <c r="CK81" t="n">
        <v>40</v>
      </c>
      <c r="CL81" t="n">
        <v>79</v>
      </c>
      <c r="CM81" t="n">
        <v>18</v>
      </c>
      <c r="CN81" t="n">
        <v>9</v>
      </c>
      <c r="CO81" t="n">
        <v>8</v>
      </c>
      <c r="CP81" t="n">
        <v>28</v>
      </c>
      <c r="CQ81" t="n">
        <v>4</v>
      </c>
      <c r="CR81" t="n">
        <v>95</v>
      </c>
      <c r="CS81" t="n">
        <v>24</v>
      </c>
      <c r="CT81" t="n">
        <v>0.4</v>
      </c>
      <c r="CV81" t="n">
        <v>2</v>
      </c>
      <c r="CW81" t="n">
        <v>31.25</v>
      </c>
      <c r="CX81" t="n">
        <v>1.294</v>
      </c>
      <c r="CY81" t="n">
        <v>0</v>
      </c>
      <c r="DB81" t="n">
        <v>0</v>
      </c>
      <c r="DE81" t="n">
        <v>6.91</v>
      </c>
      <c r="DF81" t="n">
        <v>2</v>
      </c>
      <c r="DG81" t="n">
        <v>0</v>
      </c>
      <c r="DH81" t="n">
        <v>12</v>
      </c>
      <c r="DI81" t="n">
        <v>42</v>
      </c>
      <c r="DJ81" t="n">
        <v>2</v>
      </c>
      <c r="DL81" t="n">
        <v>11</v>
      </c>
      <c r="DM81" t="n">
        <v>43</v>
      </c>
      <c r="DN81" t="n">
        <v>14</v>
      </c>
      <c r="DO81" t="n">
        <v>7.6</v>
      </c>
      <c r="DP81" t="n">
        <v>159.76</v>
      </c>
      <c r="DQ81" t="n">
        <v>79.88</v>
      </c>
      <c r="DR81" t="n">
        <v>159.76</v>
      </c>
      <c r="DS81" t="n">
        <v>0</v>
      </c>
      <c r="DT81" t="n">
        <v>3135</v>
      </c>
      <c r="DU81" t="n">
        <v>82.5</v>
      </c>
      <c r="DV81" t="inlineStr">
        <is>
          <t>flat</t>
        </is>
      </c>
      <c r="DW81" t="n">
        <v>45.16</v>
      </c>
      <c r="DX81" t="n">
        <v>42.82</v>
      </c>
      <c r="DY81" t="n">
        <v>44.44</v>
      </c>
      <c r="DZ81" t="n">
        <v>-0.71</v>
      </c>
      <c r="EA81" t="n">
        <v>1484</v>
      </c>
      <c r="EB81" t="n">
        <v>19.56</v>
      </c>
      <c r="EC81" t="n">
        <v>3</v>
      </c>
      <c r="ED81" t="n">
        <v>120</v>
      </c>
      <c r="EE81" t="n">
        <v>3237</v>
      </c>
      <c r="EF81" t="b">
        <v>1</v>
      </c>
      <c r="EG81" t="n">
        <v>95.40000000000001</v>
      </c>
      <c r="EH81" t="n">
        <v>30.4</v>
      </c>
      <c r="EI81" t="n">
        <v>39</v>
      </c>
      <c r="EJ81" t="n">
        <v>45.3</v>
      </c>
      <c r="EK81" t="n">
        <v>21.9</v>
      </c>
      <c r="EL81" t="n">
        <v>114.4</v>
      </c>
      <c r="EM81" t="n">
        <v>193.4</v>
      </c>
      <c r="EN81" t="n">
        <v>1289.4</v>
      </c>
      <c r="EO81" t="n">
        <v>168.2</v>
      </c>
      <c r="EP81" t="n">
        <v>18.6</v>
      </c>
    </row>
    <row r="82">
      <c r="A82" t="inlineStr">
        <is>
          <t>Yankuba Minteh</t>
        </is>
      </c>
      <c r="B82" t="inlineStr">
        <is>
          <t>BHA</t>
        </is>
      </c>
      <c r="C82" t="inlineStr">
        <is>
          <t>MID</t>
        </is>
      </c>
      <c r="D82" t="inlineStr">
        <is>
          <t>MID</t>
        </is>
      </c>
      <c r="E82" t="n">
        <v>6</v>
      </c>
      <c r="F82" t="b">
        <v>1</v>
      </c>
      <c r="G82" t="b">
        <v>1</v>
      </c>
      <c r="H82" t="n">
        <v>22.1</v>
      </c>
      <c r="I82" t="inlineStr">
        <is>
          <t>i</t>
        </is>
      </c>
      <c r="J82" t="inlineStr">
        <is>
          <t>Leg injury - Expected back 28 Nov</t>
        </is>
      </c>
      <c r="K82" t="n">
        <v>0</v>
      </c>
      <c r="L82" t="inlineStr">
        <is>
          <t>p592031</t>
        </is>
      </c>
      <c r="M82" t="n">
        <v>122</v>
      </c>
      <c r="O82" t="n">
        <v>3</v>
      </c>
      <c r="Q82" t="n">
        <v>2389</v>
      </c>
      <c r="R82" t="n">
        <v>34</v>
      </c>
      <c r="S82" t="n">
        <v>26</v>
      </c>
      <c r="T82" t="n">
        <v>26.544</v>
      </c>
      <c r="U82" t="n">
        <v>70.3</v>
      </c>
      <c r="V82" t="n">
        <v>117</v>
      </c>
      <c r="W82" t="n">
        <v>4.408</v>
      </c>
      <c r="X82" t="n">
        <v>3</v>
      </c>
      <c r="Y82" t="n">
        <v>8</v>
      </c>
      <c r="Z82" t="n">
        <v>4</v>
      </c>
      <c r="AA82" t="n">
        <v>11</v>
      </c>
      <c r="AB82" t="n">
        <v>33</v>
      </c>
      <c r="AC82" t="n">
        <v>9</v>
      </c>
      <c r="AD82" t="n">
        <v>10</v>
      </c>
      <c r="AE82" t="n">
        <v>1</v>
      </c>
      <c r="AF82" t="n">
        <v>466</v>
      </c>
      <c r="AG82" t="n">
        <v>459</v>
      </c>
      <c r="AH82" t="n">
        <v>-7</v>
      </c>
      <c r="AI82" t="n">
        <v>118</v>
      </c>
      <c r="AJ82" t="n">
        <v>0.077</v>
      </c>
      <c r="AK82" t="n">
        <v>0.083</v>
      </c>
      <c r="AL82" t="n">
        <v>185</v>
      </c>
      <c r="AM82" t="n">
        <v>6.969</v>
      </c>
      <c r="AN82" t="n">
        <v>1</v>
      </c>
      <c r="AO82" t="n">
        <v>2</v>
      </c>
      <c r="AP82" t="n">
        <v>0.038</v>
      </c>
      <c r="AQ82" t="n">
        <v>0.115</v>
      </c>
      <c r="AR82" t="n">
        <v>0.038</v>
      </c>
      <c r="AS82" t="n">
        <v>0.6840000000000001</v>
      </c>
      <c r="AT82" t="n">
        <v>0.735</v>
      </c>
      <c r="AU82" t="n">
        <v>17</v>
      </c>
      <c r="AV82" t="n">
        <v>1</v>
      </c>
      <c r="AW82" t="n">
        <v>2.88</v>
      </c>
      <c r="AX82" t="n">
        <v>11</v>
      </c>
      <c r="AY82" t="n">
        <v>3.81</v>
      </c>
      <c r="AZ82" t="n">
        <v>4.752</v>
      </c>
      <c r="BA82" t="n">
        <v>4.281</v>
      </c>
      <c r="BB82" t="n">
        <v>4.752</v>
      </c>
      <c r="BC82" t="n">
        <v>0.144</v>
      </c>
      <c r="BD82" t="n">
        <v>0.179</v>
      </c>
      <c r="BE82" t="n">
        <v>0.161</v>
      </c>
      <c r="BF82" t="n">
        <v>3</v>
      </c>
      <c r="BG82" t="n">
        <v>0.113</v>
      </c>
      <c r="BH82" t="n">
        <v>1.054</v>
      </c>
      <c r="BI82" t="n">
        <v>7.94</v>
      </c>
      <c r="BJ82" t="n">
        <v>4.016</v>
      </c>
      <c r="BK82" t="n">
        <v>0.151</v>
      </c>
      <c r="BL82" t="n">
        <v>-1.281</v>
      </c>
      <c r="BM82" t="n">
        <v>-0.8100000000000001</v>
      </c>
      <c r="BN82" t="n">
        <v>0</v>
      </c>
      <c r="BO82" t="n">
        <v>-0.9419999999999999</v>
      </c>
      <c r="BP82" t="n">
        <v>41</v>
      </c>
      <c r="BQ82" t="n">
        <v>11</v>
      </c>
      <c r="BR82" t="n">
        <v>4</v>
      </c>
      <c r="BS82" t="n">
        <v>185</v>
      </c>
      <c r="BT82" t="n">
        <v>6.969</v>
      </c>
      <c r="BW82" t="n">
        <v>5.06</v>
      </c>
      <c r="BX82" t="n">
        <v>5.842</v>
      </c>
      <c r="BY82" t="n">
        <v>5.451</v>
      </c>
      <c r="BZ82" t="n">
        <v>0.205</v>
      </c>
      <c r="CA82" t="n">
        <v>9.731999999999999</v>
      </c>
      <c r="CB82" t="n">
        <v>0.367</v>
      </c>
      <c r="CC82" t="n">
        <v>44</v>
      </c>
      <c r="CD82" t="n">
        <v>11</v>
      </c>
      <c r="CE82" t="n">
        <v>44</v>
      </c>
      <c r="CF82" t="n">
        <v>37</v>
      </c>
      <c r="CG82" t="n">
        <v>1</v>
      </c>
      <c r="CH82" t="n">
        <v>32</v>
      </c>
      <c r="CI82" t="n">
        <v>16.411</v>
      </c>
      <c r="CJ82" t="n">
        <v>8.574</v>
      </c>
      <c r="CK82" t="n">
        <v>33</v>
      </c>
      <c r="CL82" t="n">
        <v>96</v>
      </c>
      <c r="CM82" t="n">
        <v>56</v>
      </c>
      <c r="CN82" t="n">
        <v>37</v>
      </c>
      <c r="CO82" t="n">
        <v>17</v>
      </c>
      <c r="CP82" t="n">
        <v>16</v>
      </c>
      <c r="CR82" t="n">
        <v>162</v>
      </c>
      <c r="CS82" t="n">
        <v>19</v>
      </c>
      <c r="CT82" t="n">
        <v>0.7</v>
      </c>
      <c r="CV82" t="n">
        <v>1</v>
      </c>
      <c r="CW82" t="n">
        <v>34.09</v>
      </c>
      <c r="CX82" t="n">
        <v>1.284</v>
      </c>
      <c r="CY82" t="n">
        <v>0</v>
      </c>
      <c r="DB82" t="n">
        <v>0</v>
      </c>
      <c r="DE82" t="n">
        <v>7.07</v>
      </c>
      <c r="DF82" t="n">
        <v>3</v>
      </c>
      <c r="DG82" t="n">
        <v>0</v>
      </c>
      <c r="DH82" t="n">
        <v>32</v>
      </c>
      <c r="DI82" t="n">
        <v>22</v>
      </c>
      <c r="DJ82" t="n">
        <v>1</v>
      </c>
      <c r="DL82" t="n">
        <v>65</v>
      </c>
      <c r="DM82" t="n">
        <v>34</v>
      </c>
      <c r="DN82" t="n">
        <v>10</v>
      </c>
      <c r="DO82" t="n">
        <v>0.7</v>
      </c>
      <c r="DP82" t="n">
        <v>106.7</v>
      </c>
      <c r="DQ82" t="n">
        <v>41.37</v>
      </c>
      <c r="DR82" t="n">
        <v>82.73999999999999</v>
      </c>
      <c r="DS82" t="n">
        <v>23.96</v>
      </c>
      <c r="DT82" t="n">
        <v>2713</v>
      </c>
      <c r="DU82" t="n">
        <v>71.40000000000001</v>
      </c>
      <c r="DV82" t="inlineStr">
        <is>
          <t>ramp-up (injury / late WC return)</t>
        </is>
      </c>
      <c r="DW82" t="n">
        <v>79.08</v>
      </c>
      <c r="DX82" t="n">
        <v>83.06999999999999</v>
      </c>
      <c r="DY82" t="n">
        <v>77.15000000000001</v>
      </c>
      <c r="DZ82" t="n">
        <v>-1.93</v>
      </c>
      <c r="EA82" t="n">
        <v>483</v>
      </c>
      <c r="EB82" t="n">
        <v>20</v>
      </c>
      <c r="EC82" t="n">
        <v>2.67</v>
      </c>
      <c r="ED82" t="n">
        <v>120</v>
      </c>
      <c r="EE82" t="n">
        <v>895</v>
      </c>
      <c r="EF82" t="b">
        <v>1</v>
      </c>
      <c r="EG82" t="n">
        <v>20.5</v>
      </c>
      <c r="EH82" t="n">
        <v>10.2</v>
      </c>
      <c r="EI82" t="n">
        <v>75</v>
      </c>
      <c r="EJ82" t="n">
        <v>58.3</v>
      </c>
      <c r="EK82" t="n">
        <v>12.9</v>
      </c>
      <c r="EL82" t="n">
        <v>54.3</v>
      </c>
      <c r="EM82" t="n">
        <v>558</v>
      </c>
      <c r="EN82" t="n">
        <v>438.3</v>
      </c>
      <c r="EO82" t="n">
        <v>245.5</v>
      </c>
      <c r="EP82" t="n">
        <v>20.4</v>
      </c>
    </row>
    <row r="83">
      <c r="A83" t="inlineStr">
        <is>
          <t>Pedro Porro</t>
        </is>
      </c>
      <c r="B83" t="inlineStr">
        <is>
          <t>TOT</t>
        </is>
      </c>
      <c r="C83" t="inlineStr">
        <is>
          <t>DEF</t>
        </is>
      </c>
      <c r="D83" t="inlineStr">
        <is>
          <t>DEF</t>
        </is>
      </c>
      <c r="E83" t="n">
        <v>5.5</v>
      </c>
      <c r="F83" t="b">
        <v>1</v>
      </c>
      <c r="G83" t="b">
        <v>1</v>
      </c>
      <c r="H83" t="n">
        <v>26.9</v>
      </c>
      <c r="I83" t="inlineStr">
        <is>
          <t>a</t>
        </is>
      </c>
      <c r="L83" t="inlineStr">
        <is>
          <t>p441164</t>
        </is>
      </c>
      <c r="M83" t="n">
        <v>499</v>
      </c>
      <c r="O83" t="n">
        <v>1</v>
      </c>
      <c r="P83" t="n">
        <v>1</v>
      </c>
      <c r="Q83" t="n">
        <v>2793</v>
      </c>
      <c r="R83" t="n">
        <v>34</v>
      </c>
      <c r="S83" t="n">
        <v>32</v>
      </c>
      <c r="T83" t="n">
        <v>31.033</v>
      </c>
      <c r="U83" t="n">
        <v>82.09999999999999</v>
      </c>
      <c r="V83" t="n">
        <v>117</v>
      </c>
      <c r="W83" t="n">
        <v>3.77</v>
      </c>
      <c r="X83" t="n">
        <v>1</v>
      </c>
      <c r="Y83" t="n">
        <v>3</v>
      </c>
      <c r="Z83" t="n">
        <v>2</v>
      </c>
      <c r="AA83" t="n">
        <v>9</v>
      </c>
      <c r="AB83" t="n">
        <v>40</v>
      </c>
      <c r="AC83" t="n">
        <v>8</v>
      </c>
      <c r="AD83" t="n">
        <v>9</v>
      </c>
      <c r="AE83" t="n">
        <v>1</v>
      </c>
      <c r="AF83" t="n">
        <v>502</v>
      </c>
      <c r="AG83" t="n">
        <v>475</v>
      </c>
      <c r="AH83" t="n">
        <v>-27</v>
      </c>
      <c r="AI83" t="n">
        <v>118</v>
      </c>
      <c r="AJ83" t="n">
        <v>0.068</v>
      </c>
      <c r="AK83" t="n">
        <v>0.073</v>
      </c>
      <c r="AL83" t="n">
        <v>218</v>
      </c>
      <c r="AM83" t="n">
        <v>7.025</v>
      </c>
      <c r="AN83" t="n">
        <v>8</v>
      </c>
      <c r="AO83" t="n">
        <v>16</v>
      </c>
      <c r="AP83" t="n">
        <v>0.25</v>
      </c>
      <c r="AQ83" t="n">
        <v>0.25</v>
      </c>
      <c r="AR83" t="n">
        <v>0.062</v>
      </c>
      <c r="AS83" t="n">
        <v>0.842</v>
      </c>
      <c r="AT83" t="n">
        <v>0.912</v>
      </c>
      <c r="AU83" t="n">
        <v>19</v>
      </c>
      <c r="AV83" t="n">
        <v>4</v>
      </c>
      <c r="AW83" t="n">
        <v>3.36</v>
      </c>
      <c r="AX83" t="n">
        <v>11</v>
      </c>
      <c r="AY83" t="n">
        <v>1.05</v>
      </c>
      <c r="AZ83" t="n">
        <v>1.403</v>
      </c>
      <c r="BA83" t="n">
        <v>1.226</v>
      </c>
      <c r="BB83" t="n">
        <v>1.403</v>
      </c>
      <c r="BC83" t="n">
        <v>0.034</v>
      </c>
      <c r="BD83" t="n">
        <v>0.045</v>
      </c>
      <c r="BE83" t="n">
        <v>0.04</v>
      </c>
      <c r="BF83" t="n">
        <v>1.4</v>
      </c>
      <c r="BG83" t="n">
        <v>0.045</v>
      </c>
      <c r="BH83" t="n">
        <v>0.999</v>
      </c>
      <c r="BI83" t="n">
        <v>7.41</v>
      </c>
      <c r="BJ83" t="n">
        <v>1.049</v>
      </c>
      <c r="BK83" t="n">
        <v>0.034</v>
      </c>
      <c r="BL83" t="n">
        <v>-0.226</v>
      </c>
      <c r="BM83" t="n">
        <v>0.35</v>
      </c>
      <c r="BN83" t="n">
        <v>-0.4</v>
      </c>
      <c r="BO83" t="n">
        <v>-0.353</v>
      </c>
      <c r="BP83" t="n">
        <v>32</v>
      </c>
      <c r="BQ83" t="n">
        <v>8</v>
      </c>
      <c r="BS83" t="n">
        <v>39</v>
      </c>
      <c r="BT83" t="n">
        <v>1.257</v>
      </c>
      <c r="BV83" t="n">
        <v>1</v>
      </c>
      <c r="BW83" t="n">
        <v>4.37</v>
      </c>
      <c r="BX83" t="n">
        <v>4.248</v>
      </c>
      <c r="BY83" t="n">
        <v>4.309</v>
      </c>
      <c r="BZ83" t="n">
        <v>0.139</v>
      </c>
      <c r="CA83" t="n">
        <v>5.535</v>
      </c>
      <c r="CB83" t="n">
        <v>0.178</v>
      </c>
      <c r="CC83" t="n">
        <v>53</v>
      </c>
      <c r="CD83" t="n">
        <v>8</v>
      </c>
      <c r="CE83" t="n">
        <v>53</v>
      </c>
      <c r="CF83" t="n">
        <v>61</v>
      </c>
      <c r="CG83" t="n">
        <v>2</v>
      </c>
      <c r="CH83" t="n">
        <v>73</v>
      </c>
      <c r="CI83" t="n">
        <v>10.605</v>
      </c>
      <c r="CJ83" t="n">
        <v>8.792</v>
      </c>
      <c r="CK83" t="n">
        <v>142</v>
      </c>
      <c r="CL83" t="n">
        <v>132</v>
      </c>
      <c r="CM83" t="n">
        <v>76</v>
      </c>
      <c r="CN83" t="n">
        <v>50</v>
      </c>
      <c r="CO83" t="n">
        <v>31</v>
      </c>
      <c r="CP83" t="n">
        <v>102</v>
      </c>
      <c r="CQ83" t="n">
        <v>10</v>
      </c>
      <c r="CR83" t="n">
        <v>140</v>
      </c>
      <c r="CS83" t="n">
        <v>19</v>
      </c>
      <c r="CT83" t="n">
        <v>0.3</v>
      </c>
      <c r="CV83" t="n">
        <v>5</v>
      </c>
      <c r="CW83" t="n">
        <v>37.75</v>
      </c>
      <c r="CX83" t="n">
        <v>1.216</v>
      </c>
      <c r="CY83" t="n">
        <v>0</v>
      </c>
      <c r="DB83" t="n">
        <v>0</v>
      </c>
      <c r="DE83" t="n">
        <v>7.14</v>
      </c>
      <c r="DF83" t="n">
        <v>10</v>
      </c>
      <c r="DG83" t="n">
        <v>0</v>
      </c>
      <c r="DH83" t="n">
        <v>32</v>
      </c>
      <c r="DI83" t="n">
        <v>26</v>
      </c>
      <c r="DL83" t="n">
        <v>19</v>
      </c>
      <c r="DM83" t="n">
        <v>9</v>
      </c>
      <c r="DN83" t="n">
        <v>1</v>
      </c>
      <c r="DO83" t="n">
        <v>23.3</v>
      </c>
      <c r="DP83" t="n">
        <v>143.81</v>
      </c>
      <c r="DQ83" t="n">
        <v>71.95</v>
      </c>
      <c r="DR83" t="n">
        <v>143.9</v>
      </c>
      <c r="DS83" t="n">
        <v>-0.09</v>
      </c>
      <c r="DT83" t="n">
        <v>3084</v>
      </c>
      <c r="DU83" t="n">
        <v>81.15000000000001</v>
      </c>
      <c r="DV83" t="inlineStr">
        <is>
          <t>flat</t>
        </is>
      </c>
      <c r="DW83" t="n">
        <v>53.36</v>
      </c>
      <c r="DX83" t="n">
        <v>56.94</v>
      </c>
      <c r="DY83" t="n">
        <v>47.73</v>
      </c>
      <c r="DZ83" t="n">
        <v>-5.63</v>
      </c>
      <c r="EA83" t="n">
        <v>1613</v>
      </c>
      <c r="EB83" t="n">
        <v>17.66</v>
      </c>
      <c r="EC83" t="n">
        <v>3.56</v>
      </c>
      <c r="ED83" t="n">
        <v>116</v>
      </c>
      <c r="EE83" t="n">
        <v>3849</v>
      </c>
      <c r="EF83" t="b">
        <v>1</v>
      </c>
      <c r="EG83" t="n">
        <v>99.8</v>
      </c>
      <c r="EH83" t="n">
        <v>20.9</v>
      </c>
      <c r="EI83" t="n">
        <v>123</v>
      </c>
      <c r="EJ83" t="n">
        <v>87.3</v>
      </c>
      <c r="EK83" t="n">
        <v>71.59999999999999</v>
      </c>
      <c r="EL83" t="n">
        <v>52.7</v>
      </c>
      <c r="EM83" t="n">
        <v>2277.3</v>
      </c>
      <c r="EN83" t="n">
        <v>648.2</v>
      </c>
      <c r="EO83" t="n">
        <v>504.6</v>
      </c>
      <c r="EP83" t="n">
        <v>23.9</v>
      </c>
    </row>
    <row r="84">
      <c r="A84" t="inlineStr">
        <is>
          <t>Matty Cash</t>
        </is>
      </c>
      <c r="B84" t="inlineStr">
        <is>
          <t>AVL</t>
        </is>
      </c>
      <c r="C84" t="inlineStr">
        <is>
          <t>DEF</t>
        </is>
      </c>
      <c r="D84" t="inlineStr">
        <is>
          <t>DEF</t>
        </is>
      </c>
      <c r="E84" t="n">
        <v>4.5</v>
      </c>
      <c r="F84" t="b">
        <v>1</v>
      </c>
      <c r="G84" t="b">
        <v>1</v>
      </c>
      <c r="H84" t="n">
        <v>29</v>
      </c>
      <c r="I84" t="inlineStr">
        <is>
          <t>a</t>
        </is>
      </c>
      <c r="L84" t="inlineStr">
        <is>
          <t>p199796</t>
        </is>
      </c>
      <c r="M84" t="n">
        <v>32</v>
      </c>
      <c r="O84" t="n">
        <v>1</v>
      </c>
      <c r="Q84" t="n">
        <v>3016</v>
      </c>
      <c r="R84" t="n">
        <v>35</v>
      </c>
      <c r="S84" t="n">
        <v>34</v>
      </c>
      <c r="T84" t="n">
        <v>33.511</v>
      </c>
      <c r="U84" t="n">
        <v>86.2</v>
      </c>
      <c r="V84" t="n">
        <v>117</v>
      </c>
      <c r="W84" t="n">
        <v>3.491</v>
      </c>
      <c r="X84" t="n">
        <v>3</v>
      </c>
      <c r="Y84" t="n">
        <v>3</v>
      </c>
      <c r="Z84" t="n">
        <v>3</v>
      </c>
      <c r="AA84" t="n">
        <v>8</v>
      </c>
      <c r="AB84" t="n">
        <v>38</v>
      </c>
      <c r="AC84" t="n">
        <v>7</v>
      </c>
      <c r="AD84" t="n">
        <v>7</v>
      </c>
      <c r="AE84" t="n">
        <v>0</v>
      </c>
      <c r="AF84" t="n">
        <v>450</v>
      </c>
      <c r="AG84" t="n">
        <v>431</v>
      </c>
      <c r="AH84" t="n">
        <v>-19</v>
      </c>
      <c r="AI84" t="n">
        <v>117</v>
      </c>
      <c r="AJ84" t="n">
        <v>0.06</v>
      </c>
      <c r="AK84" t="n">
        <v>0.064</v>
      </c>
      <c r="AL84" t="n">
        <v>186</v>
      </c>
      <c r="AM84" t="n">
        <v>5.55</v>
      </c>
      <c r="AN84" t="n">
        <v>1</v>
      </c>
      <c r="AO84" t="n">
        <v>2</v>
      </c>
      <c r="AP84" t="n">
        <v>0.029</v>
      </c>
      <c r="AQ84" t="n">
        <v>0.029</v>
      </c>
      <c r="AR84" t="n">
        <v>0</v>
      </c>
      <c r="AS84" t="n">
        <v>0.895</v>
      </c>
      <c r="AT84" t="n">
        <v>0.9429999999999999</v>
      </c>
      <c r="AU84" t="n">
        <v>22</v>
      </c>
      <c r="AV84" t="n">
        <v>2</v>
      </c>
      <c r="AW84" t="n">
        <v>3.41</v>
      </c>
      <c r="AX84" t="n">
        <v>15</v>
      </c>
      <c r="AY84" t="n">
        <v>1.14</v>
      </c>
      <c r="AZ84" t="n">
        <v>1.218</v>
      </c>
      <c r="BA84" t="n">
        <v>1.179</v>
      </c>
      <c r="BB84" t="n">
        <v>1.218</v>
      </c>
      <c r="BC84" t="n">
        <v>0.034</v>
      </c>
      <c r="BD84" t="n">
        <v>0.036</v>
      </c>
      <c r="BE84" t="n">
        <v>0.035</v>
      </c>
      <c r="BF84" t="n">
        <v>1.6</v>
      </c>
      <c r="BG84" t="n">
        <v>0.048</v>
      </c>
      <c r="BH84" t="n">
        <v>1.04</v>
      </c>
      <c r="BI84" t="n">
        <v>6.23</v>
      </c>
      <c r="BJ84" t="n">
        <v>1.186</v>
      </c>
      <c r="BK84" t="n">
        <v>0.035</v>
      </c>
      <c r="BL84" t="n">
        <v>1.821</v>
      </c>
      <c r="BM84" t="n">
        <v>0.46</v>
      </c>
      <c r="BN84" t="n">
        <v>1.4</v>
      </c>
      <c r="BO84" t="n">
        <v>-0.078</v>
      </c>
      <c r="BP84" t="n">
        <v>30</v>
      </c>
      <c r="BQ84" t="n">
        <v>10</v>
      </c>
      <c r="BS84" t="n">
        <v>41</v>
      </c>
      <c r="BT84" t="n">
        <v>1.223</v>
      </c>
      <c r="BW84" t="n">
        <v>2.94</v>
      </c>
      <c r="BX84" t="n">
        <v>3.215</v>
      </c>
      <c r="BY84" t="n">
        <v>3.077</v>
      </c>
      <c r="BZ84" t="n">
        <v>0.092</v>
      </c>
      <c r="CA84" t="n">
        <v>4.256</v>
      </c>
      <c r="CB84" t="n">
        <v>0.127</v>
      </c>
      <c r="CC84" t="n">
        <v>31</v>
      </c>
      <c r="CD84" t="n">
        <v>4</v>
      </c>
      <c r="CE84" t="n">
        <v>30</v>
      </c>
      <c r="CF84" t="n">
        <v>26</v>
      </c>
      <c r="CG84" t="n">
        <v>1</v>
      </c>
      <c r="CH84" t="n">
        <v>47</v>
      </c>
      <c r="CI84" t="n">
        <v>10.301</v>
      </c>
      <c r="CJ84" t="n">
        <v>8.073</v>
      </c>
      <c r="CK84" t="n">
        <v>120</v>
      </c>
      <c r="CL84" t="n">
        <v>88</v>
      </c>
      <c r="CM84" t="n">
        <v>66</v>
      </c>
      <c r="CN84" t="n">
        <v>32</v>
      </c>
      <c r="CO84" t="n">
        <v>22</v>
      </c>
      <c r="CP84" t="n">
        <v>84</v>
      </c>
      <c r="CQ84" t="n">
        <v>14</v>
      </c>
      <c r="CR84" t="n">
        <v>137</v>
      </c>
      <c r="CS84" t="n">
        <v>32</v>
      </c>
      <c r="CT84" t="n">
        <v>0.1</v>
      </c>
      <c r="CU84" t="n">
        <v>2</v>
      </c>
      <c r="CV84" t="n">
        <v>2</v>
      </c>
      <c r="CW84" t="n">
        <v>45.45</v>
      </c>
      <c r="CX84" t="n">
        <v>1.356</v>
      </c>
      <c r="CY84" t="n">
        <v>0</v>
      </c>
      <c r="DB84" t="n">
        <v>0</v>
      </c>
      <c r="DE84" t="n">
        <v>6.93</v>
      </c>
      <c r="DF84" t="n">
        <v>9</v>
      </c>
      <c r="DG84" t="n">
        <v>0</v>
      </c>
      <c r="DH84" t="n">
        <v>41</v>
      </c>
      <c r="DI84" t="n">
        <v>30</v>
      </c>
      <c r="DL84" t="n">
        <v>11</v>
      </c>
      <c r="DM84" t="n">
        <v>17</v>
      </c>
      <c r="DN84" t="n">
        <v>4</v>
      </c>
      <c r="DO84" t="n">
        <v>8.4</v>
      </c>
      <c r="DP84" t="n">
        <v>127.1</v>
      </c>
      <c r="DQ84" t="n">
        <v>63.55</v>
      </c>
      <c r="DR84" t="n">
        <v>127.1</v>
      </c>
      <c r="DS84" t="n">
        <v>0</v>
      </c>
      <c r="DT84" t="n">
        <v>3342</v>
      </c>
      <c r="DU84" t="n">
        <v>87.95999999999999</v>
      </c>
      <c r="DV84" t="inlineStr">
        <is>
          <t>flat</t>
        </is>
      </c>
      <c r="DW84" t="n">
        <v>93.39</v>
      </c>
      <c r="DX84" t="n">
        <v>95.20999999999999</v>
      </c>
      <c r="DY84" t="n">
        <v>93.40000000000001</v>
      </c>
      <c r="DZ84" t="n">
        <v>0.01</v>
      </c>
      <c r="EA84" t="n">
        <v>738</v>
      </c>
      <c r="EB84" t="n">
        <v>17.64</v>
      </c>
      <c r="EC84" t="n">
        <v>18.29</v>
      </c>
      <c r="ED84" t="n">
        <v>120</v>
      </c>
      <c r="EE84" t="n">
        <v>1172</v>
      </c>
      <c r="EF84" t="b">
        <v>1</v>
      </c>
      <c r="EG84" t="n">
        <v>26.4</v>
      </c>
      <c r="EH84" t="n">
        <v>9</v>
      </c>
      <c r="EI84" t="n">
        <v>395</v>
      </c>
      <c r="EJ84" t="n">
        <v>100.5</v>
      </c>
      <c r="EK84" t="n">
        <v>73.59999999999999</v>
      </c>
      <c r="EL84" t="n">
        <v>100.5</v>
      </c>
      <c r="EM84" t="n">
        <v>2558.2</v>
      </c>
      <c r="EN84" t="n">
        <v>980</v>
      </c>
      <c r="EO84" t="n">
        <v>708.6</v>
      </c>
      <c r="EP84" t="n">
        <v>25.8</v>
      </c>
    </row>
    <row r="85">
      <c r="A85" t="inlineStr">
        <is>
          <t>Dan Ballard</t>
        </is>
      </c>
      <c r="B85" t="inlineStr">
        <is>
          <t>SUN</t>
        </is>
      </c>
      <c r="C85" t="inlineStr">
        <is>
          <t>DEF</t>
        </is>
      </c>
      <c r="D85" t="inlineStr">
        <is>
          <t>DEF</t>
        </is>
      </c>
      <c r="E85" t="n">
        <v>5</v>
      </c>
      <c r="F85" t="b">
        <v>1</v>
      </c>
      <c r="G85" t="b">
        <v>1</v>
      </c>
      <c r="H85" t="n">
        <v>26.9</v>
      </c>
      <c r="I85" t="inlineStr">
        <is>
          <t>a</t>
        </is>
      </c>
      <c r="L85" t="inlineStr">
        <is>
          <t>p223827</t>
        </is>
      </c>
      <c r="M85" t="n">
        <v>532</v>
      </c>
      <c r="Q85" t="n">
        <v>2144</v>
      </c>
      <c r="R85" t="n">
        <v>29</v>
      </c>
      <c r="S85" t="n">
        <v>24</v>
      </c>
      <c r="T85" t="n">
        <v>23.822</v>
      </c>
      <c r="U85" t="n">
        <v>73.90000000000001</v>
      </c>
      <c r="V85" t="n">
        <v>116</v>
      </c>
      <c r="W85" t="n">
        <v>4.869</v>
      </c>
      <c r="X85" t="n">
        <v>2</v>
      </c>
      <c r="Y85" t="n">
        <v>2</v>
      </c>
      <c r="Z85" t="n">
        <v>0</v>
      </c>
      <c r="AA85" t="n">
        <v>6</v>
      </c>
      <c r="AB85" t="n">
        <v>35</v>
      </c>
      <c r="AC85" t="n">
        <v>9</v>
      </c>
      <c r="AD85" t="n">
        <v>8</v>
      </c>
      <c r="AE85" t="n">
        <v>-1</v>
      </c>
      <c r="AF85" t="n">
        <v>340</v>
      </c>
      <c r="AG85" t="n">
        <v>300</v>
      </c>
      <c r="AH85" t="n">
        <v>-40</v>
      </c>
      <c r="AI85" t="n">
        <v>115</v>
      </c>
      <c r="AJ85" t="n">
        <v>0.078</v>
      </c>
      <c r="AK85" t="n">
        <v>0.08400000000000001</v>
      </c>
      <c r="AL85" t="n">
        <v>264</v>
      </c>
      <c r="AM85" t="n">
        <v>11.082</v>
      </c>
      <c r="AN85" t="n">
        <v>15</v>
      </c>
      <c r="AO85" t="n">
        <v>30</v>
      </c>
      <c r="AP85" t="n">
        <v>0.625</v>
      </c>
      <c r="AQ85" t="n">
        <v>0.625</v>
      </c>
      <c r="AR85" t="n">
        <v>0.333</v>
      </c>
      <c r="AS85" t="n">
        <v>0.632</v>
      </c>
      <c r="AT85" t="n">
        <v>0.759</v>
      </c>
      <c r="AU85" t="n">
        <v>13</v>
      </c>
      <c r="AV85" t="n">
        <v>3</v>
      </c>
      <c r="AW85" t="n">
        <v>4</v>
      </c>
      <c r="AX85" t="n">
        <v>17</v>
      </c>
      <c r="AY85" t="n">
        <v>2.46</v>
      </c>
      <c r="AZ85" t="n">
        <v>3.695</v>
      </c>
      <c r="BA85" t="n">
        <v>3.078</v>
      </c>
      <c r="BB85" t="n">
        <v>3.695</v>
      </c>
      <c r="BC85" t="n">
        <v>0.103</v>
      </c>
      <c r="BD85" t="n">
        <v>0.155</v>
      </c>
      <c r="BE85" t="n">
        <v>0.129</v>
      </c>
      <c r="BF85" t="n">
        <v>2.3</v>
      </c>
      <c r="BG85" t="n">
        <v>0.097</v>
      </c>
      <c r="BH85" t="n">
        <v>0.985</v>
      </c>
      <c r="BI85" t="n">
        <v>2.46</v>
      </c>
      <c r="BJ85" t="n">
        <v>2.422</v>
      </c>
      <c r="BK85" t="n">
        <v>0.102</v>
      </c>
      <c r="BL85" t="n">
        <v>-1.078</v>
      </c>
      <c r="BM85" t="n">
        <v>-0.16</v>
      </c>
      <c r="BN85" t="n">
        <v>-0.3</v>
      </c>
      <c r="BO85" t="n">
        <v>-1.235</v>
      </c>
      <c r="BP85" t="n">
        <v>26</v>
      </c>
      <c r="BQ85" t="n">
        <v>9</v>
      </c>
      <c r="BR85" t="n">
        <v>7</v>
      </c>
      <c r="BS85" t="n">
        <v>72</v>
      </c>
      <c r="BT85" t="n">
        <v>3.022</v>
      </c>
      <c r="BV85" t="n">
        <v>1</v>
      </c>
      <c r="BW85" t="n">
        <v>0.63</v>
      </c>
      <c r="BX85" t="n">
        <v>1.581</v>
      </c>
      <c r="BY85" t="n">
        <v>1.105</v>
      </c>
      <c r="BZ85" t="n">
        <v>0.046</v>
      </c>
      <c r="CA85" t="n">
        <v>4.183</v>
      </c>
      <c r="CB85" t="n">
        <v>0.176</v>
      </c>
      <c r="CC85" t="n">
        <v>14</v>
      </c>
      <c r="CD85" t="n">
        <v>3</v>
      </c>
      <c r="CE85" t="n">
        <v>15</v>
      </c>
      <c r="CF85" t="n">
        <v>0</v>
      </c>
      <c r="CI85" t="n">
        <v>4.753</v>
      </c>
      <c r="CJ85" t="n">
        <v>2.609</v>
      </c>
      <c r="CK85" t="n">
        <v>231</v>
      </c>
      <c r="CL85" t="n">
        <v>69</v>
      </c>
      <c r="CM85" t="n">
        <v>33</v>
      </c>
      <c r="CN85" t="n">
        <v>18</v>
      </c>
      <c r="CO85" t="n">
        <v>20</v>
      </c>
      <c r="CP85" t="n">
        <v>185</v>
      </c>
      <c r="CQ85" t="n">
        <v>24</v>
      </c>
      <c r="CR85" t="n">
        <v>168</v>
      </c>
      <c r="CS85" t="n">
        <v>106</v>
      </c>
      <c r="CT85" t="n">
        <v>0</v>
      </c>
      <c r="CV85" t="n">
        <v>3</v>
      </c>
      <c r="CW85" t="n">
        <v>33.2</v>
      </c>
      <c r="CX85" t="n">
        <v>1.394</v>
      </c>
      <c r="CY85" t="n">
        <v>0</v>
      </c>
      <c r="DB85" t="n">
        <v>0</v>
      </c>
      <c r="DE85" t="n">
        <v>6.85</v>
      </c>
      <c r="DF85" t="n">
        <v>4</v>
      </c>
      <c r="DG85" t="n">
        <v>1</v>
      </c>
      <c r="DH85" t="n">
        <v>29</v>
      </c>
      <c r="DI85" t="n">
        <v>30</v>
      </c>
      <c r="DJ85" t="n">
        <v>1</v>
      </c>
      <c r="DL85" t="n">
        <v>3</v>
      </c>
      <c r="DM85" t="n">
        <v>6</v>
      </c>
      <c r="DN85" t="n">
        <v>3</v>
      </c>
      <c r="DO85" t="n">
        <v>4.5</v>
      </c>
      <c r="DP85" t="n">
        <v>135.56</v>
      </c>
      <c r="DQ85" t="n">
        <v>67.88</v>
      </c>
      <c r="DR85" t="n">
        <v>135.76</v>
      </c>
      <c r="DS85" t="n">
        <v>-0.2</v>
      </c>
      <c r="DT85" t="n">
        <v>2867</v>
      </c>
      <c r="DU85" t="n">
        <v>75.45</v>
      </c>
      <c r="DV85" t="inlineStr">
        <is>
          <t>flat</t>
        </is>
      </c>
      <c r="DW85" t="n">
        <v>93.01000000000001</v>
      </c>
      <c r="DX85" t="n">
        <v>97.43000000000001</v>
      </c>
      <c r="DY85" t="n">
        <v>91.38</v>
      </c>
      <c r="DZ85" t="n">
        <v>-1.63</v>
      </c>
      <c r="EA85" t="n">
        <v>778</v>
      </c>
      <c r="EB85" t="n">
        <v>18.63</v>
      </c>
      <c r="EC85" t="n">
        <v>18</v>
      </c>
      <c r="ED85" t="n">
        <v>120</v>
      </c>
      <c r="EE85" t="n">
        <v>1532</v>
      </c>
      <c r="EF85" t="b">
        <v>1</v>
      </c>
      <c r="EG85" t="n">
        <v>35</v>
      </c>
      <c r="EH85" t="n">
        <v>10.2</v>
      </c>
      <c r="EI85" t="n">
        <v>236</v>
      </c>
      <c r="EJ85" t="n">
        <v>82.5</v>
      </c>
      <c r="EK85" t="n">
        <v>29.8</v>
      </c>
      <c r="EL85" t="n">
        <v>142.9</v>
      </c>
      <c r="EM85" t="n">
        <v>696.6</v>
      </c>
      <c r="EN85" t="n">
        <v>1939.8</v>
      </c>
      <c r="EO85" t="n">
        <v>512.5</v>
      </c>
      <c r="EP85" t="n">
        <v>18.5</v>
      </c>
    </row>
    <row r="86">
      <c r="A86" t="inlineStr">
        <is>
          <t>Jake O'Brien</t>
        </is>
      </c>
      <c r="B86" t="inlineStr">
        <is>
          <t>EVE</t>
        </is>
      </c>
      <c r="C86" t="inlineStr">
        <is>
          <t>DEF</t>
        </is>
      </c>
      <c r="D86" t="inlineStr">
        <is>
          <t>DEF</t>
        </is>
      </c>
      <c r="E86" t="n">
        <v>5</v>
      </c>
      <c r="F86" t="b">
        <v>1</v>
      </c>
      <c r="G86" t="b">
        <v>1</v>
      </c>
      <c r="H86" t="n">
        <v>25.3</v>
      </c>
      <c r="I86" t="inlineStr">
        <is>
          <t>a</t>
        </is>
      </c>
      <c r="L86" t="inlineStr">
        <is>
          <t>p512462</t>
        </is>
      </c>
      <c r="M86" t="n">
        <v>232</v>
      </c>
      <c r="Q86" t="n">
        <v>3118</v>
      </c>
      <c r="R86" t="n">
        <v>37</v>
      </c>
      <c r="S86" t="n">
        <v>35</v>
      </c>
      <c r="T86" t="n">
        <v>34.644</v>
      </c>
      <c r="U86" t="n">
        <v>84.3</v>
      </c>
      <c r="V86" t="n">
        <v>116</v>
      </c>
      <c r="W86" t="n">
        <v>3.348</v>
      </c>
      <c r="X86" t="n">
        <v>1</v>
      </c>
      <c r="Y86" t="n">
        <v>3</v>
      </c>
      <c r="Z86" t="n">
        <v>1</v>
      </c>
      <c r="AA86" t="n">
        <v>10</v>
      </c>
      <c r="AB86" t="n">
        <v>46</v>
      </c>
      <c r="AC86" t="n">
        <v>2</v>
      </c>
      <c r="AD86" t="n">
        <v>4</v>
      </c>
      <c r="AE86" t="n">
        <v>2</v>
      </c>
      <c r="AF86" t="n">
        <v>368</v>
      </c>
      <c r="AG86" t="n">
        <v>336</v>
      </c>
      <c r="AH86" t="n">
        <v>-32</v>
      </c>
      <c r="AI86" t="n">
        <v>118</v>
      </c>
      <c r="AJ86" t="n">
        <v>0.017</v>
      </c>
      <c r="AK86" t="n">
        <v>0.018</v>
      </c>
      <c r="AL86" t="n">
        <v>231</v>
      </c>
      <c r="AM86" t="n">
        <v>6.668</v>
      </c>
      <c r="AN86" t="n">
        <v>6</v>
      </c>
      <c r="AO86" t="n">
        <v>12</v>
      </c>
      <c r="AP86" t="n">
        <v>0.171</v>
      </c>
      <c r="AQ86" t="n">
        <v>0.171</v>
      </c>
      <c r="AR86" t="n">
        <v>0.08599999999999999</v>
      </c>
      <c r="AS86" t="n">
        <v>0.921</v>
      </c>
      <c r="AT86" t="n">
        <v>0.973</v>
      </c>
      <c r="AU86" t="n">
        <v>20</v>
      </c>
      <c r="AV86" t="n">
        <v>0</v>
      </c>
      <c r="AW86" t="n">
        <v>2.74</v>
      </c>
      <c r="AX86" t="n">
        <v>9</v>
      </c>
      <c r="AY86" t="n">
        <v>1.67</v>
      </c>
      <c r="AZ86" t="n">
        <v>1.307</v>
      </c>
      <c r="BA86" t="n">
        <v>1.488</v>
      </c>
      <c r="BB86" t="n">
        <v>1.307</v>
      </c>
      <c r="BC86" t="n">
        <v>0.048</v>
      </c>
      <c r="BD86" t="n">
        <v>0.038</v>
      </c>
      <c r="BE86" t="n">
        <v>0.043</v>
      </c>
      <c r="BF86" t="n">
        <v>2.3</v>
      </c>
      <c r="BG86" t="n">
        <v>0.066</v>
      </c>
      <c r="BH86" t="n">
        <v>1.149</v>
      </c>
      <c r="BI86" t="n">
        <v>2.44</v>
      </c>
      <c r="BJ86" t="n">
        <v>1.92</v>
      </c>
      <c r="BK86" t="n">
        <v>0.055</v>
      </c>
      <c r="BL86" t="n">
        <v>-0.488</v>
      </c>
      <c r="BM86" t="n">
        <v>0.63</v>
      </c>
      <c r="BN86" t="n">
        <v>-1.3</v>
      </c>
      <c r="BO86" t="n">
        <v>0.363</v>
      </c>
      <c r="BP86" t="n">
        <v>13</v>
      </c>
      <c r="BQ86" t="n">
        <v>6</v>
      </c>
      <c r="BR86" t="n">
        <v>1</v>
      </c>
      <c r="BS86" t="n">
        <v>37</v>
      </c>
      <c r="BT86" t="n">
        <v>1.068</v>
      </c>
      <c r="BV86" t="n">
        <v>1</v>
      </c>
      <c r="BW86" t="n">
        <v>1</v>
      </c>
      <c r="BX86" t="n">
        <v>0.724</v>
      </c>
      <c r="BY86" t="n">
        <v>0.862</v>
      </c>
      <c r="BZ86" t="n">
        <v>0.025</v>
      </c>
      <c r="CA86" t="n">
        <v>2.351</v>
      </c>
      <c r="CB86" t="n">
        <v>0.068</v>
      </c>
      <c r="CC86" t="n">
        <v>17</v>
      </c>
      <c r="CD86" t="n">
        <v>0</v>
      </c>
      <c r="CE86" t="n">
        <v>17</v>
      </c>
      <c r="CF86" t="n">
        <v>13</v>
      </c>
      <c r="CI86" t="n">
        <v>6.487</v>
      </c>
      <c r="CJ86" t="n">
        <v>5.053</v>
      </c>
      <c r="CK86" t="n">
        <v>174</v>
      </c>
      <c r="CL86" t="n">
        <v>114</v>
      </c>
      <c r="CM86" t="n">
        <v>57</v>
      </c>
      <c r="CN86" t="n">
        <v>32</v>
      </c>
      <c r="CO86" t="n">
        <v>15</v>
      </c>
      <c r="CP86" t="n">
        <v>144</v>
      </c>
      <c r="CQ86" t="n">
        <v>16</v>
      </c>
      <c r="CR86" t="n">
        <v>195</v>
      </c>
      <c r="CS86" t="n">
        <v>116</v>
      </c>
      <c r="CT86" t="n">
        <v>0.2</v>
      </c>
      <c r="CU86" t="n">
        <v>1</v>
      </c>
      <c r="CV86" t="n">
        <v>2</v>
      </c>
      <c r="CW86" t="n">
        <v>53.49</v>
      </c>
      <c r="CX86" t="n">
        <v>1.544</v>
      </c>
      <c r="CY86" t="n">
        <v>0</v>
      </c>
      <c r="DB86" t="n">
        <v>0</v>
      </c>
      <c r="DE86" t="n">
        <v>6.72</v>
      </c>
      <c r="DF86" t="n">
        <v>6</v>
      </c>
      <c r="DG86" t="n">
        <v>1</v>
      </c>
      <c r="DH86" t="n">
        <v>23</v>
      </c>
      <c r="DI86" t="n">
        <v>17</v>
      </c>
      <c r="DK86" t="n">
        <v>1</v>
      </c>
      <c r="DL86" t="n">
        <v>6</v>
      </c>
      <c r="DM86" t="n">
        <v>21</v>
      </c>
      <c r="DN86" t="n">
        <v>4</v>
      </c>
      <c r="DO86" t="n">
        <v>0.5</v>
      </c>
      <c r="DP86" t="n">
        <v>114.1</v>
      </c>
      <c r="DQ86" t="n">
        <v>57.07</v>
      </c>
      <c r="DR86" t="n">
        <v>114.14</v>
      </c>
      <c r="DS86" t="n">
        <v>-0.04</v>
      </c>
      <c r="DT86" t="n">
        <v>3164</v>
      </c>
      <c r="DU86" t="n">
        <v>83.25</v>
      </c>
      <c r="DV86" t="inlineStr">
        <is>
          <t>flat</t>
        </is>
      </c>
      <c r="DW86" t="n">
        <v>99.3</v>
      </c>
      <c r="DX86" t="n">
        <v>104.94</v>
      </c>
      <c r="DY86" t="n">
        <v>97.94</v>
      </c>
      <c r="DZ86" t="n">
        <v>-1.36</v>
      </c>
      <c r="EA86" t="n">
        <v>360</v>
      </c>
      <c r="EB86" t="n">
        <v>15.37</v>
      </c>
      <c r="EC86" t="n">
        <v>0.53</v>
      </c>
      <c r="ED86" t="n">
        <v>120</v>
      </c>
      <c r="EE86" t="n">
        <v>542</v>
      </c>
      <c r="EF86" t="b">
        <v>1</v>
      </c>
      <c r="EG86" t="n">
        <v>16</v>
      </c>
      <c r="EH86" t="n">
        <v>30.5</v>
      </c>
      <c r="EI86" t="n">
        <v>234</v>
      </c>
      <c r="EJ86" t="n">
        <v>239.8</v>
      </c>
      <c r="EK86" t="n">
        <v>84.3</v>
      </c>
      <c r="EL86" t="n">
        <v>183.4</v>
      </c>
      <c r="EM86" t="n">
        <v>2094.8</v>
      </c>
      <c r="EN86" t="n">
        <v>3616.3</v>
      </c>
      <c r="EO86" t="n">
        <v>1326.4</v>
      </c>
      <c r="EP86" t="n">
        <v>26.9</v>
      </c>
    </row>
    <row r="87">
      <c r="A87" t="inlineStr">
        <is>
          <t>Micky van de Ven</t>
        </is>
      </c>
      <c r="B87" t="inlineStr">
        <is>
          <t>TOT</t>
        </is>
      </c>
      <c r="C87" t="inlineStr">
        <is>
          <t>DEF</t>
        </is>
      </c>
      <c r="D87" t="inlineStr">
        <is>
          <t>DEF</t>
        </is>
      </c>
      <c r="E87" t="n">
        <v>5</v>
      </c>
      <c r="F87" t="b">
        <v>1</v>
      </c>
      <c r="G87" t="b">
        <v>1</v>
      </c>
      <c r="H87" t="n">
        <v>25.3</v>
      </c>
      <c r="I87" t="inlineStr">
        <is>
          <t>a</t>
        </is>
      </c>
      <c r="L87" t="inlineStr">
        <is>
          <t>p491279</t>
        </is>
      </c>
      <c r="M87" t="n">
        <v>503</v>
      </c>
      <c r="Q87" t="n">
        <v>3041</v>
      </c>
      <c r="R87" t="n">
        <v>35</v>
      </c>
      <c r="S87" t="n">
        <v>35</v>
      </c>
      <c r="T87" t="n">
        <v>33.789</v>
      </c>
      <c r="U87" t="n">
        <v>86.90000000000001</v>
      </c>
      <c r="V87" t="n">
        <v>116</v>
      </c>
      <c r="W87" t="n">
        <v>3.433</v>
      </c>
      <c r="X87" t="n">
        <v>4</v>
      </c>
      <c r="Y87" t="n">
        <v>1</v>
      </c>
      <c r="Z87" t="n">
        <v>1</v>
      </c>
      <c r="AA87" t="n">
        <v>9</v>
      </c>
      <c r="AB87" t="n">
        <v>50</v>
      </c>
      <c r="AC87" t="n">
        <v>10</v>
      </c>
      <c r="AD87" t="n">
        <v>9</v>
      </c>
      <c r="AE87" t="n">
        <v>-1</v>
      </c>
      <c r="AF87" t="n">
        <v>431</v>
      </c>
      <c r="AG87" t="n">
        <v>401</v>
      </c>
      <c r="AH87" t="n">
        <v>-30</v>
      </c>
      <c r="AI87" t="n">
        <v>115</v>
      </c>
      <c r="AJ87" t="n">
        <v>0.08599999999999999</v>
      </c>
      <c r="AK87" t="n">
        <v>0.094</v>
      </c>
      <c r="AL87" t="n">
        <v>212</v>
      </c>
      <c r="AM87" t="n">
        <v>6.274</v>
      </c>
      <c r="AN87" t="n">
        <v>3</v>
      </c>
      <c r="AO87" t="n">
        <v>6</v>
      </c>
      <c r="AP87" t="n">
        <v>0.08599999999999999</v>
      </c>
      <c r="AQ87" t="n">
        <v>0.08599999999999999</v>
      </c>
      <c r="AR87" t="n">
        <v>0.057</v>
      </c>
      <c r="AS87" t="n">
        <v>0.921</v>
      </c>
      <c r="AT87" t="n">
        <v>0.9429999999999999</v>
      </c>
      <c r="AU87" t="n">
        <v>23</v>
      </c>
      <c r="AV87" t="n">
        <v>3</v>
      </c>
      <c r="AW87" t="n">
        <v>4.8</v>
      </c>
      <c r="AX87" t="n">
        <v>23</v>
      </c>
      <c r="AY87" t="n">
        <v>2.82</v>
      </c>
      <c r="AZ87" t="n">
        <v>2.453</v>
      </c>
      <c r="BA87" t="n">
        <v>2.636</v>
      </c>
      <c r="BB87" t="n">
        <v>2.453</v>
      </c>
      <c r="BC87" t="n">
        <v>0.083</v>
      </c>
      <c r="BD87" t="n">
        <v>0.073</v>
      </c>
      <c r="BE87" t="n">
        <v>0.078</v>
      </c>
      <c r="BF87" t="n">
        <v>4.1</v>
      </c>
      <c r="BG87" t="n">
        <v>0.121</v>
      </c>
      <c r="BH87" t="n">
        <v>1.17</v>
      </c>
      <c r="BI87" t="n">
        <v>3.97</v>
      </c>
      <c r="BJ87" t="n">
        <v>3.298</v>
      </c>
      <c r="BK87" t="n">
        <v>0.098</v>
      </c>
      <c r="BL87" t="n">
        <v>1.364</v>
      </c>
      <c r="BM87" t="n">
        <v>1.28</v>
      </c>
      <c r="BN87" t="n">
        <v>-0.1</v>
      </c>
      <c r="BO87" t="n">
        <v>0.367</v>
      </c>
      <c r="BP87" t="n">
        <v>16</v>
      </c>
      <c r="BQ87" t="n">
        <v>6</v>
      </c>
      <c r="BR87" t="n">
        <v>1</v>
      </c>
      <c r="BS87" t="n">
        <v>33</v>
      </c>
      <c r="BT87" t="n">
        <v>0.977</v>
      </c>
      <c r="BV87" t="n">
        <v>2</v>
      </c>
      <c r="BW87" t="n">
        <v>0.38</v>
      </c>
      <c r="BX87" t="n">
        <v>1.014</v>
      </c>
      <c r="BY87" t="n">
        <v>0.697</v>
      </c>
      <c r="BZ87" t="n">
        <v>0.021</v>
      </c>
      <c r="CA87" t="n">
        <v>3.333</v>
      </c>
      <c r="CB87" t="n">
        <v>0.099</v>
      </c>
      <c r="CC87" t="n">
        <v>5</v>
      </c>
      <c r="CD87" t="n">
        <v>1</v>
      </c>
      <c r="CE87" t="n">
        <v>6</v>
      </c>
      <c r="CI87" t="n">
        <v>5.582</v>
      </c>
      <c r="CJ87" t="n">
        <v>5.244</v>
      </c>
      <c r="CK87" t="n">
        <v>174</v>
      </c>
      <c r="CL87" t="n">
        <v>121</v>
      </c>
      <c r="CM87" t="n">
        <v>38</v>
      </c>
      <c r="CN87" t="n">
        <v>19</v>
      </c>
      <c r="CO87" t="n">
        <v>22</v>
      </c>
      <c r="CP87" t="n">
        <v>131</v>
      </c>
      <c r="CQ87" t="n">
        <v>22</v>
      </c>
      <c r="CR87" t="n">
        <v>119</v>
      </c>
      <c r="CS87" t="n">
        <v>47</v>
      </c>
      <c r="CU87" t="n">
        <v>1</v>
      </c>
      <c r="CV87" t="n">
        <v>2</v>
      </c>
      <c r="CW87" t="n">
        <v>42.99</v>
      </c>
      <c r="CX87" t="n">
        <v>1.272</v>
      </c>
      <c r="CY87" t="n">
        <v>0</v>
      </c>
      <c r="DB87" t="n">
        <v>0</v>
      </c>
      <c r="DE87" t="n">
        <v>6.69</v>
      </c>
      <c r="DF87" t="n">
        <v>9</v>
      </c>
      <c r="DG87" t="n">
        <v>1</v>
      </c>
      <c r="DH87" t="n">
        <v>28</v>
      </c>
      <c r="DI87" t="n">
        <v>22</v>
      </c>
      <c r="DJ87" t="n">
        <v>0</v>
      </c>
      <c r="DK87" t="n">
        <v>1</v>
      </c>
      <c r="DL87" t="n">
        <v>11</v>
      </c>
      <c r="DM87" t="n">
        <v>5</v>
      </c>
      <c r="DN87" t="n">
        <v>2</v>
      </c>
      <c r="DO87" t="n">
        <v>7.4</v>
      </c>
      <c r="DP87" t="n">
        <v>113.04</v>
      </c>
      <c r="DQ87" t="n">
        <v>56.52</v>
      </c>
      <c r="DR87" t="n">
        <v>113.04</v>
      </c>
      <c r="DS87" t="n">
        <v>0</v>
      </c>
      <c r="DT87" t="n">
        <v>3089</v>
      </c>
      <c r="DU87" t="n">
        <v>81.3</v>
      </c>
      <c r="DV87" t="inlineStr">
        <is>
          <t>flat</t>
        </is>
      </c>
      <c r="DW87" t="n">
        <v>80.86</v>
      </c>
      <c r="DX87" t="n">
        <v>89.45</v>
      </c>
      <c r="DY87" t="n">
        <v>73.78</v>
      </c>
      <c r="DZ87" t="n">
        <v>-7.07</v>
      </c>
      <c r="EA87" t="n">
        <v>1451</v>
      </c>
      <c r="EB87" t="n">
        <v>23.64</v>
      </c>
      <c r="EC87" t="n">
        <v>4</v>
      </c>
      <c r="ED87" t="n">
        <v>120</v>
      </c>
      <c r="EE87" t="n">
        <v>3041</v>
      </c>
      <c r="EF87" t="b">
        <v>1</v>
      </c>
      <c r="EG87" t="n">
        <v>67.5</v>
      </c>
      <c r="EH87" t="n">
        <v>7.6</v>
      </c>
      <c r="EI87" t="n">
        <v>235</v>
      </c>
      <c r="EJ87" t="n">
        <v>190.1</v>
      </c>
      <c r="EK87" t="n">
        <v>92.2</v>
      </c>
      <c r="EL87" t="n">
        <v>506.8</v>
      </c>
      <c r="EM87" t="n">
        <v>1153.5</v>
      </c>
      <c r="EN87" t="n">
        <v>4362.1</v>
      </c>
      <c r="EO87" t="n">
        <v>912.3</v>
      </c>
      <c r="EP87" t="n">
        <v>26.2</v>
      </c>
    </row>
    <row r="88">
      <c r="A88" t="inlineStr">
        <is>
          <t>Reece James</t>
        </is>
      </c>
      <c r="B88" t="inlineStr">
        <is>
          <t>CHE</t>
        </is>
      </c>
      <c r="C88" t="inlineStr">
        <is>
          <t>DEF</t>
        </is>
      </c>
      <c r="D88" t="inlineStr">
        <is>
          <t>DEF</t>
        </is>
      </c>
      <c r="E88" t="n">
        <v>5.5</v>
      </c>
      <c r="F88" t="b">
        <v>1</v>
      </c>
      <c r="G88" t="b">
        <v>1</v>
      </c>
      <c r="H88" t="n">
        <v>26.7</v>
      </c>
      <c r="I88" t="inlineStr">
        <is>
          <t>a</t>
        </is>
      </c>
      <c r="L88" t="inlineStr">
        <is>
          <t>p225796</t>
        </is>
      </c>
      <c r="M88" t="n">
        <v>142</v>
      </c>
      <c r="O88" t="n">
        <v>1</v>
      </c>
      <c r="P88" t="n">
        <v>1</v>
      </c>
      <c r="Q88" t="n">
        <v>1957</v>
      </c>
      <c r="R88" t="n">
        <v>29</v>
      </c>
      <c r="S88" t="n">
        <v>20</v>
      </c>
      <c r="T88" t="n">
        <v>21.744</v>
      </c>
      <c r="U88" t="n">
        <v>67.5</v>
      </c>
      <c r="V88" t="n">
        <v>115</v>
      </c>
      <c r="W88" t="n">
        <v>5.289</v>
      </c>
      <c r="X88" t="n">
        <v>2</v>
      </c>
      <c r="Y88" t="n">
        <v>6</v>
      </c>
      <c r="Z88" t="n">
        <v>4</v>
      </c>
      <c r="AA88" t="n">
        <v>8</v>
      </c>
      <c r="AB88" t="n">
        <v>20</v>
      </c>
      <c r="AC88" t="n">
        <v>11</v>
      </c>
      <c r="AD88" t="n">
        <v>12</v>
      </c>
      <c r="AE88" t="n">
        <v>1</v>
      </c>
      <c r="AF88" t="n">
        <v>493</v>
      </c>
      <c r="AG88" t="n">
        <v>479</v>
      </c>
      <c r="AH88" t="n">
        <v>-14</v>
      </c>
      <c r="AI88" t="n">
        <v>116</v>
      </c>
      <c r="AJ88" t="n">
        <v>0.096</v>
      </c>
      <c r="AK88" t="n">
        <v>0.106</v>
      </c>
      <c r="AL88" t="n">
        <v>128</v>
      </c>
      <c r="AM88" t="n">
        <v>5.887</v>
      </c>
      <c r="AN88" t="n">
        <v>2</v>
      </c>
      <c r="AO88" t="n">
        <v>4</v>
      </c>
      <c r="AP88" t="n">
        <v>0.1</v>
      </c>
      <c r="AQ88" t="n">
        <v>0.1</v>
      </c>
      <c r="AR88" t="n">
        <v>0</v>
      </c>
      <c r="AS88" t="n">
        <v>0.526</v>
      </c>
      <c r="AT88" t="n">
        <v>0.655</v>
      </c>
      <c r="AU88" t="n">
        <v>14</v>
      </c>
      <c r="AV88" t="n">
        <v>1</v>
      </c>
      <c r="AW88" t="n">
        <v>3.64</v>
      </c>
      <c r="AX88" t="n">
        <v>18</v>
      </c>
      <c r="AY88" t="n">
        <v>1.04</v>
      </c>
      <c r="AZ88" t="n">
        <v>1.228</v>
      </c>
      <c r="BA88" t="n">
        <v>1.134</v>
      </c>
      <c r="BB88" t="n">
        <v>1.228</v>
      </c>
      <c r="BC88" t="n">
        <v>0.048</v>
      </c>
      <c r="BD88" t="n">
        <v>0.056</v>
      </c>
      <c r="BE88" t="n">
        <v>0.052</v>
      </c>
      <c r="BF88" t="n">
        <v>2.1</v>
      </c>
      <c r="BG88" t="n">
        <v>0.097</v>
      </c>
      <c r="BH88" t="n">
        <v>1.124</v>
      </c>
      <c r="BI88" t="n">
        <v>2.85</v>
      </c>
      <c r="BJ88" t="n">
        <v>1.169</v>
      </c>
      <c r="BK88" t="n">
        <v>0.054</v>
      </c>
      <c r="BL88" t="n">
        <v>0.866</v>
      </c>
      <c r="BM88" t="n">
        <v>1.06</v>
      </c>
      <c r="BN88" t="n">
        <v>-0.1</v>
      </c>
      <c r="BO88" t="n">
        <v>-0.188</v>
      </c>
      <c r="BP88" t="n">
        <v>22</v>
      </c>
      <c r="BQ88" t="n">
        <v>7</v>
      </c>
      <c r="BS88" t="n">
        <v>16</v>
      </c>
      <c r="BT88" t="n">
        <v>0.736</v>
      </c>
      <c r="BW88" t="n">
        <v>3.2</v>
      </c>
      <c r="BX88" t="n">
        <v>3.993</v>
      </c>
      <c r="BY88" t="n">
        <v>3.597</v>
      </c>
      <c r="BZ88" t="n">
        <v>0.165</v>
      </c>
      <c r="CA88" t="n">
        <v>4.731</v>
      </c>
      <c r="CB88" t="n">
        <v>0.218</v>
      </c>
      <c r="CC88" t="n">
        <v>27</v>
      </c>
      <c r="CD88" t="n">
        <v>8</v>
      </c>
      <c r="CE88" t="n">
        <v>27</v>
      </c>
      <c r="CF88" t="n">
        <v>30</v>
      </c>
      <c r="CG88" t="n">
        <v>1</v>
      </c>
      <c r="CH88" t="n">
        <v>81</v>
      </c>
      <c r="CI88" t="n">
        <v>11.532</v>
      </c>
      <c r="CJ88" t="n">
        <v>9.755000000000001</v>
      </c>
      <c r="CK88" t="n">
        <v>80</v>
      </c>
      <c r="CL88" t="n">
        <v>101</v>
      </c>
      <c r="CM88" t="n">
        <v>48</v>
      </c>
      <c r="CN88" t="n">
        <v>33</v>
      </c>
      <c r="CO88" t="n">
        <v>33</v>
      </c>
      <c r="CP88" t="n">
        <v>41</v>
      </c>
      <c r="CQ88" t="n">
        <v>6</v>
      </c>
      <c r="CR88" t="n">
        <v>112</v>
      </c>
      <c r="CS88" t="n">
        <v>31</v>
      </c>
      <c r="CT88" t="n">
        <v>0.3</v>
      </c>
      <c r="CU88" t="n">
        <v>1</v>
      </c>
      <c r="CV88" t="n">
        <v>3</v>
      </c>
      <c r="CW88" t="n">
        <v>28.75</v>
      </c>
      <c r="CX88" t="n">
        <v>1.322</v>
      </c>
      <c r="CY88" t="n">
        <v>0</v>
      </c>
      <c r="DB88" t="n">
        <v>0</v>
      </c>
      <c r="DE88" t="n">
        <v>7.23</v>
      </c>
      <c r="DF88" t="n">
        <v>4</v>
      </c>
      <c r="DG88" t="n">
        <v>0</v>
      </c>
      <c r="DH88" t="n">
        <v>27</v>
      </c>
      <c r="DI88" t="n">
        <v>22</v>
      </c>
      <c r="DL88" t="n">
        <v>11</v>
      </c>
      <c r="DM88" t="n">
        <v>13</v>
      </c>
      <c r="DN88" t="n">
        <v>1</v>
      </c>
      <c r="DO88" t="n">
        <v>8.1</v>
      </c>
      <c r="DP88" t="n">
        <v>111.71</v>
      </c>
      <c r="DQ88" t="n">
        <v>56.28</v>
      </c>
      <c r="DR88" t="n">
        <v>112.56</v>
      </c>
      <c r="DS88" t="n">
        <v>-0.85</v>
      </c>
      <c r="DT88" t="n">
        <v>2400</v>
      </c>
      <c r="DU88" t="n">
        <v>63.15</v>
      </c>
      <c r="DV88" t="inlineStr">
        <is>
          <t>flat</t>
        </is>
      </c>
      <c r="DW88" t="n">
        <v>65.76000000000001</v>
      </c>
      <c r="DX88" t="n">
        <v>67.84999999999999</v>
      </c>
      <c r="DY88" t="n">
        <v>63.2</v>
      </c>
      <c r="DZ88" t="n">
        <v>-2.56</v>
      </c>
      <c r="EA88" t="n">
        <v>1543</v>
      </c>
      <c r="EB88" t="n">
        <v>18.93</v>
      </c>
      <c r="EC88" t="n">
        <v>10</v>
      </c>
      <c r="ED88" t="n">
        <v>120</v>
      </c>
      <c r="EE88" t="n">
        <v>3024</v>
      </c>
      <c r="EF88" t="b">
        <v>1</v>
      </c>
      <c r="EG88" t="n">
        <v>98.3</v>
      </c>
      <c r="EH88" t="n">
        <v>36.9</v>
      </c>
      <c r="EI88" t="n">
        <v>125</v>
      </c>
      <c r="EJ88" t="n">
        <v>89</v>
      </c>
      <c r="EK88" t="n">
        <v>122.3</v>
      </c>
      <c r="EL88" t="n">
        <v>72.5</v>
      </c>
      <c r="EM88" t="n">
        <v>1725.7</v>
      </c>
      <c r="EN88" t="n">
        <v>544.1</v>
      </c>
      <c r="EO88" t="n">
        <v>413.7</v>
      </c>
      <c r="EP88" t="n">
        <v>17</v>
      </c>
    </row>
    <row r="89">
      <c r="A89" t="inlineStr">
        <is>
          <t>Evanilson</t>
        </is>
      </c>
      <c r="B89" t="inlineStr">
        <is>
          <t>BOU</t>
        </is>
      </c>
      <c r="C89" t="inlineStr">
        <is>
          <t>FWD</t>
        </is>
      </c>
      <c r="D89" t="inlineStr">
        <is>
          <t>FWD</t>
        </is>
      </c>
      <c r="E89" t="n">
        <v>6</v>
      </c>
      <c r="F89" t="b">
        <v>1</v>
      </c>
      <c r="G89" t="b">
        <v>1</v>
      </c>
      <c r="H89" t="n">
        <v>26.9</v>
      </c>
      <c r="I89" t="inlineStr">
        <is>
          <t>a</t>
        </is>
      </c>
      <c r="L89" t="inlineStr">
        <is>
          <t>p444102</t>
        </is>
      </c>
      <c r="M89" t="n">
        <v>79</v>
      </c>
      <c r="Q89" t="n">
        <v>2741</v>
      </c>
      <c r="R89" t="n">
        <v>36</v>
      </c>
      <c r="S89" t="n">
        <v>32</v>
      </c>
      <c r="T89" t="n">
        <v>30.456</v>
      </c>
      <c r="U89" t="n">
        <v>76.09999999999999</v>
      </c>
      <c r="V89" t="n">
        <v>115</v>
      </c>
      <c r="W89" t="n">
        <v>3.776</v>
      </c>
      <c r="X89" t="n">
        <v>6</v>
      </c>
      <c r="Y89" t="n">
        <v>7</v>
      </c>
      <c r="Z89" t="n">
        <v>1</v>
      </c>
      <c r="AA89" t="n">
        <v>11</v>
      </c>
      <c r="AB89" t="n">
        <v>40</v>
      </c>
      <c r="AC89" t="n">
        <v>6</v>
      </c>
      <c r="AD89" t="n">
        <v>6</v>
      </c>
      <c r="AE89" t="n">
        <v>0</v>
      </c>
      <c r="AF89" t="n">
        <v>412</v>
      </c>
      <c r="AG89" t="n">
        <v>404</v>
      </c>
      <c r="AH89" t="n">
        <v>-8</v>
      </c>
      <c r="AI89" t="n">
        <v>115</v>
      </c>
      <c r="AJ89" t="n">
        <v>0.052</v>
      </c>
      <c r="AK89" t="n">
        <v>0.055</v>
      </c>
      <c r="AL89" t="n">
        <v>135</v>
      </c>
      <c r="AM89" t="n">
        <v>4.433</v>
      </c>
      <c r="AN89" t="n">
        <v>0</v>
      </c>
      <c r="AO89" t="n">
        <v>0</v>
      </c>
      <c r="AP89" t="n">
        <v>0</v>
      </c>
      <c r="AQ89" t="n">
        <v>0</v>
      </c>
      <c r="AR89" t="n">
        <v>0</v>
      </c>
      <c r="AS89" t="n">
        <v>0.842</v>
      </c>
      <c r="AT89" t="n">
        <v>0.833</v>
      </c>
      <c r="AU89" t="n">
        <v>23</v>
      </c>
      <c r="AV89" t="n">
        <v>0</v>
      </c>
      <c r="AW89" t="n">
        <v>2.22</v>
      </c>
      <c r="AX89" t="n">
        <v>8</v>
      </c>
      <c r="AY89" t="n">
        <v>10.64</v>
      </c>
      <c r="AZ89" t="n">
        <v>11.83</v>
      </c>
      <c r="BA89" t="n">
        <v>11.235</v>
      </c>
      <c r="BB89" t="n">
        <v>11.83</v>
      </c>
      <c r="BC89" t="n">
        <v>0.349</v>
      </c>
      <c r="BD89" t="n">
        <v>0.388</v>
      </c>
      <c r="BE89" t="n">
        <v>0.369</v>
      </c>
      <c r="BF89" t="n">
        <v>6.9</v>
      </c>
      <c r="BG89" t="n">
        <v>0.227</v>
      </c>
      <c r="BH89" t="n">
        <v>0.842</v>
      </c>
      <c r="BI89" t="n">
        <v>23.11</v>
      </c>
      <c r="BJ89" t="n">
        <v>8.961</v>
      </c>
      <c r="BK89" t="n">
        <v>0.294</v>
      </c>
      <c r="BL89" t="n">
        <v>-5.235</v>
      </c>
      <c r="BM89" t="n">
        <v>-3.74</v>
      </c>
      <c r="BN89" t="n">
        <v>-0.9</v>
      </c>
      <c r="BO89" t="n">
        <v>-1.19</v>
      </c>
      <c r="BP89" t="n">
        <v>70</v>
      </c>
      <c r="BQ89" t="n">
        <v>22</v>
      </c>
      <c r="BR89" t="n">
        <v>10</v>
      </c>
      <c r="BS89" t="n">
        <v>140</v>
      </c>
      <c r="BT89" t="n">
        <v>4.597</v>
      </c>
      <c r="BV89" t="n">
        <v>2</v>
      </c>
      <c r="BW89" t="n">
        <v>1.48</v>
      </c>
      <c r="BX89" t="n">
        <v>3.069</v>
      </c>
      <c r="BY89" t="n">
        <v>2.275</v>
      </c>
      <c r="BZ89" t="n">
        <v>0.075</v>
      </c>
      <c r="CA89" t="n">
        <v>13.51</v>
      </c>
      <c r="CB89" t="n">
        <v>0.444</v>
      </c>
      <c r="CC89" t="n">
        <v>30</v>
      </c>
      <c r="CD89" t="n">
        <v>3</v>
      </c>
      <c r="CE89" t="n">
        <v>31</v>
      </c>
      <c r="CG89" t="n">
        <v>1</v>
      </c>
      <c r="CI89" t="n">
        <v>15.95</v>
      </c>
      <c r="CJ89" t="n">
        <v>3.486</v>
      </c>
      <c r="CK89" t="n">
        <v>42</v>
      </c>
      <c r="CL89" t="n">
        <v>80</v>
      </c>
      <c r="CM89" t="n">
        <v>13</v>
      </c>
      <c r="CN89" t="n">
        <v>5</v>
      </c>
      <c r="CO89" t="n">
        <v>8</v>
      </c>
      <c r="CP89" t="n">
        <v>29</v>
      </c>
      <c r="CQ89" t="n">
        <v>6</v>
      </c>
      <c r="CR89" t="n">
        <v>113</v>
      </c>
      <c r="CS89" t="n">
        <v>47</v>
      </c>
      <c r="CT89" t="n">
        <v>0.6</v>
      </c>
      <c r="CV89" t="n">
        <v>1</v>
      </c>
      <c r="CW89" t="n">
        <v>39.02</v>
      </c>
      <c r="CX89" t="n">
        <v>1.281</v>
      </c>
      <c r="CY89" t="n">
        <v>0</v>
      </c>
      <c r="DB89" t="n">
        <v>0</v>
      </c>
      <c r="DE89" t="n">
        <v>6.77</v>
      </c>
      <c r="DF89" t="n">
        <v>2</v>
      </c>
      <c r="DG89" t="n">
        <v>0</v>
      </c>
      <c r="DH89" t="n">
        <v>26</v>
      </c>
      <c r="DI89" t="n">
        <v>37</v>
      </c>
      <c r="DJ89" t="n">
        <v>2</v>
      </c>
      <c r="DL89" t="n">
        <v>16</v>
      </c>
      <c r="DM89" t="n">
        <v>39</v>
      </c>
      <c r="DN89" t="n">
        <v>30</v>
      </c>
      <c r="DO89" t="n">
        <v>2.1</v>
      </c>
      <c r="DP89" t="n">
        <v>141.07</v>
      </c>
      <c r="DQ89" t="n">
        <v>71.06999999999999</v>
      </c>
      <c r="DR89" t="n">
        <v>142.14</v>
      </c>
      <c r="DS89" t="n">
        <v>-1.07</v>
      </c>
      <c r="DT89" t="n">
        <v>2662</v>
      </c>
      <c r="DU89" t="n">
        <v>70.05</v>
      </c>
      <c r="DV89" t="inlineStr">
        <is>
          <t>flat</t>
        </is>
      </c>
      <c r="DW89" t="n">
        <v>56.49</v>
      </c>
      <c r="DX89" t="n">
        <v>58.52</v>
      </c>
      <c r="DY89" t="n">
        <v>50.03</v>
      </c>
      <c r="DZ89" t="n">
        <v>-6.46</v>
      </c>
      <c r="EA89" t="n">
        <v>1480</v>
      </c>
      <c r="EB89" t="n">
        <v>25.73</v>
      </c>
      <c r="EC89" t="n">
        <v>6.86</v>
      </c>
      <c r="ED89" t="n">
        <v>120</v>
      </c>
      <c r="EE89" t="n">
        <v>2958</v>
      </c>
      <c r="EF89" t="b">
        <v>1</v>
      </c>
      <c r="EG89" t="n">
        <v>93.2</v>
      </c>
      <c r="EH89" t="n">
        <v>34.9</v>
      </c>
      <c r="EI89" t="n">
        <v>76</v>
      </c>
      <c r="EJ89" t="n">
        <v>39.2</v>
      </c>
      <c r="EK89" t="n">
        <v>19.6</v>
      </c>
      <c r="EL89" t="n">
        <v>88.40000000000001</v>
      </c>
      <c r="EM89" t="n">
        <v>244</v>
      </c>
      <c r="EN89" t="n">
        <v>1205.1</v>
      </c>
      <c r="EO89" t="n">
        <v>202.9</v>
      </c>
      <c r="EP89" t="n">
        <v>23.8</v>
      </c>
    </row>
    <row r="90">
      <c r="A90" t="inlineStr">
        <is>
          <t>Keane Lewis-Potter</t>
        </is>
      </c>
      <c r="B90" t="inlineStr">
        <is>
          <t>BRE</t>
        </is>
      </c>
      <c r="C90" t="inlineStr">
        <is>
          <t>MID</t>
        </is>
      </c>
      <c r="D90" t="inlineStr">
        <is>
          <t>DEF</t>
        </is>
      </c>
      <c r="E90" t="n">
        <v>5.5</v>
      </c>
      <c r="F90" t="b">
        <v>1</v>
      </c>
      <c r="G90" t="b">
        <v>1</v>
      </c>
      <c r="H90" t="n">
        <v>25.5</v>
      </c>
      <c r="I90" t="inlineStr">
        <is>
          <t>a</t>
        </is>
      </c>
      <c r="L90" t="inlineStr">
        <is>
          <t>p249231</t>
        </is>
      </c>
      <c r="M90" t="n">
        <v>86</v>
      </c>
      <c r="P90" t="n">
        <v>1</v>
      </c>
      <c r="Q90" t="n">
        <v>1960</v>
      </c>
      <c r="R90" t="n">
        <v>36</v>
      </c>
      <c r="S90" t="n">
        <v>22</v>
      </c>
      <c r="T90" t="n">
        <v>21.778</v>
      </c>
      <c r="U90" t="n">
        <v>54.4</v>
      </c>
      <c r="V90" t="n">
        <v>115</v>
      </c>
      <c r="W90" t="n">
        <v>5.281</v>
      </c>
      <c r="X90" t="n">
        <v>3</v>
      </c>
      <c r="Y90" t="n">
        <v>4</v>
      </c>
      <c r="Z90" t="n">
        <v>3</v>
      </c>
      <c r="AA90" t="n">
        <v>9</v>
      </c>
      <c r="AB90" t="n">
        <v>32</v>
      </c>
      <c r="AC90" t="n">
        <v>5</v>
      </c>
      <c r="AD90" t="n">
        <v>6</v>
      </c>
      <c r="AE90" t="n">
        <v>1</v>
      </c>
      <c r="AF90" t="n">
        <v>356</v>
      </c>
      <c r="AG90" t="n">
        <v>346</v>
      </c>
      <c r="AH90" t="n">
        <v>-10</v>
      </c>
      <c r="AI90" t="n">
        <v>116</v>
      </c>
      <c r="AJ90" t="n">
        <v>0.043</v>
      </c>
      <c r="AK90" t="n">
        <v>0.045</v>
      </c>
      <c r="AL90" t="n">
        <v>74</v>
      </c>
      <c r="AM90" t="n">
        <v>3.398</v>
      </c>
      <c r="AN90" t="n">
        <v>0</v>
      </c>
      <c r="AO90" t="n">
        <v>0</v>
      </c>
      <c r="AP90" t="n">
        <v>0</v>
      </c>
      <c r="AQ90" t="n">
        <v>0</v>
      </c>
      <c r="AR90" t="n">
        <v>0</v>
      </c>
      <c r="AS90" t="n">
        <v>0.579</v>
      </c>
      <c r="AT90" t="n">
        <v>0.583</v>
      </c>
      <c r="AU90" t="n">
        <v>23</v>
      </c>
      <c r="AV90" t="n">
        <v>2</v>
      </c>
      <c r="AW90" t="n">
        <v>4.06</v>
      </c>
      <c r="AX90" t="n">
        <v>21</v>
      </c>
      <c r="AY90" t="n">
        <v>3.01</v>
      </c>
      <c r="AZ90" t="n">
        <v>3.215</v>
      </c>
      <c r="BA90" t="n">
        <v>3.112</v>
      </c>
      <c r="BB90" t="n">
        <v>3.215</v>
      </c>
      <c r="BC90" t="n">
        <v>0.138</v>
      </c>
      <c r="BD90" t="n">
        <v>0.148</v>
      </c>
      <c r="BE90" t="n">
        <v>0.143</v>
      </c>
      <c r="BF90" t="n">
        <v>2.3</v>
      </c>
      <c r="BG90" t="n">
        <v>0.106</v>
      </c>
      <c r="BH90" t="n">
        <v>0.982</v>
      </c>
      <c r="BI90" t="n">
        <v>12.88</v>
      </c>
      <c r="BJ90" t="n">
        <v>2.955</v>
      </c>
      <c r="BK90" t="n">
        <v>0.136</v>
      </c>
      <c r="BL90" t="n">
        <v>-0.112</v>
      </c>
      <c r="BM90" t="n">
        <v>-0.71</v>
      </c>
      <c r="BN90" t="n">
        <v>0.7</v>
      </c>
      <c r="BO90" t="n">
        <v>-0.205</v>
      </c>
      <c r="BP90" t="n">
        <v>31</v>
      </c>
      <c r="BQ90" t="n">
        <v>9</v>
      </c>
      <c r="BR90" t="n">
        <v>2</v>
      </c>
      <c r="BS90" t="n">
        <v>74</v>
      </c>
      <c r="BT90" t="n">
        <v>3.398</v>
      </c>
      <c r="BV90" t="n">
        <v>1</v>
      </c>
      <c r="BW90" t="n">
        <v>2.51</v>
      </c>
      <c r="BX90" t="n">
        <v>2.714</v>
      </c>
      <c r="BY90" t="n">
        <v>2.612</v>
      </c>
      <c r="BZ90" t="n">
        <v>0.12</v>
      </c>
      <c r="CA90" t="n">
        <v>5.725</v>
      </c>
      <c r="CB90" t="n">
        <v>0.263</v>
      </c>
      <c r="CC90" t="n">
        <v>19</v>
      </c>
      <c r="CD90" t="n">
        <v>6</v>
      </c>
      <c r="CE90" t="n">
        <v>19</v>
      </c>
      <c r="CF90" t="n">
        <v>22</v>
      </c>
      <c r="CH90" t="n">
        <v>2</v>
      </c>
      <c r="CI90" t="n">
        <v>7.843</v>
      </c>
      <c r="CJ90" t="n">
        <v>3.192</v>
      </c>
      <c r="CK90" t="n">
        <v>51</v>
      </c>
      <c r="CL90" t="n">
        <v>96</v>
      </c>
      <c r="CM90" t="n">
        <v>23</v>
      </c>
      <c r="CN90" t="n">
        <v>14</v>
      </c>
      <c r="CO90" t="n">
        <v>12</v>
      </c>
      <c r="CP90" t="n">
        <v>37</v>
      </c>
      <c r="CQ90" t="n">
        <v>2</v>
      </c>
      <c r="CR90" t="n">
        <v>86</v>
      </c>
      <c r="CS90" t="n">
        <v>11</v>
      </c>
      <c r="CT90" t="n">
        <v>0.3</v>
      </c>
      <c r="CU90" t="n">
        <v>1</v>
      </c>
      <c r="CW90" t="n">
        <v>33.74</v>
      </c>
      <c r="CX90" t="n">
        <v>1.549</v>
      </c>
      <c r="CY90" t="n">
        <v>0</v>
      </c>
      <c r="DB90" t="n">
        <v>0</v>
      </c>
      <c r="DE90" t="n">
        <v>6.67</v>
      </c>
      <c r="DF90" t="n">
        <v>1</v>
      </c>
      <c r="DG90" t="n">
        <v>0</v>
      </c>
      <c r="DH90" t="n">
        <v>15</v>
      </c>
      <c r="DI90" t="n">
        <v>36</v>
      </c>
      <c r="DL90" t="n">
        <v>16</v>
      </c>
      <c r="DM90" t="n">
        <v>15</v>
      </c>
      <c r="DN90" t="n">
        <v>3</v>
      </c>
      <c r="DO90" t="n">
        <v>0.5</v>
      </c>
      <c r="DP90" t="n">
        <v>66.66</v>
      </c>
      <c r="DQ90" t="n">
        <v>33.73</v>
      </c>
      <c r="DR90" t="n">
        <v>67.45999999999999</v>
      </c>
      <c r="DS90" t="n">
        <v>-0.8</v>
      </c>
      <c r="DT90" t="n">
        <v>1659</v>
      </c>
      <c r="DU90" t="n">
        <v>43.65</v>
      </c>
      <c r="DV90" t="inlineStr">
        <is>
          <t>flat</t>
        </is>
      </c>
      <c r="DW90" t="n">
        <v>87.3</v>
      </c>
      <c r="DX90" t="n">
        <v>79.38</v>
      </c>
      <c r="DY90" t="n">
        <v>89.40000000000001</v>
      </c>
      <c r="DZ90" t="n">
        <v>2.1</v>
      </c>
      <c r="EA90" t="n">
        <v>46</v>
      </c>
      <c r="EB90" t="n">
        <v>19.15</v>
      </c>
      <c r="EC90" t="n">
        <v>12</v>
      </c>
      <c r="ED90" t="n">
        <v>114.5</v>
      </c>
      <c r="EE90" t="n">
        <v>78</v>
      </c>
      <c r="EF90" t="b">
        <v>1</v>
      </c>
      <c r="EG90" t="n">
        <v>1.8</v>
      </c>
      <c r="EH90" t="n">
        <v>12.4</v>
      </c>
      <c r="EI90" t="n">
        <v>124</v>
      </c>
      <c r="EJ90" t="n">
        <v>63.2</v>
      </c>
      <c r="EK90" t="n">
        <v>26.5</v>
      </c>
      <c r="EL90" t="n">
        <v>103.2</v>
      </c>
      <c r="EM90" t="n">
        <v>629.7</v>
      </c>
      <c r="EN90" t="n">
        <v>750.3</v>
      </c>
      <c r="EO90" t="n">
        <v>342.4</v>
      </c>
      <c r="EP90" t="n">
        <v>17</v>
      </c>
    </row>
    <row r="91">
      <c r="A91" t="inlineStr">
        <is>
          <t>Cole Palmer</t>
        </is>
      </c>
      <c r="B91" t="inlineStr">
        <is>
          <t>CHE</t>
        </is>
      </c>
      <c r="C91" t="inlineStr">
        <is>
          <t>MID</t>
        </is>
      </c>
      <c r="D91" t="inlineStr">
        <is>
          <t>MID</t>
        </is>
      </c>
      <c r="E91" t="n">
        <v>9.5</v>
      </c>
      <c r="F91" t="b">
        <v>1</v>
      </c>
      <c r="G91" t="b">
        <v>1</v>
      </c>
      <c r="H91" t="n">
        <v>24.3</v>
      </c>
      <c r="I91" t="inlineStr">
        <is>
          <t>a</t>
        </is>
      </c>
      <c r="L91" t="inlineStr">
        <is>
          <t>p244851</t>
        </is>
      </c>
      <c r="M91" t="n">
        <v>154</v>
      </c>
      <c r="N91" t="n">
        <v>1</v>
      </c>
      <c r="P91" t="n">
        <v>3</v>
      </c>
      <c r="Q91" t="n">
        <v>1954</v>
      </c>
      <c r="R91" t="n">
        <v>26</v>
      </c>
      <c r="S91" t="n">
        <v>24</v>
      </c>
      <c r="T91" t="n">
        <v>21.711</v>
      </c>
      <c r="U91" t="n">
        <v>75.2</v>
      </c>
      <c r="V91" t="n">
        <v>114</v>
      </c>
      <c r="W91" t="n">
        <v>5.251</v>
      </c>
      <c r="X91" t="n">
        <v>10</v>
      </c>
      <c r="Y91" t="n">
        <v>2</v>
      </c>
      <c r="Z91" t="n">
        <v>1</v>
      </c>
      <c r="AA91" t="n">
        <v>3</v>
      </c>
      <c r="AB91" t="n">
        <v>33</v>
      </c>
      <c r="AC91" t="n">
        <v>11</v>
      </c>
      <c r="AD91" t="n">
        <v>11</v>
      </c>
      <c r="AE91" t="n">
        <v>0</v>
      </c>
      <c r="AF91" t="n">
        <v>430</v>
      </c>
      <c r="AG91" t="n">
        <v>425</v>
      </c>
      <c r="AH91" t="n">
        <v>-5</v>
      </c>
      <c r="AI91" t="n">
        <v>114</v>
      </c>
      <c r="AJ91" t="n">
        <v>0.096</v>
      </c>
      <c r="AK91" t="n">
        <v>0.107</v>
      </c>
      <c r="AL91" t="n">
        <v>135</v>
      </c>
      <c r="AM91" t="n">
        <v>6.218</v>
      </c>
      <c r="AN91" t="n">
        <v>2</v>
      </c>
      <c r="AO91" t="n">
        <v>4</v>
      </c>
      <c r="AP91" t="n">
        <v>0.083</v>
      </c>
      <c r="AQ91" t="n">
        <v>0.167</v>
      </c>
      <c r="AR91" t="n">
        <v>0.083</v>
      </c>
      <c r="AS91" t="n">
        <v>0.632</v>
      </c>
      <c r="AT91" t="n">
        <v>0.8080000000000001</v>
      </c>
      <c r="AU91" t="n">
        <v>14</v>
      </c>
      <c r="AV91" t="n">
        <v>2</v>
      </c>
      <c r="AW91" t="n">
        <v>4.22</v>
      </c>
      <c r="AX91" t="n">
        <v>20</v>
      </c>
      <c r="AY91" t="n">
        <v>10.55</v>
      </c>
      <c r="AZ91" t="n">
        <v>10.258</v>
      </c>
      <c r="BA91" t="n">
        <v>10.404</v>
      </c>
      <c r="BB91" t="n">
        <v>5.691</v>
      </c>
      <c r="BC91" t="n">
        <v>0.486</v>
      </c>
      <c r="BD91" t="n">
        <v>0.472</v>
      </c>
      <c r="BE91" t="n">
        <v>0.479</v>
      </c>
      <c r="BF91" t="n">
        <v>10.1</v>
      </c>
      <c r="BG91" t="n">
        <v>0.465</v>
      </c>
      <c r="BH91" t="n">
        <v>1.039</v>
      </c>
      <c r="BI91" t="n">
        <v>45.05</v>
      </c>
      <c r="BJ91" t="n">
        <v>10.958</v>
      </c>
      <c r="BK91" t="n">
        <v>0.505</v>
      </c>
      <c r="BL91" t="n">
        <v>-0.404</v>
      </c>
      <c r="BM91" t="n">
        <v>-0.45</v>
      </c>
      <c r="BN91" t="n">
        <v>-0.1</v>
      </c>
      <c r="BO91" t="n">
        <v>0.292</v>
      </c>
      <c r="BP91" t="n">
        <v>64</v>
      </c>
      <c r="BQ91" t="n">
        <v>25</v>
      </c>
      <c r="BR91" t="n">
        <v>6</v>
      </c>
      <c r="BS91" t="n">
        <v>93</v>
      </c>
      <c r="BT91" t="n">
        <v>4.284</v>
      </c>
      <c r="BU91" t="n">
        <v>5</v>
      </c>
      <c r="BW91" t="n">
        <v>2.49</v>
      </c>
      <c r="BX91" t="n">
        <v>2.123</v>
      </c>
      <c r="BY91" t="n">
        <v>2.307</v>
      </c>
      <c r="BZ91" t="n">
        <v>0.106</v>
      </c>
      <c r="CA91" t="n">
        <v>12.71</v>
      </c>
      <c r="CB91" t="n">
        <v>0.585</v>
      </c>
      <c r="CC91" t="n">
        <v>24</v>
      </c>
      <c r="CD91" t="n">
        <v>3</v>
      </c>
      <c r="CE91" t="n">
        <v>24</v>
      </c>
      <c r="CF91" t="n">
        <v>5</v>
      </c>
      <c r="CG91" t="n">
        <v>3</v>
      </c>
      <c r="CH91" t="n">
        <v>4</v>
      </c>
      <c r="CI91" t="n">
        <v>16.862</v>
      </c>
      <c r="CJ91" t="n">
        <v>10.538</v>
      </c>
      <c r="CK91" t="n">
        <v>27</v>
      </c>
      <c r="CL91" t="n">
        <v>83</v>
      </c>
      <c r="CM91" t="n">
        <v>25</v>
      </c>
      <c r="CN91" t="n">
        <v>12</v>
      </c>
      <c r="CO91" t="n">
        <v>15</v>
      </c>
      <c r="CP91" t="n">
        <v>12</v>
      </c>
      <c r="CR91" t="n">
        <v>84</v>
      </c>
      <c r="CT91" t="n">
        <v>1</v>
      </c>
      <c r="CV91" t="n">
        <v>1</v>
      </c>
      <c r="CW91" t="n">
        <v>31.13</v>
      </c>
      <c r="CX91" t="n">
        <v>1.434</v>
      </c>
      <c r="CY91" t="n">
        <v>0</v>
      </c>
      <c r="DB91" t="n">
        <v>0</v>
      </c>
      <c r="DE91" t="n">
        <v>7.04</v>
      </c>
      <c r="DF91" t="n">
        <v>5</v>
      </c>
      <c r="DG91" t="n">
        <v>0</v>
      </c>
      <c r="DH91" t="n">
        <v>13</v>
      </c>
      <c r="DI91" t="n">
        <v>37</v>
      </c>
      <c r="DL91" t="n">
        <v>22</v>
      </c>
      <c r="DM91" t="n">
        <v>35</v>
      </c>
      <c r="DN91" t="n">
        <v>2</v>
      </c>
      <c r="DO91" t="n">
        <v>11.2</v>
      </c>
      <c r="DP91" t="n">
        <v>191.31</v>
      </c>
      <c r="DQ91" t="n">
        <v>95.75</v>
      </c>
      <c r="DR91" t="n">
        <v>191.5</v>
      </c>
      <c r="DS91" t="n">
        <v>-0.19</v>
      </c>
      <c r="DT91" t="n">
        <v>2884</v>
      </c>
      <c r="DU91" t="n">
        <v>75.90000000000001</v>
      </c>
      <c r="DV91" t="inlineStr">
        <is>
          <t>flat</t>
        </is>
      </c>
      <c r="DW91" t="n">
        <v>6.59</v>
      </c>
      <c r="DX91" t="n">
        <v>5.38</v>
      </c>
      <c r="DY91" t="n">
        <v>6.71</v>
      </c>
      <c r="DZ91" t="n">
        <v>0.11</v>
      </c>
      <c r="EA91" t="n">
        <v>1418</v>
      </c>
      <c r="EB91" t="n">
        <v>6.87</v>
      </c>
      <c r="EC91" t="n">
        <v>0.67</v>
      </c>
      <c r="ED91" t="n">
        <v>114.4</v>
      </c>
      <c r="EE91" t="n">
        <v>2890</v>
      </c>
      <c r="EF91" t="b">
        <v>1</v>
      </c>
      <c r="EG91" t="n">
        <v>99.90000000000001</v>
      </c>
      <c r="EH91" t="n">
        <v>40.7</v>
      </c>
      <c r="EI91" t="n">
        <v>4</v>
      </c>
      <c r="EJ91" t="n">
        <v>30.5</v>
      </c>
      <c r="EK91" t="n">
        <v>21</v>
      </c>
      <c r="EL91" t="n">
        <v>81.40000000000001</v>
      </c>
      <c r="EM91" t="n">
        <v>187.8</v>
      </c>
      <c r="EN91" t="n">
        <v>847.1</v>
      </c>
      <c r="EO91" t="n">
        <v>153.7</v>
      </c>
      <c r="EP91" t="n">
        <v>17.1</v>
      </c>
    </row>
    <row r="92">
      <c r="A92" t="inlineStr">
        <is>
          <t>Jean-Philippe Mateta</t>
        </is>
      </c>
      <c r="B92" t="inlineStr">
        <is>
          <t>CRY</t>
        </is>
      </c>
      <c r="C92" t="inlineStr">
        <is>
          <t>FWD</t>
        </is>
      </c>
      <c r="D92" t="inlineStr">
        <is>
          <t>FWD</t>
        </is>
      </c>
      <c r="E92" t="n">
        <v>6.5</v>
      </c>
      <c r="F92" t="b">
        <v>1</v>
      </c>
      <c r="G92" t="b">
        <v>1</v>
      </c>
      <c r="H92" t="n">
        <v>29.1</v>
      </c>
      <c r="I92" t="inlineStr">
        <is>
          <t>a</t>
        </is>
      </c>
      <c r="L92" t="inlineStr">
        <is>
          <t>p231747</t>
        </is>
      </c>
      <c r="M92" t="n">
        <v>223</v>
      </c>
      <c r="N92" t="n">
        <v>1</v>
      </c>
      <c r="Q92" t="n">
        <v>2210</v>
      </c>
      <c r="R92" t="n">
        <v>32</v>
      </c>
      <c r="S92" t="n">
        <v>25</v>
      </c>
      <c r="T92" t="n">
        <v>24.556</v>
      </c>
      <c r="U92" t="n">
        <v>69.09999999999999</v>
      </c>
      <c r="V92" t="n">
        <v>114</v>
      </c>
      <c r="W92" t="n">
        <v>4.643</v>
      </c>
      <c r="X92" t="n">
        <v>12</v>
      </c>
      <c r="Y92" t="n">
        <v>0</v>
      </c>
      <c r="AA92" t="n">
        <v>8</v>
      </c>
      <c r="AB92" t="n">
        <v>29</v>
      </c>
      <c r="AC92" t="n">
        <v>13</v>
      </c>
      <c r="AD92" t="n">
        <v>14</v>
      </c>
      <c r="AE92" t="n">
        <v>1</v>
      </c>
      <c r="AF92" t="n">
        <v>397</v>
      </c>
      <c r="AG92" t="n">
        <v>384</v>
      </c>
      <c r="AH92" t="n">
        <v>-13</v>
      </c>
      <c r="AI92" t="n">
        <v>115</v>
      </c>
      <c r="AJ92" t="n">
        <v>0.114</v>
      </c>
      <c r="AK92" t="n">
        <v>0.129</v>
      </c>
      <c r="AL92" t="n">
        <v>125</v>
      </c>
      <c r="AM92" t="n">
        <v>5.09</v>
      </c>
      <c r="AN92" t="n">
        <v>0</v>
      </c>
      <c r="AO92" t="n">
        <v>0</v>
      </c>
      <c r="AP92" t="n">
        <v>0</v>
      </c>
      <c r="AQ92" t="n">
        <v>0</v>
      </c>
      <c r="AR92" t="n">
        <v>0</v>
      </c>
      <c r="AS92" t="n">
        <v>0.658</v>
      </c>
      <c r="AT92" t="n">
        <v>0.719</v>
      </c>
      <c r="AU92" t="n">
        <v>23</v>
      </c>
      <c r="AV92" t="n">
        <v>2</v>
      </c>
      <c r="AW92" t="n">
        <v>3.61</v>
      </c>
      <c r="AX92" t="n">
        <v>17</v>
      </c>
      <c r="AY92" t="n">
        <v>14.42</v>
      </c>
      <c r="AZ92" t="n">
        <v>15.977</v>
      </c>
      <c r="BA92" t="n">
        <v>15.199</v>
      </c>
      <c r="BB92" t="n">
        <v>12.933</v>
      </c>
      <c r="BC92" t="n">
        <v>0.587</v>
      </c>
      <c r="BD92" t="n">
        <v>0.651</v>
      </c>
      <c r="BE92" t="n">
        <v>0.619</v>
      </c>
      <c r="BF92" t="n">
        <v>13.2</v>
      </c>
      <c r="BG92" t="n">
        <v>0.538</v>
      </c>
      <c r="BH92" t="n">
        <v>0.977</v>
      </c>
      <c r="BI92" t="n">
        <v>42.47</v>
      </c>
      <c r="BJ92" t="n">
        <v>14.086</v>
      </c>
      <c r="BK92" t="n">
        <v>0.574</v>
      </c>
      <c r="BL92" t="n">
        <v>-3.199</v>
      </c>
      <c r="BM92" t="n">
        <v>-1.22</v>
      </c>
      <c r="BN92" t="n">
        <v>-1.2</v>
      </c>
      <c r="BO92" t="n">
        <v>-1.557</v>
      </c>
      <c r="BP92" t="n">
        <v>63</v>
      </c>
      <c r="BQ92" t="n">
        <v>32</v>
      </c>
      <c r="BR92" t="n">
        <v>20</v>
      </c>
      <c r="BS92" t="n">
        <v>88</v>
      </c>
      <c r="BT92" t="n">
        <v>3.584</v>
      </c>
      <c r="BU92" t="n">
        <v>4</v>
      </c>
      <c r="BV92" t="n">
        <v>5</v>
      </c>
      <c r="BW92" t="n">
        <v>1.32</v>
      </c>
      <c r="BX92" t="n">
        <v>1.25</v>
      </c>
      <c r="BY92" t="n">
        <v>1.285</v>
      </c>
      <c r="BZ92" t="n">
        <v>0.052</v>
      </c>
      <c r="CA92" t="n">
        <v>16.484</v>
      </c>
      <c r="CB92" t="n">
        <v>0.671</v>
      </c>
      <c r="CC92" t="n">
        <v>9</v>
      </c>
      <c r="CD92" t="n">
        <v>2</v>
      </c>
      <c r="CE92" t="n">
        <v>9</v>
      </c>
      <c r="CF92" t="n">
        <v>5</v>
      </c>
      <c r="CG92" t="n">
        <v>2</v>
      </c>
      <c r="CI92" t="n">
        <v>15.171</v>
      </c>
      <c r="CJ92" t="n">
        <v>2.394</v>
      </c>
      <c r="CK92" t="n">
        <v>58</v>
      </c>
      <c r="CL92" t="n">
        <v>57</v>
      </c>
      <c r="CM92" t="n">
        <v>10</v>
      </c>
      <c r="CN92" t="n">
        <v>5</v>
      </c>
      <c r="CO92" t="n">
        <v>6</v>
      </c>
      <c r="CP92" t="n">
        <v>46</v>
      </c>
      <c r="CQ92" t="n">
        <v>6</v>
      </c>
      <c r="CR92" t="n">
        <v>110</v>
      </c>
      <c r="CS92" t="n">
        <v>67</v>
      </c>
      <c r="CT92" t="n">
        <v>0.5</v>
      </c>
      <c r="CV92" t="n">
        <v>1</v>
      </c>
      <c r="CW92" t="n">
        <v>31.77</v>
      </c>
      <c r="CX92" t="n">
        <v>1.294</v>
      </c>
      <c r="CY92" t="n">
        <v>0</v>
      </c>
      <c r="DB92" t="n">
        <v>0</v>
      </c>
      <c r="DE92" t="n">
        <v>6.68</v>
      </c>
      <c r="DF92" t="n">
        <v>2</v>
      </c>
      <c r="DG92" t="n">
        <v>0</v>
      </c>
      <c r="DH92" t="n">
        <v>21</v>
      </c>
      <c r="DI92" t="n">
        <v>19</v>
      </c>
      <c r="DJ92" t="n">
        <v>1</v>
      </c>
      <c r="DL92" t="n">
        <v>14</v>
      </c>
      <c r="DM92" t="n">
        <v>41</v>
      </c>
      <c r="DN92" t="n">
        <v>18</v>
      </c>
      <c r="DO92" t="n">
        <v>6.5</v>
      </c>
      <c r="DP92" t="n">
        <v>132.34</v>
      </c>
      <c r="DQ92" t="n">
        <v>66.17</v>
      </c>
      <c r="DR92" t="n">
        <v>132.34</v>
      </c>
      <c r="DS92" t="n">
        <v>0</v>
      </c>
      <c r="DT92" t="n">
        <v>2422</v>
      </c>
      <c r="DU92" t="n">
        <v>63.75</v>
      </c>
      <c r="DV92" t="inlineStr">
        <is>
          <t>flat</t>
        </is>
      </c>
      <c r="DW92" t="n">
        <v>37.26</v>
      </c>
      <c r="DX92" t="n">
        <v>36.45</v>
      </c>
      <c r="DY92" t="n">
        <v>34.44</v>
      </c>
      <c r="DZ92" t="n">
        <v>-2.82</v>
      </c>
      <c r="EA92" t="n">
        <v>1590</v>
      </c>
      <c r="EB92" t="n">
        <v>18.06</v>
      </c>
      <c r="EC92" t="n">
        <v>2.67</v>
      </c>
      <c r="ED92" t="n">
        <v>120</v>
      </c>
      <c r="EE92" t="n">
        <v>3317</v>
      </c>
      <c r="EF92" t="b">
        <v>1</v>
      </c>
      <c r="EG92" t="n">
        <v>99.5</v>
      </c>
      <c r="EH92" t="n">
        <v>31.6</v>
      </c>
      <c r="EI92" t="n">
        <v>40</v>
      </c>
      <c r="EJ92" t="n">
        <v>35.1</v>
      </c>
      <c r="EK92" t="n">
        <v>25.1</v>
      </c>
      <c r="EL92" t="n">
        <v>245.6</v>
      </c>
      <c r="EM92" t="n">
        <v>145.4</v>
      </c>
      <c r="EN92" t="n">
        <v>1720.1</v>
      </c>
      <c r="EO92" t="n">
        <v>134.1</v>
      </c>
      <c r="EP92" t="n">
        <v>19.4</v>
      </c>
    </row>
    <row r="93">
      <c r="A93" t="inlineStr">
        <is>
          <t>Igor Jesus</t>
        </is>
      </c>
      <c r="B93" t="inlineStr">
        <is>
          <t>NFO</t>
        </is>
      </c>
      <c r="C93" t="inlineStr">
        <is>
          <t>FWD</t>
        </is>
      </c>
      <c r="D93" t="inlineStr">
        <is>
          <t>FWD</t>
        </is>
      </c>
      <c r="E93" t="n">
        <v>6</v>
      </c>
      <c r="F93" t="b">
        <v>1</v>
      </c>
      <c r="G93" t="b">
        <v>1</v>
      </c>
      <c r="H93" t="n">
        <v>25.5</v>
      </c>
      <c r="I93" t="inlineStr">
        <is>
          <t>a</t>
        </is>
      </c>
      <c r="L93" t="inlineStr">
        <is>
          <t>p482973</t>
        </is>
      </c>
      <c r="M93" t="n">
        <v>491</v>
      </c>
      <c r="N93" t="n">
        <v>3</v>
      </c>
      <c r="Q93" t="n">
        <v>2293</v>
      </c>
      <c r="R93" t="n">
        <v>37</v>
      </c>
      <c r="S93" t="n">
        <v>28</v>
      </c>
      <c r="T93" t="n">
        <v>25.478</v>
      </c>
      <c r="U93" t="n">
        <v>62</v>
      </c>
      <c r="V93" t="n">
        <v>114</v>
      </c>
      <c r="W93" t="n">
        <v>4.474</v>
      </c>
      <c r="X93" t="n">
        <v>6</v>
      </c>
      <c r="Y93" t="n">
        <v>6</v>
      </c>
      <c r="Z93" t="n">
        <v>4</v>
      </c>
      <c r="AA93" t="n">
        <v>9</v>
      </c>
      <c r="AB93" t="n">
        <v>37</v>
      </c>
      <c r="AC93" t="n">
        <v>13</v>
      </c>
      <c r="AD93" t="n">
        <v>13</v>
      </c>
      <c r="AE93" t="n">
        <v>0</v>
      </c>
      <c r="AF93" t="n">
        <v>407</v>
      </c>
      <c r="AG93" t="n">
        <v>398</v>
      </c>
      <c r="AH93" t="n">
        <v>-9</v>
      </c>
      <c r="AI93" t="n">
        <v>114</v>
      </c>
      <c r="AJ93" t="n">
        <v>0.114</v>
      </c>
      <c r="AK93" t="n">
        <v>0.129</v>
      </c>
      <c r="AL93" t="n">
        <v>123</v>
      </c>
      <c r="AM93" t="n">
        <v>4.828</v>
      </c>
      <c r="AN93" t="n">
        <v>0</v>
      </c>
      <c r="AO93" t="n">
        <v>0</v>
      </c>
      <c r="AP93" t="n">
        <v>0</v>
      </c>
      <c r="AQ93" t="n">
        <v>0</v>
      </c>
      <c r="AR93" t="n">
        <v>0</v>
      </c>
      <c r="AS93" t="n">
        <v>0.737</v>
      </c>
      <c r="AT93" t="n">
        <v>0.649</v>
      </c>
      <c r="AU93" t="n">
        <v>27</v>
      </c>
      <c r="AV93" t="n">
        <v>1</v>
      </c>
      <c r="AW93" t="n">
        <v>2.97</v>
      </c>
      <c r="AX93" t="n">
        <v>14</v>
      </c>
      <c r="AY93" t="n">
        <v>6.48</v>
      </c>
      <c r="AZ93" t="n">
        <v>7.199</v>
      </c>
      <c r="BA93" t="n">
        <v>6.84</v>
      </c>
      <c r="BB93" t="n">
        <v>6.438</v>
      </c>
      <c r="BC93" t="n">
        <v>0.254</v>
      </c>
      <c r="BD93" t="n">
        <v>0.283</v>
      </c>
      <c r="BE93" t="n">
        <v>0.268</v>
      </c>
      <c r="BF93" t="n">
        <v>5</v>
      </c>
      <c r="BG93" t="n">
        <v>0.196</v>
      </c>
      <c r="BH93" t="n">
        <v>0.898</v>
      </c>
      <c r="BI93" t="n">
        <v>6.48</v>
      </c>
      <c r="BJ93" t="n">
        <v>5.818</v>
      </c>
      <c r="BK93" t="n">
        <v>0.228</v>
      </c>
      <c r="BL93" t="n">
        <v>-0.84</v>
      </c>
      <c r="BM93" t="n">
        <v>-1.48</v>
      </c>
      <c r="BN93" t="n">
        <v>1</v>
      </c>
      <c r="BO93" t="n">
        <v>-0.719</v>
      </c>
      <c r="BP93" t="n">
        <v>70</v>
      </c>
      <c r="BQ93" t="n">
        <v>21</v>
      </c>
      <c r="BR93" t="n">
        <v>3</v>
      </c>
      <c r="BS93" t="n">
        <v>124</v>
      </c>
      <c r="BT93" t="n">
        <v>4.867</v>
      </c>
      <c r="BU93" t="n">
        <v>1</v>
      </c>
      <c r="BV93" t="n">
        <v>2</v>
      </c>
      <c r="BW93" t="n">
        <v>1.26</v>
      </c>
      <c r="BX93" t="n">
        <v>2.28</v>
      </c>
      <c r="BY93" t="n">
        <v>1.77</v>
      </c>
      <c r="BZ93" t="n">
        <v>0.06900000000000001</v>
      </c>
      <c r="CA93" t="n">
        <v>8.609999999999999</v>
      </c>
      <c r="CB93" t="n">
        <v>0.338</v>
      </c>
      <c r="CC93" t="n">
        <v>15</v>
      </c>
      <c r="CD93" t="n">
        <v>5</v>
      </c>
      <c r="CE93" t="n">
        <v>15</v>
      </c>
      <c r="CF93" t="n">
        <v>3</v>
      </c>
      <c r="CI93" t="n">
        <v>8.535</v>
      </c>
      <c r="CJ93" t="n">
        <v>1.848</v>
      </c>
      <c r="CK93" t="n">
        <v>38</v>
      </c>
      <c r="CL93" t="n">
        <v>61</v>
      </c>
      <c r="CM93" t="n">
        <v>24</v>
      </c>
      <c r="CN93" t="n">
        <v>16</v>
      </c>
      <c r="CO93" t="n">
        <v>3</v>
      </c>
      <c r="CP93" t="n">
        <v>30</v>
      </c>
      <c r="CQ93" t="n">
        <v>5</v>
      </c>
      <c r="CR93" t="n">
        <v>155</v>
      </c>
      <c r="CS93" t="n">
        <v>81</v>
      </c>
      <c r="CT93" t="n">
        <v>0.7</v>
      </c>
      <c r="CV93" t="n">
        <v>1</v>
      </c>
      <c r="CW93" t="n">
        <v>38.77</v>
      </c>
      <c r="CX93" t="n">
        <v>1.522</v>
      </c>
      <c r="CY93" t="n">
        <v>0</v>
      </c>
      <c r="DB93" t="n">
        <v>0</v>
      </c>
      <c r="DE93" t="n">
        <v>6.53</v>
      </c>
      <c r="DF93" t="n">
        <v>2</v>
      </c>
      <c r="DG93" t="n">
        <v>0</v>
      </c>
      <c r="DH93" t="n">
        <v>42</v>
      </c>
      <c r="DI93" t="n">
        <v>40</v>
      </c>
      <c r="DL93" t="n">
        <v>11</v>
      </c>
      <c r="DM93" t="n">
        <v>43</v>
      </c>
      <c r="DN93" t="n">
        <v>11</v>
      </c>
      <c r="DO93" t="n">
        <v>5.4</v>
      </c>
      <c r="DP93" t="n">
        <v>133.48</v>
      </c>
      <c r="DQ93" t="n">
        <v>66.73999999999999</v>
      </c>
      <c r="DR93" t="n">
        <v>133.48</v>
      </c>
      <c r="DS93" t="n">
        <v>0</v>
      </c>
      <c r="DT93" t="n">
        <v>2764</v>
      </c>
      <c r="DU93" t="n">
        <v>72.75</v>
      </c>
      <c r="DV93" t="inlineStr">
        <is>
          <t>flat</t>
        </is>
      </c>
      <c r="DW93" t="n">
        <v>52.68</v>
      </c>
      <c r="DX93" t="n">
        <v>53.04</v>
      </c>
      <c r="DY93" t="n">
        <v>47.46</v>
      </c>
      <c r="DZ93" t="n">
        <v>-5.21</v>
      </c>
      <c r="EA93" t="n">
        <v>1488</v>
      </c>
      <c r="EB93" t="n">
        <v>25.23</v>
      </c>
      <c r="EC93" t="n">
        <v>3.2</v>
      </c>
      <c r="ED93" t="n">
        <v>120</v>
      </c>
      <c r="EE93" t="n">
        <v>3279</v>
      </c>
      <c r="EF93" t="b">
        <v>1</v>
      </c>
      <c r="EG93" t="n">
        <v>93.8</v>
      </c>
      <c r="EH93" t="n">
        <v>28.3</v>
      </c>
      <c r="EI93" t="n">
        <v>77</v>
      </c>
      <c r="EJ93" t="n">
        <v>32.8</v>
      </c>
      <c r="EK93" t="n">
        <v>18.5</v>
      </c>
      <c r="EL93" t="n">
        <v>152.9</v>
      </c>
      <c r="EM93" t="n">
        <v>335.3</v>
      </c>
      <c r="EN93" t="n">
        <v>1295.4</v>
      </c>
      <c r="EO93" t="n">
        <v>266.3</v>
      </c>
      <c r="EP93" t="n">
        <v>20.1</v>
      </c>
    </row>
    <row r="94">
      <c r="A94" t="inlineStr">
        <is>
          <t>Junior Kroupi</t>
        </is>
      </c>
      <c r="B94" t="inlineStr">
        <is>
          <t>BOU</t>
        </is>
      </c>
      <c r="C94" t="inlineStr">
        <is>
          <t>MID</t>
        </is>
      </c>
      <c r="D94" t="inlineStr">
        <is>
          <t>FWD</t>
        </is>
      </c>
      <c r="E94" t="n">
        <v>7.5</v>
      </c>
      <c r="F94" t="b">
        <v>1</v>
      </c>
      <c r="G94" t="b">
        <v>1</v>
      </c>
      <c r="H94" t="n">
        <v>20.2</v>
      </c>
      <c r="I94" t="inlineStr">
        <is>
          <t>i</t>
        </is>
      </c>
      <c r="J94" t="inlineStr">
        <is>
          <t>Foot injury - Unknown return date</t>
        </is>
      </c>
      <c r="K94" t="n">
        <v>0</v>
      </c>
      <c r="L94" t="inlineStr">
        <is>
          <t>p560262</t>
        </is>
      </c>
      <c r="M94" t="n">
        <v>78</v>
      </c>
      <c r="N94" t="n">
        <v>1</v>
      </c>
      <c r="Q94" t="n">
        <v>1663</v>
      </c>
      <c r="R94" t="n">
        <v>33</v>
      </c>
      <c r="S94" t="n">
        <v>21</v>
      </c>
      <c r="T94" t="n">
        <v>18.478</v>
      </c>
      <c r="U94" t="n">
        <v>50.4</v>
      </c>
      <c r="V94" t="n">
        <v>113</v>
      </c>
      <c r="W94" t="n">
        <v>6.115</v>
      </c>
      <c r="X94" t="n">
        <v>13</v>
      </c>
      <c r="Y94" t="n">
        <v>0</v>
      </c>
      <c r="AA94" t="n">
        <v>10</v>
      </c>
      <c r="AB94" t="n">
        <v>21</v>
      </c>
      <c r="AC94" t="n">
        <v>13</v>
      </c>
      <c r="AD94" t="n">
        <v>14</v>
      </c>
      <c r="AE94" t="n">
        <v>1</v>
      </c>
      <c r="AF94" t="n">
        <v>480</v>
      </c>
      <c r="AG94" t="n">
        <v>472</v>
      </c>
      <c r="AH94" t="n">
        <v>-8</v>
      </c>
      <c r="AI94" t="n">
        <v>114</v>
      </c>
      <c r="AJ94" t="n">
        <v>0.115</v>
      </c>
      <c r="AK94" t="n">
        <v>0.13</v>
      </c>
      <c r="AL94" t="n">
        <v>112</v>
      </c>
      <c r="AM94" t="n">
        <v>6.061</v>
      </c>
      <c r="AN94" t="n">
        <v>0</v>
      </c>
      <c r="AO94" t="n">
        <v>0</v>
      </c>
      <c r="AP94" t="n">
        <v>0</v>
      </c>
      <c r="AQ94" t="n">
        <v>0.048</v>
      </c>
      <c r="AR94" t="n">
        <v>0</v>
      </c>
      <c r="AS94" t="n">
        <v>0.553</v>
      </c>
      <c r="AT94" t="n">
        <v>0.606</v>
      </c>
      <c r="AU94" t="n">
        <v>21</v>
      </c>
      <c r="AV94" t="n">
        <v>1</v>
      </c>
      <c r="AW94" t="n">
        <v>2.88</v>
      </c>
      <c r="AX94" t="n">
        <v>12</v>
      </c>
      <c r="AY94" t="n">
        <v>8.31</v>
      </c>
      <c r="AZ94" t="n">
        <v>8.849</v>
      </c>
      <c r="BA94" t="n">
        <v>8.58</v>
      </c>
      <c r="BB94" t="n">
        <v>7.327</v>
      </c>
      <c r="BC94" t="n">
        <v>0.45</v>
      </c>
      <c r="BD94" t="n">
        <v>0.479</v>
      </c>
      <c r="BE94" t="n">
        <v>0.464</v>
      </c>
      <c r="BF94" t="n">
        <v>9.800000000000001</v>
      </c>
      <c r="BG94" t="n">
        <v>0.53</v>
      </c>
      <c r="BH94" t="n">
        <v>1.091</v>
      </c>
      <c r="BI94" t="n">
        <v>8.31</v>
      </c>
      <c r="BJ94" t="n">
        <v>9.069000000000001</v>
      </c>
      <c r="BK94" t="n">
        <v>0.491</v>
      </c>
      <c r="BL94" t="n">
        <v>4.42</v>
      </c>
      <c r="BM94" t="n">
        <v>1.49</v>
      </c>
      <c r="BN94" t="n">
        <v>3.2</v>
      </c>
      <c r="BO94" t="n">
        <v>-0.539</v>
      </c>
      <c r="BP94" t="n">
        <v>52</v>
      </c>
      <c r="BQ94" t="n">
        <v>22</v>
      </c>
      <c r="BR94" t="n">
        <v>3</v>
      </c>
      <c r="BS94" t="n">
        <v>84</v>
      </c>
      <c r="BT94" t="n">
        <v>4.546</v>
      </c>
      <c r="BU94" t="n">
        <v>2</v>
      </c>
      <c r="BV94" t="n">
        <v>1</v>
      </c>
      <c r="BW94" t="n">
        <v>1.51</v>
      </c>
      <c r="BX94" t="n">
        <v>1.816</v>
      </c>
      <c r="BY94" t="n">
        <v>1.663</v>
      </c>
      <c r="BZ94" t="n">
        <v>0.09</v>
      </c>
      <c r="CA94" t="n">
        <v>10.242</v>
      </c>
      <c r="CB94" t="n">
        <v>0.554</v>
      </c>
      <c r="CC94" t="n">
        <v>22</v>
      </c>
      <c r="CD94" t="n">
        <v>3</v>
      </c>
      <c r="CE94" t="n">
        <v>22</v>
      </c>
      <c r="CF94" t="n">
        <v>1</v>
      </c>
      <c r="CG94" t="n">
        <v>4</v>
      </c>
      <c r="CH94" t="n">
        <v>1</v>
      </c>
      <c r="CI94" t="n">
        <v>11.657</v>
      </c>
      <c r="CJ94" t="n">
        <v>5.083</v>
      </c>
      <c r="CK94" t="n">
        <v>42</v>
      </c>
      <c r="CL94" t="n">
        <v>61</v>
      </c>
      <c r="CM94" t="n">
        <v>9</v>
      </c>
      <c r="CN94" t="n">
        <v>6</v>
      </c>
      <c r="CO94" t="n">
        <v>9</v>
      </c>
      <c r="CP94" t="n">
        <v>33</v>
      </c>
      <c r="CR94" t="n">
        <v>44</v>
      </c>
      <c r="CS94" t="n">
        <v>8</v>
      </c>
      <c r="CT94" t="n">
        <v>1.1</v>
      </c>
      <c r="CV94" t="n">
        <v>1</v>
      </c>
      <c r="CW94" t="n">
        <v>25.91</v>
      </c>
      <c r="CX94" t="n">
        <v>1.402</v>
      </c>
      <c r="CY94" t="n">
        <v>0</v>
      </c>
      <c r="DB94" t="n">
        <v>0</v>
      </c>
      <c r="DE94" t="n">
        <v>6.93</v>
      </c>
      <c r="DF94" t="n">
        <v>5</v>
      </c>
      <c r="DG94" t="n">
        <v>0</v>
      </c>
      <c r="DH94" t="n">
        <v>27</v>
      </c>
      <c r="DI94" t="n">
        <v>12</v>
      </c>
      <c r="DL94" t="n">
        <v>15</v>
      </c>
      <c r="DM94" t="n">
        <v>20</v>
      </c>
      <c r="DN94" t="n">
        <v>6</v>
      </c>
      <c r="DO94" t="n">
        <v>2.6</v>
      </c>
      <c r="DP94" t="n">
        <v>115.47</v>
      </c>
      <c r="DQ94" t="n">
        <v>42.34</v>
      </c>
      <c r="DR94" t="n">
        <v>84.68000000000001</v>
      </c>
      <c r="DS94" t="n">
        <v>30.79</v>
      </c>
      <c r="DT94" t="n">
        <v>2594</v>
      </c>
      <c r="DU94" t="n">
        <v>68.25</v>
      </c>
      <c r="DV94" t="inlineStr">
        <is>
          <t>ramp-up (injury / late WC return)</t>
        </is>
      </c>
      <c r="DW94" t="n">
        <v>61.24</v>
      </c>
      <c r="DX94" t="n">
        <v>54.83</v>
      </c>
      <c r="DY94" t="n">
        <v>65.33</v>
      </c>
      <c r="DZ94" t="n">
        <v>4.09</v>
      </c>
      <c r="EA94" t="n">
        <v>240</v>
      </c>
      <c r="EB94" t="n">
        <v>31.57</v>
      </c>
      <c r="EC94" t="n">
        <v>5</v>
      </c>
      <c r="ED94" t="n">
        <v>120</v>
      </c>
      <c r="EE94" t="n">
        <v>403</v>
      </c>
      <c r="EF94" t="b">
        <v>1</v>
      </c>
      <c r="EG94" t="n">
        <v>75.59999999999999</v>
      </c>
      <c r="EH94" t="n">
        <v>89.09999999999999</v>
      </c>
      <c r="EI94" t="n">
        <v>21</v>
      </c>
      <c r="EJ94" t="n">
        <v>32</v>
      </c>
      <c r="EK94" t="n">
        <v>19.8</v>
      </c>
      <c r="EL94" t="n">
        <v>75.59999999999999</v>
      </c>
      <c r="EM94" t="n">
        <v>193.8</v>
      </c>
      <c r="EN94" t="n">
        <v>1000.1</v>
      </c>
      <c r="EO94" t="n">
        <v>162.4</v>
      </c>
      <c r="EP94" t="n">
        <v>14.7</v>
      </c>
    </row>
    <row r="95">
      <c r="A95" t="inlineStr">
        <is>
          <t>Sepp van den Berg</t>
        </is>
      </c>
      <c r="B95" t="inlineStr">
        <is>
          <t>BRE</t>
        </is>
      </c>
      <c r="C95" t="inlineStr">
        <is>
          <t>DEF</t>
        </is>
      </c>
      <c r="D95" t="inlineStr">
        <is>
          <t>DEF</t>
        </is>
      </c>
      <c r="E95" t="n">
        <v>5</v>
      </c>
      <c r="F95" t="b">
        <v>1</v>
      </c>
      <c r="G95" t="b">
        <v>1</v>
      </c>
      <c r="H95" t="n">
        <v>24.7</v>
      </c>
      <c r="I95" t="inlineStr">
        <is>
          <t>a</t>
        </is>
      </c>
      <c r="L95" t="inlineStr">
        <is>
          <t>p444765</t>
        </is>
      </c>
      <c r="M95" t="n">
        <v>85</v>
      </c>
      <c r="Q95" t="n">
        <v>2761</v>
      </c>
      <c r="R95" t="n">
        <v>32</v>
      </c>
      <c r="S95" t="n">
        <v>30</v>
      </c>
      <c r="T95" t="n">
        <v>30.678</v>
      </c>
      <c r="U95" t="n">
        <v>86.3</v>
      </c>
      <c r="V95" t="n">
        <v>113</v>
      </c>
      <c r="W95" t="n">
        <v>3.683</v>
      </c>
      <c r="X95" t="n">
        <v>0</v>
      </c>
      <c r="Y95" t="n">
        <v>3</v>
      </c>
      <c r="Z95" t="n">
        <v>2</v>
      </c>
      <c r="AA95" t="n">
        <v>8</v>
      </c>
      <c r="AB95" t="n">
        <v>41</v>
      </c>
      <c r="AC95" t="n">
        <v>3</v>
      </c>
      <c r="AD95" t="n">
        <v>1</v>
      </c>
      <c r="AE95" t="n">
        <v>-2</v>
      </c>
      <c r="AF95" t="n">
        <v>435</v>
      </c>
      <c r="AG95" t="n">
        <v>391</v>
      </c>
      <c r="AH95" t="n">
        <v>-44</v>
      </c>
      <c r="AI95" t="n">
        <v>111</v>
      </c>
      <c r="AJ95" t="n">
        <v>0.027</v>
      </c>
      <c r="AK95" t="n">
        <v>0.027</v>
      </c>
      <c r="AL95" t="n">
        <v>272</v>
      </c>
      <c r="AM95" t="n">
        <v>8.866</v>
      </c>
      <c r="AN95" t="n">
        <v>12</v>
      </c>
      <c r="AO95" t="n">
        <v>24</v>
      </c>
      <c r="AP95" t="n">
        <v>0.4</v>
      </c>
      <c r="AQ95" t="n">
        <v>0.4</v>
      </c>
      <c r="AR95" t="n">
        <v>0.233</v>
      </c>
      <c r="AS95" t="n">
        <v>0.789</v>
      </c>
      <c r="AT95" t="n">
        <v>0.9379999999999999</v>
      </c>
      <c r="AU95" t="n">
        <v>12</v>
      </c>
      <c r="AV95" t="n">
        <v>0</v>
      </c>
      <c r="AW95" t="n">
        <v>2.48</v>
      </c>
      <c r="AX95" t="n">
        <v>8</v>
      </c>
      <c r="AY95" t="n">
        <v>3.36</v>
      </c>
      <c r="AZ95" t="n">
        <v>3.333</v>
      </c>
      <c r="BA95" t="n">
        <v>3.346</v>
      </c>
      <c r="BB95" t="n">
        <v>3.333</v>
      </c>
      <c r="BC95" t="n">
        <v>0.11</v>
      </c>
      <c r="BD95" t="n">
        <v>0.109</v>
      </c>
      <c r="BE95" t="n">
        <v>0.109</v>
      </c>
      <c r="BF95" t="n">
        <v>2</v>
      </c>
      <c r="BG95" t="n">
        <v>0.065</v>
      </c>
      <c r="BH95" t="n">
        <v>0.796</v>
      </c>
      <c r="BI95" t="n">
        <v>5.45</v>
      </c>
      <c r="BJ95" t="n">
        <v>2.673</v>
      </c>
      <c r="BK95" t="n">
        <v>0.08699999999999999</v>
      </c>
      <c r="BL95" t="n">
        <v>-3.346</v>
      </c>
      <c r="BM95" t="n">
        <v>-1.36</v>
      </c>
      <c r="BN95" t="n">
        <v>-2</v>
      </c>
      <c r="BO95" t="n">
        <v>0.027</v>
      </c>
      <c r="BP95" t="n">
        <v>23</v>
      </c>
      <c r="BQ95" t="n">
        <v>7</v>
      </c>
      <c r="BR95" t="n">
        <v>4</v>
      </c>
      <c r="BS95" t="n">
        <v>55</v>
      </c>
      <c r="BT95" t="n">
        <v>1.793</v>
      </c>
      <c r="BW95" t="n">
        <v>1.45</v>
      </c>
      <c r="BX95" t="n">
        <v>2.197</v>
      </c>
      <c r="BY95" t="n">
        <v>1.824</v>
      </c>
      <c r="BZ95" t="n">
        <v>0.059</v>
      </c>
      <c r="CA95" t="n">
        <v>5.17</v>
      </c>
      <c r="CB95" t="n">
        <v>0.169</v>
      </c>
      <c r="CC95" t="n">
        <v>7</v>
      </c>
      <c r="CD95" t="n">
        <v>5</v>
      </c>
      <c r="CE95" t="n">
        <v>7</v>
      </c>
      <c r="CG95" t="n">
        <v>1</v>
      </c>
      <c r="CH95" t="n">
        <v>0</v>
      </c>
      <c r="CI95" t="n">
        <v>8.736000000000001</v>
      </c>
      <c r="CJ95" t="n">
        <v>6.425</v>
      </c>
      <c r="CK95" t="n">
        <v>249</v>
      </c>
      <c r="CL95" t="n">
        <v>109</v>
      </c>
      <c r="CM95" t="n">
        <v>23</v>
      </c>
      <c r="CN95" t="n">
        <v>10</v>
      </c>
      <c r="CO95" t="n">
        <v>29</v>
      </c>
      <c r="CP95" t="n">
        <v>195</v>
      </c>
      <c r="CQ95" t="n">
        <v>23</v>
      </c>
      <c r="CR95" t="n">
        <v>175</v>
      </c>
      <c r="CS95" t="n">
        <v>140</v>
      </c>
      <c r="CT95" t="n">
        <v>0</v>
      </c>
      <c r="CU95" t="n">
        <v>2</v>
      </c>
      <c r="CV95" t="n">
        <v>2</v>
      </c>
      <c r="CW95" t="n">
        <v>41.59</v>
      </c>
      <c r="CX95" t="n">
        <v>1.356</v>
      </c>
      <c r="CY95" t="n">
        <v>0</v>
      </c>
      <c r="DB95" t="n">
        <v>0</v>
      </c>
      <c r="DE95" t="n">
        <v>6.86</v>
      </c>
      <c r="DF95" t="n">
        <v>2</v>
      </c>
      <c r="DG95" t="n">
        <v>0</v>
      </c>
      <c r="DH95" t="n">
        <v>15</v>
      </c>
      <c r="DI95" t="n">
        <v>11</v>
      </c>
      <c r="DK95" t="n">
        <v>0</v>
      </c>
      <c r="DL95" t="n">
        <v>1</v>
      </c>
      <c r="DM95" t="n">
        <v>4</v>
      </c>
      <c r="DO95" t="n">
        <v>0.7</v>
      </c>
      <c r="DP95" t="n">
        <v>107.02</v>
      </c>
      <c r="DQ95" t="n">
        <v>45.04</v>
      </c>
      <c r="DR95" t="n">
        <v>90.08</v>
      </c>
      <c r="DS95" t="n">
        <v>16.94</v>
      </c>
      <c r="DT95" t="n">
        <v>2947</v>
      </c>
      <c r="DU95" t="n">
        <v>77.55</v>
      </c>
      <c r="DV95" t="inlineStr">
        <is>
          <t>ramp-up (injury / late WC return)</t>
        </is>
      </c>
      <c r="DW95" t="n">
        <v>100.5</v>
      </c>
      <c r="DX95" t="n">
        <v>105.2</v>
      </c>
      <c r="DY95" t="n">
        <v>99.87</v>
      </c>
      <c r="DZ95" t="n">
        <v>-0.63</v>
      </c>
      <c r="EA95" t="n">
        <v>349</v>
      </c>
      <c r="EB95" t="n">
        <v>14.02</v>
      </c>
      <c r="EC95" t="n">
        <v>5.87</v>
      </c>
      <c r="ED95" t="n">
        <v>120</v>
      </c>
      <c r="EE95" t="n">
        <v>542</v>
      </c>
      <c r="EF95" t="b">
        <v>1</v>
      </c>
      <c r="EG95" t="n">
        <v>13.6</v>
      </c>
      <c r="EH95" t="n">
        <v>18.4</v>
      </c>
      <c r="EI95" t="n">
        <v>237</v>
      </c>
      <c r="EJ95" t="n">
        <v>120</v>
      </c>
      <c r="EK95" t="n">
        <v>50.2</v>
      </c>
      <c r="EL95" t="n">
        <v>394.4</v>
      </c>
      <c r="EM95" t="n">
        <v>825.1</v>
      </c>
      <c r="EN95" t="n">
        <v>1514.1</v>
      </c>
      <c r="EO95" t="n">
        <v>534</v>
      </c>
      <c r="EP95" t="n">
        <v>24.4</v>
      </c>
    </row>
    <row r="96">
      <c r="A96" t="inlineStr">
        <is>
          <t>Michael Kayode</t>
        </is>
      </c>
      <c r="B96" t="inlineStr">
        <is>
          <t>BRE</t>
        </is>
      </c>
      <c r="C96" t="inlineStr">
        <is>
          <t>DEF</t>
        </is>
      </c>
      <c r="D96" t="inlineStr">
        <is>
          <t>DEF</t>
        </is>
      </c>
      <c r="E96" t="n">
        <v>4.5</v>
      </c>
      <c r="F96" t="b">
        <v>1</v>
      </c>
      <c r="G96" t="b">
        <v>1</v>
      </c>
      <c r="H96" t="n">
        <v>22.1</v>
      </c>
      <c r="I96" t="inlineStr">
        <is>
          <t>a</t>
        </is>
      </c>
      <c r="L96" t="inlineStr">
        <is>
          <t>p607464</t>
        </is>
      </c>
      <c r="M96" t="n">
        <v>88</v>
      </c>
      <c r="Q96" t="n">
        <v>3258</v>
      </c>
      <c r="R96" t="n">
        <v>37</v>
      </c>
      <c r="S96" t="n">
        <v>37</v>
      </c>
      <c r="T96" t="n">
        <v>36.2</v>
      </c>
      <c r="U96" t="n">
        <v>88.09999999999999</v>
      </c>
      <c r="V96" t="n">
        <v>113</v>
      </c>
      <c r="W96" t="n">
        <v>3.122</v>
      </c>
      <c r="X96" t="n">
        <v>1</v>
      </c>
      <c r="Y96" t="n">
        <v>2</v>
      </c>
      <c r="Z96" t="n">
        <v>1</v>
      </c>
      <c r="AA96" t="n">
        <v>10</v>
      </c>
      <c r="AB96" t="n">
        <v>49</v>
      </c>
      <c r="AC96" t="n">
        <v>9</v>
      </c>
      <c r="AD96" t="n">
        <v>9</v>
      </c>
      <c r="AE96" t="n">
        <v>0</v>
      </c>
      <c r="AF96" t="n">
        <v>494</v>
      </c>
      <c r="AG96" t="n">
        <v>464</v>
      </c>
      <c r="AH96" t="n">
        <v>-30</v>
      </c>
      <c r="AI96" t="n">
        <v>113</v>
      </c>
      <c r="AJ96" t="n">
        <v>0.08</v>
      </c>
      <c r="AK96" t="n">
        <v>0.08699999999999999</v>
      </c>
      <c r="AL96" t="n">
        <v>219</v>
      </c>
      <c r="AM96" t="n">
        <v>6.05</v>
      </c>
      <c r="AN96" t="n">
        <v>3</v>
      </c>
      <c r="AO96" t="n">
        <v>6</v>
      </c>
      <c r="AP96" t="n">
        <v>0.081</v>
      </c>
      <c r="AQ96" t="n">
        <v>0.081</v>
      </c>
      <c r="AR96" t="n">
        <v>0.027</v>
      </c>
      <c r="AS96" t="n">
        <v>0.974</v>
      </c>
      <c r="AT96" t="n">
        <v>1</v>
      </c>
      <c r="AU96" t="n">
        <v>22</v>
      </c>
      <c r="AV96" t="n">
        <v>1</v>
      </c>
      <c r="AW96" t="n">
        <v>2.82</v>
      </c>
      <c r="AX96" t="n">
        <v>10</v>
      </c>
      <c r="AY96" t="n">
        <v>1.28</v>
      </c>
      <c r="AZ96" t="n">
        <v>1.169</v>
      </c>
      <c r="BA96" t="n">
        <v>1.225</v>
      </c>
      <c r="BB96" t="n">
        <v>1.169</v>
      </c>
      <c r="BC96" t="n">
        <v>0.035</v>
      </c>
      <c r="BD96" t="n">
        <v>0.032</v>
      </c>
      <c r="BE96" t="n">
        <v>0.034</v>
      </c>
      <c r="BF96" t="n">
        <v>1.4</v>
      </c>
      <c r="BG96" t="n">
        <v>0.039</v>
      </c>
      <c r="BH96" t="n">
        <v>0.993</v>
      </c>
      <c r="BI96" t="n">
        <v>1.47</v>
      </c>
      <c r="BJ96" t="n">
        <v>1.271</v>
      </c>
      <c r="BK96" t="n">
        <v>0.035</v>
      </c>
      <c r="BL96" t="n">
        <v>-0.225</v>
      </c>
      <c r="BM96" t="n">
        <v>0.12</v>
      </c>
      <c r="BN96" t="n">
        <v>-0.4</v>
      </c>
      <c r="BO96" t="n">
        <v>0.111</v>
      </c>
      <c r="BP96" t="n">
        <v>9</v>
      </c>
      <c r="BQ96" t="n">
        <v>3</v>
      </c>
      <c r="BR96" t="n">
        <v>1</v>
      </c>
      <c r="BS96" t="n">
        <v>35</v>
      </c>
      <c r="BT96" t="n">
        <v>0.967</v>
      </c>
      <c r="BV96" t="n">
        <v>1</v>
      </c>
      <c r="BW96" t="n">
        <v>2.89</v>
      </c>
      <c r="BX96" t="n">
        <v>3.185</v>
      </c>
      <c r="BY96" t="n">
        <v>3.037</v>
      </c>
      <c r="BZ96" t="n">
        <v>0.08400000000000001</v>
      </c>
      <c r="CA96" t="n">
        <v>4.262</v>
      </c>
      <c r="CB96" t="n">
        <v>0.118</v>
      </c>
      <c r="CC96" t="n">
        <v>33</v>
      </c>
      <c r="CD96" t="n">
        <v>4</v>
      </c>
      <c r="CE96" t="n">
        <v>34</v>
      </c>
      <c r="CF96" t="n">
        <v>14</v>
      </c>
      <c r="CG96" t="n">
        <v>1</v>
      </c>
      <c r="CI96" t="n">
        <v>13.046</v>
      </c>
      <c r="CJ96" t="n">
        <v>9.569000000000001</v>
      </c>
      <c r="CK96" t="n">
        <v>151</v>
      </c>
      <c r="CL96" t="n">
        <v>163</v>
      </c>
      <c r="CM96" t="n">
        <v>68</v>
      </c>
      <c r="CN96" t="n">
        <v>45</v>
      </c>
      <c r="CO96" t="n">
        <v>38</v>
      </c>
      <c r="CP96" t="n">
        <v>99</v>
      </c>
      <c r="CQ96" t="n">
        <v>15</v>
      </c>
      <c r="CR96" t="n">
        <v>213</v>
      </c>
      <c r="CS96" t="n">
        <v>41</v>
      </c>
      <c r="CT96" t="n">
        <v>0.1</v>
      </c>
      <c r="CU96" t="n">
        <v>1</v>
      </c>
      <c r="CV96" t="n">
        <v>3</v>
      </c>
      <c r="CW96" t="n">
        <v>52.65</v>
      </c>
      <c r="CX96" t="n">
        <v>1.454</v>
      </c>
      <c r="CY96" t="n">
        <v>0</v>
      </c>
      <c r="DB96" t="n">
        <v>0</v>
      </c>
      <c r="DE96" t="n">
        <v>7.01</v>
      </c>
      <c r="DF96" t="n">
        <v>8</v>
      </c>
      <c r="DG96" t="n">
        <v>0</v>
      </c>
      <c r="DH96" t="n">
        <v>26</v>
      </c>
      <c r="DI96" t="n">
        <v>50</v>
      </c>
      <c r="DK96" t="n">
        <v>2</v>
      </c>
      <c r="DL96" t="n">
        <v>55</v>
      </c>
      <c r="DM96" t="n">
        <v>31</v>
      </c>
      <c r="DN96" t="n">
        <v>1</v>
      </c>
      <c r="DO96" t="n">
        <v>3.7</v>
      </c>
      <c r="DP96" t="n">
        <v>120.92</v>
      </c>
      <c r="DQ96" t="n">
        <v>60.64</v>
      </c>
      <c r="DR96" t="n">
        <v>121.28</v>
      </c>
      <c r="DS96" t="n">
        <v>-0.36</v>
      </c>
      <c r="DT96" t="n">
        <v>3192</v>
      </c>
      <c r="DU96" t="n">
        <v>84</v>
      </c>
      <c r="DV96" t="inlineStr">
        <is>
          <t>flat</t>
        </is>
      </c>
      <c r="DW96" t="n">
        <v>94.27</v>
      </c>
      <c r="DX96" t="n">
        <v>95.48999999999999</v>
      </c>
      <c r="DY96" t="n">
        <v>94.02</v>
      </c>
      <c r="DZ96" t="n">
        <v>-0.25</v>
      </c>
      <c r="EA96" t="n">
        <v>384</v>
      </c>
      <c r="EB96" t="n">
        <v>17.87</v>
      </c>
      <c r="EC96" t="n">
        <v>19.2</v>
      </c>
      <c r="ED96" t="n">
        <v>120</v>
      </c>
      <c r="EE96" t="n">
        <v>659</v>
      </c>
      <c r="EF96" t="b">
        <v>1</v>
      </c>
      <c r="EG96" t="n">
        <v>14.8</v>
      </c>
      <c r="EH96" t="n">
        <v>8.699999999999999</v>
      </c>
      <c r="EI96" t="n">
        <v>396</v>
      </c>
      <c r="EJ96" t="n">
        <v>362</v>
      </c>
      <c r="EK96" t="n">
        <v>93.09999999999999</v>
      </c>
      <c r="EL96" t="n">
        <v>95.8</v>
      </c>
      <c r="EM96" t="n">
        <v>2660.6</v>
      </c>
      <c r="EN96" t="n">
        <v>1072.6</v>
      </c>
      <c r="EO96" t="n">
        <v>764.4</v>
      </c>
      <c r="EP96" t="n">
        <v>28.8</v>
      </c>
    </row>
    <row r="97">
      <c r="A97" t="inlineStr">
        <is>
          <t>Luke Shaw</t>
        </is>
      </c>
      <c r="B97" t="inlineStr">
        <is>
          <t>MUN</t>
        </is>
      </c>
      <c r="C97" t="inlineStr">
        <is>
          <t>DEF</t>
        </is>
      </c>
      <c r="D97" t="inlineStr">
        <is>
          <t>DEF</t>
        </is>
      </c>
      <c r="E97" t="n">
        <v>4.5</v>
      </c>
      <c r="F97" t="b">
        <v>1</v>
      </c>
      <c r="G97" t="b">
        <v>1</v>
      </c>
      <c r="H97" t="n">
        <v>31.1</v>
      </c>
      <c r="I97" t="inlineStr">
        <is>
          <t>a</t>
        </is>
      </c>
      <c r="L97" t="inlineStr">
        <is>
          <t>p106760</t>
        </is>
      </c>
      <c r="M97" t="n">
        <v>423</v>
      </c>
      <c r="O97" t="n">
        <v>3</v>
      </c>
      <c r="Q97" t="n">
        <v>3220</v>
      </c>
      <c r="R97" t="n">
        <v>38</v>
      </c>
      <c r="S97" t="n">
        <v>38</v>
      </c>
      <c r="T97" t="n">
        <v>35.778</v>
      </c>
      <c r="U97" t="n">
        <v>84.7</v>
      </c>
      <c r="V97" t="n">
        <v>113</v>
      </c>
      <c r="W97" t="n">
        <v>3.158</v>
      </c>
      <c r="X97" t="n">
        <v>1</v>
      </c>
      <c r="Y97" t="n">
        <v>1</v>
      </c>
      <c r="Z97" t="n">
        <v>1</v>
      </c>
      <c r="AA97" t="n">
        <v>10</v>
      </c>
      <c r="AB97" t="n">
        <v>45</v>
      </c>
      <c r="AC97" t="n">
        <v>3</v>
      </c>
      <c r="AD97" t="n">
        <v>2</v>
      </c>
      <c r="AE97" t="n">
        <v>-1</v>
      </c>
      <c r="AF97" t="n">
        <v>449</v>
      </c>
      <c r="AG97" t="n">
        <v>423</v>
      </c>
      <c r="AH97" t="n">
        <v>-26</v>
      </c>
      <c r="AI97" t="n">
        <v>112</v>
      </c>
      <c r="AJ97" t="n">
        <v>0.027</v>
      </c>
      <c r="AK97" t="n">
        <v>0.027</v>
      </c>
      <c r="AL97" t="n">
        <v>224</v>
      </c>
      <c r="AM97" t="n">
        <v>6.261</v>
      </c>
      <c r="AN97" t="n">
        <v>5</v>
      </c>
      <c r="AO97" t="n">
        <v>10</v>
      </c>
      <c r="AP97" t="n">
        <v>0.132</v>
      </c>
      <c r="AQ97" t="n">
        <v>0.132</v>
      </c>
      <c r="AR97" t="n">
        <v>0.053</v>
      </c>
      <c r="AS97" t="n">
        <v>1</v>
      </c>
      <c r="AT97" t="n">
        <v>0.974</v>
      </c>
      <c r="AU97" t="n">
        <v>24</v>
      </c>
      <c r="AV97" t="n">
        <v>1</v>
      </c>
      <c r="AW97" t="n">
        <v>2.56</v>
      </c>
      <c r="AX97" t="n">
        <v>11</v>
      </c>
      <c r="AY97" t="n">
        <v>0.72</v>
      </c>
      <c r="AZ97" t="n">
        <v>0.599</v>
      </c>
      <c r="BA97" t="n">
        <v>0.659</v>
      </c>
      <c r="BB97" t="n">
        <v>0.599</v>
      </c>
      <c r="BC97" t="n">
        <v>0.02</v>
      </c>
      <c r="BD97" t="n">
        <v>0.017</v>
      </c>
      <c r="BE97" t="n">
        <v>0.018</v>
      </c>
      <c r="BF97" t="n">
        <v>0.8</v>
      </c>
      <c r="BG97" t="n">
        <v>0.022</v>
      </c>
      <c r="BH97" t="n">
        <v>1.042</v>
      </c>
      <c r="BI97" t="n">
        <v>1.89</v>
      </c>
      <c r="BJ97" t="n">
        <v>0.75</v>
      </c>
      <c r="BK97" t="n">
        <v>0.021</v>
      </c>
      <c r="BL97" t="n">
        <v>0.341</v>
      </c>
      <c r="BM97" t="n">
        <v>0.08</v>
      </c>
      <c r="BN97" t="n">
        <v>0.2</v>
      </c>
      <c r="BO97" t="n">
        <v>0.121</v>
      </c>
      <c r="BP97" t="n">
        <v>10</v>
      </c>
      <c r="BQ97" t="n">
        <v>3</v>
      </c>
      <c r="BS97" t="n">
        <v>29</v>
      </c>
      <c r="BT97" t="n">
        <v>0.8110000000000001</v>
      </c>
      <c r="BW97" t="n">
        <v>1.98</v>
      </c>
      <c r="BX97" t="n">
        <v>1.494</v>
      </c>
      <c r="BY97" t="n">
        <v>1.737</v>
      </c>
      <c r="BZ97" t="n">
        <v>0.049</v>
      </c>
      <c r="CA97" t="n">
        <v>2.396</v>
      </c>
      <c r="CB97" t="n">
        <v>0.067</v>
      </c>
      <c r="CC97" t="n">
        <v>15</v>
      </c>
      <c r="CD97" t="n">
        <v>1</v>
      </c>
      <c r="CE97" t="n">
        <v>16</v>
      </c>
      <c r="CF97" t="n">
        <v>9</v>
      </c>
      <c r="CG97" t="n">
        <v>2</v>
      </c>
      <c r="CH97" t="n">
        <v>11</v>
      </c>
      <c r="CI97" t="n">
        <v>11.457</v>
      </c>
      <c r="CJ97" t="n">
        <v>10.609</v>
      </c>
      <c r="CK97" t="n">
        <v>149</v>
      </c>
      <c r="CL97" t="n">
        <v>105</v>
      </c>
      <c r="CM97" t="n">
        <v>75</v>
      </c>
      <c r="CN97" t="n">
        <v>45</v>
      </c>
      <c r="CO97" t="n">
        <v>46</v>
      </c>
      <c r="CP97" t="n">
        <v>95</v>
      </c>
      <c r="CQ97" t="n">
        <v>9</v>
      </c>
      <c r="CR97" t="n">
        <v>168</v>
      </c>
      <c r="CS97" t="n">
        <v>64</v>
      </c>
      <c r="CT97" t="n">
        <v>0.1</v>
      </c>
      <c r="CV97" t="n">
        <v>2</v>
      </c>
      <c r="CW97" t="n">
        <v>44.9</v>
      </c>
      <c r="CX97" t="n">
        <v>1.255</v>
      </c>
      <c r="CY97" t="n">
        <v>0</v>
      </c>
      <c r="DB97" t="n">
        <v>0</v>
      </c>
      <c r="DE97" t="n">
        <v>6.95</v>
      </c>
      <c r="DF97" t="n">
        <v>9</v>
      </c>
      <c r="DG97" t="n">
        <v>0</v>
      </c>
      <c r="DH97" t="n">
        <v>49</v>
      </c>
      <c r="DI97" t="n">
        <v>20</v>
      </c>
      <c r="DL97" t="n">
        <v>10</v>
      </c>
      <c r="DM97" t="n">
        <v>6</v>
      </c>
      <c r="DO97" t="n">
        <v>24.2</v>
      </c>
      <c r="DP97" t="n">
        <v>120.72</v>
      </c>
      <c r="DQ97" t="n">
        <v>60.36</v>
      </c>
      <c r="DR97" t="n">
        <v>120.72</v>
      </c>
      <c r="DS97" t="n">
        <v>0</v>
      </c>
      <c r="DT97" t="n">
        <v>2992</v>
      </c>
      <c r="DU97" t="n">
        <v>78.75</v>
      </c>
      <c r="DV97" t="inlineStr">
        <is>
          <t>flat</t>
        </is>
      </c>
      <c r="DW97" t="n">
        <v>88.7</v>
      </c>
      <c r="DX97" t="n">
        <v>90.31</v>
      </c>
      <c r="DY97" t="n">
        <v>89.18000000000001</v>
      </c>
      <c r="DZ97" t="n">
        <v>0.48</v>
      </c>
      <c r="EA97" t="n">
        <v>802</v>
      </c>
      <c r="EB97" t="n">
        <v>21.51</v>
      </c>
      <c r="EC97" t="n">
        <v>6.67</v>
      </c>
      <c r="ED97" t="n">
        <v>120</v>
      </c>
      <c r="EE97" t="n">
        <v>1541</v>
      </c>
      <c r="EF97" t="b">
        <v>1</v>
      </c>
      <c r="EG97" t="n">
        <v>34.6</v>
      </c>
      <c r="EH97" t="n">
        <v>8.699999999999999</v>
      </c>
      <c r="EI97" t="n">
        <v>397</v>
      </c>
      <c r="EJ97" t="n">
        <v>322</v>
      </c>
      <c r="EK97" t="n">
        <v>111</v>
      </c>
      <c r="EL97" t="n">
        <v>201.2</v>
      </c>
      <c r="EM97" t="n">
        <v>4883</v>
      </c>
      <c r="EN97" t="n">
        <v>1854</v>
      </c>
      <c r="EO97" t="n">
        <v>1343.8</v>
      </c>
      <c r="EP97" t="n">
        <v>28.5</v>
      </c>
    </row>
    <row r="98">
      <c r="A98" t="inlineStr">
        <is>
          <t>Rúben Dias</t>
        </is>
      </c>
      <c r="B98" t="inlineStr">
        <is>
          <t>MCI</t>
        </is>
      </c>
      <c r="C98" t="inlineStr">
        <is>
          <t>DEF</t>
        </is>
      </c>
      <c r="D98" t="inlineStr">
        <is>
          <t>DEF</t>
        </is>
      </c>
      <c r="E98" t="n">
        <v>5.5</v>
      </c>
      <c r="F98" t="b">
        <v>1</v>
      </c>
      <c r="G98" t="b">
        <v>1</v>
      </c>
      <c r="H98" t="n">
        <v>29.3</v>
      </c>
      <c r="I98" t="inlineStr">
        <is>
          <t>a</t>
        </is>
      </c>
      <c r="L98" t="inlineStr">
        <is>
          <t>p171314</t>
        </is>
      </c>
      <c r="M98" t="n">
        <v>390</v>
      </c>
      <c r="Q98" t="n">
        <v>2139</v>
      </c>
      <c r="R98" t="n">
        <v>26</v>
      </c>
      <c r="S98" t="n">
        <v>24</v>
      </c>
      <c r="T98" t="n">
        <v>23.767</v>
      </c>
      <c r="U98" t="n">
        <v>82.3</v>
      </c>
      <c r="V98" t="n">
        <v>113</v>
      </c>
      <c r="W98" t="n">
        <v>4.755</v>
      </c>
      <c r="X98" t="n">
        <v>2</v>
      </c>
      <c r="Y98" t="n">
        <v>0</v>
      </c>
      <c r="AA98" t="n">
        <v>12</v>
      </c>
      <c r="AB98" t="n">
        <v>22</v>
      </c>
      <c r="AC98" t="n">
        <v>4</v>
      </c>
      <c r="AD98" t="n">
        <v>3</v>
      </c>
      <c r="AE98" t="n">
        <v>-1</v>
      </c>
      <c r="AF98" t="n">
        <v>453</v>
      </c>
      <c r="AG98" t="n">
        <v>426</v>
      </c>
      <c r="AH98" t="n">
        <v>-27</v>
      </c>
      <c r="AI98" t="n">
        <v>112</v>
      </c>
      <c r="AJ98" t="n">
        <v>0.035</v>
      </c>
      <c r="AK98" t="n">
        <v>0.037</v>
      </c>
      <c r="AL98" t="n">
        <v>167</v>
      </c>
      <c r="AM98" t="n">
        <v>7.027</v>
      </c>
      <c r="AN98" t="n">
        <v>5</v>
      </c>
      <c r="AO98" t="n">
        <v>10</v>
      </c>
      <c r="AP98" t="n">
        <v>0.208</v>
      </c>
      <c r="AQ98" t="n">
        <v>0.208</v>
      </c>
      <c r="AR98" t="n">
        <v>0.125</v>
      </c>
      <c r="AS98" t="n">
        <v>0.632</v>
      </c>
      <c r="AT98" t="n">
        <v>0.885</v>
      </c>
      <c r="AU98" t="n">
        <v>11</v>
      </c>
      <c r="AV98" t="n">
        <v>1</v>
      </c>
      <c r="AW98" t="n">
        <v>3.51</v>
      </c>
      <c r="AX98" t="n">
        <v>14</v>
      </c>
      <c r="AY98" t="n">
        <v>0.57</v>
      </c>
      <c r="AZ98" t="n">
        <v>0.437</v>
      </c>
      <c r="BA98" t="n">
        <v>0.504</v>
      </c>
      <c r="BB98" t="n">
        <v>0.437</v>
      </c>
      <c r="BC98" t="n">
        <v>0.024</v>
      </c>
      <c r="BD98" t="n">
        <v>0.018</v>
      </c>
      <c r="BE98" t="n">
        <v>0.021</v>
      </c>
      <c r="BF98" t="n">
        <v>0.9</v>
      </c>
      <c r="BG98" t="n">
        <v>0.038</v>
      </c>
      <c r="BH98" t="n">
        <v>0.887</v>
      </c>
      <c r="BI98" t="n">
        <v>4.85</v>
      </c>
      <c r="BJ98" t="n">
        <v>0.506</v>
      </c>
      <c r="BK98" t="n">
        <v>0.021</v>
      </c>
      <c r="BL98" t="n">
        <v>1.496</v>
      </c>
      <c r="BM98" t="n">
        <v>0.33</v>
      </c>
      <c r="BN98" t="n">
        <v>1.1</v>
      </c>
      <c r="BO98" t="n">
        <v>0.133</v>
      </c>
      <c r="BP98" t="n">
        <v>10</v>
      </c>
      <c r="BQ98" t="n">
        <v>4</v>
      </c>
      <c r="BR98" t="n">
        <v>1</v>
      </c>
      <c r="BS98" t="n">
        <v>8</v>
      </c>
      <c r="BT98" t="n">
        <v>0.337</v>
      </c>
      <c r="BW98" t="n">
        <v>0.65</v>
      </c>
      <c r="BX98" t="n">
        <v>0.423</v>
      </c>
      <c r="BY98" t="n">
        <v>0.536</v>
      </c>
      <c r="BZ98" t="n">
        <v>0.023</v>
      </c>
      <c r="CA98" t="n">
        <v>1.04</v>
      </c>
      <c r="CB98" t="n">
        <v>0.044</v>
      </c>
      <c r="CC98" t="n">
        <v>7</v>
      </c>
      <c r="CE98" t="n">
        <v>7</v>
      </c>
      <c r="CF98" t="n">
        <v>3</v>
      </c>
      <c r="CI98" t="n">
        <v>14.687</v>
      </c>
      <c r="CJ98" t="n">
        <v>14.249</v>
      </c>
      <c r="CK98" t="n">
        <v>154</v>
      </c>
      <c r="CL98" t="n">
        <v>74</v>
      </c>
      <c r="CM98" t="n">
        <v>13</v>
      </c>
      <c r="CN98" t="n">
        <v>6</v>
      </c>
      <c r="CO98" t="n">
        <v>23</v>
      </c>
      <c r="CP98" t="n">
        <v>117</v>
      </c>
      <c r="CQ98" t="n">
        <v>17</v>
      </c>
      <c r="CR98" t="n">
        <v>82</v>
      </c>
      <c r="CS98" t="n">
        <v>58</v>
      </c>
      <c r="CT98" t="n">
        <v>0.1</v>
      </c>
      <c r="CV98" t="n">
        <v>2</v>
      </c>
      <c r="CW98" t="n">
        <v>26.07</v>
      </c>
      <c r="CX98" t="n">
        <v>1.097</v>
      </c>
      <c r="CY98" t="n">
        <v>0</v>
      </c>
      <c r="DB98" t="n">
        <v>0</v>
      </c>
      <c r="DE98" t="n">
        <v>7.18</v>
      </c>
      <c r="DF98" t="n">
        <v>3</v>
      </c>
      <c r="DG98" t="n">
        <v>0</v>
      </c>
      <c r="DH98" t="n">
        <v>15</v>
      </c>
      <c r="DI98" t="n">
        <v>9</v>
      </c>
      <c r="DL98" t="n">
        <v>3</v>
      </c>
      <c r="DM98" t="n">
        <v>3</v>
      </c>
      <c r="DO98" t="n">
        <v>1.6</v>
      </c>
      <c r="DP98" t="n">
        <v>65.70999999999999</v>
      </c>
      <c r="DQ98" t="n">
        <v>33.31</v>
      </c>
      <c r="DR98" t="n">
        <v>66.62</v>
      </c>
      <c r="DS98" t="n">
        <v>-0.91</v>
      </c>
      <c r="DT98" t="n">
        <v>1569</v>
      </c>
      <c r="DU98" t="n">
        <v>41.28</v>
      </c>
      <c r="DV98" t="inlineStr">
        <is>
          <t>flat</t>
        </is>
      </c>
      <c r="DW98" t="n">
        <v>68.51000000000001</v>
      </c>
      <c r="DX98" t="n">
        <v>70.26000000000001</v>
      </c>
      <c r="DY98" t="n">
        <v>66.29000000000001</v>
      </c>
      <c r="DZ98" t="n">
        <v>-2.22</v>
      </c>
      <c r="EA98" t="n">
        <v>1464</v>
      </c>
      <c r="EB98" t="n">
        <v>20.58</v>
      </c>
      <c r="EC98" t="n">
        <v>11</v>
      </c>
      <c r="ED98" t="n">
        <v>120</v>
      </c>
      <c r="EE98" t="n">
        <v>2588</v>
      </c>
      <c r="EF98" t="b">
        <v>1</v>
      </c>
      <c r="EG98" t="n">
        <v>95.3</v>
      </c>
      <c r="EH98" t="n">
        <v>44.3</v>
      </c>
      <c r="EI98" t="n">
        <v>127</v>
      </c>
      <c r="EJ98" t="n">
        <v>213.9</v>
      </c>
      <c r="EK98" t="n">
        <v>267.4</v>
      </c>
      <c r="EL98" t="n">
        <v>305.6</v>
      </c>
      <c r="EM98" t="n">
        <v>4248</v>
      </c>
      <c r="EN98" t="n">
        <v>3988.6</v>
      </c>
      <c r="EO98" t="n">
        <v>2057.1</v>
      </c>
      <c r="EP98" t="n">
        <v>18.9</v>
      </c>
    </row>
    <row r="99">
      <c r="A99" t="inlineStr">
        <is>
          <t>Robert Sánchez</t>
        </is>
      </c>
      <c r="B99" t="inlineStr">
        <is>
          <t>CHE</t>
        </is>
      </c>
      <c r="C99" t="inlineStr">
        <is>
          <t>GKP</t>
        </is>
      </c>
      <c r="D99" t="inlineStr">
        <is>
          <t>GKP</t>
        </is>
      </c>
      <c r="E99" t="n">
        <v>5</v>
      </c>
      <c r="F99" t="b">
        <v>1</v>
      </c>
      <c r="G99" t="b">
        <v>1</v>
      </c>
      <c r="H99" t="n">
        <v>28.8</v>
      </c>
      <c r="I99" t="inlineStr">
        <is>
          <t>a</t>
        </is>
      </c>
      <c r="L99" t="inlineStr">
        <is>
          <t>p215059</t>
        </is>
      </c>
      <c r="M99" t="n">
        <v>140</v>
      </c>
      <c r="Q99" t="n">
        <v>3040</v>
      </c>
      <c r="R99" t="n">
        <v>35</v>
      </c>
      <c r="S99" t="n">
        <v>35</v>
      </c>
      <c r="T99" t="n">
        <v>33.778</v>
      </c>
      <c r="U99" t="n">
        <v>86.90000000000001</v>
      </c>
      <c r="V99" t="n">
        <v>113</v>
      </c>
      <c r="W99" t="n">
        <v>3.345</v>
      </c>
      <c r="X99" t="n">
        <v>0</v>
      </c>
      <c r="Y99" t="n">
        <v>1</v>
      </c>
      <c r="Z99" t="n">
        <v>1</v>
      </c>
      <c r="AA99" t="n">
        <v>9</v>
      </c>
      <c r="AB99" t="n">
        <v>49</v>
      </c>
      <c r="AC99" t="n">
        <v>7</v>
      </c>
      <c r="AD99" t="n">
        <v>8</v>
      </c>
      <c r="AE99" t="n">
        <v>1</v>
      </c>
      <c r="AF99" t="n">
        <v>509</v>
      </c>
      <c r="AG99" t="n">
        <v>502</v>
      </c>
      <c r="AH99" t="n">
        <v>-7</v>
      </c>
      <c r="AI99" t="n">
        <v>114</v>
      </c>
      <c r="AJ99" t="n">
        <v>0.062</v>
      </c>
      <c r="AK99" t="n">
        <v>0.066</v>
      </c>
      <c r="AL99" t="n">
        <v>0</v>
      </c>
      <c r="AM99" t="n">
        <v>0</v>
      </c>
      <c r="AN99" t="n">
        <v>0</v>
      </c>
      <c r="AO99" t="n">
        <v>0</v>
      </c>
      <c r="AP99" t="n">
        <v>0</v>
      </c>
      <c r="AQ99" t="n">
        <v>0</v>
      </c>
      <c r="AR99" t="n">
        <v>0</v>
      </c>
      <c r="AS99" t="n">
        <v>0.921</v>
      </c>
      <c r="AT99" t="n">
        <v>0.971</v>
      </c>
      <c r="AU99" t="n">
        <v>20</v>
      </c>
      <c r="AV99" t="n">
        <v>2</v>
      </c>
      <c r="AW99" t="n">
        <v>2.78</v>
      </c>
      <c r="AX99" t="n">
        <v>11</v>
      </c>
      <c r="AY99" t="n">
        <v>0</v>
      </c>
      <c r="AZ99" t="n">
        <v>0</v>
      </c>
      <c r="BA99" t="n">
        <v>0</v>
      </c>
      <c r="BB99" t="n">
        <v>0</v>
      </c>
      <c r="BC99" t="n">
        <v>0</v>
      </c>
      <c r="BD99" t="n">
        <v>0</v>
      </c>
      <c r="BE99" t="n">
        <v>0</v>
      </c>
      <c r="BH99" t="n">
        <v>1</v>
      </c>
      <c r="BI99" t="n">
        <v>0</v>
      </c>
      <c r="BJ99" t="n">
        <v>0</v>
      </c>
      <c r="BK99" t="n">
        <v>0</v>
      </c>
      <c r="BL99" t="n">
        <v>0</v>
      </c>
      <c r="BO99" t="n">
        <v>0</v>
      </c>
      <c r="BW99" t="n">
        <v>0.04</v>
      </c>
      <c r="BX99" t="n">
        <v>0.885</v>
      </c>
      <c r="BY99" t="n">
        <v>0.462</v>
      </c>
      <c r="BZ99" t="n">
        <v>0.014</v>
      </c>
      <c r="CA99" t="n">
        <v>0.462</v>
      </c>
      <c r="CB99" t="n">
        <v>0.014</v>
      </c>
      <c r="CC99" t="n">
        <v>5</v>
      </c>
      <c r="CD99" t="n">
        <v>2</v>
      </c>
      <c r="CE99" t="n">
        <v>5</v>
      </c>
      <c r="CH99" t="n">
        <v>0</v>
      </c>
      <c r="CI99" t="n">
        <v>10.155</v>
      </c>
      <c r="CJ99" t="n">
        <v>9.27</v>
      </c>
      <c r="CK99" t="n">
        <v>27</v>
      </c>
      <c r="CL99" t="n">
        <v>302</v>
      </c>
      <c r="CM99" t="n">
        <v>2</v>
      </c>
      <c r="CN99" t="n">
        <v>0</v>
      </c>
      <c r="CO99" t="n">
        <v>1</v>
      </c>
      <c r="CP99" t="n">
        <v>26</v>
      </c>
      <c r="CR99" t="n">
        <v>26</v>
      </c>
      <c r="CS99" t="n">
        <v>14</v>
      </c>
      <c r="CU99" t="n">
        <v>1</v>
      </c>
      <c r="CV99" t="n">
        <v>3</v>
      </c>
      <c r="CW99" t="n">
        <v>48.64</v>
      </c>
      <c r="CX99" t="n">
        <v>1.44</v>
      </c>
      <c r="CY99" t="n">
        <v>98</v>
      </c>
      <c r="CZ99" t="n">
        <v>67.59999999999999</v>
      </c>
      <c r="DA99" t="n">
        <v>1.7</v>
      </c>
      <c r="DB99" t="n">
        <v>0</v>
      </c>
      <c r="DC99" t="n">
        <v>42</v>
      </c>
      <c r="DD99" t="n">
        <v>7</v>
      </c>
      <c r="DE99" t="n">
        <v>7.07</v>
      </c>
      <c r="DF99" t="n">
        <v>3</v>
      </c>
      <c r="DG99" t="n">
        <v>1</v>
      </c>
      <c r="DH99" t="n">
        <v>2</v>
      </c>
      <c r="DI99" t="n">
        <v>14</v>
      </c>
      <c r="DM99" t="n">
        <v>1</v>
      </c>
      <c r="DO99" t="n">
        <v>2.1</v>
      </c>
      <c r="DP99" t="n">
        <v>123.9</v>
      </c>
      <c r="DQ99" t="n">
        <v>61.95</v>
      </c>
      <c r="DR99" t="n">
        <v>123.9</v>
      </c>
      <c r="DS99" t="n">
        <v>0</v>
      </c>
      <c r="DT99" t="n">
        <v>3181</v>
      </c>
      <c r="DU99" t="n">
        <v>83.7</v>
      </c>
      <c r="DV99" t="inlineStr">
        <is>
          <t>flat</t>
        </is>
      </c>
      <c r="DW99" t="n">
        <v>93.31</v>
      </c>
      <c r="DX99" t="n">
        <v>98.09</v>
      </c>
      <c r="DY99" t="n">
        <v>90.65000000000001</v>
      </c>
      <c r="DZ99" t="n">
        <v>-2.66</v>
      </c>
      <c r="EA99" t="n">
        <v>1399</v>
      </c>
      <c r="EB99" t="n">
        <v>23.51</v>
      </c>
      <c r="EC99" t="n">
        <v>4.57</v>
      </c>
      <c r="ED99" t="n">
        <v>120</v>
      </c>
      <c r="EE99" t="n">
        <v>2553</v>
      </c>
      <c r="EF99" t="b">
        <v>1</v>
      </c>
      <c r="EG99" t="n">
        <v>95.90000000000001</v>
      </c>
      <c r="EH99" t="n">
        <v>45.4</v>
      </c>
      <c r="EI99" t="n">
        <v>238</v>
      </c>
      <c r="EL99" t="n">
        <v>608</v>
      </c>
      <c r="EN99" t="n">
        <v>6574</v>
      </c>
      <c r="EO99" t="n">
        <v>6574</v>
      </c>
      <c r="EP99" t="n">
        <v>26.9</v>
      </c>
    </row>
    <row r="100">
      <c r="A100" t="inlineStr">
        <is>
          <t>Mikkel Damsgaard</t>
        </is>
      </c>
      <c r="B100" t="inlineStr">
        <is>
          <t>BRE</t>
        </is>
      </c>
      <c r="C100" t="inlineStr">
        <is>
          <t>MID</t>
        </is>
      </c>
      <c r="D100" t="inlineStr">
        <is>
          <t>MID</t>
        </is>
      </c>
      <c r="E100" t="n">
        <v>5.5</v>
      </c>
      <c r="F100" t="b">
        <v>1</v>
      </c>
      <c r="G100" t="b">
        <v>1</v>
      </c>
      <c r="H100" t="n">
        <v>26.1</v>
      </c>
      <c r="I100" t="inlineStr">
        <is>
          <t>a</t>
        </is>
      </c>
      <c r="L100" t="inlineStr">
        <is>
          <t>p440089</t>
        </is>
      </c>
      <c r="M100" t="n">
        <v>96</v>
      </c>
      <c r="O100" t="n">
        <v>2</v>
      </c>
      <c r="P100" t="n">
        <v>3</v>
      </c>
      <c r="Q100" t="n">
        <v>2046</v>
      </c>
      <c r="R100" t="n">
        <v>33</v>
      </c>
      <c r="S100" t="n">
        <v>24</v>
      </c>
      <c r="T100" t="n">
        <v>22.733</v>
      </c>
      <c r="U100" t="n">
        <v>62</v>
      </c>
      <c r="V100" t="n">
        <v>113</v>
      </c>
      <c r="W100" t="n">
        <v>4.971</v>
      </c>
      <c r="X100" t="n">
        <v>4</v>
      </c>
      <c r="Y100" t="n">
        <v>4</v>
      </c>
      <c r="Z100" t="n">
        <v>4</v>
      </c>
      <c r="AA100" t="n">
        <v>5</v>
      </c>
      <c r="AB100" t="n">
        <v>32</v>
      </c>
      <c r="AC100" t="n">
        <v>9</v>
      </c>
      <c r="AD100" t="n">
        <v>9</v>
      </c>
      <c r="AE100" t="n">
        <v>0</v>
      </c>
      <c r="AF100" t="n">
        <v>467</v>
      </c>
      <c r="AG100" t="n">
        <v>456</v>
      </c>
      <c r="AH100" t="n">
        <v>-11</v>
      </c>
      <c r="AI100" t="n">
        <v>113</v>
      </c>
      <c r="AJ100" t="n">
        <v>0.08</v>
      </c>
      <c r="AK100" t="n">
        <v>0.08699999999999999</v>
      </c>
      <c r="AL100" t="n">
        <v>241</v>
      </c>
      <c r="AM100" t="n">
        <v>10.601</v>
      </c>
      <c r="AN100" t="n">
        <v>6</v>
      </c>
      <c r="AO100" t="n">
        <v>12</v>
      </c>
      <c r="AP100" t="n">
        <v>0.25</v>
      </c>
      <c r="AQ100" t="n">
        <v>0.417</v>
      </c>
      <c r="AR100" t="n">
        <v>0.25</v>
      </c>
      <c r="AS100" t="n">
        <v>0.632</v>
      </c>
      <c r="AT100" t="n">
        <v>0.667</v>
      </c>
      <c r="AU100" t="n">
        <v>19</v>
      </c>
      <c r="AV100" t="n">
        <v>2</v>
      </c>
      <c r="AW100" t="n">
        <v>3.43</v>
      </c>
      <c r="AX100" t="n">
        <v>18</v>
      </c>
      <c r="AY100" t="n">
        <v>2.61</v>
      </c>
      <c r="AZ100" t="n">
        <v>2.974</v>
      </c>
      <c r="BA100" t="n">
        <v>2.792</v>
      </c>
      <c r="BB100" t="n">
        <v>2.974</v>
      </c>
      <c r="BC100" t="n">
        <v>0.115</v>
      </c>
      <c r="BD100" t="n">
        <v>0.131</v>
      </c>
      <c r="BE100" t="n">
        <v>0.123</v>
      </c>
      <c r="BF100" t="n">
        <v>3.1</v>
      </c>
      <c r="BG100" t="n">
        <v>0.136</v>
      </c>
      <c r="BH100" t="n">
        <v>1.001</v>
      </c>
      <c r="BI100" t="n">
        <v>8.59</v>
      </c>
      <c r="BJ100" t="n">
        <v>2.612</v>
      </c>
      <c r="BK100" t="n">
        <v>0.115</v>
      </c>
      <c r="BL100" t="n">
        <v>1.208</v>
      </c>
      <c r="BM100" t="n">
        <v>0.49</v>
      </c>
      <c r="BN100" t="n">
        <v>0.9</v>
      </c>
      <c r="BO100" t="n">
        <v>-0.364</v>
      </c>
      <c r="BP100" t="n">
        <v>29</v>
      </c>
      <c r="BQ100" t="n">
        <v>11</v>
      </c>
      <c r="BR100" t="n">
        <v>3</v>
      </c>
      <c r="BS100" t="n">
        <v>80</v>
      </c>
      <c r="BT100" t="n">
        <v>3.519</v>
      </c>
      <c r="BV100" t="n">
        <v>1</v>
      </c>
      <c r="BW100" t="n">
        <v>5.43</v>
      </c>
      <c r="BX100" t="n">
        <v>6.469</v>
      </c>
      <c r="BY100" t="n">
        <v>5.949</v>
      </c>
      <c r="BZ100" t="n">
        <v>0.262</v>
      </c>
      <c r="CA100" t="n">
        <v>8.742000000000001</v>
      </c>
      <c r="CB100" t="n">
        <v>0.385</v>
      </c>
      <c r="CC100" t="n">
        <v>42</v>
      </c>
      <c r="CD100" t="n">
        <v>12</v>
      </c>
      <c r="CE100" t="n">
        <v>42</v>
      </c>
      <c r="CF100" t="n">
        <v>28</v>
      </c>
      <c r="CG100" t="n">
        <v>7</v>
      </c>
      <c r="CH100" t="n">
        <v>43</v>
      </c>
      <c r="CI100" t="n">
        <v>12.347</v>
      </c>
      <c r="CJ100" t="n">
        <v>6.473</v>
      </c>
      <c r="CK100" t="n">
        <v>45</v>
      </c>
      <c r="CL100" t="n">
        <v>139</v>
      </c>
      <c r="CM100" t="n">
        <v>57</v>
      </c>
      <c r="CN100" t="n">
        <v>35</v>
      </c>
      <c r="CO100" t="n">
        <v>25</v>
      </c>
      <c r="CP100" t="n">
        <v>16</v>
      </c>
      <c r="CQ100" t="n">
        <v>4</v>
      </c>
      <c r="CR100" t="n">
        <v>116</v>
      </c>
      <c r="CS100" t="n">
        <v>19</v>
      </c>
      <c r="CT100" t="n">
        <v>1.1</v>
      </c>
      <c r="CU100" t="n">
        <v>1</v>
      </c>
      <c r="CV100" t="n">
        <v>1</v>
      </c>
      <c r="CW100" t="n">
        <v>31.55</v>
      </c>
      <c r="CX100" t="n">
        <v>1.388</v>
      </c>
      <c r="CY100" t="n">
        <v>0</v>
      </c>
      <c r="DB100" t="n">
        <v>0</v>
      </c>
      <c r="DE100" t="n">
        <v>6.99</v>
      </c>
      <c r="DF100" t="n">
        <v>0</v>
      </c>
      <c r="DG100" t="n">
        <v>0</v>
      </c>
      <c r="DH100" t="n">
        <v>19</v>
      </c>
      <c r="DI100" t="n">
        <v>23</v>
      </c>
      <c r="DL100" t="n">
        <v>18</v>
      </c>
      <c r="DM100" t="n">
        <v>33</v>
      </c>
      <c r="DN100" t="n">
        <v>4</v>
      </c>
      <c r="DO100" t="n">
        <v>0.6</v>
      </c>
      <c r="DP100" t="n">
        <v>89.93000000000001</v>
      </c>
      <c r="DQ100" t="n">
        <v>44.97</v>
      </c>
      <c r="DR100" t="n">
        <v>89.94</v>
      </c>
      <c r="DS100" t="n">
        <v>-0.01</v>
      </c>
      <c r="DT100" t="n">
        <v>1915</v>
      </c>
      <c r="DU100" t="n">
        <v>50.4</v>
      </c>
      <c r="DV100" t="inlineStr">
        <is>
          <t>flat</t>
        </is>
      </c>
      <c r="DW100" t="n">
        <v>85.42</v>
      </c>
      <c r="DX100" t="n">
        <v>86.23</v>
      </c>
      <c r="DY100" t="n">
        <v>84.55</v>
      </c>
      <c r="DZ100" t="n">
        <v>-0.87</v>
      </c>
      <c r="EA100" t="n">
        <v>115</v>
      </c>
      <c r="EB100" t="n">
        <v>19.23</v>
      </c>
      <c r="EC100" t="n">
        <v>16</v>
      </c>
      <c r="ED100" t="n">
        <v>120</v>
      </c>
      <c r="EE100" t="n">
        <v>179</v>
      </c>
      <c r="EF100" t="b">
        <v>1</v>
      </c>
      <c r="EG100" t="n">
        <v>4</v>
      </c>
      <c r="EH100" t="n">
        <v>9.1</v>
      </c>
      <c r="EI100" t="n">
        <v>126</v>
      </c>
      <c r="EJ100" t="n">
        <v>70.59999999999999</v>
      </c>
      <c r="EK100" t="n">
        <v>25.6</v>
      </c>
      <c r="EL100" t="n">
        <v>48.7</v>
      </c>
      <c r="EM100" t="n">
        <v>732.8</v>
      </c>
      <c r="EN100" t="n">
        <v>343.9</v>
      </c>
      <c r="EO100" t="n">
        <v>234.1</v>
      </c>
      <c r="EP100" t="n">
        <v>18.1</v>
      </c>
    </row>
    <row r="101">
      <c r="A101" t="inlineStr">
        <is>
          <t>Eberechi Eze</t>
        </is>
      </c>
      <c r="B101" t="inlineStr">
        <is>
          <t>ARS</t>
        </is>
      </c>
      <c r="C101" t="inlineStr">
        <is>
          <t>MID</t>
        </is>
      </c>
      <c r="D101" t="inlineStr">
        <is>
          <t>MID</t>
        </is>
      </c>
      <c r="E101" t="n">
        <v>6.5</v>
      </c>
      <c r="F101" t="b">
        <v>1</v>
      </c>
      <c r="G101" t="b">
        <v>1</v>
      </c>
      <c r="H101" t="n">
        <v>28.1</v>
      </c>
      <c r="I101" t="inlineStr">
        <is>
          <t>a</t>
        </is>
      </c>
      <c r="L101" t="inlineStr">
        <is>
          <t>p232413</t>
        </is>
      </c>
      <c r="M101" t="n">
        <v>14</v>
      </c>
      <c r="P101" t="n">
        <v>3</v>
      </c>
      <c r="Q101" t="n">
        <v>1885</v>
      </c>
      <c r="R101" t="n">
        <v>33</v>
      </c>
      <c r="S101" t="n">
        <v>22</v>
      </c>
      <c r="T101" t="n">
        <v>20.944</v>
      </c>
      <c r="U101" t="n">
        <v>57.1</v>
      </c>
      <c r="V101" t="n">
        <v>113</v>
      </c>
      <c r="W101" t="n">
        <v>5.395</v>
      </c>
      <c r="X101" t="n">
        <v>7</v>
      </c>
      <c r="Y101" t="n">
        <v>3</v>
      </c>
      <c r="Z101" t="n">
        <v>2</v>
      </c>
      <c r="AA101" t="n">
        <v>11</v>
      </c>
      <c r="AB101" t="n">
        <v>14</v>
      </c>
      <c r="AC101" t="n">
        <v>8</v>
      </c>
      <c r="AD101" t="n">
        <v>8</v>
      </c>
      <c r="AE101" t="n">
        <v>0</v>
      </c>
      <c r="AF101" t="n">
        <v>439</v>
      </c>
      <c r="AG101" t="n">
        <v>434</v>
      </c>
      <c r="AH101" t="n">
        <v>-5</v>
      </c>
      <c r="AI101" t="n">
        <v>113</v>
      </c>
      <c r="AJ101" t="n">
        <v>0.07099999999999999</v>
      </c>
      <c r="AK101" t="n">
        <v>0.076</v>
      </c>
      <c r="AL101" t="n">
        <v>120</v>
      </c>
      <c r="AM101" t="n">
        <v>5.729</v>
      </c>
      <c r="AN101" t="n">
        <v>0</v>
      </c>
      <c r="AO101" t="n">
        <v>0</v>
      </c>
      <c r="AP101" t="n">
        <v>0</v>
      </c>
      <c r="AQ101" t="n">
        <v>0</v>
      </c>
      <c r="AR101" t="n">
        <v>0</v>
      </c>
      <c r="AS101" t="n">
        <v>0.579</v>
      </c>
      <c r="AT101" t="n">
        <v>0.545</v>
      </c>
      <c r="AU101" t="n">
        <v>18</v>
      </c>
      <c r="AV101" t="n">
        <v>3</v>
      </c>
      <c r="AW101" t="n">
        <v>4.06</v>
      </c>
      <c r="AX101" t="n">
        <v>20</v>
      </c>
      <c r="AY101" t="n">
        <v>5.18</v>
      </c>
      <c r="AZ101" t="n">
        <v>4.807</v>
      </c>
      <c r="BA101" t="n">
        <v>4.994</v>
      </c>
      <c r="BB101" t="n">
        <v>4.807</v>
      </c>
      <c r="BC101" t="n">
        <v>0.247</v>
      </c>
      <c r="BD101" t="n">
        <v>0.23</v>
      </c>
      <c r="BE101" t="n">
        <v>0.238</v>
      </c>
      <c r="BF101" t="n">
        <v>6.8</v>
      </c>
      <c r="BG101" t="n">
        <v>0.325</v>
      </c>
      <c r="BH101" t="n">
        <v>1.114</v>
      </c>
      <c r="BI101" t="n">
        <v>31.94</v>
      </c>
      <c r="BJ101" t="n">
        <v>5.771</v>
      </c>
      <c r="BK101" t="n">
        <v>0.276</v>
      </c>
      <c r="BL101" t="n">
        <v>2.006</v>
      </c>
      <c r="BM101" t="n">
        <v>1.62</v>
      </c>
      <c r="BN101" t="n">
        <v>0.2</v>
      </c>
      <c r="BO101" t="n">
        <v>0.373</v>
      </c>
      <c r="BP101" t="n">
        <v>63</v>
      </c>
      <c r="BQ101" t="n">
        <v>20</v>
      </c>
      <c r="BR101" t="n">
        <v>2</v>
      </c>
      <c r="BS101" t="n">
        <v>65</v>
      </c>
      <c r="BT101" t="n">
        <v>3.103</v>
      </c>
      <c r="BW101" t="n">
        <v>2.66</v>
      </c>
      <c r="BX101" t="n">
        <v>2.634</v>
      </c>
      <c r="BY101" t="n">
        <v>2.647</v>
      </c>
      <c r="BZ101" t="n">
        <v>0.126</v>
      </c>
      <c r="CA101" t="n">
        <v>7.64</v>
      </c>
      <c r="CB101" t="n">
        <v>0.365</v>
      </c>
      <c r="CC101" t="n">
        <v>17</v>
      </c>
      <c r="CD101" t="n">
        <v>4</v>
      </c>
      <c r="CE101" t="n">
        <v>16</v>
      </c>
      <c r="CF101" t="n">
        <v>2</v>
      </c>
      <c r="CG101" t="n">
        <v>7</v>
      </c>
      <c r="CH101" t="n">
        <v>3</v>
      </c>
      <c r="CI101" t="n">
        <v>10.356</v>
      </c>
      <c r="CJ101" t="n">
        <v>4.074</v>
      </c>
      <c r="CK101" t="n">
        <v>22</v>
      </c>
      <c r="CL101" t="n">
        <v>79</v>
      </c>
      <c r="CM101" t="n">
        <v>19</v>
      </c>
      <c r="CN101" t="n">
        <v>14</v>
      </c>
      <c r="CO101" t="n">
        <v>11</v>
      </c>
      <c r="CP101" t="n">
        <v>10</v>
      </c>
      <c r="CQ101" t="n">
        <v>1</v>
      </c>
      <c r="CR101" t="n">
        <v>98</v>
      </c>
      <c r="CS101" t="n">
        <v>10</v>
      </c>
      <c r="CT101" t="n">
        <v>0.8</v>
      </c>
      <c r="CV101" t="n">
        <v>2</v>
      </c>
      <c r="CW101" t="n">
        <v>14.21</v>
      </c>
      <c r="CX101" t="n">
        <v>0.678</v>
      </c>
      <c r="CY101" t="n">
        <v>0</v>
      </c>
      <c r="DB101" t="n">
        <v>0</v>
      </c>
      <c r="DE101" t="n">
        <v>6.97</v>
      </c>
      <c r="DF101" t="n">
        <v>1</v>
      </c>
      <c r="DG101" t="n">
        <v>0</v>
      </c>
      <c r="DH101" t="n">
        <v>16</v>
      </c>
      <c r="DI101" t="n">
        <v>40</v>
      </c>
      <c r="DL101" t="n">
        <v>29</v>
      </c>
      <c r="DM101" t="n">
        <v>24</v>
      </c>
      <c r="DN101" t="n">
        <v>1</v>
      </c>
      <c r="DO101" t="n">
        <v>3</v>
      </c>
      <c r="DP101" t="n">
        <v>79</v>
      </c>
      <c r="DQ101" t="n">
        <v>39.32</v>
      </c>
      <c r="DR101" t="n">
        <v>78.64</v>
      </c>
      <c r="DS101" t="n">
        <v>0.36</v>
      </c>
      <c r="DT101" t="n">
        <v>1328</v>
      </c>
      <c r="DU101" t="n">
        <v>34.95</v>
      </c>
      <c r="DV101" t="inlineStr">
        <is>
          <t>flat</t>
        </is>
      </c>
      <c r="DW101" t="n">
        <v>53.44</v>
      </c>
      <c r="DX101" t="n">
        <v>53.25</v>
      </c>
      <c r="DY101" t="n">
        <v>52.84</v>
      </c>
      <c r="DZ101" t="n">
        <v>-0.6</v>
      </c>
      <c r="EA101" t="n">
        <v>1210</v>
      </c>
      <c r="EB101" t="n">
        <v>23.95</v>
      </c>
      <c r="EC101" t="n">
        <v>4</v>
      </c>
      <c r="ED101" t="n">
        <v>120</v>
      </c>
      <c r="EE101" t="n">
        <v>2308</v>
      </c>
      <c r="EF101" t="b">
        <v>1</v>
      </c>
      <c r="EG101" t="n">
        <v>84.40000000000001</v>
      </c>
      <c r="EH101" t="n">
        <v>43.9</v>
      </c>
      <c r="EI101" t="n">
        <v>41</v>
      </c>
      <c r="EJ101" t="n">
        <v>29.9</v>
      </c>
      <c r="EK101" t="n">
        <v>29</v>
      </c>
      <c r="EL101" t="n">
        <v>117.8</v>
      </c>
      <c r="EM101" t="n">
        <v>377.5</v>
      </c>
      <c r="EN101" t="n">
        <v>712.2</v>
      </c>
      <c r="EO101" t="n">
        <v>246.7</v>
      </c>
      <c r="EP101" t="n">
        <v>16.7</v>
      </c>
    </row>
    <row r="102">
      <c r="A102" t="inlineStr">
        <is>
          <t>Adam Wharton</t>
        </is>
      </c>
      <c r="B102" t="inlineStr">
        <is>
          <t>CRY</t>
        </is>
      </c>
      <c r="C102" t="inlineStr">
        <is>
          <t>MID</t>
        </is>
      </c>
      <c r="D102" t="inlineStr">
        <is>
          <t>MID</t>
        </is>
      </c>
      <c r="E102" t="n">
        <v>5.5</v>
      </c>
      <c r="F102" t="b">
        <v>1</v>
      </c>
      <c r="G102" t="b">
        <v>1</v>
      </c>
      <c r="H102" t="n">
        <v>22.5</v>
      </c>
      <c r="I102" t="inlineStr">
        <is>
          <t>a</t>
        </is>
      </c>
      <c r="K102" t="n">
        <v>100</v>
      </c>
      <c r="L102" t="inlineStr">
        <is>
          <t>p496221</t>
        </is>
      </c>
      <c r="M102" t="n">
        <v>210</v>
      </c>
      <c r="O102" t="n">
        <v>1</v>
      </c>
      <c r="Q102" t="n">
        <v>2552</v>
      </c>
      <c r="R102" t="n">
        <v>34</v>
      </c>
      <c r="S102" t="n">
        <v>29</v>
      </c>
      <c r="T102" t="n">
        <v>28.356</v>
      </c>
      <c r="U102" t="n">
        <v>75.09999999999999</v>
      </c>
      <c r="V102" t="n">
        <v>112</v>
      </c>
      <c r="W102" t="n">
        <v>3.95</v>
      </c>
      <c r="X102" t="n">
        <v>1</v>
      </c>
      <c r="Y102" t="n">
        <v>6</v>
      </c>
      <c r="Z102" t="n">
        <v>5</v>
      </c>
      <c r="AA102" t="n">
        <v>8</v>
      </c>
      <c r="AB102" t="n">
        <v>43</v>
      </c>
      <c r="AC102" t="n">
        <v>8</v>
      </c>
      <c r="AD102" t="n">
        <v>8</v>
      </c>
      <c r="AE102" t="n">
        <v>0</v>
      </c>
      <c r="AF102" t="n">
        <v>511</v>
      </c>
      <c r="AG102" t="n">
        <v>496</v>
      </c>
      <c r="AH102" t="n">
        <v>-15</v>
      </c>
      <c r="AI102" t="n">
        <v>112</v>
      </c>
      <c r="AJ102" t="n">
        <v>0.07099999999999999</v>
      </c>
      <c r="AK102" t="n">
        <v>0.077</v>
      </c>
      <c r="AL102" t="n">
        <v>303</v>
      </c>
      <c r="AM102" t="n">
        <v>10.686</v>
      </c>
      <c r="AN102" t="n">
        <v>9</v>
      </c>
      <c r="AO102" t="n">
        <v>18</v>
      </c>
      <c r="AP102" t="n">
        <v>0.31</v>
      </c>
      <c r="AQ102" t="n">
        <v>0.517</v>
      </c>
      <c r="AR102" t="n">
        <v>0.31</v>
      </c>
      <c r="AS102" t="n">
        <v>0.763</v>
      </c>
      <c r="AT102" t="n">
        <v>0.824</v>
      </c>
      <c r="AU102" t="n">
        <v>16</v>
      </c>
      <c r="AV102" t="n">
        <v>2</v>
      </c>
      <c r="AW102" t="n">
        <v>2.76</v>
      </c>
      <c r="AX102" t="n">
        <v>11</v>
      </c>
      <c r="AY102" t="n">
        <v>1.52</v>
      </c>
      <c r="AZ102" t="n">
        <v>1.152</v>
      </c>
      <c r="BA102" t="n">
        <v>1.336</v>
      </c>
      <c r="BB102" t="n">
        <v>1.152</v>
      </c>
      <c r="BC102" t="n">
        <v>0.054</v>
      </c>
      <c r="BD102" t="n">
        <v>0.041</v>
      </c>
      <c r="BE102" t="n">
        <v>0.047</v>
      </c>
      <c r="BF102" t="n">
        <v>0.4</v>
      </c>
      <c r="BG102" t="n">
        <v>0.014</v>
      </c>
      <c r="BH102" t="n">
        <v>0.885</v>
      </c>
      <c r="BI102" t="n">
        <v>2.28</v>
      </c>
      <c r="BJ102" t="n">
        <v>1.346</v>
      </c>
      <c r="BK102" t="n">
        <v>0.047</v>
      </c>
      <c r="BL102" t="n">
        <v>-0.336</v>
      </c>
      <c r="BM102" t="n">
        <v>-1.12</v>
      </c>
      <c r="BN102" t="n">
        <v>0.6</v>
      </c>
      <c r="BO102" t="n">
        <v>0.368</v>
      </c>
      <c r="BP102" t="n">
        <v>32</v>
      </c>
      <c r="BQ102" t="n">
        <v>6</v>
      </c>
      <c r="BS102" t="n">
        <v>29</v>
      </c>
      <c r="BT102" t="n">
        <v>1.023</v>
      </c>
      <c r="BW102" t="n">
        <v>7.47</v>
      </c>
      <c r="BX102" t="n">
        <v>6.625</v>
      </c>
      <c r="BY102" t="n">
        <v>7.047</v>
      </c>
      <c r="BZ102" t="n">
        <v>0.249</v>
      </c>
      <c r="CA102" t="n">
        <v>8.382999999999999</v>
      </c>
      <c r="CB102" t="n">
        <v>0.296</v>
      </c>
      <c r="CC102" t="n">
        <v>44</v>
      </c>
      <c r="CD102" t="n">
        <v>14</v>
      </c>
      <c r="CE102" t="n">
        <v>44</v>
      </c>
      <c r="CF102" t="n">
        <v>28</v>
      </c>
      <c r="CG102" t="n">
        <v>14</v>
      </c>
      <c r="CH102" t="n">
        <v>43</v>
      </c>
      <c r="CI102" t="n">
        <v>14.679</v>
      </c>
      <c r="CJ102" t="n">
        <v>10.562</v>
      </c>
      <c r="CK102" t="n">
        <v>70</v>
      </c>
      <c r="CL102" t="n">
        <v>163</v>
      </c>
      <c r="CM102" t="n">
        <v>70</v>
      </c>
      <c r="CN102" t="n">
        <v>37</v>
      </c>
      <c r="CO102" t="n">
        <v>27</v>
      </c>
      <c r="CP102" t="n">
        <v>42</v>
      </c>
      <c r="CQ102" t="n">
        <v>3</v>
      </c>
      <c r="CR102" t="n">
        <v>140</v>
      </c>
      <c r="CS102" t="n">
        <v>24</v>
      </c>
      <c r="CT102" t="n">
        <v>0.6</v>
      </c>
      <c r="CV102" t="n">
        <v>2</v>
      </c>
      <c r="CW102" t="n">
        <v>39.08</v>
      </c>
      <c r="CX102" t="n">
        <v>1.378</v>
      </c>
      <c r="CY102" t="n">
        <v>0</v>
      </c>
      <c r="DB102" t="n">
        <v>0</v>
      </c>
      <c r="DE102" t="n">
        <v>7.01</v>
      </c>
      <c r="DF102" t="n">
        <v>4</v>
      </c>
      <c r="DG102" t="n">
        <v>1</v>
      </c>
      <c r="DH102" t="n">
        <v>35</v>
      </c>
      <c r="DI102" t="n">
        <v>31</v>
      </c>
      <c r="DK102" t="n">
        <v>1</v>
      </c>
      <c r="DL102" t="n">
        <v>15</v>
      </c>
      <c r="DM102" t="n">
        <v>27</v>
      </c>
      <c r="DO102" t="n">
        <v>0.5</v>
      </c>
      <c r="DP102" t="n">
        <v>137.14</v>
      </c>
      <c r="DQ102" t="n">
        <v>68.56999999999999</v>
      </c>
      <c r="DR102" t="n">
        <v>137.14</v>
      </c>
      <c r="DS102" t="n">
        <v>0</v>
      </c>
      <c r="DT102" t="n">
        <v>3158</v>
      </c>
      <c r="DU102" t="n">
        <v>83.09999999999999</v>
      </c>
      <c r="DV102" t="inlineStr">
        <is>
          <t>flat</t>
        </is>
      </c>
      <c r="DW102" t="n">
        <v>79.94</v>
      </c>
      <c r="DX102" t="n">
        <v>76.44</v>
      </c>
      <c r="DY102" t="n">
        <v>80.45</v>
      </c>
      <c r="DZ102" t="n">
        <v>0.51</v>
      </c>
      <c r="EA102" t="n">
        <v>208</v>
      </c>
      <c r="EB102" t="n">
        <v>20.7</v>
      </c>
      <c r="EC102" t="n">
        <v>12.44</v>
      </c>
      <c r="ED102" t="n">
        <v>120</v>
      </c>
      <c r="EE102" t="n">
        <v>295</v>
      </c>
      <c r="EF102" t="b">
        <v>1</v>
      </c>
      <c r="EG102" t="n">
        <v>6.7</v>
      </c>
      <c r="EH102" t="n">
        <v>10.1</v>
      </c>
      <c r="EI102" t="n">
        <v>128</v>
      </c>
      <c r="EJ102" t="n">
        <v>79.8</v>
      </c>
      <c r="EK102" t="n">
        <v>88</v>
      </c>
      <c r="EL102" t="n">
        <v>58</v>
      </c>
      <c r="EM102" t="n">
        <v>1910.1</v>
      </c>
      <c r="EN102" t="n">
        <v>362.1</v>
      </c>
      <c r="EO102" t="n">
        <v>304.4</v>
      </c>
      <c r="EP102" t="n">
        <v>22.8</v>
      </c>
    </row>
    <row r="103">
      <c r="A103" t="inlineStr">
        <is>
          <t>Benjamin Sesko</t>
        </is>
      </c>
      <c r="B103" t="inlineStr">
        <is>
          <t>MUN</t>
        </is>
      </c>
      <c r="C103" t="inlineStr">
        <is>
          <t>FWD</t>
        </is>
      </c>
      <c r="D103" t="inlineStr">
        <is>
          <t>FWD</t>
        </is>
      </c>
      <c r="E103" t="n">
        <v>7</v>
      </c>
      <c r="F103" t="b">
        <v>1</v>
      </c>
      <c r="G103" t="b">
        <v>1</v>
      </c>
      <c r="H103" t="n">
        <v>23.2</v>
      </c>
      <c r="I103" t="inlineStr">
        <is>
          <t>d</t>
        </is>
      </c>
      <c r="J103" t="inlineStr">
        <is>
          <t>Shin injury - 75% chance of playing</t>
        </is>
      </c>
      <c r="K103" t="n">
        <v>75</v>
      </c>
      <c r="L103" t="inlineStr">
        <is>
          <t>p485711</t>
        </is>
      </c>
      <c r="M103" t="n">
        <v>439</v>
      </c>
      <c r="Q103" t="n">
        <v>1630</v>
      </c>
      <c r="R103" t="n">
        <v>30</v>
      </c>
      <c r="S103" t="n">
        <v>17</v>
      </c>
      <c r="T103" t="n">
        <v>18.111</v>
      </c>
      <c r="U103" t="n">
        <v>54.3</v>
      </c>
      <c r="V103" t="n">
        <v>111</v>
      </c>
      <c r="W103" t="n">
        <v>6.129</v>
      </c>
      <c r="X103" t="n">
        <v>11</v>
      </c>
      <c r="Y103" t="n">
        <v>2</v>
      </c>
      <c r="Z103" t="n">
        <v>1</v>
      </c>
      <c r="AA103" t="n">
        <v>2</v>
      </c>
      <c r="AB103" t="n">
        <v>30</v>
      </c>
      <c r="AC103" t="n">
        <v>19</v>
      </c>
      <c r="AD103" t="n">
        <v>19</v>
      </c>
      <c r="AE103" t="n">
        <v>0</v>
      </c>
      <c r="AF103" t="n">
        <v>405</v>
      </c>
      <c r="AG103" t="n">
        <v>402</v>
      </c>
      <c r="AH103" t="n">
        <v>-3</v>
      </c>
      <c r="AI103" t="n">
        <v>111</v>
      </c>
      <c r="AJ103" t="n">
        <v>0.171</v>
      </c>
      <c r="AK103" t="n">
        <v>0.207</v>
      </c>
      <c r="AL103" t="n">
        <v>64</v>
      </c>
      <c r="AM103" t="n">
        <v>3.534</v>
      </c>
      <c r="AN103" t="n">
        <v>0</v>
      </c>
      <c r="AO103" t="n">
        <v>0</v>
      </c>
      <c r="AP103" t="n">
        <v>0</v>
      </c>
      <c r="AQ103" t="n">
        <v>0</v>
      </c>
      <c r="AR103" t="n">
        <v>0</v>
      </c>
      <c r="AS103" t="n">
        <v>0.447</v>
      </c>
      <c r="AT103" t="n">
        <v>0.467</v>
      </c>
      <c r="AU103" t="n">
        <v>18</v>
      </c>
      <c r="AV103" t="n">
        <v>1</v>
      </c>
      <c r="AW103" t="n">
        <v>3.31</v>
      </c>
      <c r="AX103" t="n">
        <v>13</v>
      </c>
      <c r="AY103" t="n">
        <v>9.210000000000001</v>
      </c>
      <c r="AZ103" t="n">
        <v>12.504</v>
      </c>
      <c r="BA103" t="n">
        <v>10.857</v>
      </c>
      <c r="BB103" t="n">
        <v>12.504</v>
      </c>
      <c r="BC103" t="n">
        <v>0.509</v>
      </c>
      <c r="BD103" t="n">
        <v>0.6899999999999999</v>
      </c>
      <c r="BE103" t="n">
        <v>0.599</v>
      </c>
      <c r="BF103" t="n">
        <v>11.2</v>
      </c>
      <c r="BG103" t="n">
        <v>0.618</v>
      </c>
      <c r="BH103" t="n">
        <v>1.116</v>
      </c>
      <c r="BI103" t="n">
        <v>9.210000000000001</v>
      </c>
      <c r="BJ103" t="n">
        <v>10.275</v>
      </c>
      <c r="BK103" t="n">
        <v>0.5669999999999999</v>
      </c>
      <c r="BL103" t="n">
        <v>0.143</v>
      </c>
      <c r="BM103" t="n">
        <v>1.99</v>
      </c>
      <c r="BN103" t="n">
        <v>-0.2</v>
      </c>
      <c r="BO103" t="n">
        <v>-3.294</v>
      </c>
      <c r="BP103" t="n">
        <v>61</v>
      </c>
      <c r="BQ103" t="n">
        <v>34</v>
      </c>
      <c r="BR103" t="n">
        <v>12</v>
      </c>
      <c r="BS103" t="n">
        <v>95</v>
      </c>
      <c r="BT103" t="n">
        <v>5.245</v>
      </c>
      <c r="BV103" t="n">
        <v>1</v>
      </c>
      <c r="BW103" t="n">
        <v>0.28</v>
      </c>
      <c r="BX103" t="n">
        <v>0.598</v>
      </c>
      <c r="BY103" t="n">
        <v>0.439</v>
      </c>
      <c r="BZ103" t="n">
        <v>0.024</v>
      </c>
      <c r="CA103" t="n">
        <v>11.296</v>
      </c>
      <c r="CB103" t="n">
        <v>0.624</v>
      </c>
      <c r="CC103" t="n">
        <v>9</v>
      </c>
      <c r="CE103" t="n">
        <v>9</v>
      </c>
      <c r="CI103" t="n">
        <v>14.227</v>
      </c>
      <c r="CJ103" t="n">
        <v>1.63</v>
      </c>
      <c r="CK103" t="n">
        <v>20</v>
      </c>
      <c r="CL103" t="n">
        <v>39</v>
      </c>
      <c r="CM103" t="n">
        <v>5</v>
      </c>
      <c r="CN103" t="n">
        <v>3</v>
      </c>
      <c r="CO103" t="n">
        <v>3</v>
      </c>
      <c r="CP103" t="n">
        <v>15</v>
      </c>
      <c r="CQ103" t="n">
        <v>2</v>
      </c>
      <c r="CR103" t="n">
        <v>85</v>
      </c>
      <c r="CS103" t="n">
        <v>64</v>
      </c>
      <c r="CT103" t="n">
        <v>0.3</v>
      </c>
      <c r="CW103" t="n">
        <v>27.05</v>
      </c>
      <c r="CX103" t="n">
        <v>1.494</v>
      </c>
      <c r="CY103" t="n">
        <v>0</v>
      </c>
      <c r="DB103" t="n">
        <v>0</v>
      </c>
      <c r="DE103" t="n">
        <v>6.8</v>
      </c>
      <c r="DF103" t="n">
        <v>2</v>
      </c>
      <c r="DG103" t="n">
        <v>0</v>
      </c>
      <c r="DH103" t="n">
        <v>17</v>
      </c>
      <c r="DI103" t="n">
        <v>6</v>
      </c>
      <c r="DK103" t="n">
        <v>0</v>
      </c>
      <c r="DL103" t="n">
        <v>10</v>
      </c>
      <c r="DM103" t="n">
        <v>30</v>
      </c>
      <c r="DN103" t="n">
        <v>7</v>
      </c>
      <c r="DO103" t="n">
        <v>2.1</v>
      </c>
      <c r="DP103" t="n">
        <v>132.37</v>
      </c>
      <c r="DQ103" t="n">
        <v>64.18000000000001</v>
      </c>
      <c r="DR103" t="n">
        <v>128.36</v>
      </c>
      <c r="DS103" t="n">
        <v>4.01</v>
      </c>
      <c r="DT103" t="n">
        <v>2274</v>
      </c>
      <c r="DU103" t="n">
        <v>59.85</v>
      </c>
      <c r="DV103" t="inlineStr">
        <is>
          <t>flat</t>
        </is>
      </c>
      <c r="DW103" t="n">
        <v>34.64</v>
      </c>
      <c r="DX103" t="n">
        <v>30.23</v>
      </c>
      <c r="DY103" t="n">
        <v>34.13</v>
      </c>
      <c r="DZ103" t="n">
        <v>-0.51</v>
      </c>
      <c r="EA103" t="n">
        <v>1460</v>
      </c>
      <c r="EB103" t="n">
        <v>22.24</v>
      </c>
      <c r="EC103" t="n">
        <v>2.29</v>
      </c>
      <c r="ED103" t="n">
        <v>120</v>
      </c>
      <c r="EE103" t="n">
        <v>2854</v>
      </c>
      <c r="EF103" t="b">
        <v>1</v>
      </c>
      <c r="EG103" t="n">
        <v>98.7</v>
      </c>
      <c r="EH103" t="n">
        <v>40.7</v>
      </c>
      <c r="EI103" t="n">
        <v>28</v>
      </c>
      <c r="EJ103" t="n">
        <v>26.7</v>
      </c>
      <c r="EK103" t="n">
        <v>17.2</v>
      </c>
      <c r="EL103" t="n">
        <v>181.1</v>
      </c>
      <c r="EM103" t="n">
        <v>150.1</v>
      </c>
      <c r="EN103" t="n">
        <v>3714.1</v>
      </c>
      <c r="EO103" t="n">
        <v>144.3</v>
      </c>
      <c r="EP103" t="n">
        <v>14.7</v>
      </c>
    </row>
    <row r="104">
      <c r="A104" t="inlineStr">
        <is>
          <t>Diogo Dalot</t>
        </is>
      </c>
      <c r="B104" t="inlineStr">
        <is>
          <t>MUN</t>
        </is>
      </c>
      <c r="C104" t="inlineStr">
        <is>
          <t>DEF</t>
        </is>
      </c>
      <c r="D104" t="inlineStr">
        <is>
          <t>DEF</t>
        </is>
      </c>
      <c r="E104" t="n">
        <v>5</v>
      </c>
      <c r="F104" t="b">
        <v>1</v>
      </c>
      <c r="G104" t="b">
        <v>1</v>
      </c>
      <c r="H104" t="n">
        <v>27.4</v>
      </c>
      <c r="I104" t="inlineStr">
        <is>
          <t>a</t>
        </is>
      </c>
      <c r="L104" t="inlineStr">
        <is>
          <t>p216051</t>
        </is>
      </c>
      <c r="M104" t="n">
        <v>417</v>
      </c>
      <c r="Q104" t="n">
        <v>2609</v>
      </c>
      <c r="R104" t="n">
        <v>34</v>
      </c>
      <c r="S104" t="n">
        <v>29</v>
      </c>
      <c r="T104" t="n">
        <v>28.989</v>
      </c>
      <c r="U104" t="n">
        <v>76.7</v>
      </c>
      <c r="V104" t="n">
        <v>111</v>
      </c>
      <c r="W104" t="n">
        <v>3.829</v>
      </c>
      <c r="X104" t="n">
        <v>1</v>
      </c>
      <c r="Y104" t="n">
        <v>6</v>
      </c>
      <c r="Z104" t="n">
        <v>3</v>
      </c>
      <c r="AA104" t="n">
        <v>7</v>
      </c>
      <c r="AB104" t="n">
        <v>40</v>
      </c>
      <c r="AC104" t="n">
        <v>9</v>
      </c>
      <c r="AD104" t="n">
        <v>10</v>
      </c>
      <c r="AE104" t="n">
        <v>1</v>
      </c>
      <c r="AF104" t="n">
        <v>414</v>
      </c>
      <c r="AG104" t="n">
        <v>388</v>
      </c>
      <c r="AH104" t="n">
        <v>-26</v>
      </c>
      <c r="AI104" t="n">
        <v>112</v>
      </c>
      <c r="AJ104" t="n">
        <v>0.081</v>
      </c>
      <c r="AK104" t="n">
        <v>0.08799999999999999</v>
      </c>
      <c r="AL104" t="n">
        <v>180</v>
      </c>
      <c r="AM104" t="n">
        <v>6.209</v>
      </c>
      <c r="AN104" t="n">
        <v>3</v>
      </c>
      <c r="AO104" t="n">
        <v>6</v>
      </c>
      <c r="AP104" t="n">
        <v>0.103</v>
      </c>
      <c r="AQ104" t="n">
        <v>0.103</v>
      </c>
      <c r="AR104" t="n">
        <v>0.06900000000000001</v>
      </c>
      <c r="AS104" t="n">
        <v>0.763</v>
      </c>
      <c r="AT104" t="n">
        <v>0.824</v>
      </c>
      <c r="AU104" t="n">
        <v>23</v>
      </c>
      <c r="AV104" t="n">
        <v>3</v>
      </c>
      <c r="AW104" t="n">
        <v>3.74</v>
      </c>
      <c r="AX104" t="n">
        <v>15</v>
      </c>
      <c r="AY104" t="n">
        <v>1.93</v>
      </c>
      <c r="AZ104" t="n">
        <v>2.195</v>
      </c>
      <c r="BA104" t="n">
        <v>2.062</v>
      </c>
      <c r="BB104" t="n">
        <v>2.195</v>
      </c>
      <c r="BC104" t="n">
        <v>0.067</v>
      </c>
      <c r="BD104" t="n">
        <v>0.076</v>
      </c>
      <c r="BE104" t="n">
        <v>0.07099999999999999</v>
      </c>
      <c r="BF104" t="n">
        <v>0.8</v>
      </c>
      <c r="BG104" t="n">
        <v>0.028</v>
      </c>
      <c r="BH104" t="n">
        <v>0.791</v>
      </c>
      <c r="BI104" t="n">
        <v>8.050000000000001</v>
      </c>
      <c r="BJ104" t="n">
        <v>1.527</v>
      </c>
      <c r="BK104" t="n">
        <v>0.053</v>
      </c>
      <c r="BL104" t="n">
        <v>-1.062</v>
      </c>
      <c r="BM104" t="n">
        <v>-1.13</v>
      </c>
      <c r="BN104" t="n">
        <v>0.2</v>
      </c>
      <c r="BO104" t="n">
        <v>-0.265</v>
      </c>
      <c r="BP104" t="n">
        <v>24</v>
      </c>
      <c r="BQ104" t="n">
        <v>6</v>
      </c>
      <c r="BR104" t="n">
        <v>4</v>
      </c>
      <c r="BS104" t="n">
        <v>47</v>
      </c>
      <c r="BT104" t="n">
        <v>1.621</v>
      </c>
      <c r="BW104" t="n">
        <v>2.57</v>
      </c>
      <c r="BX104" t="n">
        <v>3.506</v>
      </c>
      <c r="BY104" t="n">
        <v>3.038</v>
      </c>
      <c r="BZ104" t="n">
        <v>0.105</v>
      </c>
      <c r="CA104" t="n">
        <v>5.1</v>
      </c>
      <c r="CB104" t="n">
        <v>0.176</v>
      </c>
      <c r="CC104" t="n">
        <v>30</v>
      </c>
      <c r="CD104" t="n">
        <v>5</v>
      </c>
      <c r="CE104" t="n">
        <v>29</v>
      </c>
      <c r="CF104" t="n">
        <v>17</v>
      </c>
      <c r="CG104" t="n">
        <v>3</v>
      </c>
      <c r="CI104" t="n">
        <v>13.055</v>
      </c>
      <c r="CJ104" t="n">
        <v>9.667</v>
      </c>
      <c r="CK104" t="n">
        <v>127</v>
      </c>
      <c r="CL104" t="n">
        <v>135</v>
      </c>
      <c r="CM104" t="n">
        <v>53</v>
      </c>
      <c r="CN104" t="n">
        <v>30</v>
      </c>
      <c r="CO104" t="n">
        <v>27</v>
      </c>
      <c r="CP104" t="n">
        <v>92</v>
      </c>
      <c r="CQ104" t="n">
        <v>9</v>
      </c>
      <c r="CR104" t="n">
        <v>135</v>
      </c>
      <c r="CS104" t="n">
        <v>52</v>
      </c>
      <c r="CT104" t="n">
        <v>0.3</v>
      </c>
      <c r="CU104" t="n">
        <v>1</v>
      </c>
      <c r="CV104" t="n">
        <v>2</v>
      </c>
      <c r="CW104" t="n">
        <v>36.57</v>
      </c>
      <c r="CX104" t="n">
        <v>1.262</v>
      </c>
      <c r="CY104" t="n">
        <v>0</v>
      </c>
      <c r="DB104" t="n">
        <v>0</v>
      </c>
      <c r="DE104" t="n">
        <v>7.13</v>
      </c>
      <c r="DF104" t="n">
        <v>5</v>
      </c>
      <c r="DG104" t="n">
        <v>0</v>
      </c>
      <c r="DH104" t="n">
        <v>25</v>
      </c>
      <c r="DI104" t="n">
        <v>14</v>
      </c>
      <c r="DL104" t="n">
        <v>18</v>
      </c>
      <c r="DM104" t="n">
        <v>16</v>
      </c>
      <c r="DN104" t="n">
        <v>4</v>
      </c>
      <c r="DO104" t="n">
        <v>3.1</v>
      </c>
      <c r="DP104" t="n">
        <v>115.95</v>
      </c>
      <c r="DQ104" t="n">
        <v>58.21</v>
      </c>
      <c r="DR104" t="n">
        <v>116.42</v>
      </c>
      <c r="DS104" t="n">
        <v>-0.47</v>
      </c>
      <c r="DT104" t="n">
        <v>2594</v>
      </c>
      <c r="DU104" t="n">
        <v>68.25</v>
      </c>
      <c r="DV104" t="inlineStr">
        <is>
          <t>flat</t>
        </is>
      </c>
      <c r="DW104" t="n">
        <v>92.51000000000001</v>
      </c>
      <c r="DX104" t="n">
        <v>98.04000000000001</v>
      </c>
      <c r="DY104" t="n">
        <v>90.3</v>
      </c>
      <c r="DZ104" t="n">
        <v>-2.21</v>
      </c>
      <c r="EA104" t="n">
        <v>974</v>
      </c>
      <c r="EB104" t="n">
        <v>18.64</v>
      </c>
      <c r="EC104" t="n">
        <v>2.29</v>
      </c>
      <c r="ED104" t="n">
        <v>120</v>
      </c>
      <c r="EE104" t="n">
        <v>1765</v>
      </c>
      <c r="EF104" t="b">
        <v>1</v>
      </c>
      <c r="EG104" t="n">
        <v>39.4</v>
      </c>
      <c r="EH104" t="n">
        <v>8</v>
      </c>
      <c r="EI104" t="n">
        <v>239</v>
      </c>
      <c r="EJ104" t="n">
        <v>108.7</v>
      </c>
      <c r="EK104" t="n">
        <v>55.5</v>
      </c>
      <c r="EL104" t="n">
        <v>90</v>
      </c>
      <c r="EM104" t="n">
        <v>1265.1</v>
      </c>
      <c r="EN104" t="n">
        <v>858.8</v>
      </c>
      <c r="EO104" t="n">
        <v>511.5</v>
      </c>
      <c r="EP104" t="n">
        <v>23.5</v>
      </c>
    </row>
    <row r="105">
      <c r="A105" t="inlineStr">
        <is>
          <t>Trai Hume</t>
        </is>
      </c>
      <c r="B105" t="inlineStr">
        <is>
          <t>SUN</t>
        </is>
      </c>
      <c r="C105" t="inlineStr">
        <is>
          <t>DEF</t>
        </is>
      </c>
      <c r="D105" t="inlineStr">
        <is>
          <t>DEF</t>
        </is>
      </c>
      <c r="E105" t="n">
        <v>4.5</v>
      </c>
      <c r="F105" t="b">
        <v>1</v>
      </c>
      <c r="G105" t="b">
        <v>1</v>
      </c>
      <c r="H105" t="n">
        <v>24.4</v>
      </c>
      <c r="I105" t="inlineStr">
        <is>
          <t>a</t>
        </is>
      </c>
      <c r="L105" t="inlineStr">
        <is>
          <t>p487676</t>
        </is>
      </c>
      <c r="M105" t="n">
        <v>534</v>
      </c>
      <c r="O105" t="n">
        <v>3</v>
      </c>
      <c r="Q105" t="n">
        <v>3032</v>
      </c>
      <c r="R105" t="n">
        <v>38</v>
      </c>
      <c r="S105" t="n">
        <v>34</v>
      </c>
      <c r="T105" t="n">
        <v>33.689</v>
      </c>
      <c r="U105" t="n">
        <v>79.8</v>
      </c>
      <c r="V105" t="n">
        <v>110</v>
      </c>
      <c r="W105" t="n">
        <v>3.265</v>
      </c>
      <c r="X105" t="n">
        <v>2</v>
      </c>
      <c r="Y105" t="n">
        <v>1</v>
      </c>
      <c r="Z105" t="n">
        <v>1</v>
      </c>
      <c r="AA105" t="n">
        <v>9</v>
      </c>
      <c r="AB105" t="n">
        <v>42</v>
      </c>
      <c r="AC105" t="n">
        <v>6</v>
      </c>
      <c r="AD105" t="n">
        <v>6</v>
      </c>
      <c r="AE105" t="n">
        <v>0</v>
      </c>
      <c r="AF105" t="n">
        <v>383</v>
      </c>
      <c r="AG105" t="n">
        <v>356</v>
      </c>
      <c r="AH105" t="n">
        <v>-27</v>
      </c>
      <c r="AI105" t="n">
        <v>110</v>
      </c>
      <c r="AJ105" t="n">
        <v>0.055</v>
      </c>
      <c r="AK105" t="n">
        <v>0.058</v>
      </c>
      <c r="AL105" t="n">
        <v>203</v>
      </c>
      <c r="AM105" t="n">
        <v>6.026</v>
      </c>
      <c r="AN105" t="n">
        <v>2</v>
      </c>
      <c r="AO105" t="n">
        <v>4</v>
      </c>
      <c r="AP105" t="n">
        <v>0.059</v>
      </c>
      <c r="AQ105" t="n">
        <v>0.059</v>
      </c>
      <c r="AR105" t="n">
        <v>0.029</v>
      </c>
      <c r="AS105" t="n">
        <v>0.895</v>
      </c>
      <c r="AT105" t="n">
        <v>0.842</v>
      </c>
      <c r="AU105" t="n">
        <v>26</v>
      </c>
      <c r="AV105" t="n">
        <v>2</v>
      </c>
      <c r="AW105" t="n">
        <v>3.07</v>
      </c>
      <c r="AX105" t="n">
        <v>11</v>
      </c>
      <c r="AY105" t="n">
        <v>2.27</v>
      </c>
      <c r="AZ105" t="n">
        <v>2.708</v>
      </c>
      <c r="BA105" t="n">
        <v>2.489</v>
      </c>
      <c r="BB105" t="n">
        <v>2.708</v>
      </c>
      <c r="BC105" t="n">
        <v>0.067</v>
      </c>
      <c r="BD105" t="n">
        <v>0.08</v>
      </c>
      <c r="BE105" t="n">
        <v>0.074</v>
      </c>
      <c r="BF105" t="n">
        <v>2.2</v>
      </c>
      <c r="BG105" t="n">
        <v>0.065</v>
      </c>
      <c r="BH105" t="n">
        <v>0.993</v>
      </c>
      <c r="BI105" t="n">
        <v>2.27</v>
      </c>
      <c r="BJ105" t="n">
        <v>2.255</v>
      </c>
      <c r="BK105" t="n">
        <v>0.067</v>
      </c>
      <c r="BL105" t="n">
        <v>-0.489</v>
      </c>
      <c r="BM105" t="n">
        <v>-0.07000000000000001</v>
      </c>
      <c r="BN105" t="n">
        <v>-0.2</v>
      </c>
      <c r="BO105" t="n">
        <v>-0.438</v>
      </c>
      <c r="BP105" t="n">
        <v>34</v>
      </c>
      <c r="BQ105" t="n">
        <v>7</v>
      </c>
      <c r="BR105" t="n">
        <v>4</v>
      </c>
      <c r="BS105" t="n">
        <v>47</v>
      </c>
      <c r="BT105" t="n">
        <v>1.395</v>
      </c>
      <c r="BW105" t="n">
        <v>2.05</v>
      </c>
      <c r="BX105" t="n">
        <v>2.084</v>
      </c>
      <c r="BY105" t="n">
        <v>2.067</v>
      </c>
      <c r="BZ105" t="n">
        <v>0.061</v>
      </c>
      <c r="CA105" t="n">
        <v>4.556</v>
      </c>
      <c r="CB105" t="n">
        <v>0.135</v>
      </c>
      <c r="CC105" t="n">
        <v>27</v>
      </c>
      <c r="CD105" t="n">
        <v>1</v>
      </c>
      <c r="CE105" t="n">
        <v>29</v>
      </c>
      <c r="CF105" t="n">
        <v>13</v>
      </c>
      <c r="CH105" t="n">
        <v>22</v>
      </c>
      <c r="CI105" t="n">
        <v>8.23</v>
      </c>
      <c r="CJ105" t="n">
        <v>4.202</v>
      </c>
      <c r="CK105" t="n">
        <v>135</v>
      </c>
      <c r="CL105" t="n">
        <v>102</v>
      </c>
      <c r="CM105" t="n">
        <v>68</v>
      </c>
      <c r="CN105" t="n">
        <v>47</v>
      </c>
      <c r="CO105" t="n">
        <v>25</v>
      </c>
      <c r="CP105" t="n">
        <v>99</v>
      </c>
      <c r="CQ105" t="n">
        <v>12</v>
      </c>
      <c r="CR105" t="n">
        <v>175</v>
      </c>
      <c r="CS105" t="n">
        <v>65</v>
      </c>
      <c r="CT105" t="n">
        <v>0.4</v>
      </c>
      <c r="CV105" t="n">
        <v>3</v>
      </c>
      <c r="CW105" t="n">
        <v>47.27</v>
      </c>
      <c r="CX105" t="n">
        <v>1.403</v>
      </c>
      <c r="CY105" t="n">
        <v>0</v>
      </c>
      <c r="DB105" t="n">
        <v>0</v>
      </c>
      <c r="DE105" t="n">
        <v>6.83</v>
      </c>
      <c r="DF105" t="n">
        <v>9</v>
      </c>
      <c r="DG105" t="n">
        <v>0</v>
      </c>
      <c r="DH105" t="n">
        <v>31</v>
      </c>
      <c r="DI105" t="n">
        <v>39</v>
      </c>
      <c r="DJ105" t="n">
        <v>0</v>
      </c>
      <c r="DK105" t="n">
        <v>1</v>
      </c>
      <c r="DL105" t="n">
        <v>5</v>
      </c>
      <c r="DM105" t="n">
        <v>9</v>
      </c>
      <c r="DN105" t="n">
        <v>1</v>
      </c>
      <c r="DO105" t="n">
        <v>5.1</v>
      </c>
      <c r="DP105" t="n">
        <v>104.6</v>
      </c>
      <c r="DQ105" t="n">
        <v>52.3</v>
      </c>
      <c r="DR105" t="n">
        <v>104.6</v>
      </c>
      <c r="DS105" t="n">
        <v>0</v>
      </c>
      <c r="DT105" t="n">
        <v>2668</v>
      </c>
      <c r="DU105" t="n">
        <v>70.2</v>
      </c>
      <c r="DV105" t="inlineStr">
        <is>
          <t>flat</t>
        </is>
      </c>
      <c r="DW105" t="n">
        <v>95.63</v>
      </c>
      <c r="DX105" t="n">
        <v>97.95999999999999</v>
      </c>
      <c r="DY105" t="n">
        <v>95.91</v>
      </c>
      <c r="DZ105" t="n">
        <v>0.28</v>
      </c>
      <c r="EA105" t="n">
        <v>235</v>
      </c>
      <c r="EB105" t="n">
        <v>18.74</v>
      </c>
      <c r="EC105" t="n">
        <v>24</v>
      </c>
      <c r="ED105" t="n">
        <v>119.43</v>
      </c>
      <c r="EE105" t="n">
        <v>320</v>
      </c>
      <c r="EF105" t="b">
        <v>1</v>
      </c>
      <c r="EG105" t="n">
        <v>7.2</v>
      </c>
      <c r="EH105" t="n">
        <v>8.800000000000001</v>
      </c>
      <c r="EI105" t="n">
        <v>398</v>
      </c>
      <c r="EJ105" t="n">
        <v>89.2</v>
      </c>
      <c r="EK105" t="n">
        <v>64.5</v>
      </c>
      <c r="EL105" t="n">
        <v>104.6</v>
      </c>
      <c r="EM105" t="n">
        <v>1218.2</v>
      </c>
      <c r="EN105" t="n">
        <v>1466.8</v>
      </c>
      <c r="EO105" t="n">
        <v>665.5</v>
      </c>
      <c r="EP105" t="n">
        <v>27.6</v>
      </c>
    </row>
    <row r="106">
      <c r="A106" t="inlineStr">
        <is>
          <t>James Hill</t>
        </is>
      </c>
      <c r="B106" t="inlineStr">
        <is>
          <t>BOU</t>
        </is>
      </c>
      <c r="C106" t="inlineStr">
        <is>
          <t>DEF</t>
        </is>
      </c>
      <c r="D106" t="inlineStr">
        <is>
          <t>DEF</t>
        </is>
      </c>
      <c r="E106" t="n">
        <v>5.5</v>
      </c>
      <c r="F106" t="b">
        <v>1</v>
      </c>
      <c r="G106" t="b">
        <v>1</v>
      </c>
      <c r="H106" t="n">
        <v>24.6</v>
      </c>
      <c r="I106" t="inlineStr">
        <is>
          <t>a</t>
        </is>
      </c>
      <c r="L106" t="inlineStr">
        <is>
          <t>p463981</t>
        </is>
      </c>
      <c r="M106" t="n">
        <v>60</v>
      </c>
      <c r="Q106" t="n">
        <v>2102</v>
      </c>
      <c r="R106" t="n">
        <v>29</v>
      </c>
      <c r="S106" t="n">
        <v>22</v>
      </c>
      <c r="T106" t="n">
        <v>23.356</v>
      </c>
      <c r="U106" t="n">
        <v>72.5</v>
      </c>
      <c r="V106" t="n">
        <v>110</v>
      </c>
      <c r="W106" t="n">
        <v>4.71</v>
      </c>
      <c r="X106" t="n">
        <v>0</v>
      </c>
      <c r="Y106" t="n">
        <v>3</v>
      </c>
      <c r="Z106" t="n">
        <v>3</v>
      </c>
      <c r="AA106" t="n">
        <v>8</v>
      </c>
      <c r="AB106" t="n">
        <v>24</v>
      </c>
      <c r="AC106" t="n">
        <v>4</v>
      </c>
      <c r="AD106" t="n">
        <v>3</v>
      </c>
      <c r="AE106" t="n">
        <v>-1</v>
      </c>
      <c r="AF106" t="n">
        <v>386</v>
      </c>
      <c r="AG106" t="n">
        <v>346</v>
      </c>
      <c r="AH106" t="n">
        <v>-40</v>
      </c>
      <c r="AI106" t="n">
        <v>109</v>
      </c>
      <c r="AJ106" t="n">
        <v>0.036</v>
      </c>
      <c r="AK106" t="n">
        <v>0.038</v>
      </c>
      <c r="AL106" t="n">
        <v>260</v>
      </c>
      <c r="AM106" t="n">
        <v>11.132</v>
      </c>
      <c r="AN106" t="n">
        <v>14</v>
      </c>
      <c r="AO106" t="n">
        <v>28</v>
      </c>
      <c r="AP106" t="n">
        <v>0.636</v>
      </c>
      <c r="AQ106" t="n">
        <v>0.636</v>
      </c>
      <c r="AR106" t="n">
        <v>0.409</v>
      </c>
      <c r="AS106" t="n">
        <v>0.579</v>
      </c>
      <c r="AT106" t="n">
        <v>0.793</v>
      </c>
      <c r="AU106" t="n">
        <v>12</v>
      </c>
      <c r="AV106" t="n">
        <v>1</v>
      </c>
      <c r="AW106" t="n">
        <v>3.03</v>
      </c>
      <c r="AX106" t="n">
        <v>10</v>
      </c>
      <c r="AY106" t="n">
        <v>0.89</v>
      </c>
      <c r="AZ106" t="n">
        <v>0.95</v>
      </c>
      <c r="BA106" t="n">
        <v>0.92</v>
      </c>
      <c r="BB106" t="n">
        <v>0.95</v>
      </c>
      <c r="BC106" t="n">
        <v>0.038</v>
      </c>
      <c r="BD106" t="n">
        <v>0.041</v>
      </c>
      <c r="BE106" t="n">
        <v>0.039</v>
      </c>
      <c r="BF106" t="n">
        <v>0.3</v>
      </c>
      <c r="BG106" t="n">
        <v>0.013</v>
      </c>
      <c r="BH106" t="n">
        <v>0.904</v>
      </c>
      <c r="BI106" t="n">
        <v>1.18</v>
      </c>
      <c r="BJ106" t="n">
        <v>0.805</v>
      </c>
      <c r="BK106" t="n">
        <v>0.034</v>
      </c>
      <c r="BL106" t="n">
        <v>-0.92</v>
      </c>
      <c r="BM106" t="n">
        <v>-0.59</v>
      </c>
      <c r="BN106" t="n">
        <v>-0.3</v>
      </c>
      <c r="BO106" t="n">
        <v>-0.06</v>
      </c>
      <c r="BP106" t="n">
        <v>12</v>
      </c>
      <c r="BQ106" t="n">
        <v>2</v>
      </c>
      <c r="BR106" t="n">
        <v>1</v>
      </c>
      <c r="BS106" t="n">
        <v>22</v>
      </c>
      <c r="BT106" t="n">
        <v>0.9419999999999999</v>
      </c>
      <c r="BW106" t="n">
        <v>1.16</v>
      </c>
      <c r="BX106" t="n">
        <v>1.429</v>
      </c>
      <c r="BY106" t="n">
        <v>1.295</v>
      </c>
      <c r="BZ106" t="n">
        <v>0.055</v>
      </c>
      <c r="CA106" t="n">
        <v>2.215</v>
      </c>
      <c r="CB106" t="n">
        <v>0.095</v>
      </c>
      <c r="CC106" t="n">
        <v>13</v>
      </c>
      <c r="CD106" t="n">
        <v>2</v>
      </c>
      <c r="CE106" t="n">
        <v>13</v>
      </c>
      <c r="CF106" t="n">
        <v>2</v>
      </c>
      <c r="CG106" t="n">
        <v>2</v>
      </c>
      <c r="CI106" t="n">
        <v>7.56</v>
      </c>
      <c r="CJ106" t="n">
        <v>7.176</v>
      </c>
      <c r="CK106" t="n">
        <v>221</v>
      </c>
      <c r="CL106" t="n">
        <v>74</v>
      </c>
      <c r="CM106" t="n">
        <v>39</v>
      </c>
      <c r="CN106" t="n">
        <v>20</v>
      </c>
      <c r="CO106" t="n">
        <v>39</v>
      </c>
      <c r="CP106" t="n">
        <v>168</v>
      </c>
      <c r="CQ106" t="n">
        <v>15</v>
      </c>
      <c r="CR106" t="n">
        <v>166</v>
      </c>
      <c r="CS106" t="n">
        <v>114</v>
      </c>
      <c r="CT106" t="n">
        <v>0</v>
      </c>
      <c r="CV106" t="n">
        <v>2</v>
      </c>
      <c r="CW106" t="n">
        <v>33.42</v>
      </c>
      <c r="CX106" t="n">
        <v>1.431</v>
      </c>
      <c r="CY106" t="n">
        <v>0</v>
      </c>
      <c r="DB106" t="n">
        <v>0</v>
      </c>
      <c r="DE106" t="n">
        <v>7.18</v>
      </c>
      <c r="DF106" t="n">
        <v>5</v>
      </c>
      <c r="DG106" t="n">
        <v>0</v>
      </c>
      <c r="DH106" t="n">
        <v>17</v>
      </c>
      <c r="DI106" t="n">
        <v>13</v>
      </c>
      <c r="DK106" t="n">
        <v>0</v>
      </c>
      <c r="DL106" t="n">
        <v>2</v>
      </c>
      <c r="DM106" t="n">
        <v>5</v>
      </c>
      <c r="DN106" t="n">
        <v>2</v>
      </c>
      <c r="DO106" t="n">
        <v>1.2</v>
      </c>
      <c r="DP106" t="n">
        <v>161.1</v>
      </c>
      <c r="DQ106" t="n">
        <v>80.55</v>
      </c>
      <c r="DR106" t="n">
        <v>161.1</v>
      </c>
      <c r="DS106" t="n">
        <v>0</v>
      </c>
      <c r="DT106" t="n">
        <v>3340</v>
      </c>
      <c r="DU106" t="n">
        <v>87.90000000000001</v>
      </c>
      <c r="DV106" t="inlineStr">
        <is>
          <t>flat</t>
        </is>
      </c>
      <c r="DW106" t="n">
        <v>85.41</v>
      </c>
      <c r="DX106" t="n">
        <v>86.01000000000001</v>
      </c>
      <c r="DY106" t="n">
        <v>86.16</v>
      </c>
      <c r="DZ106" t="n">
        <v>0.75</v>
      </c>
      <c r="EA106" t="n">
        <v>937</v>
      </c>
      <c r="EB106" t="n">
        <v>17.66</v>
      </c>
      <c r="EC106" t="n">
        <v>18</v>
      </c>
      <c r="ED106" t="n">
        <v>120</v>
      </c>
      <c r="EE106" t="n">
        <v>1567</v>
      </c>
      <c r="EF106" t="b">
        <v>1</v>
      </c>
      <c r="EG106" t="n">
        <v>83.59999999999999</v>
      </c>
      <c r="EH106" t="n">
        <v>61.5</v>
      </c>
      <c r="EI106" t="n">
        <v>129</v>
      </c>
      <c r="EJ106" t="n">
        <v>175.2</v>
      </c>
      <c r="EK106" t="n">
        <v>95.5</v>
      </c>
      <c r="EL106" t="n">
        <v>161.7</v>
      </c>
      <c r="EM106" t="n">
        <v>2284.5</v>
      </c>
      <c r="EN106" t="n">
        <v>1623.7</v>
      </c>
      <c r="EO106" t="n">
        <v>949.1</v>
      </c>
      <c r="EP106" t="n">
        <v>19.1</v>
      </c>
    </row>
    <row r="107">
      <c r="A107" t="inlineStr">
        <is>
          <t>Moisés Caicedo</t>
        </is>
      </c>
      <c r="B107" t="inlineStr">
        <is>
          <t>CHE</t>
        </is>
      </c>
      <c r="C107" t="inlineStr">
        <is>
          <t>MID</t>
        </is>
      </c>
      <c r="D107" t="inlineStr">
        <is>
          <t>MID</t>
        </is>
      </c>
      <c r="E107" t="n">
        <v>5.5</v>
      </c>
      <c r="F107" t="b">
        <v>1</v>
      </c>
      <c r="G107" t="b">
        <v>1</v>
      </c>
      <c r="H107" t="n">
        <v>24.8</v>
      </c>
      <c r="I107" t="inlineStr">
        <is>
          <t>a</t>
        </is>
      </c>
      <c r="L107" t="inlineStr">
        <is>
          <t>p486672</t>
        </is>
      </c>
      <c r="M107" t="n">
        <v>159</v>
      </c>
      <c r="Q107" t="n">
        <v>2796</v>
      </c>
      <c r="R107" t="n">
        <v>33</v>
      </c>
      <c r="S107" t="n">
        <v>32</v>
      </c>
      <c r="T107" t="n">
        <v>31.067</v>
      </c>
      <c r="U107" t="n">
        <v>84.7</v>
      </c>
      <c r="V107" t="n">
        <v>110</v>
      </c>
      <c r="W107" t="n">
        <v>3.541</v>
      </c>
      <c r="X107" t="n">
        <v>3</v>
      </c>
      <c r="Y107" t="n">
        <v>1</v>
      </c>
      <c r="Z107" t="n">
        <v>1</v>
      </c>
      <c r="AA107" t="n">
        <v>6</v>
      </c>
      <c r="AB107" t="n">
        <v>47</v>
      </c>
      <c r="AC107" t="n">
        <v>10</v>
      </c>
      <c r="AD107" t="n">
        <v>10</v>
      </c>
      <c r="AE107" t="n">
        <v>0</v>
      </c>
      <c r="AF107" t="n">
        <v>580</v>
      </c>
      <c r="AG107" t="n">
        <v>558</v>
      </c>
      <c r="AH107" t="n">
        <v>-22</v>
      </c>
      <c r="AI107" t="n">
        <v>110</v>
      </c>
      <c r="AJ107" t="n">
        <v>0.091</v>
      </c>
      <c r="AK107" t="n">
        <v>0.1</v>
      </c>
      <c r="AL107" t="n">
        <v>366</v>
      </c>
      <c r="AM107" t="n">
        <v>11.781</v>
      </c>
      <c r="AN107" t="n">
        <v>13</v>
      </c>
      <c r="AO107" t="n">
        <v>26</v>
      </c>
      <c r="AP107" t="n">
        <v>0.406</v>
      </c>
      <c r="AQ107" t="n">
        <v>0.625</v>
      </c>
      <c r="AR107" t="n">
        <v>0.406</v>
      </c>
      <c r="AS107" t="n">
        <v>0.842</v>
      </c>
      <c r="AT107" t="n">
        <v>0.9389999999999999</v>
      </c>
      <c r="AU107" t="n">
        <v>18</v>
      </c>
      <c r="AV107" t="n">
        <v>3</v>
      </c>
      <c r="AW107" t="n">
        <v>2.95</v>
      </c>
      <c r="AX107" t="n">
        <v>12</v>
      </c>
      <c r="AY107" t="n">
        <v>1.45</v>
      </c>
      <c r="AZ107" t="n">
        <v>1.531</v>
      </c>
      <c r="BA107" t="n">
        <v>1.49</v>
      </c>
      <c r="BB107" t="n">
        <v>1.531</v>
      </c>
      <c r="BC107" t="n">
        <v>0.047</v>
      </c>
      <c r="BD107" t="n">
        <v>0.049</v>
      </c>
      <c r="BE107" t="n">
        <v>0.048</v>
      </c>
      <c r="BF107" t="n">
        <v>1.5</v>
      </c>
      <c r="BG107" t="n">
        <v>0.048</v>
      </c>
      <c r="BH107" t="n">
        <v>0.972</v>
      </c>
      <c r="BI107" t="n">
        <v>4.35</v>
      </c>
      <c r="BJ107" t="n">
        <v>1.409</v>
      </c>
      <c r="BK107" t="n">
        <v>0.045</v>
      </c>
      <c r="BL107" t="n">
        <v>1.51</v>
      </c>
      <c r="BM107" t="n">
        <v>0.05</v>
      </c>
      <c r="BN107" t="n">
        <v>1.5</v>
      </c>
      <c r="BO107" t="n">
        <v>-0.081</v>
      </c>
      <c r="BP107" t="n">
        <v>27</v>
      </c>
      <c r="BQ107" t="n">
        <v>7</v>
      </c>
      <c r="BR107" t="n">
        <v>1</v>
      </c>
      <c r="BS107" t="n">
        <v>16</v>
      </c>
      <c r="BT107" t="n">
        <v>0.515</v>
      </c>
      <c r="BW107" t="n">
        <v>2.38</v>
      </c>
      <c r="BX107" t="n">
        <v>2.627</v>
      </c>
      <c r="BY107" t="n">
        <v>2.503</v>
      </c>
      <c r="BZ107" t="n">
        <v>0.081</v>
      </c>
      <c r="CA107" t="n">
        <v>3.994</v>
      </c>
      <c r="CB107" t="n">
        <v>0.129</v>
      </c>
      <c r="CC107" t="n">
        <v>18</v>
      </c>
      <c r="CD107" t="n">
        <v>4</v>
      </c>
      <c r="CE107" t="n">
        <v>18</v>
      </c>
      <c r="CF107" t="n">
        <v>2</v>
      </c>
      <c r="CG107" t="n">
        <v>3</v>
      </c>
      <c r="CH107" t="n">
        <v>0</v>
      </c>
      <c r="CI107" t="n">
        <v>17.209</v>
      </c>
      <c r="CJ107" t="n">
        <v>15.36</v>
      </c>
      <c r="CK107" t="n">
        <v>102</v>
      </c>
      <c r="CL107" t="n">
        <v>177</v>
      </c>
      <c r="CM107" t="n">
        <v>87</v>
      </c>
      <c r="CN107" t="n">
        <v>46</v>
      </c>
      <c r="CO107" t="n">
        <v>59</v>
      </c>
      <c r="CP107" t="n">
        <v>28</v>
      </c>
      <c r="CQ107" t="n">
        <v>15</v>
      </c>
      <c r="CR107" t="n">
        <v>172</v>
      </c>
      <c r="CS107" t="n">
        <v>15</v>
      </c>
      <c r="CT107" t="n">
        <v>0.3</v>
      </c>
      <c r="CU107" t="n">
        <v>1</v>
      </c>
      <c r="CV107" t="n">
        <v>3</v>
      </c>
      <c r="CW107" t="n">
        <v>42.54</v>
      </c>
      <c r="CX107" t="n">
        <v>1.369</v>
      </c>
      <c r="CY107" t="n">
        <v>0</v>
      </c>
      <c r="DB107" t="n">
        <v>0</v>
      </c>
      <c r="DE107" t="n">
        <v>7.1</v>
      </c>
      <c r="DF107" t="n">
        <v>11</v>
      </c>
      <c r="DG107" t="n">
        <v>1</v>
      </c>
      <c r="DH107" t="n">
        <v>54</v>
      </c>
      <c r="DI107" t="n">
        <v>55</v>
      </c>
      <c r="DK107" t="n">
        <v>1</v>
      </c>
      <c r="DL107" t="n">
        <v>15</v>
      </c>
      <c r="DM107" t="n">
        <v>19</v>
      </c>
      <c r="DO107" t="n">
        <v>4.1</v>
      </c>
      <c r="DP107" t="n">
        <v>127.43</v>
      </c>
      <c r="DQ107" t="n">
        <v>63.73</v>
      </c>
      <c r="DR107" t="n">
        <v>127.46</v>
      </c>
      <c r="DS107" t="n">
        <v>-0.03</v>
      </c>
      <c r="DT107" t="n">
        <v>3089</v>
      </c>
      <c r="DU107" t="n">
        <v>81.3</v>
      </c>
      <c r="DV107" t="inlineStr">
        <is>
          <t>flat</t>
        </is>
      </c>
      <c r="DW107" t="n">
        <v>68.37</v>
      </c>
      <c r="DX107" t="n">
        <v>72.77</v>
      </c>
      <c r="DY107" t="n">
        <v>67.20999999999999</v>
      </c>
      <c r="DZ107" t="n">
        <v>-1.16</v>
      </c>
      <c r="EA107" t="n">
        <v>677</v>
      </c>
      <c r="EB107" t="n">
        <v>24.96</v>
      </c>
      <c r="EC107" t="n">
        <v>6</v>
      </c>
      <c r="ED107" t="n">
        <v>120</v>
      </c>
      <c r="EE107" t="n">
        <v>1300</v>
      </c>
      <c r="EF107" t="b">
        <v>1</v>
      </c>
      <c r="EG107" t="n">
        <v>28.9</v>
      </c>
      <c r="EH107" t="n">
        <v>7.7</v>
      </c>
      <c r="EI107" t="n">
        <v>130</v>
      </c>
      <c r="EJ107" t="n">
        <v>103.6</v>
      </c>
      <c r="EK107" t="n">
        <v>174.8</v>
      </c>
      <c r="EL107" t="n">
        <v>155.3</v>
      </c>
      <c r="EM107" t="n">
        <v>1875.9</v>
      </c>
      <c r="EN107" t="n">
        <v>1116.9</v>
      </c>
      <c r="EO107" t="n">
        <v>700.1</v>
      </c>
      <c r="EP107" t="n">
        <v>25.4</v>
      </c>
    </row>
    <row r="108">
      <c r="A108" t="inlineStr">
        <is>
          <t>Senne Lammens</t>
        </is>
      </c>
      <c r="B108" t="inlineStr">
        <is>
          <t>MUN</t>
        </is>
      </c>
      <c r="C108" t="inlineStr">
        <is>
          <t>GKP</t>
        </is>
      </c>
      <c r="D108" t="inlineStr">
        <is>
          <t>GKP</t>
        </is>
      </c>
      <c r="E108" t="n">
        <v>5</v>
      </c>
      <c r="F108" t="b">
        <v>1</v>
      </c>
      <c r="G108" t="b">
        <v>1</v>
      </c>
      <c r="H108" t="n">
        <v>24.1</v>
      </c>
      <c r="I108" t="inlineStr">
        <is>
          <t>a</t>
        </is>
      </c>
      <c r="L108" t="inlineStr">
        <is>
          <t>p465247</t>
        </is>
      </c>
      <c r="M108" t="n">
        <v>412</v>
      </c>
      <c r="Q108" t="n">
        <v>2880</v>
      </c>
      <c r="R108" t="n">
        <v>32</v>
      </c>
      <c r="S108" t="n">
        <v>32</v>
      </c>
      <c r="T108" t="n">
        <v>32</v>
      </c>
      <c r="U108" t="n">
        <v>90</v>
      </c>
      <c r="V108" t="n">
        <v>109</v>
      </c>
      <c r="W108" t="n">
        <v>3.406</v>
      </c>
      <c r="X108" t="n">
        <v>0</v>
      </c>
      <c r="Y108" t="n">
        <v>0</v>
      </c>
      <c r="AA108" t="n">
        <v>8</v>
      </c>
      <c r="AB108" t="n">
        <v>39</v>
      </c>
      <c r="AC108" t="n">
        <v>11</v>
      </c>
      <c r="AD108" t="n">
        <v>11</v>
      </c>
      <c r="AE108" t="n">
        <v>0</v>
      </c>
      <c r="AF108" t="n">
        <v>413</v>
      </c>
      <c r="AG108" t="n">
        <v>409</v>
      </c>
      <c r="AH108" t="n">
        <v>-4</v>
      </c>
      <c r="AI108" t="n">
        <v>109</v>
      </c>
      <c r="AJ108" t="n">
        <v>0.101</v>
      </c>
      <c r="AK108" t="n">
        <v>0.112</v>
      </c>
      <c r="AL108" t="n">
        <v>0</v>
      </c>
      <c r="AM108" t="n">
        <v>0</v>
      </c>
      <c r="AN108" t="n">
        <v>0</v>
      </c>
      <c r="AO108" t="n">
        <v>0</v>
      </c>
      <c r="AP108" t="n">
        <v>0</v>
      </c>
      <c r="AQ108" t="n">
        <v>0</v>
      </c>
      <c r="AR108" t="n">
        <v>0</v>
      </c>
      <c r="AS108" t="n">
        <v>0.842</v>
      </c>
      <c r="AT108" t="n">
        <v>1</v>
      </c>
      <c r="AU108" t="n">
        <v>21</v>
      </c>
      <c r="AV108" t="n">
        <v>1</v>
      </c>
      <c r="AW108" t="n">
        <v>2.9</v>
      </c>
      <c r="AX108" t="n">
        <v>10</v>
      </c>
      <c r="AY108" t="n">
        <v>0</v>
      </c>
      <c r="AZ108" t="n">
        <v>0</v>
      </c>
      <c r="BA108" t="n">
        <v>0</v>
      </c>
      <c r="BB108" t="n">
        <v>0</v>
      </c>
      <c r="BC108" t="n">
        <v>0</v>
      </c>
      <c r="BD108" t="n">
        <v>0</v>
      </c>
      <c r="BE108" t="n">
        <v>0</v>
      </c>
      <c r="BH108" t="n">
        <v>1</v>
      </c>
      <c r="BI108" t="n">
        <v>0</v>
      </c>
      <c r="BJ108" t="n">
        <v>0</v>
      </c>
      <c r="BK108" t="n">
        <v>0</v>
      </c>
      <c r="BL108" t="n">
        <v>0</v>
      </c>
      <c r="BO108" t="n">
        <v>0</v>
      </c>
      <c r="BS108" t="n">
        <v>1</v>
      </c>
      <c r="BT108" t="n">
        <v>0.031</v>
      </c>
      <c r="BW108" t="n">
        <v>0</v>
      </c>
      <c r="BX108" t="n">
        <v>0</v>
      </c>
      <c r="BY108" t="n">
        <v>0</v>
      </c>
      <c r="BZ108" t="n">
        <v>0</v>
      </c>
      <c r="CA108" t="n">
        <v>0</v>
      </c>
      <c r="CB108" t="n">
        <v>0</v>
      </c>
      <c r="CC108" t="n">
        <v>0</v>
      </c>
      <c r="CI108" t="n">
        <v>5</v>
      </c>
      <c r="CJ108" t="n">
        <v>5</v>
      </c>
      <c r="CK108" t="n">
        <v>26</v>
      </c>
      <c r="CL108" t="n">
        <v>224</v>
      </c>
      <c r="CM108" t="n">
        <v>1</v>
      </c>
      <c r="CN108" t="n">
        <v>1</v>
      </c>
      <c r="CP108" t="n">
        <v>26</v>
      </c>
      <c r="CR108" t="n">
        <v>11</v>
      </c>
      <c r="CS108" t="n">
        <v>7</v>
      </c>
      <c r="CU108" t="n">
        <v>1</v>
      </c>
      <c r="CW108" t="n">
        <v>39.25</v>
      </c>
      <c r="CX108" t="n">
        <v>1.227</v>
      </c>
      <c r="CY108" t="n">
        <v>79</v>
      </c>
      <c r="CZ108" t="n">
        <v>66.90000000000001</v>
      </c>
      <c r="DA108" t="n">
        <v>4.4</v>
      </c>
      <c r="DB108" t="n">
        <v>0</v>
      </c>
      <c r="DC108" t="n">
        <v>33</v>
      </c>
      <c r="DD108" t="n">
        <v>14</v>
      </c>
      <c r="DE108" t="n">
        <v>7.11</v>
      </c>
      <c r="DF108" t="n">
        <v>0</v>
      </c>
      <c r="DG108" t="n">
        <v>0</v>
      </c>
      <c r="DI108" t="n">
        <v>4</v>
      </c>
      <c r="DO108" t="n">
        <v>19.5</v>
      </c>
      <c r="DP108" t="n">
        <v>128.7</v>
      </c>
      <c r="DQ108" t="n">
        <v>64.34999999999999</v>
      </c>
      <c r="DR108" t="n">
        <v>128.7</v>
      </c>
      <c r="DS108" t="n">
        <v>0</v>
      </c>
      <c r="DT108" t="n">
        <v>3385</v>
      </c>
      <c r="DU108" t="n">
        <v>89.09</v>
      </c>
      <c r="DV108" t="inlineStr">
        <is>
          <t>flat</t>
        </is>
      </c>
      <c r="DW108" t="n">
        <v>74.39</v>
      </c>
      <c r="DX108" t="n">
        <v>79.73</v>
      </c>
      <c r="DY108" t="n">
        <v>68.31999999999999</v>
      </c>
      <c r="DZ108" t="n">
        <v>-6.08</v>
      </c>
      <c r="EA108" t="n">
        <v>1576</v>
      </c>
      <c r="EB108" t="n">
        <v>28.49</v>
      </c>
      <c r="EC108" t="n">
        <v>1.33</v>
      </c>
      <c r="ED108" t="n">
        <v>120</v>
      </c>
      <c r="EE108" t="n">
        <v>3745</v>
      </c>
      <c r="EF108" t="b">
        <v>1</v>
      </c>
      <c r="EG108" t="n">
        <v>99.2</v>
      </c>
      <c r="EH108" t="n">
        <v>22.6</v>
      </c>
      <c r="EI108" t="n">
        <v>240</v>
      </c>
      <c r="EK108" t="n">
        <v>2880</v>
      </c>
      <c r="EP108" t="n">
        <v>26.4</v>
      </c>
    </row>
    <row r="109">
      <c r="A109" t="inlineStr">
        <is>
          <t>Joe Rodon</t>
        </is>
      </c>
      <c r="B109" t="inlineStr">
        <is>
          <t>LEE</t>
        </is>
      </c>
      <c r="C109" t="inlineStr">
        <is>
          <t>DEF</t>
        </is>
      </c>
      <c r="D109" t="inlineStr">
        <is>
          <t>DEF</t>
        </is>
      </c>
      <c r="E109" t="n">
        <v>4.5</v>
      </c>
      <c r="F109" t="b">
        <v>1</v>
      </c>
      <c r="G109" t="b">
        <v>1</v>
      </c>
      <c r="H109" t="n">
        <v>28.8</v>
      </c>
      <c r="I109" t="inlineStr">
        <is>
          <t>a</t>
        </is>
      </c>
      <c r="L109" t="inlineStr">
        <is>
          <t>p214225</t>
        </is>
      </c>
      <c r="M109" t="n">
        <v>329</v>
      </c>
      <c r="Q109" t="n">
        <v>2952</v>
      </c>
      <c r="R109" t="n">
        <v>35</v>
      </c>
      <c r="S109" t="n">
        <v>33</v>
      </c>
      <c r="T109" t="n">
        <v>32.8</v>
      </c>
      <c r="U109" t="n">
        <v>84.3</v>
      </c>
      <c r="V109" t="n">
        <v>109</v>
      </c>
      <c r="W109" t="n">
        <v>3.323</v>
      </c>
      <c r="X109" t="n">
        <v>2</v>
      </c>
      <c r="Y109" t="n">
        <v>0</v>
      </c>
      <c r="AA109" t="n">
        <v>6</v>
      </c>
      <c r="AB109" t="n">
        <v>53</v>
      </c>
      <c r="AC109" t="n">
        <v>5</v>
      </c>
      <c r="AD109" t="n">
        <v>4</v>
      </c>
      <c r="AE109" t="n">
        <v>-1</v>
      </c>
      <c r="AF109" t="n">
        <v>373</v>
      </c>
      <c r="AG109" t="n">
        <v>330</v>
      </c>
      <c r="AH109" t="n">
        <v>-43</v>
      </c>
      <c r="AI109" t="n">
        <v>108</v>
      </c>
      <c r="AJ109" t="n">
        <v>0.046</v>
      </c>
      <c r="AK109" t="n">
        <v>0.048</v>
      </c>
      <c r="AL109" t="n">
        <v>274</v>
      </c>
      <c r="AM109" t="n">
        <v>8.353999999999999</v>
      </c>
      <c r="AN109" t="n">
        <v>10</v>
      </c>
      <c r="AO109" t="n">
        <v>20</v>
      </c>
      <c r="AP109" t="n">
        <v>0.303</v>
      </c>
      <c r="AQ109" t="n">
        <v>0.303</v>
      </c>
      <c r="AR109" t="n">
        <v>0.152</v>
      </c>
      <c r="AS109" t="n">
        <v>0.868</v>
      </c>
      <c r="AT109" t="n">
        <v>0.914</v>
      </c>
      <c r="AU109" t="n">
        <v>21</v>
      </c>
      <c r="AV109" t="n">
        <v>1</v>
      </c>
      <c r="AW109" t="n">
        <v>2.85</v>
      </c>
      <c r="AX109" t="n">
        <v>13</v>
      </c>
      <c r="AY109" t="n">
        <v>1.4</v>
      </c>
      <c r="AZ109" t="n">
        <v>1.846</v>
      </c>
      <c r="BA109" t="n">
        <v>1.623</v>
      </c>
      <c r="BB109" t="n">
        <v>1.846</v>
      </c>
      <c r="BC109" t="n">
        <v>0.043</v>
      </c>
      <c r="BD109" t="n">
        <v>0.056</v>
      </c>
      <c r="BE109" t="n">
        <v>0.049</v>
      </c>
      <c r="BF109" t="n">
        <v>2.5</v>
      </c>
      <c r="BG109" t="n">
        <v>0.076</v>
      </c>
      <c r="BH109" t="n">
        <v>1.117</v>
      </c>
      <c r="BI109" t="n">
        <v>1.4</v>
      </c>
      <c r="BJ109" t="n">
        <v>1.564</v>
      </c>
      <c r="BK109" t="n">
        <v>0.048</v>
      </c>
      <c r="BL109" t="n">
        <v>0.377</v>
      </c>
      <c r="BM109" t="n">
        <v>1.1</v>
      </c>
      <c r="BN109" t="n">
        <v>-0.5</v>
      </c>
      <c r="BO109" t="n">
        <v>-0.446</v>
      </c>
      <c r="BP109" t="n">
        <v>18</v>
      </c>
      <c r="BQ109" t="n">
        <v>7</v>
      </c>
      <c r="BR109" t="n">
        <v>1</v>
      </c>
      <c r="BS109" t="n">
        <v>46</v>
      </c>
      <c r="BT109" t="n">
        <v>1.402</v>
      </c>
      <c r="BV109" t="n">
        <v>2</v>
      </c>
      <c r="BW109" t="n">
        <v>0.5600000000000001</v>
      </c>
      <c r="BX109" t="n">
        <v>0.461</v>
      </c>
      <c r="BY109" t="n">
        <v>0.511</v>
      </c>
      <c r="BZ109" t="n">
        <v>0.016</v>
      </c>
      <c r="CA109" t="n">
        <v>2.134</v>
      </c>
      <c r="CB109" t="n">
        <v>0.065</v>
      </c>
      <c r="CC109" t="n">
        <v>9</v>
      </c>
      <c r="CD109" t="n">
        <v>1</v>
      </c>
      <c r="CE109" t="n">
        <v>9</v>
      </c>
      <c r="CF109" t="n">
        <v>3</v>
      </c>
      <c r="CI109" t="n">
        <v>6.243</v>
      </c>
      <c r="CJ109" t="n">
        <v>5.8</v>
      </c>
      <c r="CK109" t="n">
        <v>237</v>
      </c>
      <c r="CL109" t="n">
        <v>85</v>
      </c>
      <c r="CM109" t="n">
        <v>37</v>
      </c>
      <c r="CN109" t="n">
        <v>20</v>
      </c>
      <c r="CO109" t="n">
        <v>29</v>
      </c>
      <c r="CP109" t="n">
        <v>185</v>
      </c>
      <c r="CQ109" t="n">
        <v>22</v>
      </c>
      <c r="CR109" t="n">
        <v>140</v>
      </c>
      <c r="CS109" t="n">
        <v>85</v>
      </c>
      <c r="CT109" t="n">
        <v>0</v>
      </c>
      <c r="CU109" t="n">
        <v>1</v>
      </c>
      <c r="CV109" t="n">
        <v>2</v>
      </c>
      <c r="CW109" t="n">
        <v>48.54</v>
      </c>
      <c r="CX109" t="n">
        <v>1.48</v>
      </c>
      <c r="CY109" t="n">
        <v>0</v>
      </c>
      <c r="DB109" t="n">
        <v>0</v>
      </c>
      <c r="DE109" t="n">
        <v>6.7</v>
      </c>
      <c r="DF109" t="n">
        <v>3</v>
      </c>
      <c r="DG109" t="n">
        <v>0</v>
      </c>
      <c r="DH109" t="n">
        <v>17</v>
      </c>
      <c r="DI109" t="n">
        <v>19</v>
      </c>
      <c r="DL109" t="n">
        <v>1</v>
      </c>
      <c r="DM109" t="n">
        <v>6</v>
      </c>
      <c r="DN109" t="n">
        <v>1</v>
      </c>
      <c r="DO109" t="n">
        <v>2</v>
      </c>
      <c r="DP109" t="n">
        <v>124.62</v>
      </c>
      <c r="DQ109" t="n">
        <v>62.31</v>
      </c>
      <c r="DR109" t="n">
        <v>124.62</v>
      </c>
      <c r="DS109" t="n">
        <v>0</v>
      </c>
      <c r="DT109" t="n">
        <v>3272</v>
      </c>
      <c r="DU109" t="n">
        <v>86.09999999999999</v>
      </c>
      <c r="DV109" t="inlineStr">
        <is>
          <t>flat</t>
        </is>
      </c>
      <c r="DW109" t="n">
        <v>98.45999999999999</v>
      </c>
      <c r="DX109" t="n">
        <v>96.05</v>
      </c>
      <c r="DY109" t="n">
        <v>98.93000000000001</v>
      </c>
      <c r="DZ109" t="n">
        <v>0.47</v>
      </c>
      <c r="EA109" t="n">
        <v>117</v>
      </c>
      <c r="EB109" t="n">
        <v>17.76</v>
      </c>
      <c r="EC109" t="n">
        <v>17</v>
      </c>
      <c r="ED109" t="n">
        <v>120</v>
      </c>
      <c r="EE109" t="n">
        <v>183</v>
      </c>
      <c r="EF109" t="b">
        <v>1</v>
      </c>
      <c r="EG109" t="n">
        <v>4.2</v>
      </c>
      <c r="EH109" t="n">
        <v>10.3</v>
      </c>
      <c r="EI109" t="n">
        <v>399</v>
      </c>
      <c r="EJ109" t="n">
        <v>164</v>
      </c>
      <c r="EK109" t="n">
        <v>64.2</v>
      </c>
      <c r="EL109" t="n">
        <v>328</v>
      </c>
      <c r="EM109" t="n">
        <v>1818.8</v>
      </c>
      <c r="EN109" t="n">
        <v>5779.9</v>
      </c>
      <c r="EO109" t="n">
        <v>1383.5</v>
      </c>
      <c r="EP109" t="n">
        <v>27.1</v>
      </c>
    </row>
    <row r="110">
      <c r="A110" t="inlineStr">
        <is>
          <t>Noah Okafor</t>
        </is>
      </c>
      <c r="B110" t="inlineStr">
        <is>
          <t>LEE</t>
        </is>
      </c>
      <c r="C110" t="inlineStr">
        <is>
          <t>MID</t>
        </is>
      </c>
      <c r="D110" t="inlineStr">
        <is>
          <t>MID</t>
        </is>
      </c>
      <c r="E110" t="n">
        <v>6</v>
      </c>
      <c r="F110" t="b">
        <v>1</v>
      </c>
      <c r="G110" t="b">
        <v>1</v>
      </c>
      <c r="H110" t="n">
        <v>26.2</v>
      </c>
      <c r="I110" t="inlineStr">
        <is>
          <t>a</t>
        </is>
      </c>
      <c r="L110" t="inlineStr">
        <is>
          <t>p435997</t>
        </is>
      </c>
      <c r="M110" t="n">
        <v>336</v>
      </c>
      <c r="Q110" t="n">
        <v>1553</v>
      </c>
      <c r="R110" t="n">
        <v>28</v>
      </c>
      <c r="S110" t="n">
        <v>19</v>
      </c>
      <c r="T110" t="n">
        <v>17.256</v>
      </c>
      <c r="U110" t="n">
        <v>55.5</v>
      </c>
      <c r="V110" t="n">
        <v>109</v>
      </c>
      <c r="W110" t="n">
        <v>6.317</v>
      </c>
      <c r="X110" t="n">
        <v>8</v>
      </c>
      <c r="Y110" t="n">
        <v>3</v>
      </c>
      <c r="Z110" t="n">
        <v>1</v>
      </c>
      <c r="AA110" t="n">
        <v>6</v>
      </c>
      <c r="AB110" t="n">
        <v>26</v>
      </c>
      <c r="AC110" t="n">
        <v>11</v>
      </c>
      <c r="AD110" t="n">
        <v>12</v>
      </c>
      <c r="AE110" t="n">
        <v>1</v>
      </c>
      <c r="AF110" t="n">
        <v>354</v>
      </c>
      <c r="AG110" t="n">
        <v>352</v>
      </c>
      <c r="AH110" t="n">
        <v>-2</v>
      </c>
      <c r="AI110" t="n">
        <v>110</v>
      </c>
      <c r="AJ110" t="n">
        <v>0.101</v>
      </c>
      <c r="AK110" t="n">
        <v>0.112</v>
      </c>
      <c r="AL110" t="n">
        <v>113</v>
      </c>
      <c r="AM110" t="n">
        <v>6.549</v>
      </c>
      <c r="AN110" t="n">
        <v>0</v>
      </c>
      <c r="AO110" t="n">
        <v>0</v>
      </c>
      <c r="AP110" t="n">
        <v>0</v>
      </c>
      <c r="AQ110" t="n">
        <v>0.105</v>
      </c>
      <c r="AR110" t="n">
        <v>0</v>
      </c>
      <c r="AS110" t="n">
        <v>0.5</v>
      </c>
      <c r="AT110" t="n">
        <v>0.643</v>
      </c>
      <c r="AU110" t="n">
        <v>17</v>
      </c>
      <c r="AV110" t="n">
        <v>3</v>
      </c>
      <c r="AW110" t="n">
        <v>3.76</v>
      </c>
      <c r="AX110" t="n">
        <v>15</v>
      </c>
      <c r="AY110" t="n">
        <v>5.25</v>
      </c>
      <c r="AZ110" t="n">
        <v>6.297</v>
      </c>
      <c r="BA110" t="n">
        <v>5.773</v>
      </c>
      <c r="BB110" t="n">
        <v>6.297</v>
      </c>
      <c r="BC110" t="n">
        <v>0.304</v>
      </c>
      <c r="BD110" t="n">
        <v>0.365</v>
      </c>
      <c r="BE110" t="n">
        <v>0.335</v>
      </c>
      <c r="BF110" t="n">
        <v>7</v>
      </c>
      <c r="BG110" t="n">
        <v>0.406</v>
      </c>
      <c r="BH110" t="n">
        <v>1.132</v>
      </c>
      <c r="BI110" t="n">
        <v>5.25</v>
      </c>
      <c r="BJ110" t="n">
        <v>5.943</v>
      </c>
      <c r="BK110" t="n">
        <v>0.344</v>
      </c>
      <c r="BL110" t="n">
        <v>2.227</v>
      </c>
      <c r="BM110" t="n">
        <v>1.75</v>
      </c>
      <c r="BN110" t="n">
        <v>1</v>
      </c>
      <c r="BO110" t="n">
        <v>-1.047</v>
      </c>
      <c r="BP110" t="n">
        <v>35</v>
      </c>
      <c r="BQ110" t="n">
        <v>15</v>
      </c>
      <c r="BR110" t="n">
        <v>4</v>
      </c>
      <c r="BS110" t="n">
        <v>77</v>
      </c>
      <c r="BT110" t="n">
        <v>4.462</v>
      </c>
      <c r="BW110" t="n">
        <v>1.32</v>
      </c>
      <c r="BX110" t="n">
        <v>2.259</v>
      </c>
      <c r="BY110" t="n">
        <v>1.79</v>
      </c>
      <c r="BZ110" t="n">
        <v>0.104</v>
      </c>
      <c r="CA110" t="n">
        <v>7.563</v>
      </c>
      <c r="CB110" t="n">
        <v>0.438</v>
      </c>
      <c r="CC110" t="n">
        <v>19</v>
      </c>
      <c r="CD110" t="n">
        <v>4</v>
      </c>
      <c r="CE110" t="n">
        <v>20</v>
      </c>
      <c r="CF110" t="n">
        <v>7</v>
      </c>
      <c r="CI110" t="n">
        <v>10.916</v>
      </c>
      <c r="CJ110" t="n">
        <v>3.822</v>
      </c>
      <c r="CK110" t="n">
        <v>29</v>
      </c>
      <c r="CL110" t="n">
        <v>61</v>
      </c>
      <c r="CM110" t="n">
        <v>23</v>
      </c>
      <c r="CN110" t="n">
        <v>15</v>
      </c>
      <c r="CO110" t="n">
        <v>12</v>
      </c>
      <c r="CP110" t="n">
        <v>16</v>
      </c>
      <c r="CQ110" t="n">
        <v>1</v>
      </c>
      <c r="CR110" t="n">
        <v>88</v>
      </c>
      <c r="CS110" t="n">
        <v>12</v>
      </c>
      <c r="CT110" t="n">
        <v>0.6</v>
      </c>
      <c r="CW110" t="n">
        <v>24.54</v>
      </c>
      <c r="CX110" t="n">
        <v>1.422</v>
      </c>
      <c r="CY110" t="n">
        <v>0</v>
      </c>
      <c r="DB110" t="n">
        <v>0</v>
      </c>
      <c r="DE110" t="n">
        <v>6.94</v>
      </c>
      <c r="DF110" t="n">
        <v>3</v>
      </c>
      <c r="DG110" t="n">
        <v>0</v>
      </c>
      <c r="DH110" t="n">
        <v>18</v>
      </c>
      <c r="DI110" t="n">
        <v>14</v>
      </c>
      <c r="DL110" t="n">
        <v>39</v>
      </c>
      <c r="DM110" t="n">
        <v>31</v>
      </c>
      <c r="DO110" t="n">
        <v>0.7</v>
      </c>
      <c r="DP110" t="n">
        <v>115.39</v>
      </c>
      <c r="DQ110" t="n">
        <v>57.76</v>
      </c>
      <c r="DR110" t="n">
        <v>115.52</v>
      </c>
      <c r="DS110" t="n">
        <v>-0.13</v>
      </c>
      <c r="DT110" t="n">
        <v>2229</v>
      </c>
      <c r="DU110" t="n">
        <v>58.65</v>
      </c>
      <c r="DV110" t="inlineStr">
        <is>
          <t>flat</t>
        </is>
      </c>
      <c r="DW110" t="n">
        <v>82.34999999999999</v>
      </c>
      <c r="DX110" t="n">
        <v>85.5</v>
      </c>
      <c r="DY110" t="n">
        <v>82.04000000000001</v>
      </c>
      <c r="DZ110" t="n">
        <v>-0.3</v>
      </c>
      <c r="EA110" t="n">
        <v>285</v>
      </c>
      <c r="EB110" t="n">
        <v>20.45</v>
      </c>
      <c r="EC110" t="n">
        <v>11</v>
      </c>
      <c r="ED110" t="n">
        <v>120</v>
      </c>
      <c r="EE110" t="n">
        <v>532</v>
      </c>
      <c r="EF110" t="b">
        <v>1</v>
      </c>
      <c r="EG110" t="n">
        <v>12.5</v>
      </c>
      <c r="EH110" t="n">
        <v>12.4</v>
      </c>
      <c r="EI110" t="n">
        <v>78</v>
      </c>
      <c r="EJ110" t="n">
        <v>44.4</v>
      </c>
      <c r="EK110" t="n">
        <v>20.2</v>
      </c>
      <c r="EL110" t="n">
        <v>77.59999999999999</v>
      </c>
      <c r="EM110" t="n">
        <v>269</v>
      </c>
      <c r="EN110" t="n">
        <v>867.8</v>
      </c>
      <c r="EO110" t="n">
        <v>205.3</v>
      </c>
      <c r="EP110" t="n">
        <v>14.2</v>
      </c>
    </row>
    <row r="111">
      <c r="A111" t="inlineStr">
        <is>
          <t>Riccardo Calafiori</t>
        </is>
      </c>
      <c r="B111" t="inlineStr">
        <is>
          <t>ARS</t>
        </is>
      </c>
      <c r="C111" t="inlineStr">
        <is>
          <t>DEF</t>
        </is>
      </c>
      <c r="D111" t="inlineStr">
        <is>
          <t>DEF</t>
        </is>
      </c>
      <c r="E111" t="n">
        <v>5.5</v>
      </c>
      <c r="F111" t="b">
        <v>1</v>
      </c>
      <c r="G111" t="b">
        <v>1</v>
      </c>
      <c r="H111" t="n">
        <v>24.3</v>
      </c>
      <c r="I111" t="inlineStr">
        <is>
          <t>a</t>
        </is>
      </c>
      <c r="L111" t="inlineStr">
        <is>
          <t>p466075</t>
        </is>
      </c>
      <c r="M111" t="n">
        <v>8</v>
      </c>
      <c r="Q111" t="n">
        <v>1697</v>
      </c>
      <c r="R111" t="n">
        <v>26</v>
      </c>
      <c r="S111" t="n">
        <v>22</v>
      </c>
      <c r="T111" t="n">
        <v>18.856</v>
      </c>
      <c r="U111" t="n">
        <v>65.3</v>
      </c>
      <c r="V111" t="n">
        <v>109</v>
      </c>
      <c r="W111" t="n">
        <v>5.781</v>
      </c>
      <c r="X111" t="n">
        <v>1</v>
      </c>
      <c r="Y111" t="n">
        <v>2</v>
      </c>
      <c r="Z111" t="n">
        <v>2</v>
      </c>
      <c r="AA111" t="n">
        <v>13</v>
      </c>
      <c r="AB111" t="n">
        <v>8</v>
      </c>
      <c r="AC111" t="n">
        <v>6</v>
      </c>
      <c r="AD111" t="n">
        <v>6</v>
      </c>
      <c r="AE111" t="n">
        <v>0</v>
      </c>
      <c r="AF111" t="n">
        <v>389</v>
      </c>
      <c r="AG111" t="n">
        <v>377</v>
      </c>
      <c r="AH111" t="n">
        <v>-12</v>
      </c>
      <c r="AI111" t="n">
        <v>109</v>
      </c>
      <c r="AJ111" t="n">
        <v>0.055</v>
      </c>
      <c r="AK111" t="n">
        <v>0.058</v>
      </c>
      <c r="AL111" t="n">
        <v>102</v>
      </c>
      <c r="AM111" t="n">
        <v>5.41</v>
      </c>
      <c r="AN111" t="n">
        <v>0</v>
      </c>
      <c r="AO111" t="n">
        <v>0</v>
      </c>
      <c r="AP111" t="n">
        <v>0</v>
      </c>
      <c r="AQ111" t="n">
        <v>0</v>
      </c>
      <c r="AR111" t="n">
        <v>0</v>
      </c>
      <c r="AS111" t="n">
        <v>0.579</v>
      </c>
      <c r="AT111" t="n">
        <v>0.731</v>
      </c>
      <c r="AU111" t="n">
        <v>13</v>
      </c>
      <c r="AV111" t="n">
        <v>2</v>
      </c>
      <c r="AW111" t="n">
        <v>3.57</v>
      </c>
      <c r="AX111" t="n">
        <v>13</v>
      </c>
      <c r="AY111" t="n">
        <v>3.36</v>
      </c>
      <c r="AZ111" t="n">
        <v>3.47</v>
      </c>
      <c r="BA111" t="n">
        <v>3.415</v>
      </c>
      <c r="BB111" t="n">
        <v>3.47</v>
      </c>
      <c r="BC111" t="n">
        <v>0.178</v>
      </c>
      <c r="BD111" t="n">
        <v>0.184</v>
      </c>
      <c r="BE111" t="n">
        <v>0.181</v>
      </c>
      <c r="BF111" t="n">
        <v>2.3</v>
      </c>
      <c r="BG111" t="n">
        <v>0.122</v>
      </c>
      <c r="BH111" t="n">
        <v>0.998</v>
      </c>
      <c r="BI111" t="n">
        <v>4.22</v>
      </c>
      <c r="BJ111" t="n">
        <v>3.355</v>
      </c>
      <c r="BK111" t="n">
        <v>0.178</v>
      </c>
      <c r="BL111" t="n">
        <v>-2.415</v>
      </c>
      <c r="BM111" t="n">
        <v>-1.06</v>
      </c>
      <c r="BN111" t="n">
        <v>-1.3</v>
      </c>
      <c r="BO111" t="n">
        <v>-0.11</v>
      </c>
      <c r="BP111" t="n">
        <v>32</v>
      </c>
      <c r="BQ111" t="n">
        <v>8</v>
      </c>
      <c r="BR111" t="n">
        <v>3</v>
      </c>
      <c r="BS111" t="n">
        <v>56</v>
      </c>
      <c r="BT111" t="n">
        <v>2.97</v>
      </c>
      <c r="BV111" t="n">
        <v>1</v>
      </c>
      <c r="BW111" t="n">
        <v>0.76</v>
      </c>
      <c r="BX111" t="n">
        <v>0.648</v>
      </c>
      <c r="BY111" t="n">
        <v>0.704</v>
      </c>
      <c r="BZ111" t="n">
        <v>0.037</v>
      </c>
      <c r="CA111" t="n">
        <v>4.119</v>
      </c>
      <c r="CB111" t="n">
        <v>0.218</v>
      </c>
      <c r="CC111" t="n">
        <v>9</v>
      </c>
      <c r="CE111" t="n">
        <v>9</v>
      </c>
      <c r="CF111" t="n">
        <v>3</v>
      </c>
      <c r="CI111" t="n">
        <v>8.157999999999999</v>
      </c>
      <c r="CJ111" t="n">
        <v>6.558</v>
      </c>
      <c r="CK111" t="n">
        <v>70</v>
      </c>
      <c r="CL111" t="n">
        <v>74</v>
      </c>
      <c r="CM111" t="n">
        <v>32</v>
      </c>
      <c r="CN111" t="n">
        <v>19</v>
      </c>
      <c r="CO111" t="n">
        <v>15</v>
      </c>
      <c r="CP111" t="n">
        <v>50</v>
      </c>
      <c r="CQ111" t="n">
        <v>5</v>
      </c>
      <c r="CR111" t="n">
        <v>104</v>
      </c>
      <c r="CS111" t="n">
        <v>48</v>
      </c>
      <c r="CT111" t="n">
        <v>0.3</v>
      </c>
      <c r="CV111" t="n">
        <v>1</v>
      </c>
      <c r="CW111" t="n">
        <v>9.720000000000001</v>
      </c>
      <c r="CX111" t="n">
        <v>0.515</v>
      </c>
      <c r="CY111" t="n">
        <v>0</v>
      </c>
      <c r="DB111" t="n">
        <v>0</v>
      </c>
      <c r="DE111" t="n">
        <v>7.15</v>
      </c>
      <c r="DF111" t="n">
        <v>5</v>
      </c>
      <c r="DG111" t="n">
        <v>0</v>
      </c>
      <c r="DH111" t="n">
        <v>26</v>
      </c>
      <c r="DI111" t="n">
        <v>10</v>
      </c>
      <c r="DL111" t="n">
        <v>16</v>
      </c>
      <c r="DM111" t="n">
        <v>10</v>
      </c>
      <c r="DN111" t="n">
        <v>4</v>
      </c>
      <c r="DO111" t="n">
        <v>18</v>
      </c>
      <c r="DP111" t="n">
        <v>123.66</v>
      </c>
      <c r="DQ111" t="n">
        <v>62.14</v>
      </c>
      <c r="DR111" t="n">
        <v>124.28</v>
      </c>
      <c r="DS111" t="n">
        <v>-0.62</v>
      </c>
      <c r="DT111" t="n">
        <v>2371</v>
      </c>
      <c r="DU111" t="n">
        <v>62.4</v>
      </c>
      <c r="DV111" t="inlineStr">
        <is>
          <t>flat</t>
        </is>
      </c>
      <c r="DW111" t="n">
        <v>57.38</v>
      </c>
      <c r="DX111" t="n">
        <v>59.2</v>
      </c>
      <c r="DY111" t="n">
        <v>52.89</v>
      </c>
      <c r="DZ111" t="n">
        <v>-4.5</v>
      </c>
      <c r="EA111" t="n">
        <v>1594</v>
      </c>
      <c r="EB111" t="n">
        <v>20.5</v>
      </c>
      <c r="EC111" t="n">
        <v>1.14</v>
      </c>
      <c r="ED111" t="n">
        <v>120</v>
      </c>
      <c r="EE111" t="n">
        <v>3740</v>
      </c>
      <c r="EF111" t="b">
        <v>1</v>
      </c>
      <c r="EG111" t="n">
        <v>99</v>
      </c>
      <c r="EH111" t="n">
        <v>22.5</v>
      </c>
      <c r="EI111" t="n">
        <v>131</v>
      </c>
      <c r="EJ111" t="n">
        <v>53</v>
      </c>
      <c r="EK111" t="n">
        <v>30.3</v>
      </c>
      <c r="EL111" t="n">
        <v>188.6</v>
      </c>
      <c r="EM111" t="n">
        <v>497</v>
      </c>
      <c r="EN111" t="n">
        <v>2409.8</v>
      </c>
      <c r="EO111" t="n">
        <v>412</v>
      </c>
      <c r="EP111" t="n">
        <v>15.6</v>
      </c>
    </row>
    <row r="112">
      <c r="A112" t="inlineStr">
        <is>
          <t>Pascal Struijk</t>
        </is>
      </c>
      <c r="B112" t="inlineStr">
        <is>
          <t>BHA</t>
        </is>
      </c>
      <c r="C112" t="inlineStr">
        <is>
          <t>DEF</t>
        </is>
      </c>
      <c r="D112" t="inlineStr">
        <is>
          <t>DEF</t>
        </is>
      </c>
      <c r="E112" t="n">
        <v>5</v>
      </c>
      <c r="F112" t="b">
        <v>1</v>
      </c>
      <c r="G112" t="b">
        <v>1</v>
      </c>
      <c r="H112" t="n">
        <v>27</v>
      </c>
      <c r="I112" t="inlineStr">
        <is>
          <t>a</t>
        </is>
      </c>
      <c r="L112" t="inlineStr">
        <is>
          <t>p222694</t>
        </is>
      </c>
      <c r="M112" t="n">
        <v>328</v>
      </c>
      <c r="Q112" t="n">
        <v>2935</v>
      </c>
      <c r="R112" t="n">
        <v>34</v>
      </c>
      <c r="S112" t="n">
        <v>33</v>
      </c>
      <c r="T112" t="n">
        <v>32.611</v>
      </c>
      <c r="U112" t="n">
        <v>86.3</v>
      </c>
      <c r="V112" t="n">
        <v>108</v>
      </c>
      <c r="W112" t="n">
        <v>3.312</v>
      </c>
      <c r="X112" t="n">
        <v>0</v>
      </c>
      <c r="Y112" t="n">
        <v>1</v>
      </c>
      <c r="Z112" t="n">
        <v>1</v>
      </c>
      <c r="AA112" t="n">
        <v>7</v>
      </c>
      <c r="AB112" t="n">
        <v>48</v>
      </c>
      <c r="AC112" t="n">
        <v>4</v>
      </c>
      <c r="AD112" t="n">
        <v>4</v>
      </c>
      <c r="AE112" t="n">
        <v>0</v>
      </c>
      <c r="AF112" t="n">
        <v>412</v>
      </c>
      <c r="AG112" t="n">
        <v>364</v>
      </c>
      <c r="AH112" t="n">
        <v>-48</v>
      </c>
      <c r="AI112" t="n">
        <v>108</v>
      </c>
      <c r="AJ112" t="n">
        <v>0.037</v>
      </c>
      <c r="AK112" t="n">
        <v>0.038</v>
      </c>
      <c r="AL112" t="n">
        <v>297</v>
      </c>
      <c r="AM112" t="n">
        <v>9.106999999999999</v>
      </c>
      <c r="AN112" t="n">
        <v>13</v>
      </c>
      <c r="AO112" t="n">
        <v>26</v>
      </c>
      <c r="AP112" t="n">
        <v>0.394</v>
      </c>
      <c r="AQ112" t="n">
        <v>0.394</v>
      </c>
      <c r="AR112" t="n">
        <v>0.242</v>
      </c>
      <c r="AS112" t="n">
        <v>0.868</v>
      </c>
      <c r="AT112" t="n">
        <v>0.9409999999999999</v>
      </c>
      <c r="AU112" t="n">
        <v>18</v>
      </c>
      <c r="AV112" t="n">
        <v>0</v>
      </c>
      <c r="AW112" t="n">
        <v>2.56</v>
      </c>
      <c r="AX112" t="n">
        <v>8</v>
      </c>
      <c r="AY112" t="n">
        <v>3.06</v>
      </c>
      <c r="AZ112" t="n">
        <v>2.967</v>
      </c>
      <c r="BA112" t="n">
        <v>3.014</v>
      </c>
      <c r="BB112" t="n">
        <v>2.967</v>
      </c>
      <c r="BC112" t="n">
        <v>0.094</v>
      </c>
      <c r="BD112" t="n">
        <v>0.091</v>
      </c>
      <c r="BE112" t="n">
        <v>0.092</v>
      </c>
      <c r="BF112" t="n">
        <v>1.6</v>
      </c>
      <c r="BG112" t="n">
        <v>0.049</v>
      </c>
      <c r="BH112" t="n">
        <v>0.9350000000000001</v>
      </c>
      <c r="BI112" t="n">
        <v>4.41</v>
      </c>
      <c r="BJ112" t="n">
        <v>2.86</v>
      </c>
      <c r="BK112" t="n">
        <v>0.08799999999999999</v>
      </c>
      <c r="BL112" t="n">
        <v>-3.014</v>
      </c>
      <c r="BM112" t="n">
        <v>-1.46</v>
      </c>
      <c r="BN112" t="n">
        <v>-1.6</v>
      </c>
      <c r="BO112" t="n">
        <v>0.093</v>
      </c>
      <c r="BP112" t="n">
        <v>31</v>
      </c>
      <c r="BQ112" t="n">
        <v>5</v>
      </c>
      <c r="BR112" t="n">
        <v>4</v>
      </c>
      <c r="BS112" t="n">
        <v>58</v>
      </c>
      <c r="BT112" t="n">
        <v>1.779</v>
      </c>
      <c r="BW112" t="n">
        <v>0.76</v>
      </c>
      <c r="BX112" t="n">
        <v>1.094</v>
      </c>
      <c r="BY112" t="n">
        <v>0.927</v>
      </c>
      <c r="BZ112" t="n">
        <v>0.028</v>
      </c>
      <c r="CA112" t="n">
        <v>3.941</v>
      </c>
      <c r="CB112" t="n">
        <v>0.121</v>
      </c>
      <c r="CC112" t="n">
        <v>12</v>
      </c>
      <c r="CD112" t="n">
        <v>2</v>
      </c>
      <c r="CE112" t="n">
        <v>12</v>
      </c>
      <c r="CG112" t="n">
        <v>1</v>
      </c>
      <c r="CI112" t="n">
        <v>7.12</v>
      </c>
      <c r="CJ112" t="n">
        <v>6.182</v>
      </c>
      <c r="CK112" t="n">
        <v>258</v>
      </c>
      <c r="CL112" t="n">
        <v>117</v>
      </c>
      <c r="CM112" t="n">
        <v>39</v>
      </c>
      <c r="CN112" t="n">
        <v>23</v>
      </c>
      <c r="CO112" t="n">
        <v>31</v>
      </c>
      <c r="CP112" t="n">
        <v>207</v>
      </c>
      <c r="CQ112" t="n">
        <v>19</v>
      </c>
      <c r="CR112" t="n">
        <v>174</v>
      </c>
      <c r="CS112" t="n">
        <v>110</v>
      </c>
      <c r="CT112" t="n">
        <v>0</v>
      </c>
      <c r="CV112" t="n">
        <v>0</v>
      </c>
      <c r="CW112" t="n">
        <v>42.92</v>
      </c>
      <c r="CX112" t="n">
        <v>1.316</v>
      </c>
      <c r="CY112" t="n">
        <v>0</v>
      </c>
      <c r="DB112" t="n">
        <v>0</v>
      </c>
      <c r="DE112" t="n">
        <v>6.91</v>
      </c>
      <c r="DF112" t="n">
        <v>5</v>
      </c>
      <c r="DG112" t="n">
        <v>0</v>
      </c>
      <c r="DH112" t="n">
        <v>27</v>
      </c>
      <c r="DI112" t="n">
        <v>22</v>
      </c>
      <c r="DL112" t="n">
        <v>4</v>
      </c>
      <c r="DM112" t="n">
        <v>8</v>
      </c>
      <c r="DN112" t="n">
        <v>5</v>
      </c>
      <c r="DO112" t="n">
        <v>0.4</v>
      </c>
      <c r="DP112" t="n">
        <v>99.79000000000001</v>
      </c>
      <c r="DQ112" t="n">
        <v>48.93</v>
      </c>
      <c r="DR112" t="n">
        <v>97.86</v>
      </c>
      <c r="DS112" t="n">
        <v>1.93</v>
      </c>
      <c r="DT112" t="n">
        <v>2548</v>
      </c>
      <c r="DU112" t="n">
        <v>67.05</v>
      </c>
      <c r="DV112" t="inlineStr">
        <is>
          <t>flat</t>
        </is>
      </c>
      <c r="DW112" t="n">
        <v>100.76</v>
      </c>
      <c r="DX112" t="n">
        <v>102.13</v>
      </c>
      <c r="DY112" t="n">
        <v>100.72</v>
      </c>
      <c r="DZ112" t="n">
        <v>-0.04</v>
      </c>
      <c r="EA112" t="n">
        <v>293</v>
      </c>
      <c r="EB112" t="n">
        <v>13.41</v>
      </c>
      <c r="EC112" t="n">
        <v>38.22</v>
      </c>
      <c r="ED112" t="n">
        <v>120</v>
      </c>
      <c r="EE112" t="n">
        <v>489</v>
      </c>
      <c r="EF112" t="b">
        <v>1</v>
      </c>
      <c r="EG112" t="n">
        <v>12.2</v>
      </c>
      <c r="EH112" t="n">
        <v>18</v>
      </c>
      <c r="EI112" t="n">
        <v>241</v>
      </c>
      <c r="EJ112" t="n">
        <v>94.7</v>
      </c>
      <c r="EK112" t="n">
        <v>50.6</v>
      </c>
      <c r="EL112" t="n">
        <v>244.6</v>
      </c>
      <c r="EM112" t="n">
        <v>973.9</v>
      </c>
      <c r="EN112" t="n">
        <v>3166.6</v>
      </c>
      <c r="EO112" t="n">
        <v>744.8</v>
      </c>
      <c r="EP112" t="n">
        <v>27.2</v>
      </c>
    </row>
    <row r="113">
      <c r="A113" t="inlineStr">
        <is>
          <t>Alexis Mac Allister</t>
        </is>
      </c>
      <c r="B113" t="inlineStr">
        <is>
          <t>LIV</t>
        </is>
      </c>
      <c r="C113" t="inlineStr">
        <is>
          <t>MID</t>
        </is>
      </c>
      <c r="D113" t="inlineStr">
        <is>
          <t>MID</t>
        </is>
      </c>
      <c r="E113" t="n">
        <v>5.5</v>
      </c>
      <c r="F113" t="b">
        <v>1</v>
      </c>
      <c r="G113" t="b">
        <v>1</v>
      </c>
      <c r="H113" t="n">
        <v>27.7</v>
      </c>
      <c r="I113" t="inlineStr">
        <is>
          <t>a</t>
        </is>
      </c>
      <c r="L113" t="inlineStr">
        <is>
          <t>p243016</t>
        </is>
      </c>
      <c r="M113" t="n">
        <v>372</v>
      </c>
      <c r="N113" t="n">
        <v>5</v>
      </c>
      <c r="Q113" t="n">
        <v>2654</v>
      </c>
      <c r="R113" t="n">
        <v>37</v>
      </c>
      <c r="S113" t="n">
        <v>31</v>
      </c>
      <c r="T113" t="n">
        <v>29.489</v>
      </c>
      <c r="U113" t="n">
        <v>71.7</v>
      </c>
      <c r="V113" t="n">
        <v>108</v>
      </c>
      <c r="W113" t="n">
        <v>3.662</v>
      </c>
      <c r="X113" t="n">
        <v>2</v>
      </c>
      <c r="Y113" t="n">
        <v>5</v>
      </c>
      <c r="Z113" t="n">
        <v>4</v>
      </c>
      <c r="AA113" t="n">
        <v>7</v>
      </c>
      <c r="AB113" t="n">
        <v>41</v>
      </c>
      <c r="AC113" t="n">
        <v>9</v>
      </c>
      <c r="AD113" t="n">
        <v>9</v>
      </c>
      <c r="AE113" t="n">
        <v>0</v>
      </c>
      <c r="AF113" t="n">
        <v>490</v>
      </c>
      <c r="AG113" t="n">
        <v>473</v>
      </c>
      <c r="AH113" t="n">
        <v>-17</v>
      </c>
      <c r="AI113" t="n">
        <v>108</v>
      </c>
      <c r="AJ113" t="n">
        <v>0.083</v>
      </c>
      <c r="AK113" t="n">
        <v>0.091</v>
      </c>
      <c r="AL113" t="n">
        <v>229</v>
      </c>
      <c r="AM113" t="n">
        <v>7.766</v>
      </c>
      <c r="AN113" t="n">
        <v>4</v>
      </c>
      <c r="AO113" t="n">
        <v>8</v>
      </c>
      <c r="AP113" t="n">
        <v>0.129</v>
      </c>
      <c r="AQ113" t="n">
        <v>0.226</v>
      </c>
      <c r="AR113" t="n">
        <v>0.129</v>
      </c>
      <c r="AS113" t="n">
        <v>0.8159999999999999</v>
      </c>
      <c r="AT113" t="n">
        <v>0.784</v>
      </c>
      <c r="AU113" t="n">
        <v>26</v>
      </c>
      <c r="AV113" t="n">
        <v>2</v>
      </c>
      <c r="AW113" t="n">
        <v>3.08</v>
      </c>
      <c r="AX113" t="n">
        <v>13</v>
      </c>
      <c r="AY113" t="n">
        <v>3.89</v>
      </c>
      <c r="AZ113" t="n">
        <v>4.072</v>
      </c>
      <c r="BA113" t="n">
        <v>3.981</v>
      </c>
      <c r="BB113" t="n">
        <v>4.072</v>
      </c>
      <c r="BC113" t="n">
        <v>0.132</v>
      </c>
      <c r="BD113" t="n">
        <v>0.138</v>
      </c>
      <c r="BE113" t="n">
        <v>0.135</v>
      </c>
      <c r="BF113" t="n">
        <v>2.7</v>
      </c>
      <c r="BG113" t="n">
        <v>0.092</v>
      </c>
      <c r="BH113" t="n">
        <v>1.036</v>
      </c>
      <c r="BI113" t="n">
        <v>22.42</v>
      </c>
      <c r="BJ113" t="n">
        <v>4.028</v>
      </c>
      <c r="BK113" t="n">
        <v>0.137</v>
      </c>
      <c r="BL113" t="n">
        <v>-1.981</v>
      </c>
      <c r="BM113" t="n">
        <v>-1.19</v>
      </c>
      <c r="BN113" t="n">
        <v>-0.7</v>
      </c>
      <c r="BO113" t="n">
        <v>-0.182</v>
      </c>
      <c r="BP113" t="n">
        <v>52</v>
      </c>
      <c r="BQ113" t="n">
        <v>12</v>
      </c>
      <c r="BR113" t="n">
        <v>2</v>
      </c>
      <c r="BS113" t="n">
        <v>65</v>
      </c>
      <c r="BT113" t="n">
        <v>2.204</v>
      </c>
      <c r="BW113" t="n">
        <v>1.69</v>
      </c>
      <c r="BX113" t="n">
        <v>2.85</v>
      </c>
      <c r="BY113" t="n">
        <v>2.27</v>
      </c>
      <c r="BZ113" t="n">
        <v>0.077</v>
      </c>
      <c r="CA113" t="n">
        <v>6.251</v>
      </c>
      <c r="CB113" t="n">
        <v>0.212</v>
      </c>
      <c r="CC113" t="n">
        <v>34</v>
      </c>
      <c r="CD113" t="n">
        <v>4</v>
      </c>
      <c r="CE113" t="n">
        <v>35</v>
      </c>
      <c r="CF113" t="n">
        <v>9</v>
      </c>
      <c r="CH113" t="n">
        <v>11</v>
      </c>
      <c r="CI113" t="n">
        <v>13.186</v>
      </c>
      <c r="CJ113" t="n">
        <v>8.345000000000001</v>
      </c>
      <c r="CK113" t="n">
        <v>64</v>
      </c>
      <c r="CL113" t="n">
        <v>112</v>
      </c>
      <c r="CM113" t="n">
        <v>53</v>
      </c>
      <c r="CN113" t="n">
        <v>26</v>
      </c>
      <c r="CO113" t="n">
        <v>21</v>
      </c>
      <c r="CP113" t="n">
        <v>35</v>
      </c>
      <c r="CQ113" t="n">
        <v>9</v>
      </c>
      <c r="CR113" t="n">
        <v>113</v>
      </c>
      <c r="CS113" t="n">
        <v>17</v>
      </c>
      <c r="CT113" t="n">
        <v>0.4</v>
      </c>
      <c r="CV113" t="n">
        <v>1</v>
      </c>
      <c r="CW113" t="n">
        <v>36.97</v>
      </c>
      <c r="CX113" t="n">
        <v>1.254</v>
      </c>
      <c r="CY113" t="n">
        <v>0</v>
      </c>
      <c r="DB113" t="n">
        <v>0</v>
      </c>
      <c r="DE113" t="n">
        <v>6.89</v>
      </c>
      <c r="DF113" t="n">
        <v>7</v>
      </c>
      <c r="DG113" t="n">
        <v>0</v>
      </c>
      <c r="DH113" t="n">
        <v>35</v>
      </c>
      <c r="DI113" t="n">
        <v>32</v>
      </c>
      <c r="DL113" t="n">
        <v>11</v>
      </c>
      <c r="DM113" t="n">
        <v>29</v>
      </c>
      <c r="DO113" t="n">
        <v>1.9</v>
      </c>
      <c r="DP113" t="n">
        <v>72.05</v>
      </c>
      <c r="DQ113" t="n">
        <v>35.78</v>
      </c>
      <c r="DR113" t="n">
        <v>71.56</v>
      </c>
      <c r="DS113" t="n">
        <v>0.49</v>
      </c>
      <c r="DT113" t="n">
        <v>1604</v>
      </c>
      <c r="DU113" t="n">
        <v>42.2</v>
      </c>
      <c r="DV113" t="inlineStr">
        <is>
          <t>flat</t>
        </is>
      </c>
      <c r="DW113" t="n">
        <v>74.44</v>
      </c>
      <c r="DX113" t="n">
        <v>76.42</v>
      </c>
      <c r="DY113" t="n">
        <v>74.14</v>
      </c>
      <c r="DZ113" t="n">
        <v>-0.3</v>
      </c>
      <c r="EA113" t="n">
        <v>371</v>
      </c>
      <c r="EB113" t="n">
        <v>23.39</v>
      </c>
      <c r="EC113" t="n">
        <v>6.86</v>
      </c>
      <c r="ED113" t="n">
        <v>120</v>
      </c>
      <c r="EE113" t="n">
        <v>664</v>
      </c>
      <c r="EF113" t="b">
        <v>1</v>
      </c>
      <c r="EG113" t="n">
        <v>14.9</v>
      </c>
      <c r="EH113" t="n">
        <v>8.699999999999999</v>
      </c>
      <c r="EI113" t="n">
        <v>132</v>
      </c>
      <c r="EJ113" t="n">
        <v>51</v>
      </c>
      <c r="EK113" t="n">
        <v>40.8</v>
      </c>
      <c r="EL113" t="n">
        <v>75.8</v>
      </c>
      <c r="EM113" t="n">
        <v>666.7</v>
      </c>
      <c r="EN113" t="n">
        <v>1169.3</v>
      </c>
      <c r="EO113" t="n">
        <v>424.6</v>
      </c>
      <c r="EP113" t="n">
        <v>24.6</v>
      </c>
    </row>
    <row r="114">
      <c r="A114" t="inlineStr">
        <is>
          <t>Nick Woltemade</t>
        </is>
      </c>
      <c r="B114" t="inlineStr">
        <is>
          <t>NEW</t>
        </is>
      </c>
      <c r="C114" t="inlineStr">
        <is>
          <t>FWD</t>
        </is>
      </c>
      <c r="D114" t="inlineStr">
        <is>
          <t>FWD</t>
        </is>
      </c>
      <c r="E114" t="n">
        <v>6</v>
      </c>
      <c r="F114" t="b">
        <v>1</v>
      </c>
      <c r="G114" t="b">
        <v>1</v>
      </c>
      <c r="H114" t="n">
        <v>24.5</v>
      </c>
      <c r="I114" t="inlineStr">
        <is>
          <t>a</t>
        </is>
      </c>
      <c r="L114" t="inlineStr">
        <is>
          <t>p470313</t>
        </is>
      </c>
      <c r="M114" t="n">
        <v>463</v>
      </c>
      <c r="N114" t="n">
        <v>1</v>
      </c>
      <c r="Q114" t="n">
        <v>1896</v>
      </c>
      <c r="R114" t="n">
        <v>33</v>
      </c>
      <c r="S114" t="n">
        <v>24</v>
      </c>
      <c r="T114" t="n">
        <v>21.067</v>
      </c>
      <c r="U114" t="n">
        <v>57.5</v>
      </c>
      <c r="V114" t="n">
        <v>108</v>
      </c>
      <c r="W114" t="n">
        <v>5.127</v>
      </c>
      <c r="X114" t="n">
        <v>8</v>
      </c>
      <c r="Y114" t="n">
        <v>4</v>
      </c>
      <c r="Z114" t="n">
        <v>3</v>
      </c>
      <c r="AA114" t="n">
        <v>8</v>
      </c>
      <c r="AB114" t="n">
        <v>29</v>
      </c>
      <c r="AC114" t="n">
        <v>12</v>
      </c>
      <c r="AD114" t="n">
        <v>12</v>
      </c>
      <c r="AE114" t="n">
        <v>0</v>
      </c>
      <c r="AF114" t="n">
        <v>399</v>
      </c>
      <c r="AG114" t="n">
        <v>391</v>
      </c>
      <c r="AH114" t="n">
        <v>-8</v>
      </c>
      <c r="AI114" t="n">
        <v>108</v>
      </c>
      <c r="AJ114" t="n">
        <v>0.111</v>
      </c>
      <c r="AK114" t="n">
        <v>0.125</v>
      </c>
      <c r="AL114" t="n">
        <v>105</v>
      </c>
      <c r="AM114" t="n">
        <v>4.984</v>
      </c>
      <c r="AN114" t="n">
        <v>0</v>
      </c>
      <c r="AO114" t="n">
        <v>0</v>
      </c>
      <c r="AP114" t="n">
        <v>0</v>
      </c>
      <c r="AQ114" t="n">
        <v>0.042</v>
      </c>
      <c r="AR114" t="n">
        <v>0</v>
      </c>
      <c r="AS114" t="n">
        <v>0.632</v>
      </c>
      <c r="AT114" t="n">
        <v>0.636</v>
      </c>
      <c r="AU114" t="n">
        <v>22</v>
      </c>
      <c r="AV114" t="n">
        <v>1</v>
      </c>
      <c r="AW114" t="n">
        <v>3.1</v>
      </c>
      <c r="AX114" t="n">
        <v>13</v>
      </c>
      <c r="AY114" t="n">
        <v>6.59</v>
      </c>
      <c r="AZ114" t="n">
        <v>8.262</v>
      </c>
      <c r="BA114" t="n">
        <v>7.426</v>
      </c>
      <c r="BB114" t="n">
        <v>7.501</v>
      </c>
      <c r="BC114" t="n">
        <v>0.313</v>
      </c>
      <c r="BD114" t="n">
        <v>0.392</v>
      </c>
      <c r="BE114" t="n">
        <v>0.353</v>
      </c>
      <c r="BF114" t="n">
        <v>7.9</v>
      </c>
      <c r="BG114" t="n">
        <v>0.375</v>
      </c>
      <c r="BH114" t="n">
        <v>1.09</v>
      </c>
      <c r="BI114" t="n">
        <v>6.59</v>
      </c>
      <c r="BJ114" t="n">
        <v>7.182</v>
      </c>
      <c r="BK114" t="n">
        <v>0.341</v>
      </c>
      <c r="BL114" t="n">
        <v>0.574</v>
      </c>
      <c r="BM114" t="n">
        <v>1.31</v>
      </c>
      <c r="BN114" t="n">
        <v>0.1</v>
      </c>
      <c r="BO114" t="n">
        <v>-1.672</v>
      </c>
      <c r="BP114" t="n">
        <v>32</v>
      </c>
      <c r="BQ114" t="n">
        <v>13</v>
      </c>
      <c r="BR114" t="n">
        <v>6</v>
      </c>
      <c r="BS114" t="n">
        <v>86</v>
      </c>
      <c r="BT114" t="n">
        <v>4.082</v>
      </c>
      <c r="BU114" t="n">
        <v>1</v>
      </c>
      <c r="BV114" t="n">
        <v>2</v>
      </c>
      <c r="BW114" t="n">
        <v>1.53</v>
      </c>
      <c r="BX114" t="n">
        <v>2.901</v>
      </c>
      <c r="BY114" t="n">
        <v>2.216</v>
      </c>
      <c r="BZ114" t="n">
        <v>0.105</v>
      </c>
      <c r="CA114" t="n">
        <v>9.641999999999999</v>
      </c>
      <c r="CB114" t="n">
        <v>0.458</v>
      </c>
      <c r="CC114" t="n">
        <v>22</v>
      </c>
      <c r="CD114" t="n">
        <v>5</v>
      </c>
      <c r="CE114" t="n">
        <v>22</v>
      </c>
      <c r="CG114" t="n">
        <v>2</v>
      </c>
      <c r="CI114" t="n">
        <v>8.792</v>
      </c>
      <c r="CJ114" t="n">
        <v>2.301</v>
      </c>
      <c r="CK114" t="n">
        <v>28</v>
      </c>
      <c r="CL114" t="n">
        <v>53</v>
      </c>
      <c r="CM114" t="n">
        <v>24</v>
      </c>
      <c r="CN114" t="n">
        <v>12</v>
      </c>
      <c r="CO114" t="n">
        <v>5</v>
      </c>
      <c r="CP114" t="n">
        <v>21</v>
      </c>
      <c r="CQ114" t="n">
        <v>2</v>
      </c>
      <c r="CR114" t="n">
        <v>92</v>
      </c>
      <c r="CS114" t="n">
        <v>35</v>
      </c>
      <c r="CT114" t="n">
        <v>0.6</v>
      </c>
      <c r="CW114" t="n">
        <v>25.67</v>
      </c>
      <c r="CX114" t="n">
        <v>1.219</v>
      </c>
      <c r="CY114" t="n">
        <v>0</v>
      </c>
      <c r="DB114" t="n">
        <v>0</v>
      </c>
      <c r="DE114" t="n">
        <v>6.66</v>
      </c>
      <c r="DF114" t="n">
        <v>0</v>
      </c>
      <c r="DG114" t="n">
        <v>0</v>
      </c>
      <c r="DH114" t="n">
        <v>20</v>
      </c>
      <c r="DI114" t="n">
        <v>20</v>
      </c>
      <c r="DL114" t="n">
        <v>13</v>
      </c>
      <c r="DM114" t="n">
        <v>42</v>
      </c>
      <c r="DN114" t="n">
        <v>8</v>
      </c>
      <c r="DO114" t="n">
        <v>1.7</v>
      </c>
      <c r="DP114" t="n">
        <v>102.38</v>
      </c>
      <c r="DQ114" t="n">
        <v>51.2</v>
      </c>
      <c r="DR114" t="n">
        <v>102.4</v>
      </c>
      <c r="DS114" t="n">
        <v>-0.02</v>
      </c>
      <c r="DT114" t="n">
        <v>2371</v>
      </c>
      <c r="DU114" t="n">
        <v>62.4</v>
      </c>
      <c r="DV114" t="inlineStr">
        <is>
          <t>flat</t>
        </is>
      </c>
      <c r="DW114" t="n">
        <v>66.56999999999999</v>
      </c>
      <c r="DX114" t="n">
        <v>72.48</v>
      </c>
      <c r="DY114" t="n">
        <v>62.6</v>
      </c>
      <c r="DZ114" t="n">
        <v>-3.98</v>
      </c>
      <c r="EA114" t="n">
        <v>1244</v>
      </c>
      <c r="EB114" t="n">
        <v>26.44</v>
      </c>
      <c r="EC114" t="n">
        <v>6.29</v>
      </c>
      <c r="ED114" t="n">
        <v>120</v>
      </c>
      <c r="EE114" t="n">
        <v>2353</v>
      </c>
      <c r="EF114" t="b">
        <v>1</v>
      </c>
      <c r="EG114" t="n">
        <v>82.3</v>
      </c>
      <c r="EH114" t="n">
        <v>41.3</v>
      </c>
      <c r="EI114" t="n">
        <v>79</v>
      </c>
      <c r="EJ114" t="n">
        <v>59.2</v>
      </c>
      <c r="EK114" t="n">
        <v>22</v>
      </c>
      <c r="EL114" t="n">
        <v>86.2</v>
      </c>
      <c r="EM114" t="n">
        <v>255.3</v>
      </c>
      <c r="EN114" t="n">
        <v>855.7</v>
      </c>
      <c r="EO114" t="n">
        <v>196.6</v>
      </c>
      <c r="EP114" t="n">
        <v>17.6</v>
      </c>
    </row>
    <row r="115">
      <c r="A115" t="inlineStr">
        <is>
          <t>João Gomes</t>
        </is>
      </c>
      <c r="B115" t="inlineStr">
        <is>
          <t>AVL</t>
        </is>
      </c>
      <c r="C115" t="inlineStr">
        <is>
          <t>MID</t>
        </is>
      </c>
      <c r="D115" t="inlineStr">
        <is>
          <t>MID</t>
        </is>
      </c>
      <c r="E115" t="n">
        <v>5.5</v>
      </c>
      <c r="F115" t="b">
        <v>1</v>
      </c>
      <c r="G115" t="b">
        <v>1</v>
      </c>
      <c r="H115" t="n">
        <v>25.5</v>
      </c>
      <c r="I115" t="inlineStr">
        <is>
          <t>a</t>
        </is>
      </c>
      <c r="L115" t="inlineStr">
        <is>
          <t>p448089</t>
        </is>
      </c>
      <c r="M115" t="n">
        <v>54</v>
      </c>
      <c r="Q115" t="n">
        <v>2829</v>
      </c>
      <c r="R115" t="n">
        <v>35</v>
      </c>
      <c r="S115" t="n">
        <v>32</v>
      </c>
      <c r="T115" t="n">
        <v>31.433</v>
      </c>
      <c r="U115" t="n">
        <v>80.8</v>
      </c>
      <c r="V115" t="n">
        <v>107</v>
      </c>
      <c r="W115" t="n">
        <v>3.404</v>
      </c>
      <c r="X115" t="n">
        <v>1</v>
      </c>
      <c r="Y115" t="n">
        <v>2</v>
      </c>
      <c r="Z115" t="n">
        <v>1</v>
      </c>
      <c r="AA115" t="n">
        <v>4</v>
      </c>
      <c r="AB115" t="n">
        <v>56</v>
      </c>
      <c r="AC115" t="n">
        <v>6</v>
      </c>
      <c r="AD115" t="n">
        <v>6</v>
      </c>
      <c r="AE115" t="n">
        <v>0</v>
      </c>
      <c r="AF115" t="n">
        <v>529</v>
      </c>
      <c r="AG115" t="n">
        <v>513</v>
      </c>
      <c r="AH115" t="n">
        <v>-16</v>
      </c>
      <c r="AI115" t="n">
        <v>107</v>
      </c>
      <c r="AJ115" t="n">
        <v>0.056</v>
      </c>
      <c r="AK115" t="n">
        <v>0.059</v>
      </c>
      <c r="AL115" t="n">
        <v>387</v>
      </c>
      <c r="AM115" t="n">
        <v>12.312</v>
      </c>
      <c r="AN115" t="n">
        <v>15</v>
      </c>
      <c r="AO115" t="n">
        <v>30</v>
      </c>
      <c r="AP115" t="n">
        <v>0.469</v>
      </c>
      <c r="AQ115" t="n">
        <v>0.656</v>
      </c>
      <c r="AR115" t="n">
        <v>0.469</v>
      </c>
      <c r="AS115" t="n">
        <v>0.842</v>
      </c>
      <c r="AT115" t="n">
        <v>0.886</v>
      </c>
      <c r="AU115" t="n">
        <v>17</v>
      </c>
      <c r="AV115" t="n">
        <v>1</v>
      </c>
      <c r="AW115" t="n">
        <v>2.41</v>
      </c>
      <c r="AX115" t="n">
        <v>14</v>
      </c>
      <c r="AY115" t="n">
        <v>1.29</v>
      </c>
      <c r="AZ115" t="n">
        <v>1.246</v>
      </c>
      <c r="BA115" t="n">
        <v>1.268</v>
      </c>
      <c r="BB115" t="n">
        <v>1.246</v>
      </c>
      <c r="BC115" t="n">
        <v>0.041</v>
      </c>
      <c r="BD115" t="n">
        <v>0.04</v>
      </c>
      <c r="BE115" t="n">
        <v>0.04</v>
      </c>
      <c r="BF115" t="n">
        <v>2.4</v>
      </c>
      <c r="BG115" t="n">
        <v>0.076</v>
      </c>
      <c r="BH115" t="n">
        <v>0.962</v>
      </c>
      <c r="BI115" t="n">
        <v>6.35</v>
      </c>
      <c r="BJ115" t="n">
        <v>1.241</v>
      </c>
      <c r="BK115" t="n">
        <v>0.039</v>
      </c>
      <c r="BL115" t="n">
        <v>-0.268</v>
      </c>
      <c r="BM115" t="n">
        <v>1.11</v>
      </c>
      <c r="BN115" t="n">
        <v>-1.4</v>
      </c>
      <c r="BO115" t="n">
        <v>0.044</v>
      </c>
      <c r="BP115" t="n">
        <v>19</v>
      </c>
      <c r="BQ115" t="n">
        <v>7</v>
      </c>
      <c r="BS115" t="n">
        <v>36</v>
      </c>
      <c r="BT115" t="n">
        <v>1.145</v>
      </c>
      <c r="BW115" t="n">
        <v>2.09</v>
      </c>
      <c r="BX115" t="n">
        <v>1.442</v>
      </c>
      <c r="BY115" t="n">
        <v>1.766</v>
      </c>
      <c r="BZ115" t="n">
        <v>0.056</v>
      </c>
      <c r="CA115" t="n">
        <v>3.034</v>
      </c>
      <c r="CB115" t="n">
        <v>0.097</v>
      </c>
      <c r="CC115" t="n">
        <v>16</v>
      </c>
      <c r="CD115" t="n">
        <v>2</v>
      </c>
      <c r="CE115" t="n">
        <v>16</v>
      </c>
      <c r="CF115" t="n">
        <v>11</v>
      </c>
      <c r="CG115" t="n">
        <v>1</v>
      </c>
      <c r="CH115" t="n">
        <v>0</v>
      </c>
      <c r="CI115" t="n">
        <v>6.202</v>
      </c>
      <c r="CJ115" t="n">
        <v>5.079</v>
      </c>
      <c r="CK115" t="n">
        <v>87</v>
      </c>
      <c r="CL115" t="n">
        <v>193</v>
      </c>
      <c r="CM115" t="n">
        <v>107</v>
      </c>
      <c r="CN115" t="n">
        <v>68</v>
      </c>
      <c r="CO115" t="n">
        <v>36</v>
      </c>
      <c r="CP115" t="n">
        <v>45</v>
      </c>
      <c r="CQ115" t="n">
        <v>6</v>
      </c>
      <c r="CR115" t="n">
        <v>226</v>
      </c>
      <c r="CS115" t="n">
        <v>27</v>
      </c>
      <c r="CT115" t="n">
        <v>0.4</v>
      </c>
      <c r="CU115" t="n">
        <v>1</v>
      </c>
      <c r="CV115" t="n">
        <v>2</v>
      </c>
      <c r="CW115" t="n">
        <v>48.6</v>
      </c>
      <c r="CX115" t="n">
        <v>1.546</v>
      </c>
      <c r="CY115" t="n">
        <v>0</v>
      </c>
      <c r="DB115" t="n">
        <v>0</v>
      </c>
      <c r="DE115" t="n">
        <v>6.94</v>
      </c>
      <c r="DF115" t="n">
        <v>10</v>
      </c>
      <c r="DG115" t="n">
        <v>0</v>
      </c>
      <c r="DH115" t="n">
        <v>69</v>
      </c>
      <c r="DI115" t="n">
        <v>49</v>
      </c>
      <c r="DL115" t="n">
        <v>43</v>
      </c>
      <c r="DM115" t="n">
        <v>55</v>
      </c>
      <c r="DN115" t="n">
        <v>1</v>
      </c>
      <c r="DO115" t="n">
        <v>0.3</v>
      </c>
      <c r="DP115" t="n">
        <v>122.87</v>
      </c>
      <c r="DQ115" t="n">
        <v>57.18</v>
      </c>
      <c r="DR115" t="n">
        <v>114.36</v>
      </c>
      <c r="DS115" t="n">
        <v>8.51</v>
      </c>
      <c r="DT115" t="n">
        <v>3067</v>
      </c>
      <c r="DU115" t="n">
        <v>80.7</v>
      </c>
      <c r="DV115" t="inlineStr">
        <is>
          <t>ramp-up (injury / late WC return)</t>
        </is>
      </c>
      <c r="DW115" t="n">
        <v>82.19</v>
      </c>
      <c r="DX115" t="n">
        <v>81.58</v>
      </c>
      <c r="DY115" t="n">
        <v>79.22</v>
      </c>
      <c r="DZ115" t="n">
        <v>-2.96</v>
      </c>
      <c r="EA115" t="n">
        <v>57</v>
      </c>
      <c r="EB115" t="n">
        <v>23.91</v>
      </c>
      <c r="EC115" t="n">
        <v>11</v>
      </c>
      <c r="ED115" t="n">
        <v>117.87</v>
      </c>
      <c r="EE115" t="n">
        <v>94</v>
      </c>
      <c r="EF115" t="b">
        <v>1</v>
      </c>
      <c r="EG115" t="n">
        <v>2.3</v>
      </c>
      <c r="EH115" t="n">
        <v>16.8</v>
      </c>
      <c r="EI115" t="n">
        <v>143</v>
      </c>
      <c r="EJ115" t="n">
        <v>148.9</v>
      </c>
      <c r="EK115" t="n">
        <v>78.59999999999999</v>
      </c>
      <c r="EL115" t="n">
        <v>176.8</v>
      </c>
      <c r="EM115" t="n">
        <v>2230.8</v>
      </c>
      <c r="EN115" t="n">
        <v>1602</v>
      </c>
      <c r="EO115" t="n">
        <v>932.4</v>
      </c>
      <c r="EP115" t="n">
        <v>26.4</v>
      </c>
    </row>
    <row r="116">
      <c r="A116" t="inlineStr">
        <is>
          <t>Harvey Barnes</t>
        </is>
      </c>
      <c r="B116" t="inlineStr">
        <is>
          <t>NEW</t>
        </is>
      </c>
      <c r="C116" t="inlineStr">
        <is>
          <t>MID</t>
        </is>
      </c>
      <c r="D116" t="inlineStr">
        <is>
          <t>MID</t>
        </is>
      </c>
      <c r="E116" t="n">
        <v>6</v>
      </c>
      <c r="F116" t="b">
        <v>1</v>
      </c>
      <c r="G116" t="b">
        <v>1</v>
      </c>
      <c r="H116" t="n">
        <v>28.7</v>
      </c>
      <c r="I116" t="inlineStr">
        <is>
          <t>a</t>
        </is>
      </c>
      <c r="L116" t="inlineStr">
        <is>
          <t>p201666</t>
        </is>
      </c>
      <c r="M116" t="n">
        <v>453</v>
      </c>
      <c r="Q116" t="n">
        <v>1951</v>
      </c>
      <c r="R116" t="n">
        <v>37</v>
      </c>
      <c r="S116" t="n">
        <v>19</v>
      </c>
      <c r="T116" t="n">
        <v>21.678</v>
      </c>
      <c r="U116" t="n">
        <v>52.7</v>
      </c>
      <c r="V116" t="n">
        <v>106</v>
      </c>
      <c r="W116" t="n">
        <v>4.89</v>
      </c>
      <c r="X116" t="n">
        <v>7</v>
      </c>
      <c r="Y116" t="n">
        <v>1</v>
      </c>
      <c r="Z116" t="n">
        <v>1</v>
      </c>
      <c r="AA116" t="n">
        <v>5</v>
      </c>
      <c r="AB116" t="n">
        <v>31</v>
      </c>
      <c r="AC116" t="n">
        <v>9</v>
      </c>
      <c r="AD116" t="n">
        <v>10</v>
      </c>
      <c r="AE116" t="n">
        <v>1</v>
      </c>
      <c r="AF116" t="n">
        <v>349</v>
      </c>
      <c r="AG116" t="n">
        <v>345</v>
      </c>
      <c r="AH116" t="n">
        <v>-4</v>
      </c>
      <c r="AI116" t="n">
        <v>107</v>
      </c>
      <c r="AJ116" t="n">
        <v>0.08500000000000001</v>
      </c>
      <c r="AK116" t="n">
        <v>0.093</v>
      </c>
      <c r="AL116" t="n">
        <v>100</v>
      </c>
      <c r="AM116" t="n">
        <v>4.613</v>
      </c>
      <c r="AN116" t="n">
        <v>0</v>
      </c>
      <c r="AO116" t="n">
        <v>0</v>
      </c>
      <c r="AP116" t="n">
        <v>0</v>
      </c>
      <c r="AQ116" t="n">
        <v>0</v>
      </c>
      <c r="AR116" t="n">
        <v>0</v>
      </c>
      <c r="AS116" t="n">
        <v>0.5</v>
      </c>
      <c r="AT116" t="n">
        <v>0.486</v>
      </c>
      <c r="AU116" t="n">
        <v>26</v>
      </c>
      <c r="AV116" t="n">
        <v>2</v>
      </c>
      <c r="AW116" t="n">
        <v>3.46</v>
      </c>
      <c r="AX116" t="n">
        <v>15</v>
      </c>
      <c r="AY116" t="n">
        <v>6.84</v>
      </c>
      <c r="AZ116" t="n">
        <v>8.051</v>
      </c>
      <c r="BA116" t="n">
        <v>7.445</v>
      </c>
      <c r="BB116" t="n">
        <v>8.051</v>
      </c>
      <c r="BC116" t="n">
        <v>0.316</v>
      </c>
      <c r="BD116" t="n">
        <v>0.371</v>
      </c>
      <c r="BE116" t="n">
        <v>0.343</v>
      </c>
      <c r="BF116" t="n">
        <v>6.8</v>
      </c>
      <c r="BG116" t="n">
        <v>0.314</v>
      </c>
      <c r="BH116" t="n">
        <v>1.136</v>
      </c>
      <c r="BI116" t="n">
        <v>26.14</v>
      </c>
      <c r="BJ116" t="n">
        <v>7.774</v>
      </c>
      <c r="BK116" t="n">
        <v>0.359</v>
      </c>
      <c r="BL116" t="n">
        <v>-0.445</v>
      </c>
      <c r="BM116" t="n">
        <v>-0.04</v>
      </c>
      <c r="BN116" t="n">
        <v>0.2</v>
      </c>
      <c r="BO116" t="n">
        <v>-1.211</v>
      </c>
      <c r="BP116" t="n">
        <v>58</v>
      </c>
      <c r="BQ116" t="n">
        <v>21</v>
      </c>
      <c r="BR116" t="n">
        <v>9</v>
      </c>
      <c r="BS116" t="n">
        <v>141</v>
      </c>
      <c r="BT116" t="n">
        <v>6.504</v>
      </c>
      <c r="BW116" t="n">
        <v>2.72</v>
      </c>
      <c r="BX116" t="n">
        <v>3.106</v>
      </c>
      <c r="BY116" t="n">
        <v>2.913</v>
      </c>
      <c r="BZ116" t="n">
        <v>0.134</v>
      </c>
      <c r="CA116" t="n">
        <v>10.358</v>
      </c>
      <c r="CB116" t="n">
        <v>0.478</v>
      </c>
      <c r="CC116" t="n">
        <v>23</v>
      </c>
      <c r="CD116" t="n">
        <v>4</v>
      </c>
      <c r="CE116" t="n">
        <v>23</v>
      </c>
      <c r="CF116" t="n">
        <v>15</v>
      </c>
      <c r="CG116" t="n">
        <v>1</v>
      </c>
      <c r="CH116" t="n">
        <v>2</v>
      </c>
      <c r="CI116" t="n">
        <v>12.754</v>
      </c>
      <c r="CJ116" t="n">
        <v>4.153</v>
      </c>
      <c r="CK116" t="n">
        <v>20</v>
      </c>
      <c r="CL116" t="n">
        <v>67</v>
      </c>
      <c r="CM116" t="n">
        <v>13</v>
      </c>
      <c r="CN116" t="n">
        <v>5</v>
      </c>
      <c r="CO116" t="n">
        <v>3</v>
      </c>
      <c r="CP116" t="n">
        <v>16</v>
      </c>
      <c r="CQ116" t="n">
        <v>1</v>
      </c>
      <c r="CR116" t="n">
        <v>56</v>
      </c>
      <c r="CS116" t="n">
        <v>7</v>
      </c>
      <c r="CT116" t="n">
        <v>0.5</v>
      </c>
      <c r="CV116" t="n">
        <v>1</v>
      </c>
      <c r="CW116" t="n">
        <v>30.3</v>
      </c>
      <c r="CX116" t="n">
        <v>1.398</v>
      </c>
      <c r="CY116" t="n">
        <v>0</v>
      </c>
      <c r="DB116" t="n">
        <v>0</v>
      </c>
      <c r="DE116" t="n">
        <v>6.63</v>
      </c>
      <c r="DF116" t="n">
        <v>1</v>
      </c>
      <c r="DG116" t="n">
        <v>0</v>
      </c>
      <c r="DH116" t="n">
        <v>17</v>
      </c>
      <c r="DI116" t="n">
        <v>23</v>
      </c>
      <c r="DL116" t="n">
        <v>13</v>
      </c>
      <c r="DM116" t="n">
        <v>24</v>
      </c>
      <c r="DN116" t="n">
        <v>3</v>
      </c>
      <c r="DO116" t="n">
        <v>1.2</v>
      </c>
      <c r="DP116" t="n">
        <v>125.3</v>
      </c>
      <c r="DQ116" t="n">
        <v>62.66</v>
      </c>
      <c r="DR116" t="n">
        <v>125.32</v>
      </c>
      <c r="DS116" t="n">
        <v>-0.02</v>
      </c>
      <c r="DT116" t="n">
        <v>2308</v>
      </c>
      <c r="DU116" t="n">
        <v>60.75</v>
      </c>
      <c r="DV116" t="inlineStr">
        <is>
          <t>flat</t>
        </is>
      </c>
      <c r="DW116" t="n">
        <v>75.83</v>
      </c>
      <c r="DX116" t="n">
        <v>80.36</v>
      </c>
      <c r="DY116" t="n">
        <v>73.38</v>
      </c>
      <c r="DZ116" t="n">
        <v>-2.45</v>
      </c>
      <c r="EA116" t="n">
        <v>743</v>
      </c>
      <c r="EB116" t="n">
        <v>21.67</v>
      </c>
      <c r="EC116" t="n">
        <v>15.11</v>
      </c>
      <c r="ED116" t="n">
        <v>120</v>
      </c>
      <c r="EE116" t="n">
        <v>1429</v>
      </c>
      <c r="EF116" t="b">
        <v>1</v>
      </c>
      <c r="EG116" t="n">
        <v>32.4</v>
      </c>
      <c r="EH116" t="n">
        <v>9.4</v>
      </c>
      <c r="EI116" t="n">
        <v>80</v>
      </c>
      <c r="EJ116" t="n">
        <v>33.6</v>
      </c>
      <c r="EK116" t="n">
        <v>13.8</v>
      </c>
      <c r="EL116" t="n">
        <v>84.8</v>
      </c>
      <c r="EM116" t="n">
        <v>262</v>
      </c>
      <c r="EN116" t="n">
        <v>669.7</v>
      </c>
      <c r="EO116" t="n">
        <v>188.3</v>
      </c>
      <c r="EP116" t="n">
        <v>18.4</v>
      </c>
    </row>
    <row r="117">
      <c r="A117" t="inlineStr">
        <is>
          <t>Matz Sels</t>
        </is>
      </c>
      <c r="B117" t="inlineStr">
        <is>
          <t>NFO</t>
        </is>
      </c>
      <c r="C117" t="inlineStr">
        <is>
          <t>GKP</t>
        </is>
      </c>
      <c r="D117" t="inlineStr">
        <is>
          <t>GKP</t>
        </is>
      </c>
      <c r="E117" t="n">
        <v>5</v>
      </c>
      <c r="F117" t="b">
        <v>1</v>
      </c>
      <c r="G117" t="b">
        <v>1</v>
      </c>
      <c r="H117" t="n">
        <v>34.5</v>
      </c>
      <c r="I117" t="inlineStr">
        <is>
          <t>a</t>
        </is>
      </c>
      <c r="L117" t="inlineStr">
        <is>
          <t>p85633</t>
        </is>
      </c>
      <c r="M117" t="n">
        <v>467</v>
      </c>
      <c r="Q117" t="n">
        <v>2667</v>
      </c>
      <c r="R117" t="n">
        <v>31</v>
      </c>
      <c r="S117" t="n">
        <v>30</v>
      </c>
      <c r="T117" t="n">
        <v>29.633</v>
      </c>
      <c r="U117" t="n">
        <v>86</v>
      </c>
      <c r="V117" t="n">
        <v>105</v>
      </c>
      <c r="W117" t="n">
        <v>3.543</v>
      </c>
      <c r="X117" t="n">
        <v>0</v>
      </c>
      <c r="Y117" t="n">
        <v>0</v>
      </c>
      <c r="AA117" t="n">
        <v>7</v>
      </c>
      <c r="AB117" t="n">
        <v>39</v>
      </c>
      <c r="AC117" t="n">
        <v>3</v>
      </c>
      <c r="AD117" t="n">
        <v>4</v>
      </c>
      <c r="AE117" t="n">
        <v>1</v>
      </c>
      <c r="AF117" t="n">
        <v>431</v>
      </c>
      <c r="AG117" t="n">
        <v>424</v>
      </c>
      <c r="AH117" t="n">
        <v>-7</v>
      </c>
      <c r="AI117" t="n">
        <v>106</v>
      </c>
      <c r="AJ117" t="n">
        <v>0.029</v>
      </c>
      <c r="AK117" t="n">
        <v>0.029</v>
      </c>
      <c r="AL117" t="n">
        <v>0</v>
      </c>
      <c r="AM117" t="n">
        <v>0</v>
      </c>
      <c r="AN117" t="n">
        <v>0</v>
      </c>
      <c r="AO117" t="n">
        <v>0</v>
      </c>
      <c r="AP117" t="n">
        <v>0</v>
      </c>
      <c r="AQ117" t="n">
        <v>0</v>
      </c>
      <c r="AR117" t="n">
        <v>0</v>
      </c>
      <c r="AS117" t="n">
        <v>0.789</v>
      </c>
      <c r="AT117" t="n">
        <v>0.9350000000000001</v>
      </c>
      <c r="AU117" t="n">
        <v>17</v>
      </c>
      <c r="AV117" t="n">
        <v>1</v>
      </c>
      <c r="AW117" t="n">
        <v>2.54</v>
      </c>
      <c r="AX117" t="n">
        <v>10</v>
      </c>
      <c r="AY117" t="n">
        <v>0</v>
      </c>
      <c r="AZ117" t="n">
        <v>0</v>
      </c>
      <c r="BA117" t="n">
        <v>0</v>
      </c>
      <c r="BB117" t="n">
        <v>0</v>
      </c>
      <c r="BC117" t="n">
        <v>0</v>
      </c>
      <c r="BD117" t="n">
        <v>0</v>
      </c>
      <c r="BE117" t="n">
        <v>0</v>
      </c>
      <c r="BH117" t="n">
        <v>1</v>
      </c>
      <c r="BI117" t="n">
        <v>0</v>
      </c>
      <c r="BJ117" t="n">
        <v>0</v>
      </c>
      <c r="BK117" t="n">
        <v>0</v>
      </c>
      <c r="BL117" t="n">
        <v>0</v>
      </c>
      <c r="BO117" t="n">
        <v>0</v>
      </c>
      <c r="BW117" t="n">
        <v>0.06</v>
      </c>
      <c r="BX117" t="n">
        <v>0</v>
      </c>
      <c r="BY117" t="n">
        <v>0.03</v>
      </c>
      <c r="BZ117" t="n">
        <v>0.001</v>
      </c>
      <c r="CA117" t="n">
        <v>0.03</v>
      </c>
      <c r="CB117" t="n">
        <v>0.001</v>
      </c>
      <c r="CC117" t="n">
        <v>0</v>
      </c>
      <c r="CE117" t="n">
        <v>1</v>
      </c>
      <c r="CI117" t="n">
        <v>2.226</v>
      </c>
      <c r="CJ117" t="n">
        <v>2.226</v>
      </c>
      <c r="CK117" t="n">
        <v>26</v>
      </c>
      <c r="CL117" t="n">
        <v>197</v>
      </c>
      <c r="CM117" t="n">
        <v>1</v>
      </c>
      <c r="CN117" t="n">
        <v>1</v>
      </c>
      <c r="CP117" t="n">
        <v>26</v>
      </c>
      <c r="CQ117" t="n">
        <v>0</v>
      </c>
      <c r="CR117" t="n">
        <v>11</v>
      </c>
      <c r="CS117" t="n">
        <v>5</v>
      </c>
      <c r="CU117" t="n">
        <v>2</v>
      </c>
      <c r="CV117" t="n">
        <v>1</v>
      </c>
      <c r="CW117" t="n">
        <v>45.12</v>
      </c>
      <c r="CX117" t="n">
        <v>1.523</v>
      </c>
      <c r="CY117" t="n">
        <v>95</v>
      </c>
      <c r="CZ117" t="n">
        <v>70.90000000000001</v>
      </c>
      <c r="DA117" t="n">
        <v>0</v>
      </c>
      <c r="DB117" t="n">
        <v>1</v>
      </c>
      <c r="DC117" t="n">
        <v>15</v>
      </c>
      <c r="DD117" t="n">
        <v>12</v>
      </c>
      <c r="DE117" t="n">
        <v>6.93</v>
      </c>
      <c r="DF117" t="n">
        <v>2</v>
      </c>
      <c r="DG117" t="n">
        <v>0</v>
      </c>
      <c r="DI117" t="n">
        <v>5</v>
      </c>
      <c r="DO117" t="n">
        <v>1.5</v>
      </c>
      <c r="DP117" t="n">
        <v>123.72</v>
      </c>
      <c r="DQ117" t="n">
        <v>61.86</v>
      </c>
      <c r="DR117" t="n">
        <v>123.72</v>
      </c>
      <c r="DS117" t="n">
        <v>0</v>
      </c>
      <c r="DT117" t="n">
        <v>3385</v>
      </c>
      <c r="DU117" t="n">
        <v>89.09</v>
      </c>
      <c r="DV117" t="inlineStr">
        <is>
          <t>flat</t>
        </is>
      </c>
      <c r="DW117" t="n">
        <v>101.48</v>
      </c>
      <c r="DX117" t="n">
        <v>106.37</v>
      </c>
      <c r="DY117" t="n">
        <v>99.38</v>
      </c>
      <c r="DZ117" t="n">
        <v>-2.11</v>
      </c>
      <c r="EA117" t="n">
        <v>1222</v>
      </c>
      <c r="EB117" t="n">
        <v>19.36</v>
      </c>
      <c r="EC117" t="n">
        <v>12</v>
      </c>
      <c r="ED117" t="n">
        <v>120</v>
      </c>
      <c r="EE117" t="n">
        <v>2089</v>
      </c>
      <c r="EF117" t="b">
        <v>1</v>
      </c>
      <c r="EG117" t="n">
        <v>89</v>
      </c>
      <c r="EH117" t="n">
        <v>51.9</v>
      </c>
      <c r="EI117" t="n">
        <v>242</v>
      </c>
      <c r="EL117" t="n">
        <v>2667</v>
      </c>
      <c r="EN117" t="n">
        <v>88900</v>
      </c>
      <c r="EO117" t="n">
        <v>88900</v>
      </c>
      <c r="EP117" t="n">
        <v>25.4</v>
      </c>
    </row>
    <row r="118">
      <c r="A118" t="inlineStr">
        <is>
          <t>Beto</t>
        </is>
      </c>
      <c r="B118" t="inlineStr">
        <is>
          <t>EVE</t>
        </is>
      </c>
      <c r="C118" t="inlineStr">
        <is>
          <t>FWD</t>
        </is>
      </c>
      <c r="D118" t="inlineStr">
        <is>
          <t>FWD</t>
        </is>
      </c>
      <c r="E118" t="n">
        <v>5.5</v>
      </c>
      <c r="F118" t="b">
        <v>1</v>
      </c>
      <c r="G118" t="b">
        <v>1</v>
      </c>
      <c r="H118" t="n">
        <v>28.6</v>
      </c>
      <c r="I118" t="inlineStr">
        <is>
          <t>a</t>
        </is>
      </c>
      <c r="L118" t="inlineStr">
        <is>
          <t>p486385</t>
        </is>
      </c>
      <c r="M118" t="n">
        <v>248</v>
      </c>
      <c r="N118" t="n">
        <v>4</v>
      </c>
      <c r="Q118" t="n">
        <v>1551</v>
      </c>
      <c r="R118" t="n">
        <v>37</v>
      </c>
      <c r="S118" t="n">
        <v>17</v>
      </c>
      <c r="T118" t="n">
        <v>17.233</v>
      </c>
      <c r="U118" t="n">
        <v>41.9</v>
      </c>
      <c r="V118" t="n">
        <v>104</v>
      </c>
      <c r="W118" t="n">
        <v>6.035</v>
      </c>
      <c r="X118" t="n">
        <v>9</v>
      </c>
      <c r="Y118" t="n">
        <v>1</v>
      </c>
      <c r="Z118" t="n">
        <v>1</v>
      </c>
      <c r="AA118" t="n">
        <v>5</v>
      </c>
      <c r="AB118" t="n">
        <v>19</v>
      </c>
      <c r="AC118" t="n">
        <v>15</v>
      </c>
      <c r="AD118" t="n">
        <v>16</v>
      </c>
      <c r="AE118" t="n">
        <v>1</v>
      </c>
      <c r="AF118" t="n">
        <v>343</v>
      </c>
      <c r="AG118" t="n">
        <v>335</v>
      </c>
      <c r="AH118" t="n">
        <v>-8</v>
      </c>
      <c r="AI118" t="n">
        <v>105</v>
      </c>
      <c r="AJ118" t="n">
        <v>0.144</v>
      </c>
      <c r="AK118" t="n">
        <v>0.169</v>
      </c>
      <c r="AL118" t="n">
        <v>89</v>
      </c>
      <c r="AM118" t="n">
        <v>5.164</v>
      </c>
      <c r="AN118" t="n">
        <v>0</v>
      </c>
      <c r="AO118" t="n">
        <v>0</v>
      </c>
      <c r="AP118" t="n">
        <v>0</v>
      </c>
      <c r="AQ118" t="n">
        <v>0</v>
      </c>
      <c r="AR118" t="n">
        <v>0</v>
      </c>
      <c r="AS118" t="n">
        <v>0.447</v>
      </c>
      <c r="AT118" t="n">
        <v>0.432</v>
      </c>
      <c r="AU118" t="n">
        <v>29</v>
      </c>
      <c r="AV118" t="n">
        <v>1</v>
      </c>
      <c r="AW118" t="n">
        <v>3.38</v>
      </c>
      <c r="AX118" t="n">
        <v>16</v>
      </c>
      <c r="AY118" t="n">
        <v>8.9</v>
      </c>
      <c r="AZ118" t="n">
        <v>10.948</v>
      </c>
      <c r="BA118" t="n">
        <v>9.923999999999999</v>
      </c>
      <c r="BB118" t="n">
        <v>10.948</v>
      </c>
      <c r="BC118" t="n">
        <v>0.516</v>
      </c>
      <c r="BD118" t="n">
        <v>0.635</v>
      </c>
      <c r="BE118" t="n">
        <v>0.576</v>
      </c>
      <c r="BF118" t="n">
        <v>8.800000000000001</v>
      </c>
      <c r="BG118" t="n">
        <v>0.511</v>
      </c>
      <c r="BH118" t="n">
        <v>0.992</v>
      </c>
      <c r="BI118" t="n">
        <v>23.25</v>
      </c>
      <c r="BJ118" t="n">
        <v>8.829000000000001</v>
      </c>
      <c r="BK118" t="n">
        <v>0.512</v>
      </c>
      <c r="BL118" t="n">
        <v>-0.924</v>
      </c>
      <c r="BM118" t="n">
        <v>-0.1</v>
      </c>
      <c r="BN118" t="n">
        <v>0.2</v>
      </c>
      <c r="BO118" t="n">
        <v>-2.048</v>
      </c>
      <c r="BP118" t="n">
        <v>43</v>
      </c>
      <c r="BQ118" t="n">
        <v>17</v>
      </c>
      <c r="BR118" t="n">
        <v>10</v>
      </c>
      <c r="BS118" t="n">
        <v>95</v>
      </c>
      <c r="BT118" t="n">
        <v>5.513</v>
      </c>
      <c r="BV118" t="n">
        <v>3</v>
      </c>
      <c r="BW118" t="n">
        <v>0.23</v>
      </c>
      <c r="BX118" t="n">
        <v>1.004</v>
      </c>
      <c r="BY118" t="n">
        <v>0.617</v>
      </c>
      <c r="BZ118" t="n">
        <v>0.036</v>
      </c>
      <c r="CA118" t="n">
        <v>10.541</v>
      </c>
      <c r="CB118" t="n">
        <v>0.612</v>
      </c>
      <c r="CC118" t="n">
        <v>12</v>
      </c>
      <c r="CD118" t="n">
        <v>1</v>
      </c>
      <c r="CE118" t="n">
        <v>12</v>
      </c>
      <c r="CI118" t="n">
        <v>12.097</v>
      </c>
      <c r="CJ118" t="n">
        <v>0.9320000000000001</v>
      </c>
      <c r="CK118" t="n">
        <v>49</v>
      </c>
      <c r="CL118" t="n">
        <v>26</v>
      </c>
      <c r="CM118" t="n">
        <v>14</v>
      </c>
      <c r="CN118" t="n">
        <v>4</v>
      </c>
      <c r="CO118" t="n">
        <v>1</v>
      </c>
      <c r="CP118" t="n">
        <v>43</v>
      </c>
      <c r="CQ118" t="n">
        <v>5</v>
      </c>
      <c r="CR118" t="n">
        <v>133</v>
      </c>
      <c r="CS118" t="n">
        <v>92</v>
      </c>
      <c r="CT118" t="n">
        <v>0.5</v>
      </c>
      <c r="CV118" t="n">
        <v>1</v>
      </c>
      <c r="CW118" t="n">
        <v>24.16</v>
      </c>
      <c r="CX118" t="n">
        <v>1.402</v>
      </c>
      <c r="CY118" t="n">
        <v>0</v>
      </c>
      <c r="DB118" t="n">
        <v>0</v>
      </c>
      <c r="DE118" t="n">
        <v>6.51</v>
      </c>
      <c r="DF118" t="n">
        <v>3</v>
      </c>
      <c r="DG118" t="n">
        <v>0</v>
      </c>
      <c r="DH118" t="n">
        <v>33</v>
      </c>
      <c r="DI118" t="n">
        <v>12</v>
      </c>
      <c r="DL118" t="n">
        <v>14</v>
      </c>
      <c r="DM118" t="n">
        <v>30</v>
      </c>
      <c r="DN118" t="n">
        <v>9</v>
      </c>
      <c r="DO118" t="n">
        <v>3</v>
      </c>
      <c r="DP118" t="n">
        <v>59.38</v>
      </c>
      <c r="DQ118" t="n">
        <v>29.69</v>
      </c>
      <c r="DR118" t="n">
        <v>59.38</v>
      </c>
      <c r="DS118" t="n">
        <v>0</v>
      </c>
      <c r="DT118" t="n">
        <v>858</v>
      </c>
      <c r="DU118" t="n">
        <v>22.58</v>
      </c>
      <c r="DV118" t="inlineStr">
        <is>
          <t>flat</t>
        </is>
      </c>
      <c r="DW118" t="n">
        <v>88.75</v>
      </c>
      <c r="DX118" t="n">
        <v>95.88</v>
      </c>
      <c r="DY118" t="n">
        <v>85.27</v>
      </c>
      <c r="DZ118" t="n">
        <v>-3.48</v>
      </c>
      <c r="EA118" t="n">
        <v>792</v>
      </c>
      <c r="EB118" t="n">
        <v>21.57</v>
      </c>
      <c r="EC118" t="n">
        <v>11.56</v>
      </c>
      <c r="ED118" t="n">
        <v>120</v>
      </c>
      <c r="EE118" t="n">
        <v>1526</v>
      </c>
      <c r="EF118" t="b">
        <v>1</v>
      </c>
      <c r="EG118" t="n">
        <v>34.5</v>
      </c>
      <c r="EH118" t="n">
        <v>9.300000000000001</v>
      </c>
      <c r="EI118" t="n">
        <v>133</v>
      </c>
      <c r="EJ118" t="n">
        <v>36.1</v>
      </c>
      <c r="EK118" t="n">
        <v>16.3</v>
      </c>
      <c r="EL118" t="n">
        <v>129.2</v>
      </c>
      <c r="EM118" t="n">
        <v>156.3</v>
      </c>
      <c r="EN118" t="n">
        <v>2513.4</v>
      </c>
      <c r="EO118" t="n">
        <v>147.1</v>
      </c>
      <c r="EP118" t="n">
        <v>14.9</v>
      </c>
    </row>
    <row r="119">
      <c r="A119" t="inlineStr">
        <is>
          <t>Yehor Yarmoliuk</t>
        </is>
      </c>
      <c r="B119" t="inlineStr">
        <is>
          <t>BRE</t>
        </is>
      </c>
      <c r="C119" t="inlineStr">
        <is>
          <t>MID</t>
        </is>
      </c>
      <c r="D119" t="inlineStr">
        <is>
          <t>MID</t>
        </is>
      </c>
      <c r="E119" t="n">
        <v>5</v>
      </c>
      <c r="F119" t="b">
        <v>1</v>
      </c>
      <c r="G119" t="b">
        <v>1</v>
      </c>
      <c r="H119" t="n">
        <v>22.5</v>
      </c>
      <c r="I119" t="inlineStr">
        <is>
          <t>a</t>
        </is>
      </c>
      <c r="L119" t="inlineStr">
        <is>
          <t>p508395</t>
        </is>
      </c>
      <c r="M119" t="n">
        <v>102</v>
      </c>
      <c r="Q119" t="n">
        <v>2652</v>
      </c>
      <c r="R119" t="n">
        <v>37</v>
      </c>
      <c r="S119" t="n">
        <v>30</v>
      </c>
      <c r="T119" t="n">
        <v>29.467</v>
      </c>
      <c r="U119" t="n">
        <v>71.7</v>
      </c>
      <c r="V119" t="n">
        <v>104</v>
      </c>
      <c r="W119" t="n">
        <v>3.529</v>
      </c>
      <c r="X119" t="n">
        <v>1</v>
      </c>
      <c r="Y119" t="n">
        <v>3</v>
      </c>
      <c r="Z119" t="n">
        <v>2</v>
      </c>
      <c r="AA119" t="n">
        <v>8</v>
      </c>
      <c r="AB119" t="n">
        <v>42</v>
      </c>
      <c r="AC119" t="n">
        <v>1</v>
      </c>
      <c r="AD119" t="n">
        <v>1</v>
      </c>
      <c r="AE119" t="n">
        <v>0</v>
      </c>
      <c r="AF119" t="n">
        <v>448</v>
      </c>
      <c r="AG119" t="n">
        <v>430</v>
      </c>
      <c r="AH119" t="n">
        <v>-18</v>
      </c>
      <c r="AI119" t="n">
        <v>104</v>
      </c>
      <c r="AJ119" t="n">
        <v>0.01</v>
      </c>
      <c r="AK119" t="n">
        <v>0.01</v>
      </c>
      <c r="AL119" t="n">
        <v>338</v>
      </c>
      <c r="AM119" t="n">
        <v>11.471</v>
      </c>
      <c r="AN119" t="n">
        <v>11</v>
      </c>
      <c r="AO119" t="n">
        <v>22</v>
      </c>
      <c r="AP119" t="n">
        <v>0.367</v>
      </c>
      <c r="AQ119" t="n">
        <v>0.5669999999999999</v>
      </c>
      <c r="AR119" t="n">
        <v>0.367</v>
      </c>
      <c r="AS119" t="n">
        <v>0.789</v>
      </c>
      <c r="AT119" t="n">
        <v>0.784</v>
      </c>
      <c r="AU119" t="n">
        <v>20</v>
      </c>
      <c r="AV119" t="n">
        <v>0</v>
      </c>
      <c r="AW119" t="n">
        <v>2.01</v>
      </c>
      <c r="AX119" t="n">
        <v>8</v>
      </c>
      <c r="AY119" t="n">
        <v>1.22</v>
      </c>
      <c r="AZ119" t="n">
        <v>1.375</v>
      </c>
      <c r="BA119" t="n">
        <v>1.298</v>
      </c>
      <c r="BB119" t="n">
        <v>1.375</v>
      </c>
      <c r="BC119" t="n">
        <v>0.041</v>
      </c>
      <c r="BD119" t="n">
        <v>0.047</v>
      </c>
      <c r="BE119" t="n">
        <v>0.044</v>
      </c>
      <c r="BF119" t="n">
        <v>0.8</v>
      </c>
      <c r="BG119" t="n">
        <v>0.027</v>
      </c>
      <c r="BH119" t="n">
        <v>0.974</v>
      </c>
      <c r="BI119" t="n">
        <v>2.78</v>
      </c>
      <c r="BJ119" t="n">
        <v>1.188</v>
      </c>
      <c r="BK119" t="n">
        <v>0.04</v>
      </c>
      <c r="BL119" t="n">
        <v>-0.298</v>
      </c>
      <c r="BM119" t="n">
        <v>-0.42</v>
      </c>
      <c r="BN119" t="n">
        <v>0.2</v>
      </c>
      <c r="BO119" t="n">
        <v>-0.155</v>
      </c>
      <c r="BP119" t="n">
        <v>16</v>
      </c>
      <c r="BQ119" t="n">
        <v>4</v>
      </c>
      <c r="BS119" t="n">
        <v>18</v>
      </c>
      <c r="BT119" t="n">
        <v>0.611</v>
      </c>
      <c r="BW119" t="n">
        <v>1.39</v>
      </c>
      <c r="BX119" t="n">
        <v>1.257</v>
      </c>
      <c r="BY119" t="n">
        <v>1.324</v>
      </c>
      <c r="BZ119" t="n">
        <v>0.045</v>
      </c>
      <c r="CA119" t="n">
        <v>2.621</v>
      </c>
      <c r="CB119" t="n">
        <v>0.089</v>
      </c>
      <c r="CC119" t="n">
        <v>14</v>
      </c>
      <c r="CD119" t="n">
        <v>1</v>
      </c>
      <c r="CE119" t="n">
        <v>14</v>
      </c>
      <c r="CF119" t="n">
        <v>8</v>
      </c>
      <c r="CG119" t="n">
        <v>1</v>
      </c>
      <c r="CH119" t="n">
        <v>0</v>
      </c>
      <c r="CI119" t="n">
        <v>9.288</v>
      </c>
      <c r="CJ119" t="n">
        <v>7.919</v>
      </c>
      <c r="CK119" t="n">
        <v>83</v>
      </c>
      <c r="CL119" t="n">
        <v>186</v>
      </c>
      <c r="CM119" t="n">
        <v>69</v>
      </c>
      <c r="CN119" t="n">
        <v>45</v>
      </c>
      <c r="CO119" t="n">
        <v>28</v>
      </c>
      <c r="CP119" t="n">
        <v>41</v>
      </c>
      <c r="CQ119" t="n">
        <v>14</v>
      </c>
      <c r="CR119" t="n">
        <v>129</v>
      </c>
      <c r="CS119" t="n">
        <v>32</v>
      </c>
      <c r="CT119" t="n">
        <v>0.5</v>
      </c>
      <c r="CV119" t="n">
        <v>1</v>
      </c>
      <c r="CW119" t="n">
        <v>40.31</v>
      </c>
      <c r="CX119" t="n">
        <v>1.368</v>
      </c>
      <c r="CY119" t="n">
        <v>0</v>
      </c>
      <c r="DB119" t="n">
        <v>0</v>
      </c>
      <c r="DE119" t="n">
        <v>6.78</v>
      </c>
      <c r="DF119" t="n">
        <v>7</v>
      </c>
      <c r="DG119" t="n">
        <v>0</v>
      </c>
      <c r="DH119" t="n">
        <v>37</v>
      </c>
      <c r="DI119" t="n">
        <v>12</v>
      </c>
      <c r="DL119" t="n">
        <v>15</v>
      </c>
      <c r="DM119" t="n">
        <v>23</v>
      </c>
      <c r="DN119" t="n">
        <v>1</v>
      </c>
      <c r="DO119" t="n">
        <v>1.5</v>
      </c>
      <c r="DP119" t="n">
        <v>120.36</v>
      </c>
      <c r="DQ119" t="n">
        <v>59.85</v>
      </c>
      <c r="DR119" t="n">
        <v>119.7</v>
      </c>
      <c r="DS119" t="n">
        <v>0.66</v>
      </c>
      <c r="DT119" t="n">
        <v>2987</v>
      </c>
      <c r="DU119" t="n">
        <v>78.59999999999999</v>
      </c>
      <c r="DV119" t="inlineStr">
        <is>
          <t>flat</t>
        </is>
      </c>
      <c r="DW119" t="n">
        <v>85.28</v>
      </c>
      <c r="DY119" t="n">
        <v>78.43000000000001</v>
      </c>
      <c r="DZ119" t="n">
        <v>-6.85</v>
      </c>
      <c r="EA119" t="n">
        <v>3</v>
      </c>
      <c r="EB119" t="n">
        <v>17.83</v>
      </c>
      <c r="EC119" t="n">
        <v>67</v>
      </c>
      <c r="ED119" t="n">
        <v>106.4</v>
      </c>
      <c r="EE119" t="n">
        <v>6</v>
      </c>
      <c r="EF119" t="b">
        <v>0</v>
      </c>
      <c r="EG119" t="n">
        <v>0.2</v>
      </c>
      <c r="EH119" t="n">
        <v>33.3</v>
      </c>
      <c r="EI119" t="n">
        <v>243</v>
      </c>
      <c r="EJ119" t="n">
        <v>165.8</v>
      </c>
      <c r="EK119" t="n">
        <v>147.3</v>
      </c>
      <c r="EL119" t="n">
        <v>189.4</v>
      </c>
      <c r="EM119" t="n">
        <v>2043.7</v>
      </c>
      <c r="EN119" t="n">
        <v>2003.5</v>
      </c>
      <c r="EO119" t="n">
        <v>1011.7</v>
      </c>
      <c r="EP119" t="n">
        <v>25.5</v>
      </c>
    </row>
    <row r="120">
      <c r="A120" t="inlineStr">
        <is>
          <t>Alex Iwobi</t>
        </is>
      </c>
      <c r="B120" t="inlineStr">
        <is>
          <t>FUL</t>
        </is>
      </c>
      <c r="C120" t="inlineStr">
        <is>
          <t>MID</t>
        </is>
      </c>
      <c r="D120" t="inlineStr">
        <is>
          <t>MID</t>
        </is>
      </c>
      <c r="E120" t="n">
        <v>5.5</v>
      </c>
      <c r="F120" t="b">
        <v>1</v>
      </c>
      <c r="G120" t="b">
        <v>1</v>
      </c>
      <c r="H120" t="n">
        <v>30.3</v>
      </c>
      <c r="I120" t="inlineStr">
        <is>
          <t>a</t>
        </is>
      </c>
      <c r="L120" t="inlineStr">
        <is>
          <t>p153133</t>
        </is>
      </c>
      <c r="M120" t="n">
        <v>261</v>
      </c>
      <c r="N120" t="n">
        <v>3</v>
      </c>
      <c r="O120" t="n">
        <v>2</v>
      </c>
      <c r="P120" t="n">
        <v>1</v>
      </c>
      <c r="Q120" t="n">
        <v>2420</v>
      </c>
      <c r="R120" t="n">
        <v>29</v>
      </c>
      <c r="S120" t="n">
        <v>29</v>
      </c>
      <c r="T120" t="n">
        <v>26.889</v>
      </c>
      <c r="U120" t="n">
        <v>83.40000000000001</v>
      </c>
      <c r="V120" t="n">
        <v>103</v>
      </c>
      <c r="W120" t="n">
        <v>3.831</v>
      </c>
      <c r="X120" t="n">
        <v>4</v>
      </c>
      <c r="Y120" t="n">
        <v>3</v>
      </c>
      <c r="Z120" t="n">
        <v>3</v>
      </c>
      <c r="AA120" t="n">
        <v>5</v>
      </c>
      <c r="AB120" t="n">
        <v>40</v>
      </c>
      <c r="AC120" t="n">
        <v>13</v>
      </c>
      <c r="AD120" t="n">
        <v>14</v>
      </c>
      <c r="AE120" t="n">
        <v>1</v>
      </c>
      <c r="AF120" t="n">
        <v>508</v>
      </c>
      <c r="AG120" t="n">
        <v>500</v>
      </c>
      <c r="AH120" t="n">
        <v>-8</v>
      </c>
      <c r="AI120" t="n">
        <v>104</v>
      </c>
      <c r="AJ120" t="n">
        <v>0.126</v>
      </c>
      <c r="AK120" t="n">
        <v>0.144</v>
      </c>
      <c r="AL120" t="n">
        <v>188</v>
      </c>
      <c r="AM120" t="n">
        <v>6.992</v>
      </c>
      <c r="AN120" t="n">
        <v>1</v>
      </c>
      <c r="AO120" t="n">
        <v>2</v>
      </c>
      <c r="AP120" t="n">
        <v>0.034</v>
      </c>
      <c r="AQ120" t="n">
        <v>0.103</v>
      </c>
      <c r="AR120" t="n">
        <v>0.034</v>
      </c>
      <c r="AS120" t="n">
        <v>0.763</v>
      </c>
      <c r="AT120" t="n">
        <v>0.966</v>
      </c>
      <c r="AU120" t="n">
        <v>17</v>
      </c>
      <c r="AV120" t="n">
        <v>3</v>
      </c>
      <c r="AW120" t="n">
        <v>3.25</v>
      </c>
      <c r="AX120" t="n">
        <v>13</v>
      </c>
      <c r="AY120" t="n">
        <v>1.91</v>
      </c>
      <c r="AZ120" t="n">
        <v>2.403</v>
      </c>
      <c r="BA120" t="n">
        <v>2.157</v>
      </c>
      <c r="BB120" t="n">
        <v>2.403</v>
      </c>
      <c r="BC120" t="n">
        <v>0.07099999999999999</v>
      </c>
      <c r="BD120" t="n">
        <v>0.089</v>
      </c>
      <c r="BE120" t="n">
        <v>0.08</v>
      </c>
      <c r="BF120" t="n">
        <v>2.4</v>
      </c>
      <c r="BG120" t="n">
        <v>0.089</v>
      </c>
      <c r="BH120" t="n">
        <v>1.194</v>
      </c>
      <c r="BI120" t="n">
        <v>14.03</v>
      </c>
      <c r="BJ120" t="n">
        <v>2.28</v>
      </c>
      <c r="BK120" t="n">
        <v>0.08500000000000001</v>
      </c>
      <c r="BL120" t="n">
        <v>1.843</v>
      </c>
      <c r="BM120" t="n">
        <v>0.49</v>
      </c>
      <c r="BN120" t="n">
        <v>1.6</v>
      </c>
      <c r="BO120" t="n">
        <v>-0.493</v>
      </c>
      <c r="BP120" t="n">
        <v>39</v>
      </c>
      <c r="BQ120" t="n">
        <v>15</v>
      </c>
      <c r="BR120" t="n">
        <v>0</v>
      </c>
      <c r="BS120" t="n">
        <v>62</v>
      </c>
      <c r="BT120" t="n">
        <v>2.306</v>
      </c>
      <c r="BW120" t="n">
        <v>4.7</v>
      </c>
      <c r="BX120" t="n">
        <v>3.63</v>
      </c>
      <c r="BY120" t="n">
        <v>4.165</v>
      </c>
      <c r="BZ120" t="n">
        <v>0.155</v>
      </c>
      <c r="CA120" t="n">
        <v>6.322</v>
      </c>
      <c r="CB120" t="n">
        <v>0.235</v>
      </c>
      <c r="CC120" t="n">
        <v>42</v>
      </c>
      <c r="CD120" t="n">
        <v>4</v>
      </c>
      <c r="CE120" t="n">
        <v>44</v>
      </c>
      <c r="CF120" t="n">
        <v>32</v>
      </c>
      <c r="CG120" t="n">
        <v>4</v>
      </c>
      <c r="CH120" t="n">
        <v>41</v>
      </c>
      <c r="CI120" t="n">
        <v>10.425</v>
      </c>
      <c r="CJ120" t="n">
        <v>6.602</v>
      </c>
      <c r="CK120" t="n">
        <v>35</v>
      </c>
      <c r="CL120" t="n">
        <v>126</v>
      </c>
      <c r="CM120" t="n">
        <v>27</v>
      </c>
      <c r="CN120" t="n">
        <v>19</v>
      </c>
      <c r="CO120" t="n">
        <v>14</v>
      </c>
      <c r="CP120" t="n">
        <v>18</v>
      </c>
      <c r="CQ120" t="n">
        <v>3</v>
      </c>
      <c r="CR120" t="n">
        <v>62</v>
      </c>
      <c r="CS120" t="n">
        <v>7</v>
      </c>
      <c r="CT120" t="n">
        <v>0.4</v>
      </c>
      <c r="CV120" t="n">
        <v>1</v>
      </c>
      <c r="CW120" t="n">
        <v>35.7</v>
      </c>
      <c r="CX120" t="n">
        <v>1.328</v>
      </c>
      <c r="CY120" t="n">
        <v>0</v>
      </c>
      <c r="DB120" t="n">
        <v>0</v>
      </c>
      <c r="DE120" t="n">
        <v>7.04</v>
      </c>
      <c r="DF120" t="n">
        <v>3</v>
      </c>
      <c r="DG120" t="n">
        <v>0</v>
      </c>
      <c r="DH120" t="n">
        <v>8</v>
      </c>
      <c r="DI120" t="n">
        <v>10</v>
      </c>
      <c r="DL120" t="n">
        <v>19</v>
      </c>
      <c r="DM120" t="n">
        <v>24</v>
      </c>
      <c r="DN120" t="n">
        <v>1</v>
      </c>
      <c r="DO120" t="n">
        <v>1</v>
      </c>
      <c r="DP120" t="n">
        <v>134.84</v>
      </c>
      <c r="DQ120" t="n">
        <v>67.45</v>
      </c>
      <c r="DR120" t="n">
        <v>134.9</v>
      </c>
      <c r="DS120" t="n">
        <v>-0.06</v>
      </c>
      <c r="DT120" t="n">
        <v>3152</v>
      </c>
      <c r="DU120" t="n">
        <v>82.95</v>
      </c>
      <c r="DV120" t="inlineStr">
        <is>
          <t>flat</t>
        </is>
      </c>
      <c r="DW120" t="n">
        <v>82.59999999999999</v>
      </c>
      <c r="DX120" t="n">
        <v>85.51000000000001</v>
      </c>
      <c r="DY120" t="n">
        <v>81.92</v>
      </c>
      <c r="DZ120" t="n">
        <v>-0.68</v>
      </c>
      <c r="EA120" t="n">
        <v>184</v>
      </c>
      <c r="EB120" t="n">
        <v>19.44</v>
      </c>
      <c r="EC120" t="n">
        <v>17</v>
      </c>
      <c r="ED120" t="n">
        <v>120</v>
      </c>
      <c r="EE120" t="n">
        <v>302</v>
      </c>
      <c r="EF120" t="b">
        <v>1</v>
      </c>
      <c r="EG120" t="n">
        <v>7</v>
      </c>
      <c r="EH120" t="n">
        <v>10.9</v>
      </c>
      <c r="EI120" t="n">
        <v>135</v>
      </c>
      <c r="EJ120" t="n">
        <v>62.1</v>
      </c>
      <c r="EK120" t="n">
        <v>39</v>
      </c>
      <c r="EL120" t="n">
        <v>55</v>
      </c>
      <c r="EM120" t="n">
        <v>1122.1</v>
      </c>
      <c r="EN120" t="n">
        <v>581</v>
      </c>
      <c r="EO120" t="n">
        <v>382.8</v>
      </c>
      <c r="EP120" t="n">
        <v>23.5</v>
      </c>
    </row>
    <row r="121">
      <c r="A121" t="inlineStr">
        <is>
          <t>Calvin Bassey</t>
        </is>
      </c>
      <c r="B121" t="inlineStr">
        <is>
          <t>FUL</t>
        </is>
      </c>
      <c r="C121" t="inlineStr">
        <is>
          <t>DEF</t>
        </is>
      </c>
      <c r="D121" t="inlineStr">
        <is>
          <t>DEF</t>
        </is>
      </c>
      <c r="E121" t="n">
        <v>4.5</v>
      </c>
      <c r="F121" t="b">
        <v>1</v>
      </c>
      <c r="G121" t="b">
        <v>1</v>
      </c>
      <c r="H121" t="n">
        <v>26.6</v>
      </c>
      <c r="I121" t="inlineStr">
        <is>
          <t>a</t>
        </is>
      </c>
      <c r="L121" t="inlineStr">
        <is>
          <t>p232892</t>
        </is>
      </c>
      <c r="M121" t="n">
        <v>257</v>
      </c>
      <c r="Q121" t="n">
        <v>2532</v>
      </c>
      <c r="R121" t="n">
        <v>30</v>
      </c>
      <c r="S121" t="n">
        <v>28</v>
      </c>
      <c r="T121" t="n">
        <v>28.133</v>
      </c>
      <c r="U121" t="n">
        <v>84.40000000000001</v>
      </c>
      <c r="V121" t="n">
        <v>103</v>
      </c>
      <c r="W121" t="n">
        <v>3.661</v>
      </c>
      <c r="X121" t="n">
        <v>1</v>
      </c>
      <c r="Y121" t="n">
        <v>1</v>
      </c>
      <c r="AA121" t="n">
        <v>7</v>
      </c>
      <c r="AB121" t="n">
        <v>40</v>
      </c>
      <c r="AC121" t="n">
        <v>9</v>
      </c>
      <c r="AD121" t="n">
        <v>9</v>
      </c>
      <c r="AE121" t="n">
        <v>0</v>
      </c>
      <c r="AF121" t="n">
        <v>392</v>
      </c>
      <c r="AG121" t="n">
        <v>363</v>
      </c>
      <c r="AH121" t="n">
        <v>-29</v>
      </c>
      <c r="AI121" t="n">
        <v>103</v>
      </c>
      <c r="AJ121" t="n">
        <v>0.08699999999999999</v>
      </c>
      <c r="AK121" t="n">
        <v>0.096</v>
      </c>
      <c r="AL121" t="n">
        <v>205</v>
      </c>
      <c r="AM121" t="n">
        <v>7.287</v>
      </c>
      <c r="AN121" t="n">
        <v>8</v>
      </c>
      <c r="AO121" t="n">
        <v>16</v>
      </c>
      <c r="AP121" t="n">
        <v>0.286</v>
      </c>
      <c r="AQ121" t="n">
        <v>0.286</v>
      </c>
      <c r="AR121" t="n">
        <v>0.143</v>
      </c>
      <c r="AS121" t="n">
        <v>0.737</v>
      </c>
      <c r="AT121" t="n">
        <v>0.9330000000000001</v>
      </c>
      <c r="AU121" t="n">
        <v>17</v>
      </c>
      <c r="AV121" t="n">
        <v>0</v>
      </c>
      <c r="AW121" t="n">
        <v>2.95</v>
      </c>
      <c r="AX121" t="n">
        <v>9</v>
      </c>
      <c r="AY121" t="n">
        <v>1.71</v>
      </c>
      <c r="AZ121" t="n">
        <v>1.191</v>
      </c>
      <c r="BA121" t="n">
        <v>1.45</v>
      </c>
      <c r="BB121" t="n">
        <v>1.191</v>
      </c>
      <c r="BC121" t="n">
        <v>0.061</v>
      </c>
      <c r="BD121" t="n">
        <v>0.042</v>
      </c>
      <c r="BE121" t="n">
        <v>0.052</v>
      </c>
      <c r="BF121" t="n">
        <v>1.3</v>
      </c>
      <c r="BG121" t="n">
        <v>0.046</v>
      </c>
      <c r="BH121" t="n">
        <v>0.928</v>
      </c>
      <c r="BI121" t="n">
        <v>3.1</v>
      </c>
      <c r="BJ121" t="n">
        <v>1.587</v>
      </c>
      <c r="BK121" t="n">
        <v>0.056</v>
      </c>
      <c r="BL121" t="n">
        <v>-0.45</v>
      </c>
      <c r="BM121" t="n">
        <v>-0.41</v>
      </c>
      <c r="BN121" t="n">
        <v>-0.3</v>
      </c>
      <c r="BO121" t="n">
        <v>0.519</v>
      </c>
      <c r="BP121" t="n">
        <v>13</v>
      </c>
      <c r="BQ121" t="n">
        <v>2</v>
      </c>
      <c r="BR121" t="n">
        <v>0</v>
      </c>
      <c r="BS121" t="n">
        <v>19</v>
      </c>
      <c r="BT121" t="n">
        <v>0.675</v>
      </c>
      <c r="BV121" t="n">
        <v>1</v>
      </c>
      <c r="BW121" t="n">
        <v>0.35</v>
      </c>
      <c r="BX121" t="n">
        <v>0.431</v>
      </c>
      <c r="BY121" t="n">
        <v>0.39</v>
      </c>
      <c r="BZ121" t="n">
        <v>0.014</v>
      </c>
      <c r="CA121" t="n">
        <v>1.841</v>
      </c>
      <c r="CB121" t="n">
        <v>0.065</v>
      </c>
      <c r="CC121" t="n">
        <v>10</v>
      </c>
      <c r="CE121" t="n">
        <v>10</v>
      </c>
      <c r="CF121" t="n">
        <v>3</v>
      </c>
      <c r="CI121" t="n">
        <v>6.189</v>
      </c>
      <c r="CJ121" t="n">
        <v>5.893</v>
      </c>
      <c r="CK121" t="n">
        <v>143</v>
      </c>
      <c r="CL121" t="n">
        <v>119</v>
      </c>
      <c r="CM121" t="n">
        <v>62</v>
      </c>
      <c r="CN121" t="n">
        <v>36</v>
      </c>
      <c r="CO121" t="n">
        <v>22</v>
      </c>
      <c r="CP121" t="n">
        <v>99</v>
      </c>
      <c r="CQ121" t="n">
        <v>21</v>
      </c>
      <c r="CR121" t="n">
        <v>151</v>
      </c>
      <c r="CS121" t="n">
        <v>39</v>
      </c>
      <c r="CT121" t="n">
        <v>0.1</v>
      </c>
      <c r="CU121" t="n">
        <v>2</v>
      </c>
      <c r="CV121" t="n">
        <v>3</v>
      </c>
      <c r="CW121" t="n">
        <v>38.01</v>
      </c>
      <c r="CX121" t="n">
        <v>1.351</v>
      </c>
      <c r="CY121" t="n">
        <v>0</v>
      </c>
      <c r="DB121" t="n">
        <v>0</v>
      </c>
      <c r="DE121" t="n">
        <v>6.81</v>
      </c>
      <c r="DF121" t="n">
        <v>5</v>
      </c>
      <c r="DG121" t="n">
        <v>0</v>
      </c>
      <c r="DH121" t="n">
        <v>28</v>
      </c>
      <c r="DI121" t="n">
        <v>40</v>
      </c>
      <c r="DJ121" t="n">
        <v>1</v>
      </c>
      <c r="DK121" t="n">
        <v>1</v>
      </c>
      <c r="DL121" t="n">
        <v>10</v>
      </c>
      <c r="DM121" t="n">
        <v>17</v>
      </c>
      <c r="DN121" t="n">
        <v>0</v>
      </c>
      <c r="DO121" t="n">
        <v>0.6</v>
      </c>
      <c r="DP121" t="n">
        <v>106.29</v>
      </c>
      <c r="DQ121" t="n">
        <v>53.24</v>
      </c>
      <c r="DR121" t="n">
        <v>106.48</v>
      </c>
      <c r="DS121" t="n">
        <v>-0.19</v>
      </c>
      <c r="DT121" t="n">
        <v>3141</v>
      </c>
      <c r="DU121" t="n">
        <v>82.65000000000001</v>
      </c>
      <c r="DV121" t="inlineStr">
        <is>
          <t>flat</t>
        </is>
      </c>
      <c r="DW121" t="n">
        <v>99.15000000000001</v>
      </c>
      <c r="DX121" t="n">
        <v>109.67</v>
      </c>
      <c r="DY121" t="n">
        <v>98.01000000000001</v>
      </c>
      <c r="DZ121" t="n">
        <v>-1.14</v>
      </c>
      <c r="EA121" t="n">
        <v>57</v>
      </c>
      <c r="EB121" t="n">
        <v>16.33</v>
      </c>
      <c r="EC121" t="n">
        <v>46</v>
      </c>
      <c r="ED121" t="n">
        <v>119</v>
      </c>
      <c r="EE121" t="n">
        <v>87</v>
      </c>
      <c r="EF121" t="b">
        <v>1</v>
      </c>
      <c r="EG121" t="n">
        <v>2.1</v>
      </c>
      <c r="EH121" t="n">
        <v>14.7</v>
      </c>
      <c r="EI121" t="n">
        <v>400</v>
      </c>
      <c r="EJ121" t="n">
        <v>194.8</v>
      </c>
      <c r="EK121" t="n">
        <v>133.3</v>
      </c>
      <c r="EL121" t="n">
        <v>253.2</v>
      </c>
      <c r="EM121" t="n">
        <v>1745.6</v>
      </c>
      <c r="EN121" t="n">
        <v>6484.4</v>
      </c>
      <c r="EO121" t="n">
        <v>1375.4</v>
      </c>
      <c r="EP121" t="n">
        <v>24.6</v>
      </c>
    </row>
    <row r="122">
      <c r="A122" t="inlineStr">
        <is>
          <t>John McGinn</t>
        </is>
      </c>
      <c r="B122" t="inlineStr">
        <is>
          <t>AVL</t>
        </is>
      </c>
      <c r="C122" t="inlineStr">
        <is>
          <t>MID</t>
        </is>
      </c>
      <c r="D122" t="inlineStr">
        <is>
          <t>MID</t>
        </is>
      </c>
      <c r="E122" t="n">
        <v>5.5</v>
      </c>
      <c r="F122" t="b">
        <v>1</v>
      </c>
      <c r="G122" t="b">
        <v>1</v>
      </c>
      <c r="H122" t="n">
        <v>31.8</v>
      </c>
      <c r="I122" t="inlineStr">
        <is>
          <t>a</t>
        </is>
      </c>
      <c r="L122" t="inlineStr">
        <is>
          <t>p122806</t>
        </is>
      </c>
      <c r="M122" t="n">
        <v>45</v>
      </c>
      <c r="O122" t="n">
        <v>2</v>
      </c>
      <c r="Q122" t="n">
        <v>2136</v>
      </c>
      <c r="R122" t="n">
        <v>30</v>
      </c>
      <c r="S122" t="n">
        <v>28</v>
      </c>
      <c r="T122" t="n">
        <v>23.733</v>
      </c>
      <c r="U122" t="n">
        <v>71.2</v>
      </c>
      <c r="V122" t="n">
        <v>103</v>
      </c>
      <c r="W122" t="n">
        <v>4.34</v>
      </c>
      <c r="X122" t="n">
        <v>5</v>
      </c>
      <c r="Y122" t="n">
        <v>4</v>
      </c>
      <c r="Z122" t="n">
        <v>4</v>
      </c>
      <c r="AA122" t="n">
        <v>8</v>
      </c>
      <c r="AB122" t="n">
        <v>28</v>
      </c>
      <c r="AC122" t="n">
        <v>6</v>
      </c>
      <c r="AD122" t="n">
        <v>7</v>
      </c>
      <c r="AE122" t="n">
        <v>1</v>
      </c>
      <c r="AF122" t="n">
        <v>443</v>
      </c>
      <c r="AG122" t="n">
        <v>438</v>
      </c>
      <c r="AH122" t="n">
        <v>-5</v>
      </c>
      <c r="AI122" t="n">
        <v>104</v>
      </c>
      <c r="AJ122" t="n">
        <v>0.058</v>
      </c>
      <c r="AK122" t="n">
        <v>0.062</v>
      </c>
      <c r="AL122" t="n">
        <v>150</v>
      </c>
      <c r="AM122" t="n">
        <v>6.32</v>
      </c>
      <c r="AN122" t="n">
        <v>1</v>
      </c>
      <c r="AO122" t="n">
        <v>2</v>
      </c>
      <c r="AP122" t="n">
        <v>0.036</v>
      </c>
      <c r="AQ122" t="n">
        <v>0.07099999999999999</v>
      </c>
      <c r="AR122" t="n">
        <v>0.036</v>
      </c>
      <c r="AS122" t="n">
        <v>0.737</v>
      </c>
      <c r="AT122" t="n">
        <v>0.833</v>
      </c>
      <c r="AU122" t="n">
        <v>16</v>
      </c>
      <c r="AV122" t="n">
        <v>2</v>
      </c>
      <c r="AW122" t="n">
        <v>3.15</v>
      </c>
      <c r="AX122" t="n">
        <v>15</v>
      </c>
      <c r="AY122" t="n">
        <v>3</v>
      </c>
      <c r="AZ122" t="n">
        <v>2.999</v>
      </c>
      <c r="BA122" t="n">
        <v>3</v>
      </c>
      <c r="BB122" t="n">
        <v>2.999</v>
      </c>
      <c r="BC122" t="n">
        <v>0.126</v>
      </c>
      <c r="BD122" t="n">
        <v>0.126</v>
      </c>
      <c r="BE122" t="n">
        <v>0.126</v>
      </c>
      <c r="BF122" t="n">
        <v>3.9</v>
      </c>
      <c r="BG122" t="n">
        <v>0.164</v>
      </c>
      <c r="BH122" t="n">
        <v>0.967</v>
      </c>
      <c r="BI122" t="n">
        <v>13.51</v>
      </c>
      <c r="BJ122" t="n">
        <v>2.901</v>
      </c>
      <c r="BK122" t="n">
        <v>0.122</v>
      </c>
      <c r="BL122" t="n">
        <v>2</v>
      </c>
      <c r="BM122" t="n">
        <v>0.9</v>
      </c>
      <c r="BN122" t="n">
        <v>1.1</v>
      </c>
      <c r="BO122" t="n">
        <v>0.001</v>
      </c>
      <c r="BP122" t="n">
        <v>28</v>
      </c>
      <c r="BQ122" t="n">
        <v>12</v>
      </c>
      <c r="BR122" t="n">
        <v>4</v>
      </c>
      <c r="BS122" t="n">
        <v>55</v>
      </c>
      <c r="BT122" t="n">
        <v>2.317</v>
      </c>
      <c r="BW122" t="n">
        <v>4.11</v>
      </c>
      <c r="BX122" t="n">
        <v>4.862</v>
      </c>
      <c r="BY122" t="n">
        <v>4.486</v>
      </c>
      <c r="BZ122" t="n">
        <v>0.189</v>
      </c>
      <c r="CA122" t="n">
        <v>7.486</v>
      </c>
      <c r="CB122" t="n">
        <v>0.315</v>
      </c>
      <c r="CC122" t="n">
        <v>39</v>
      </c>
      <c r="CD122" t="n">
        <v>7</v>
      </c>
      <c r="CE122" t="n">
        <v>41</v>
      </c>
      <c r="CF122" t="n">
        <v>21</v>
      </c>
      <c r="CG122" t="n">
        <v>1</v>
      </c>
      <c r="CH122" t="n">
        <v>28</v>
      </c>
      <c r="CI122" t="n">
        <v>10.931</v>
      </c>
      <c r="CJ122" t="n">
        <v>5.892</v>
      </c>
      <c r="CK122" t="n">
        <v>32</v>
      </c>
      <c r="CL122" t="n">
        <v>89</v>
      </c>
      <c r="CM122" t="n">
        <v>29</v>
      </c>
      <c r="CN122" t="n">
        <v>17</v>
      </c>
      <c r="CO122" t="n">
        <v>12</v>
      </c>
      <c r="CP122" t="n">
        <v>15</v>
      </c>
      <c r="CQ122" t="n">
        <v>5</v>
      </c>
      <c r="CR122" t="n">
        <v>107</v>
      </c>
      <c r="CS122" t="n">
        <v>11</v>
      </c>
      <c r="CT122" t="n">
        <v>0.9</v>
      </c>
      <c r="CV122" t="n">
        <v>1</v>
      </c>
      <c r="CW122" t="n">
        <v>33.08</v>
      </c>
      <c r="CX122" t="n">
        <v>1.394</v>
      </c>
      <c r="CY122" t="n">
        <v>0</v>
      </c>
      <c r="DB122" t="n">
        <v>0</v>
      </c>
      <c r="DE122" t="n">
        <v>7</v>
      </c>
      <c r="DF122" t="n">
        <v>5</v>
      </c>
      <c r="DG122" t="n">
        <v>0</v>
      </c>
      <c r="DH122" t="n">
        <v>31</v>
      </c>
      <c r="DI122" t="n">
        <v>48</v>
      </c>
      <c r="DL122" t="n">
        <v>19</v>
      </c>
      <c r="DM122" t="n">
        <v>46</v>
      </c>
      <c r="DO122" t="n">
        <v>3</v>
      </c>
      <c r="DP122" t="n">
        <v>134.72</v>
      </c>
      <c r="DQ122" t="n">
        <v>67.36</v>
      </c>
      <c r="DR122" t="n">
        <v>134.72</v>
      </c>
      <c r="DS122" t="n">
        <v>0</v>
      </c>
      <c r="DT122" t="n">
        <v>2844</v>
      </c>
      <c r="DU122" t="n">
        <v>74.84999999999999</v>
      </c>
      <c r="DV122" t="inlineStr">
        <is>
          <t>flat</t>
        </is>
      </c>
      <c r="DW122" t="n">
        <v>77.56999999999999</v>
      </c>
      <c r="DX122" t="n">
        <v>82.87</v>
      </c>
      <c r="DY122" t="n">
        <v>75.86</v>
      </c>
      <c r="DZ122" t="n">
        <v>-1.71</v>
      </c>
      <c r="EA122" t="n">
        <v>365</v>
      </c>
      <c r="EB122" t="n">
        <v>22.98</v>
      </c>
      <c r="EC122" t="n">
        <v>6.67</v>
      </c>
      <c r="ED122" t="n">
        <v>120</v>
      </c>
      <c r="EE122" t="n">
        <v>584</v>
      </c>
      <c r="EF122" t="b">
        <v>1</v>
      </c>
      <c r="EG122" t="n">
        <v>13.4</v>
      </c>
      <c r="EH122" t="n">
        <v>10.6</v>
      </c>
      <c r="EI122" t="n">
        <v>134</v>
      </c>
      <c r="EJ122" t="n">
        <v>76.3</v>
      </c>
      <c r="EK122" t="n">
        <v>38.8</v>
      </c>
      <c r="EL122" t="n">
        <v>52.1</v>
      </c>
      <c r="EM122" t="n">
        <v>712.1</v>
      </c>
      <c r="EN122" t="n">
        <v>476.1</v>
      </c>
      <c r="EO122" t="n">
        <v>285.3</v>
      </c>
      <c r="EP122" t="n">
        <v>20.7</v>
      </c>
    </row>
    <row r="123">
      <c r="A123" t="inlineStr">
        <is>
          <t>Emiliano Buendía</t>
        </is>
      </c>
      <c r="B123" t="inlineStr">
        <is>
          <t>AVL</t>
        </is>
      </c>
      <c r="C123" t="inlineStr">
        <is>
          <t>MID</t>
        </is>
      </c>
      <c r="D123" t="inlineStr">
        <is>
          <t>MID</t>
        </is>
      </c>
      <c r="E123" t="n">
        <v>6</v>
      </c>
      <c r="F123" t="b">
        <v>1</v>
      </c>
      <c r="G123" t="b">
        <v>1</v>
      </c>
      <c r="H123" t="n">
        <v>29.7</v>
      </c>
      <c r="I123" t="inlineStr">
        <is>
          <t>a</t>
        </is>
      </c>
      <c r="L123" t="inlineStr">
        <is>
          <t>p195546</t>
        </is>
      </c>
      <c r="M123" t="n">
        <v>41</v>
      </c>
      <c r="N123" t="n">
        <v>1</v>
      </c>
      <c r="P123" t="n">
        <v>1</v>
      </c>
      <c r="Q123" t="n">
        <v>1753</v>
      </c>
      <c r="R123" t="n">
        <v>36</v>
      </c>
      <c r="S123" t="n">
        <v>21</v>
      </c>
      <c r="T123" t="n">
        <v>19.478</v>
      </c>
      <c r="U123" t="n">
        <v>48.7</v>
      </c>
      <c r="V123" t="n">
        <v>102</v>
      </c>
      <c r="W123" t="n">
        <v>5.237</v>
      </c>
      <c r="X123" t="n">
        <v>6</v>
      </c>
      <c r="Y123" t="n">
        <v>2</v>
      </c>
      <c r="Z123" t="n">
        <v>2</v>
      </c>
      <c r="AA123" t="n">
        <v>3</v>
      </c>
      <c r="AB123" t="n">
        <v>24</v>
      </c>
      <c r="AC123" t="n">
        <v>10</v>
      </c>
      <c r="AD123" t="n">
        <v>10</v>
      </c>
      <c r="AE123" t="n">
        <v>0</v>
      </c>
      <c r="AF123" t="n">
        <v>382</v>
      </c>
      <c r="AG123" t="n">
        <v>372</v>
      </c>
      <c r="AH123" t="n">
        <v>-10</v>
      </c>
      <c r="AI123" t="n">
        <v>102</v>
      </c>
      <c r="AJ123" t="n">
        <v>0.098</v>
      </c>
      <c r="AK123" t="n">
        <v>0.109</v>
      </c>
      <c r="AL123" t="n">
        <v>197</v>
      </c>
      <c r="AM123" t="n">
        <v>10.114</v>
      </c>
      <c r="AN123" t="n">
        <v>4</v>
      </c>
      <c r="AO123" t="n">
        <v>8</v>
      </c>
      <c r="AP123" t="n">
        <v>0.19</v>
      </c>
      <c r="AQ123" t="n">
        <v>0.333</v>
      </c>
      <c r="AR123" t="n">
        <v>0.19</v>
      </c>
      <c r="AS123" t="n">
        <v>0.553</v>
      </c>
      <c r="AT123" t="n">
        <v>0.417</v>
      </c>
      <c r="AU123" t="n">
        <v>26</v>
      </c>
      <c r="AV123" t="n">
        <v>3</v>
      </c>
      <c r="AW123" t="n">
        <v>3.09</v>
      </c>
      <c r="AX123" t="n">
        <v>12</v>
      </c>
      <c r="AY123" t="n">
        <v>3.38</v>
      </c>
      <c r="AZ123" t="n">
        <v>3.784</v>
      </c>
      <c r="BA123" t="n">
        <v>3.582</v>
      </c>
      <c r="BB123" t="n">
        <v>3.784</v>
      </c>
      <c r="BC123" t="n">
        <v>0.174</v>
      </c>
      <c r="BD123" t="n">
        <v>0.194</v>
      </c>
      <c r="BE123" t="n">
        <v>0.184</v>
      </c>
      <c r="BF123" t="n">
        <v>4.4</v>
      </c>
      <c r="BG123" t="n">
        <v>0.226</v>
      </c>
      <c r="BH123" t="n">
        <v>0.905</v>
      </c>
      <c r="BI123" t="n">
        <v>10.35</v>
      </c>
      <c r="BJ123" t="n">
        <v>3.058</v>
      </c>
      <c r="BK123" t="n">
        <v>0.157</v>
      </c>
      <c r="BL123" t="n">
        <v>2.418</v>
      </c>
      <c r="BM123" t="n">
        <v>1.02</v>
      </c>
      <c r="BN123" t="n">
        <v>1.6</v>
      </c>
      <c r="BO123" t="n">
        <v>-0.404</v>
      </c>
      <c r="BP123" t="n">
        <v>49</v>
      </c>
      <c r="BQ123" t="n">
        <v>13</v>
      </c>
      <c r="BR123" t="n">
        <v>2</v>
      </c>
      <c r="BS123" t="n">
        <v>73</v>
      </c>
      <c r="BT123" t="n">
        <v>3.748</v>
      </c>
      <c r="BV123" t="n">
        <v>1</v>
      </c>
      <c r="BW123" t="n">
        <v>2.23</v>
      </c>
      <c r="BX123" t="n">
        <v>3.626</v>
      </c>
      <c r="BY123" t="n">
        <v>2.928</v>
      </c>
      <c r="BZ123" t="n">
        <v>0.15</v>
      </c>
      <c r="CA123" t="n">
        <v>6.51</v>
      </c>
      <c r="CB123" t="n">
        <v>0.334</v>
      </c>
      <c r="CC123" t="n">
        <v>30</v>
      </c>
      <c r="CD123" t="n">
        <v>5</v>
      </c>
      <c r="CE123" t="n">
        <v>30</v>
      </c>
      <c r="CG123" t="n">
        <v>3</v>
      </c>
      <c r="CH123" t="n">
        <v>4</v>
      </c>
      <c r="CI123" t="n">
        <v>9.206</v>
      </c>
      <c r="CJ123" t="n">
        <v>3.686</v>
      </c>
      <c r="CK123" t="n">
        <v>39</v>
      </c>
      <c r="CL123" t="n">
        <v>109</v>
      </c>
      <c r="CM123" t="n">
        <v>49</v>
      </c>
      <c r="CN123" t="n">
        <v>27</v>
      </c>
      <c r="CO123" t="n">
        <v>15</v>
      </c>
      <c r="CP123" t="n">
        <v>20</v>
      </c>
      <c r="CQ123" t="n">
        <v>4</v>
      </c>
      <c r="CR123" t="n">
        <v>124</v>
      </c>
      <c r="CS123" t="n">
        <v>21</v>
      </c>
      <c r="CT123" t="n">
        <v>0.7</v>
      </c>
      <c r="CV123" t="n">
        <v>1</v>
      </c>
      <c r="CW123" t="n">
        <v>28.03</v>
      </c>
      <c r="CX123" t="n">
        <v>1.439</v>
      </c>
      <c r="CY123" t="n">
        <v>0</v>
      </c>
      <c r="DB123" t="n">
        <v>0</v>
      </c>
      <c r="DE123" t="n">
        <v>6.76</v>
      </c>
      <c r="DF123" t="n">
        <v>6</v>
      </c>
      <c r="DG123" t="n">
        <v>0</v>
      </c>
      <c r="DH123" t="n">
        <v>41</v>
      </c>
      <c r="DI123" t="n">
        <v>45</v>
      </c>
      <c r="DL123" t="n">
        <v>9</v>
      </c>
      <c r="DM123" t="n">
        <v>35</v>
      </c>
      <c r="DN123" t="n">
        <v>1</v>
      </c>
      <c r="DO123" t="n">
        <v>1.1</v>
      </c>
      <c r="DP123" t="n">
        <v>159.74</v>
      </c>
      <c r="DQ123" t="n">
        <v>79.92</v>
      </c>
      <c r="DR123" t="n">
        <v>159.84</v>
      </c>
      <c r="DS123" t="n">
        <v>-0.1</v>
      </c>
      <c r="DT123" t="n">
        <v>2776</v>
      </c>
      <c r="DU123" t="n">
        <v>73.05</v>
      </c>
      <c r="DV123" t="inlineStr">
        <is>
          <t>flat</t>
        </is>
      </c>
      <c r="DW123" t="n">
        <v>78.01000000000001</v>
      </c>
      <c r="DX123" t="n">
        <v>82.3</v>
      </c>
      <c r="DY123" t="n">
        <v>76.70999999999999</v>
      </c>
      <c r="DZ123" t="n">
        <v>-1.3</v>
      </c>
      <c r="EA123" t="n">
        <v>545</v>
      </c>
      <c r="EB123" t="n">
        <v>21.41</v>
      </c>
      <c r="EC123" t="n">
        <v>4</v>
      </c>
      <c r="ED123" t="n">
        <v>120</v>
      </c>
      <c r="EE123" t="n">
        <v>891</v>
      </c>
      <c r="EF123" t="b">
        <v>1</v>
      </c>
      <c r="EG123" t="n">
        <v>20.3</v>
      </c>
      <c r="EH123" t="n">
        <v>9.800000000000001</v>
      </c>
      <c r="EI123" t="n">
        <v>81</v>
      </c>
      <c r="EJ123" t="n">
        <v>35.8</v>
      </c>
      <c r="EK123" t="n">
        <v>24</v>
      </c>
      <c r="EL123" t="n">
        <v>58.4</v>
      </c>
      <c r="EM123" t="n">
        <v>489.4</v>
      </c>
      <c r="EN123" t="n">
        <v>598.7</v>
      </c>
      <c r="EO123" t="n">
        <v>269.3</v>
      </c>
      <c r="EP123" t="n">
        <v>17.2</v>
      </c>
    </row>
    <row r="124">
      <c r="A124" t="inlineStr">
        <is>
          <t>Ezri Konsa</t>
        </is>
      </c>
      <c r="B124" t="inlineStr">
        <is>
          <t>AVL</t>
        </is>
      </c>
      <c r="C124" t="inlineStr">
        <is>
          <t>DEF</t>
        </is>
      </c>
      <c r="D124" t="inlineStr">
        <is>
          <t>DEF</t>
        </is>
      </c>
      <c r="E124" t="n">
        <v>4.5</v>
      </c>
      <c r="F124" t="b">
        <v>1</v>
      </c>
      <c r="G124" t="b">
        <v>1</v>
      </c>
      <c r="H124" t="n">
        <v>28.8</v>
      </c>
      <c r="I124" t="inlineStr">
        <is>
          <t>a</t>
        </is>
      </c>
      <c r="L124" t="inlineStr">
        <is>
          <t>p199798</t>
        </is>
      </c>
      <c r="M124" t="n">
        <v>31</v>
      </c>
      <c r="Q124" t="n">
        <v>3035</v>
      </c>
      <c r="R124" t="n">
        <v>34</v>
      </c>
      <c r="S124" t="n">
        <v>34</v>
      </c>
      <c r="T124" t="n">
        <v>33.722</v>
      </c>
      <c r="U124" t="n">
        <v>89.3</v>
      </c>
      <c r="V124" t="n">
        <v>100</v>
      </c>
      <c r="W124" t="n">
        <v>2.965</v>
      </c>
      <c r="X124" t="n">
        <v>0</v>
      </c>
      <c r="Y124" t="n">
        <v>1</v>
      </c>
      <c r="AA124" t="n">
        <v>9</v>
      </c>
      <c r="AB124" t="n">
        <v>44</v>
      </c>
      <c r="AC124" t="n">
        <v>3</v>
      </c>
      <c r="AD124" t="n">
        <v>4</v>
      </c>
      <c r="AE124" t="n">
        <v>1</v>
      </c>
      <c r="AF124" t="n">
        <v>497</v>
      </c>
      <c r="AG124" t="n">
        <v>465</v>
      </c>
      <c r="AH124" t="n">
        <v>-32</v>
      </c>
      <c r="AI124" t="n">
        <v>101</v>
      </c>
      <c r="AJ124" t="n">
        <v>0.03</v>
      </c>
      <c r="AK124" t="n">
        <v>0.031</v>
      </c>
      <c r="AL124" t="n">
        <v>196</v>
      </c>
      <c r="AM124" t="n">
        <v>5.812</v>
      </c>
      <c r="AN124" t="n">
        <v>3</v>
      </c>
      <c r="AO124" t="n">
        <v>6</v>
      </c>
      <c r="AP124" t="n">
        <v>0.08799999999999999</v>
      </c>
      <c r="AQ124" t="n">
        <v>0.08799999999999999</v>
      </c>
      <c r="AR124" t="n">
        <v>0.029</v>
      </c>
      <c r="AS124" t="n">
        <v>0.895</v>
      </c>
      <c r="AT124" t="n">
        <v>1</v>
      </c>
      <c r="AU124" t="n">
        <v>23</v>
      </c>
      <c r="AV124" t="n">
        <v>0</v>
      </c>
      <c r="AW124" t="n">
        <v>2.47</v>
      </c>
      <c r="AX124" t="n">
        <v>8</v>
      </c>
      <c r="AY124" t="n">
        <v>1.27</v>
      </c>
      <c r="AZ124" t="n">
        <v>1.074</v>
      </c>
      <c r="BA124" t="n">
        <v>1.172</v>
      </c>
      <c r="BB124" t="n">
        <v>1.074</v>
      </c>
      <c r="BC124" t="n">
        <v>0.038</v>
      </c>
      <c r="BD124" t="n">
        <v>0.032</v>
      </c>
      <c r="BE124" t="n">
        <v>0.035</v>
      </c>
      <c r="BF124" t="n">
        <v>0.9</v>
      </c>
      <c r="BG124" t="n">
        <v>0.027</v>
      </c>
      <c r="BH124" t="n">
        <v>0.831</v>
      </c>
      <c r="BI124" t="n">
        <v>6.2</v>
      </c>
      <c r="BJ124" t="n">
        <v>1.055</v>
      </c>
      <c r="BK124" t="n">
        <v>0.031</v>
      </c>
      <c r="BL124" t="n">
        <v>-1.172</v>
      </c>
      <c r="BM124" t="n">
        <v>-0.37</v>
      </c>
      <c r="BN124" t="n">
        <v>-0.9</v>
      </c>
      <c r="BO124" t="n">
        <v>0.196</v>
      </c>
      <c r="BP124" t="n">
        <v>11</v>
      </c>
      <c r="BQ124" t="n">
        <v>2</v>
      </c>
      <c r="BR124" t="n">
        <v>1</v>
      </c>
      <c r="BS124" t="n">
        <v>26</v>
      </c>
      <c r="BT124" t="n">
        <v>0.771</v>
      </c>
      <c r="BW124" t="n">
        <v>0.59</v>
      </c>
      <c r="BX124" t="n">
        <v>0.601</v>
      </c>
      <c r="BY124" t="n">
        <v>0.596</v>
      </c>
      <c r="BZ124" t="n">
        <v>0.018</v>
      </c>
      <c r="CA124" t="n">
        <v>1.768</v>
      </c>
      <c r="CB124" t="n">
        <v>0.052</v>
      </c>
      <c r="CC124" t="n">
        <v>5</v>
      </c>
      <c r="CD124" t="n">
        <v>1</v>
      </c>
      <c r="CE124" t="n">
        <v>5</v>
      </c>
      <c r="CF124" t="n">
        <v>1</v>
      </c>
      <c r="CI124" t="n">
        <v>9.361000000000001</v>
      </c>
      <c r="CJ124" t="n">
        <v>8.839</v>
      </c>
      <c r="CK124" t="n">
        <v>174</v>
      </c>
      <c r="CL124" t="n">
        <v>108</v>
      </c>
      <c r="CM124" t="n">
        <v>22</v>
      </c>
      <c r="CN124" t="n">
        <v>8</v>
      </c>
      <c r="CO124" t="n">
        <v>23</v>
      </c>
      <c r="CP124" t="n">
        <v>122</v>
      </c>
      <c r="CQ124" t="n">
        <v>29</v>
      </c>
      <c r="CR124" t="n">
        <v>100</v>
      </c>
      <c r="CS124" t="n">
        <v>32</v>
      </c>
      <c r="CT124" t="n">
        <v>0.1</v>
      </c>
      <c r="CU124" t="n">
        <v>1</v>
      </c>
      <c r="CV124" t="n">
        <v>3</v>
      </c>
      <c r="CW124" t="n">
        <v>48.93</v>
      </c>
      <c r="CX124" t="n">
        <v>1.451</v>
      </c>
      <c r="CY124" t="n">
        <v>0</v>
      </c>
      <c r="DB124" t="n">
        <v>0</v>
      </c>
      <c r="DE124" t="n">
        <v>6.75</v>
      </c>
      <c r="DF124" t="n">
        <v>0</v>
      </c>
      <c r="DG124" t="n">
        <v>1</v>
      </c>
      <c r="DH124" t="n">
        <v>11</v>
      </c>
      <c r="DI124" t="n">
        <v>40</v>
      </c>
      <c r="DL124" t="n">
        <v>8</v>
      </c>
      <c r="DM124" t="n">
        <v>6</v>
      </c>
      <c r="DO124" t="n">
        <v>15.9</v>
      </c>
      <c r="DP124" t="n">
        <v>120.19</v>
      </c>
      <c r="DQ124" t="n">
        <v>59.7</v>
      </c>
      <c r="DR124" t="n">
        <v>119.4</v>
      </c>
      <c r="DS124" t="n">
        <v>0.79</v>
      </c>
      <c r="DT124" t="n">
        <v>3340</v>
      </c>
      <c r="DU124" t="n">
        <v>87.90000000000001</v>
      </c>
      <c r="DV124" t="inlineStr">
        <is>
          <t>flat</t>
        </is>
      </c>
      <c r="DW124" t="n">
        <v>89.95999999999999</v>
      </c>
      <c r="DX124" t="n">
        <v>93.61</v>
      </c>
      <c r="DY124" t="n">
        <v>88.36</v>
      </c>
      <c r="DZ124" t="n">
        <v>-1.6</v>
      </c>
      <c r="EA124" t="n">
        <v>790</v>
      </c>
      <c r="EB124" t="n">
        <v>19.54</v>
      </c>
      <c r="EC124" t="n">
        <v>9.140000000000001</v>
      </c>
      <c r="ED124" t="n">
        <v>120</v>
      </c>
      <c r="EE124" t="n">
        <v>1374</v>
      </c>
      <c r="EF124" t="b">
        <v>1</v>
      </c>
      <c r="EG124" t="n">
        <v>30.5</v>
      </c>
      <c r="EH124" t="n">
        <v>7.5</v>
      </c>
      <c r="EI124" t="n">
        <v>401</v>
      </c>
      <c r="EJ124" t="n">
        <v>275.9</v>
      </c>
      <c r="EK124" t="n">
        <v>116.7</v>
      </c>
      <c r="EL124" t="n">
        <v>607</v>
      </c>
      <c r="EM124" t="n">
        <v>2589.5</v>
      </c>
      <c r="EN124" t="n">
        <v>5094.5</v>
      </c>
      <c r="EO124" t="n">
        <v>1716.9</v>
      </c>
      <c r="EP124" t="n">
        <v>30.4</v>
      </c>
    </row>
    <row r="125">
      <c r="A125" t="inlineStr">
        <is>
          <t>Lewis Dunk</t>
        </is>
      </c>
      <c r="B125" t="inlineStr">
        <is>
          <t>BHA</t>
        </is>
      </c>
      <c r="C125" t="inlineStr">
        <is>
          <t>DEF</t>
        </is>
      </c>
      <c r="D125" t="inlineStr">
        <is>
          <t>DEF</t>
        </is>
      </c>
      <c r="E125" t="n">
        <v>4.5</v>
      </c>
      <c r="F125" t="b">
        <v>1</v>
      </c>
      <c r="G125" t="b">
        <v>1</v>
      </c>
      <c r="H125" t="n">
        <v>34.7</v>
      </c>
      <c r="I125" t="inlineStr">
        <is>
          <t>a</t>
        </is>
      </c>
      <c r="L125" t="inlineStr">
        <is>
          <t>p83299</t>
        </is>
      </c>
      <c r="M125" t="n">
        <v>116</v>
      </c>
      <c r="P125" t="n">
        <v>2</v>
      </c>
      <c r="Q125" t="n">
        <v>2837</v>
      </c>
      <c r="R125" t="n">
        <v>33</v>
      </c>
      <c r="S125" t="n">
        <v>31</v>
      </c>
      <c r="T125" t="n">
        <v>31.522</v>
      </c>
      <c r="U125" t="n">
        <v>86</v>
      </c>
      <c r="V125" t="n">
        <v>100</v>
      </c>
      <c r="W125" t="n">
        <v>3.172</v>
      </c>
      <c r="X125" t="n">
        <v>1</v>
      </c>
      <c r="Y125" t="n">
        <v>1</v>
      </c>
      <c r="AA125" t="n">
        <v>7</v>
      </c>
      <c r="AB125" t="n">
        <v>40</v>
      </c>
      <c r="AC125" t="n">
        <v>5</v>
      </c>
      <c r="AD125" t="n">
        <v>5</v>
      </c>
      <c r="AE125" t="n">
        <v>0</v>
      </c>
      <c r="AF125" t="n">
        <v>443</v>
      </c>
      <c r="AG125" t="n">
        <v>411</v>
      </c>
      <c r="AH125" t="n">
        <v>-32</v>
      </c>
      <c r="AI125" t="n">
        <v>100</v>
      </c>
      <c r="AJ125" t="n">
        <v>0.05</v>
      </c>
      <c r="AK125" t="n">
        <v>0.053</v>
      </c>
      <c r="AL125" t="n">
        <v>231</v>
      </c>
      <c r="AM125" t="n">
        <v>7.328</v>
      </c>
      <c r="AN125" t="n">
        <v>8</v>
      </c>
      <c r="AO125" t="n">
        <v>16</v>
      </c>
      <c r="AP125" t="n">
        <v>0.258</v>
      </c>
      <c r="AQ125" t="n">
        <v>0.258</v>
      </c>
      <c r="AR125" t="n">
        <v>0.129</v>
      </c>
      <c r="AS125" t="n">
        <v>0.8159999999999999</v>
      </c>
      <c r="AT125" t="n">
        <v>0.9389999999999999</v>
      </c>
      <c r="AU125" t="n">
        <v>20</v>
      </c>
      <c r="AV125" t="n">
        <v>2</v>
      </c>
      <c r="AW125" t="n">
        <v>3.1</v>
      </c>
      <c r="AX125" t="n">
        <v>14</v>
      </c>
      <c r="AY125" t="n">
        <v>1.83</v>
      </c>
      <c r="AZ125" t="n">
        <v>1.337</v>
      </c>
      <c r="BA125" t="n">
        <v>1.583</v>
      </c>
      <c r="BB125" t="n">
        <v>1.337</v>
      </c>
      <c r="BC125" t="n">
        <v>0.058</v>
      </c>
      <c r="BD125" t="n">
        <v>0.042</v>
      </c>
      <c r="BE125" t="n">
        <v>0.05</v>
      </c>
      <c r="BF125" t="n">
        <v>0.7</v>
      </c>
      <c r="BG125" t="n">
        <v>0.022</v>
      </c>
      <c r="BH125" t="n">
        <v>0.893</v>
      </c>
      <c r="BI125" t="n">
        <v>7.46</v>
      </c>
      <c r="BJ125" t="n">
        <v>1.634</v>
      </c>
      <c r="BK125" t="n">
        <v>0.052</v>
      </c>
      <c r="BL125" t="n">
        <v>-0.583</v>
      </c>
      <c r="BM125" t="n">
        <v>-1.13</v>
      </c>
      <c r="BN125" t="n">
        <v>0.3</v>
      </c>
      <c r="BO125" t="n">
        <v>0.493</v>
      </c>
      <c r="BP125" t="n">
        <v>24</v>
      </c>
      <c r="BQ125" t="n">
        <v>3</v>
      </c>
      <c r="BS125" t="n">
        <v>43</v>
      </c>
      <c r="BT125" t="n">
        <v>1.364</v>
      </c>
      <c r="BV125" t="n">
        <v>1</v>
      </c>
      <c r="BW125" t="n">
        <v>0.5600000000000001</v>
      </c>
      <c r="BX125" t="n">
        <v>0.545</v>
      </c>
      <c r="BY125" t="n">
        <v>0.553</v>
      </c>
      <c r="BZ125" t="n">
        <v>0.018</v>
      </c>
      <c r="CA125" t="n">
        <v>2.136</v>
      </c>
      <c r="CB125" t="n">
        <v>0.068</v>
      </c>
      <c r="CC125" t="n">
        <v>7</v>
      </c>
      <c r="CD125" t="n">
        <v>1</v>
      </c>
      <c r="CE125" t="n">
        <v>7</v>
      </c>
      <c r="CF125" t="n">
        <v>1</v>
      </c>
      <c r="CG125" t="n">
        <v>1</v>
      </c>
      <c r="CH125" t="n">
        <v>0</v>
      </c>
      <c r="CI125" t="n">
        <v>12.689</v>
      </c>
      <c r="CJ125" t="n">
        <v>12.602</v>
      </c>
      <c r="CK125" t="n">
        <v>196</v>
      </c>
      <c r="CL125" t="n">
        <v>135</v>
      </c>
      <c r="CM125" t="n">
        <v>35</v>
      </c>
      <c r="CN125" t="n">
        <v>22</v>
      </c>
      <c r="CO125" t="n">
        <v>30</v>
      </c>
      <c r="CP125" t="n">
        <v>142</v>
      </c>
      <c r="CQ125" t="n">
        <v>27</v>
      </c>
      <c r="CR125" t="n">
        <v>127</v>
      </c>
      <c r="CS125" t="n">
        <v>76</v>
      </c>
      <c r="CT125" t="n">
        <v>0.1</v>
      </c>
      <c r="CU125" t="n">
        <v>1</v>
      </c>
      <c r="CV125" t="n">
        <v>2</v>
      </c>
      <c r="CW125" t="n">
        <v>41.9</v>
      </c>
      <c r="CX125" t="n">
        <v>1.329</v>
      </c>
      <c r="CY125" t="n">
        <v>0</v>
      </c>
      <c r="DB125" t="n">
        <v>0</v>
      </c>
      <c r="DE125" t="n">
        <v>6.97</v>
      </c>
      <c r="DF125" t="n">
        <v>10</v>
      </c>
      <c r="DG125" t="n">
        <v>0</v>
      </c>
      <c r="DH125" t="n">
        <v>15</v>
      </c>
      <c r="DI125" t="n">
        <v>12</v>
      </c>
      <c r="DJ125" t="n">
        <v>1</v>
      </c>
      <c r="DK125" t="n">
        <v>1</v>
      </c>
      <c r="DL125" t="n">
        <v>4</v>
      </c>
      <c r="DM125" t="n">
        <v>5</v>
      </c>
      <c r="DN125" t="n">
        <v>1</v>
      </c>
      <c r="DO125" t="n">
        <v>0.8</v>
      </c>
      <c r="DP125" t="n">
        <v>68.93000000000001</v>
      </c>
      <c r="DQ125" t="n">
        <v>34.65</v>
      </c>
      <c r="DR125" t="n">
        <v>69.3</v>
      </c>
      <c r="DS125" t="n">
        <v>-0.37</v>
      </c>
      <c r="DT125" t="n">
        <v>1898</v>
      </c>
      <c r="DU125" t="n">
        <v>49.95</v>
      </c>
      <c r="DV125" t="inlineStr">
        <is>
          <t>flat</t>
        </is>
      </c>
      <c r="DW125" t="n">
        <v>98.98999999999999</v>
      </c>
      <c r="DX125" t="n">
        <v>101.58</v>
      </c>
      <c r="DY125" t="n">
        <v>98.70999999999999</v>
      </c>
      <c r="DZ125" t="n">
        <v>-0.28</v>
      </c>
      <c r="EA125" t="n">
        <v>85</v>
      </c>
      <c r="EB125" t="n">
        <v>15.95</v>
      </c>
      <c r="EC125" t="n">
        <v>48</v>
      </c>
      <c r="ED125" t="n">
        <v>120</v>
      </c>
      <c r="EE125" t="n">
        <v>131</v>
      </c>
      <c r="EF125" t="b">
        <v>1</v>
      </c>
      <c r="EG125" t="n">
        <v>3</v>
      </c>
      <c r="EH125" t="n">
        <v>11.5</v>
      </c>
      <c r="EI125" t="n">
        <v>402</v>
      </c>
      <c r="EJ125" t="n">
        <v>118.2</v>
      </c>
      <c r="EK125" t="n">
        <v>66</v>
      </c>
      <c r="EL125" t="n">
        <v>405.3</v>
      </c>
      <c r="EM125" t="n">
        <v>1791.7</v>
      </c>
      <c r="EN125" t="n">
        <v>5132.9</v>
      </c>
      <c r="EO125" t="n">
        <v>1328.1</v>
      </c>
      <c r="EP125" t="n">
        <v>28.4</v>
      </c>
    </row>
    <row r="126">
      <c r="A126" t="inlineStr">
        <is>
          <t>Jaka Bijol</t>
        </is>
      </c>
      <c r="B126" t="inlineStr">
        <is>
          <t>LEE</t>
        </is>
      </c>
      <c r="C126" t="inlineStr">
        <is>
          <t>DEF</t>
        </is>
      </c>
      <c r="D126" t="inlineStr">
        <is>
          <t>DEF</t>
        </is>
      </c>
      <c r="E126" t="n">
        <v>5</v>
      </c>
      <c r="F126" t="b">
        <v>1</v>
      </c>
      <c r="G126" t="b">
        <v>1</v>
      </c>
      <c r="H126" t="n">
        <v>27.5</v>
      </c>
      <c r="I126" t="inlineStr">
        <is>
          <t>a</t>
        </is>
      </c>
      <c r="L126" t="inlineStr">
        <is>
          <t>p434752</t>
        </is>
      </c>
      <c r="M126" t="n">
        <v>327</v>
      </c>
      <c r="Q126" t="n">
        <v>1888</v>
      </c>
      <c r="R126" t="n">
        <v>25</v>
      </c>
      <c r="S126" t="n">
        <v>21</v>
      </c>
      <c r="T126" t="n">
        <v>20.978</v>
      </c>
      <c r="U126" t="n">
        <v>75.5</v>
      </c>
      <c r="V126" t="n">
        <v>99</v>
      </c>
      <c r="W126" t="n">
        <v>4.719</v>
      </c>
      <c r="X126" t="n">
        <v>1</v>
      </c>
      <c r="Y126" t="n">
        <v>3</v>
      </c>
      <c r="Z126" t="n">
        <v>2</v>
      </c>
      <c r="AA126" t="n">
        <v>5</v>
      </c>
      <c r="AB126" t="n">
        <v>26</v>
      </c>
      <c r="AC126" t="n">
        <v>6</v>
      </c>
      <c r="AD126" t="n">
        <v>3</v>
      </c>
      <c r="AE126" t="n">
        <v>-3</v>
      </c>
      <c r="AF126" t="n">
        <v>323</v>
      </c>
      <c r="AG126" t="n">
        <v>286</v>
      </c>
      <c r="AH126" t="n">
        <v>-37</v>
      </c>
      <c r="AI126" t="n">
        <v>96</v>
      </c>
      <c r="AJ126" t="n">
        <v>0.061</v>
      </c>
      <c r="AK126" t="n">
        <v>0.065</v>
      </c>
      <c r="AL126" t="n">
        <v>219</v>
      </c>
      <c r="AM126" t="n">
        <v>10.44</v>
      </c>
      <c r="AN126" t="n">
        <v>11</v>
      </c>
      <c r="AO126" t="n">
        <v>22</v>
      </c>
      <c r="AP126" t="n">
        <v>0.524</v>
      </c>
      <c r="AQ126" t="n">
        <v>0.524</v>
      </c>
      <c r="AR126" t="n">
        <v>0.381</v>
      </c>
      <c r="AS126" t="n">
        <v>0.553</v>
      </c>
      <c r="AT126" t="n">
        <v>0.84</v>
      </c>
      <c r="AU126" t="n">
        <v>10</v>
      </c>
      <c r="AV126" t="n">
        <v>2</v>
      </c>
      <c r="AW126" t="n">
        <v>3.19</v>
      </c>
      <c r="AX126" t="n">
        <v>12</v>
      </c>
      <c r="AY126" t="n">
        <v>0.9</v>
      </c>
      <c r="AZ126" t="n">
        <v>0.718</v>
      </c>
      <c r="BA126" t="n">
        <v>0.8090000000000001</v>
      </c>
      <c r="BB126" t="n">
        <v>0.718</v>
      </c>
      <c r="BC126" t="n">
        <v>0.043</v>
      </c>
      <c r="BD126" t="n">
        <v>0.034</v>
      </c>
      <c r="BE126" t="n">
        <v>0.039</v>
      </c>
      <c r="BF126" t="n">
        <v>0.8</v>
      </c>
      <c r="BG126" t="n">
        <v>0.038</v>
      </c>
      <c r="BH126" t="n">
        <v>0.989</v>
      </c>
      <c r="BI126" t="n">
        <v>0.9</v>
      </c>
      <c r="BJ126" t="n">
        <v>0.89</v>
      </c>
      <c r="BK126" t="n">
        <v>0.042</v>
      </c>
      <c r="BL126" t="n">
        <v>0.191</v>
      </c>
      <c r="BM126" t="n">
        <v>-0.1</v>
      </c>
      <c r="BN126" t="n">
        <v>0.2</v>
      </c>
      <c r="BO126" t="n">
        <v>0.182</v>
      </c>
      <c r="BP126" t="n">
        <v>15</v>
      </c>
      <c r="BQ126" t="n">
        <v>6</v>
      </c>
      <c r="BR126" t="n">
        <v>1</v>
      </c>
      <c r="BS126" t="n">
        <v>48</v>
      </c>
      <c r="BT126" t="n">
        <v>2.288</v>
      </c>
      <c r="BV126" t="n">
        <v>1</v>
      </c>
      <c r="BW126" t="n">
        <v>0.75</v>
      </c>
      <c r="BX126" t="n">
        <v>1.399</v>
      </c>
      <c r="BY126" t="n">
        <v>1.075</v>
      </c>
      <c r="BZ126" t="n">
        <v>0.051</v>
      </c>
      <c r="CA126" t="n">
        <v>1.884</v>
      </c>
      <c r="CB126" t="n">
        <v>0.09</v>
      </c>
      <c r="CC126" t="n">
        <v>7</v>
      </c>
      <c r="CD126" t="n">
        <v>3</v>
      </c>
      <c r="CE126" t="n">
        <v>7</v>
      </c>
      <c r="CI126" t="n">
        <v>5.491</v>
      </c>
      <c r="CJ126" t="n">
        <v>4.504</v>
      </c>
      <c r="CK126" t="n">
        <v>194</v>
      </c>
      <c r="CL126" t="n">
        <v>63</v>
      </c>
      <c r="CM126" t="n">
        <v>25</v>
      </c>
      <c r="CN126" t="n">
        <v>14</v>
      </c>
      <c r="CO126" t="n">
        <v>24</v>
      </c>
      <c r="CP126" t="n">
        <v>160</v>
      </c>
      <c r="CQ126" t="n">
        <v>14</v>
      </c>
      <c r="CR126" t="n">
        <v>104</v>
      </c>
      <c r="CS126" t="n">
        <v>66</v>
      </c>
      <c r="CT126" t="n">
        <v>0</v>
      </c>
      <c r="CV126" t="n">
        <v>1</v>
      </c>
      <c r="CW126" t="n">
        <v>31.48</v>
      </c>
      <c r="CX126" t="n">
        <v>1.501</v>
      </c>
      <c r="CY126" t="n">
        <v>0</v>
      </c>
      <c r="DB126" t="n">
        <v>0</v>
      </c>
      <c r="DE126" t="n">
        <v>7.04</v>
      </c>
      <c r="DF126" t="n">
        <v>4</v>
      </c>
      <c r="DG126" t="n">
        <v>0</v>
      </c>
      <c r="DH126" t="n">
        <v>19</v>
      </c>
      <c r="DI126" t="n">
        <v>10</v>
      </c>
      <c r="DK126" t="n">
        <v>1</v>
      </c>
      <c r="DL126" t="n">
        <v>2</v>
      </c>
      <c r="DO126" t="n">
        <v>0.3</v>
      </c>
      <c r="DP126" t="n">
        <v>97.2</v>
      </c>
      <c r="DQ126" t="n">
        <v>48.77</v>
      </c>
      <c r="DR126" t="n">
        <v>97.54000000000001</v>
      </c>
      <c r="DS126" t="n">
        <v>-0.34</v>
      </c>
      <c r="DT126" t="n">
        <v>2046</v>
      </c>
      <c r="DU126" t="n">
        <v>53.85</v>
      </c>
      <c r="DV126" t="inlineStr">
        <is>
          <t>flat</t>
        </is>
      </c>
      <c r="DW126" t="n">
        <v>100.4</v>
      </c>
      <c r="DX126" t="n">
        <v>103.8</v>
      </c>
      <c r="DY126" t="n">
        <v>101.15</v>
      </c>
      <c r="DZ126" t="n">
        <v>0.74</v>
      </c>
      <c r="EA126" t="n">
        <v>167</v>
      </c>
      <c r="EB126" t="n">
        <v>15.68</v>
      </c>
      <c r="EC126" t="n">
        <v>2.67</v>
      </c>
      <c r="ED126" t="n">
        <v>120</v>
      </c>
      <c r="EE126" t="n">
        <v>243</v>
      </c>
      <c r="EF126" t="b">
        <v>1</v>
      </c>
      <c r="EG126" t="n">
        <v>7</v>
      </c>
      <c r="EH126" t="n">
        <v>28.7</v>
      </c>
      <c r="EI126" t="n">
        <v>244</v>
      </c>
      <c r="EJ126" t="n">
        <v>125.9</v>
      </c>
      <c r="EK126" t="n">
        <v>39.3</v>
      </c>
      <c r="EL126" t="n">
        <v>269.7</v>
      </c>
      <c r="EM126" t="n">
        <v>2333</v>
      </c>
      <c r="EN126" t="n">
        <v>1756.9</v>
      </c>
      <c r="EO126" t="n">
        <v>1002.2</v>
      </c>
      <c r="EP126" t="n">
        <v>19.1</v>
      </c>
    </row>
    <row r="127">
      <c r="A127" t="inlineStr">
        <is>
          <t>Yasin Ayari</t>
        </is>
      </c>
      <c r="B127" t="inlineStr">
        <is>
          <t>BHA</t>
        </is>
      </c>
      <c r="C127" t="inlineStr">
        <is>
          <t>MID</t>
        </is>
      </c>
      <c r="D127" t="inlineStr">
        <is>
          <t>MID</t>
        </is>
      </c>
      <c r="E127" t="n">
        <v>5.5</v>
      </c>
      <c r="F127" t="b">
        <v>1</v>
      </c>
      <c r="G127" t="b">
        <v>1</v>
      </c>
      <c r="H127" t="n">
        <v>22.9</v>
      </c>
      <c r="I127" t="inlineStr">
        <is>
          <t>a</t>
        </is>
      </c>
      <c r="L127" t="inlineStr">
        <is>
          <t>p509416</t>
        </is>
      </c>
      <c r="M127" t="n">
        <v>129</v>
      </c>
      <c r="O127" t="n">
        <v>5</v>
      </c>
      <c r="P127" t="n">
        <v>1</v>
      </c>
      <c r="Q127" t="n">
        <v>1921</v>
      </c>
      <c r="R127" t="n">
        <v>29</v>
      </c>
      <c r="S127" t="n">
        <v>20</v>
      </c>
      <c r="T127" t="n">
        <v>21.344</v>
      </c>
      <c r="U127" t="n">
        <v>66.2</v>
      </c>
      <c r="V127" t="n">
        <v>98</v>
      </c>
      <c r="W127" t="n">
        <v>4.591</v>
      </c>
      <c r="X127" t="n">
        <v>3</v>
      </c>
      <c r="Y127" t="n">
        <v>4</v>
      </c>
      <c r="Z127" t="n">
        <v>3</v>
      </c>
      <c r="AA127" t="n">
        <v>6</v>
      </c>
      <c r="AB127" t="n">
        <v>24</v>
      </c>
      <c r="AC127" t="n">
        <v>7</v>
      </c>
      <c r="AD127" t="n">
        <v>7</v>
      </c>
      <c r="AE127" t="n">
        <v>0</v>
      </c>
      <c r="AF127" t="n">
        <v>406</v>
      </c>
      <c r="AG127" t="n">
        <v>399</v>
      </c>
      <c r="AH127" t="n">
        <v>-7</v>
      </c>
      <c r="AI127" t="n">
        <v>98</v>
      </c>
      <c r="AJ127" t="n">
        <v>0.07099999999999999</v>
      </c>
      <c r="AK127" t="n">
        <v>0.077</v>
      </c>
      <c r="AL127" t="n">
        <v>225</v>
      </c>
      <c r="AM127" t="n">
        <v>10.541</v>
      </c>
      <c r="AN127" t="n">
        <v>5</v>
      </c>
      <c r="AO127" t="n">
        <v>10</v>
      </c>
      <c r="AP127" t="n">
        <v>0.25</v>
      </c>
      <c r="AQ127" t="n">
        <v>0.65</v>
      </c>
      <c r="AR127" t="n">
        <v>0.25</v>
      </c>
      <c r="AS127" t="n">
        <v>0.526</v>
      </c>
      <c r="AT127" t="n">
        <v>0.6899999999999999</v>
      </c>
      <c r="AU127" t="n">
        <v>15</v>
      </c>
      <c r="AV127" t="n">
        <v>2</v>
      </c>
      <c r="AW127" t="n">
        <v>3.01</v>
      </c>
      <c r="AX127" t="n">
        <v>12</v>
      </c>
      <c r="AY127" t="n">
        <v>2.7</v>
      </c>
      <c r="AZ127" t="n">
        <v>2.118</v>
      </c>
      <c r="BA127" t="n">
        <v>2.409</v>
      </c>
      <c r="BB127" t="n">
        <v>2.118</v>
      </c>
      <c r="BC127" t="n">
        <v>0.126</v>
      </c>
      <c r="BD127" t="n">
        <v>0.099</v>
      </c>
      <c r="BE127" t="n">
        <v>0.113</v>
      </c>
      <c r="BF127" t="n">
        <v>1.7</v>
      </c>
      <c r="BG127" t="n">
        <v>0.08</v>
      </c>
      <c r="BH127" t="n">
        <v>1.005</v>
      </c>
      <c r="BI127" t="n">
        <v>5.23</v>
      </c>
      <c r="BJ127" t="n">
        <v>2.714</v>
      </c>
      <c r="BK127" t="n">
        <v>0.127</v>
      </c>
      <c r="BL127" t="n">
        <v>0.591</v>
      </c>
      <c r="BM127" t="n">
        <v>-1</v>
      </c>
      <c r="BN127" t="n">
        <v>1.3</v>
      </c>
      <c r="BO127" t="n">
        <v>0.582</v>
      </c>
      <c r="BP127" t="n">
        <v>41</v>
      </c>
      <c r="BQ127" t="n">
        <v>10</v>
      </c>
      <c r="BS127" t="n">
        <v>38</v>
      </c>
      <c r="BT127" t="n">
        <v>1.78</v>
      </c>
      <c r="BW127" t="n">
        <v>1.15</v>
      </c>
      <c r="BX127" t="n">
        <v>1.401</v>
      </c>
      <c r="BY127" t="n">
        <v>1.275</v>
      </c>
      <c r="BZ127" t="n">
        <v>0.06</v>
      </c>
      <c r="CA127" t="n">
        <v>3.684</v>
      </c>
      <c r="CB127" t="n">
        <v>0.173</v>
      </c>
      <c r="CC127" t="n">
        <v>15</v>
      </c>
      <c r="CD127" t="n">
        <v>2</v>
      </c>
      <c r="CE127" t="n">
        <v>15</v>
      </c>
      <c r="CF127" t="n">
        <v>5</v>
      </c>
      <c r="CH127" t="n">
        <v>16</v>
      </c>
      <c r="CI127" t="n">
        <v>7.901</v>
      </c>
      <c r="CJ127" t="n">
        <v>5.477</v>
      </c>
      <c r="CK127" t="n">
        <v>54</v>
      </c>
      <c r="CL127" t="n">
        <v>124</v>
      </c>
      <c r="CM127" t="n">
        <v>47</v>
      </c>
      <c r="CN127" t="n">
        <v>24</v>
      </c>
      <c r="CO127" t="n">
        <v>26</v>
      </c>
      <c r="CP127" t="n">
        <v>24</v>
      </c>
      <c r="CQ127" t="n">
        <v>4</v>
      </c>
      <c r="CR127" t="n">
        <v>102</v>
      </c>
      <c r="CS127" t="n">
        <v>9</v>
      </c>
      <c r="CT127" t="n">
        <v>0.7</v>
      </c>
      <c r="CV127" t="n">
        <v>4</v>
      </c>
      <c r="CW127" t="n">
        <v>26.85</v>
      </c>
      <c r="CX127" t="n">
        <v>1.258</v>
      </c>
      <c r="CY127" t="n">
        <v>0</v>
      </c>
      <c r="DB127" t="n">
        <v>0</v>
      </c>
      <c r="DE127" t="n">
        <v>7.05</v>
      </c>
      <c r="DF127" t="n">
        <v>1</v>
      </c>
      <c r="DG127" t="n">
        <v>0</v>
      </c>
      <c r="DH127" t="n">
        <v>24</v>
      </c>
      <c r="DI127" t="n">
        <v>28</v>
      </c>
      <c r="DL127" t="n">
        <v>18</v>
      </c>
      <c r="DM127" t="n">
        <v>19</v>
      </c>
      <c r="DO127" t="n">
        <v>0.8</v>
      </c>
      <c r="DP127" t="n">
        <v>64.05</v>
      </c>
      <c r="DQ127" t="n">
        <v>33.7</v>
      </c>
      <c r="DR127" t="n">
        <v>67.40000000000001</v>
      </c>
      <c r="DS127" t="n">
        <v>-3.35</v>
      </c>
      <c r="DT127" t="n">
        <v>1402</v>
      </c>
      <c r="DU127" t="n">
        <v>36.9</v>
      </c>
      <c r="DV127" t="inlineStr">
        <is>
          <t>fade (losing his place)</t>
        </is>
      </c>
      <c r="DW127" t="n">
        <v>86.45999999999999</v>
      </c>
      <c r="DX127" t="n">
        <v>88.84</v>
      </c>
      <c r="DY127" t="n">
        <v>84.76000000000001</v>
      </c>
      <c r="DZ127" t="n">
        <v>-1.71</v>
      </c>
      <c r="EA127" t="n">
        <v>132</v>
      </c>
      <c r="EB127" t="n">
        <v>19.87</v>
      </c>
      <c r="EC127" t="n">
        <v>29.33</v>
      </c>
      <c r="ED127" t="n">
        <v>120</v>
      </c>
      <c r="EE127" t="n">
        <v>184</v>
      </c>
      <c r="EF127" t="b">
        <v>1</v>
      </c>
      <c r="EG127" t="n">
        <v>4.1</v>
      </c>
      <c r="EH127" t="n">
        <v>8</v>
      </c>
      <c r="EI127" t="n">
        <v>137</v>
      </c>
      <c r="EJ127" t="n">
        <v>46.9</v>
      </c>
      <c r="EK127" t="n">
        <v>50.6</v>
      </c>
      <c r="EL127" t="n">
        <v>128.1</v>
      </c>
      <c r="EM127" t="n">
        <v>797.4</v>
      </c>
      <c r="EN127" t="n">
        <v>1506.2</v>
      </c>
      <c r="EO127" t="n">
        <v>521.4</v>
      </c>
      <c r="EP127" t="n">
        <v>19.6</v>
      </c>
    </row>
    <row r="128">
      <c r="A128" t="inlineStr">
        <is>
          <t>Mathias Jensen</t>
        </is>
      </c>
      <c r="B128" t="inlineStr">
        <is>
          <t>BRE</t>
        </is>
      </c>
      <c r="C128" t="inlineStr">
        <is>
          <t>MID</t>
        </is>
      </c>
      <c r="D128" t="inlineStr">
        <is>
          <t>MID</t>
        </is>
      </c>
      <c r="E128" t="n">
        <v>5.5</v>
      </c>
      <c r="F128" t="b">
        <v>1</v>
      </c>
      <c r="G128" t="b">
        <v>1</v>
      </c>
      <c r="H128" t="n">
        <v>30.6</v>
      </c>
      <c r="I128" t="inlineStr">
        <is>
          <t>a</t>
        </is>
      </c>
      <c r="L128" t="inlineStr">
        <is>
          <t>p207283</t>
        </is>
      </c>
      <c r="M128" t="n">
        <v>97</v>
      </c>
      <c r="N128" t="n">
        <v>3</v>
      </c>
      <c r="O128" t="n">
        <v>1</v>
      </c>
      <c r="P128" t="n">
        <v>2</v>
      </c>
      <c r="Q128" t="n">
        <v>2239</v>
      </c>
      <c r="R128" t="n">
        <v>36</v>
      </c>
      <c r="S128" t="n">
        <v>26</v>
      </c>
      <c r="T128" t="n">
        <v>24.878</v>
      </c>
      <c r="U128" t="n">
        <v>62.2</v>
      </c>
      <c r="V128" t="n">
        <v>98</v>
      </c>
      <c r="W128" t="n">
        <v>3.939</v>
      </c>
      <c r="X128" t="n">
        <v>3</v>
      </c>
      <c r="Y128" t="n">
        <v>2</v>
      </c>
      <c r="Z128" t="n">
        <v>1</v>
      </c>
      <c r="AA128" t="n">
        <v>9</v>
      </c>
      <c r="AB128" t="n">
        <v>33</v>
      </c>
      <c r="AC128" t="n">
        <v>1</v>
      </c>
      <c r="AD128" t="n">
        <v>1</v>
      </c>
      <c r="AE128" t="n">
        <v>0</v>
      </c>
      <c r="AF128" t="n">
        <v>465</v>
      </c>
      <c r="AG128" t="n">
        <v>455</v>
      </c>
      <c r="AH128" t="n">
        <v>-10</v>
      </c>
      <c r="AI128" t="n">
        <v>98</v>
      </c>
      <c r="AJ128" t="n">
        <v>0.01</v>
      </c>
      <c r="AK128" t="n">
        <v>0.01</v>
      </c>
      <c r="AL128" t="n">
        <v>220</v>
      </c>
      <c r="AM128" t="n">
        <v>8.843</v>
      </c>
      <c r="AN128" t="n">
        <v>4</v>
      </c>
      <c r="AO128" t="n">
        <v>8</v>
      </c>
      <c r="AP128" t="n">
        <v>0.154</v>
      </c>
      <c r="AQ128" t="n">
        <v>0.269</v>
      </c>
      <c r="AR128" t="n">
        <v>0.154</v>
      </c>
      <c r="AS128" t="n">
        <v>0.6840000000000001</v>
      </c>
      <c r="AT128" t="n">
        <v>0.722</v>
      </c>
      <c r="AU128" t="n">
        <v>22</v>
      </c>
      <c r="AV128" t="n">
        <v>1</v>
      </c>
      <c r="AW128" t="n">
        <v>2.09</v>
      </c>
      <c r="AX128" t="n">
        <v>10</v>
      </c>
      <c r="AY128" t="n">
        <v>2.21</v>
      </c>
      <c r="AZ128" t="n">
        <v>1.588</v>
      </c>
      <c r="BA128" t="n">
        <v>1.899</v>
      </c>
      <c r="BB128" t="n">
        <v>1.588</v>
      </c>
      <c r="BC128" t="n">
        <v>0.089</v>
      </c>
      <c r="BD128" t="n">
        <v>0.064</v>
      </c>
      <c r="BE128" t="n">
        <v>0.076</v>
      </c>
      <c r="BF128" t="n">
        <v>1.9</v>
      </c>
      <c r="BG128" t="n">
        <v>0.076</v>
      </c>
      <c r="BH128" t="n">
        <v>0.993</v>
      </c>
      <c r="BI128" t="n">
        <v>5.49</v>
      </c>
      <c r="BJ128" t="n">
        <v>2.195</v>
      </c>
      <c r="BK128" t="n">
        <v>0.08799999999999999</v>
      </c>
      <c r="BL128" t="n">
        <v>1.101</v>
      </c>
      <c r="BM128" t="n">
        <v>-0.31</v>
      </c>
      <c r="BN128" t="n">
        <v>1.1</v>
      </c>
      <c r="BO128" t="n">
        <v>0.622</v>
      </c>
      <c r="BP128" t="n">
        <v>29</v>
      </c>
      <c r="BQ128" t="n">
        <v>8</v>
      </c>
      <c r="BR128" t="n">
        <v>2</v>
      </c>
      <c r="BS128" t="n">
        <v>40</v>
      </c>
      <c r="BT128" t="n">
        <v>1.608</v>
      </c>
      <c r="BW128" t="n">
        <v>6.06</v>
      </c>
      <c r="BX128" t="n">
        <v>5.333</v>
      </c>
      <c r="BY128" t="n">
        <v>5.697</v>
      </c>
      <c r="BZ128" t="n">
        <v>0.229</v>
      </c>
      <c r="CA128" t="n">
        <v>7.596</v>
      </c>
      <c r="CB128" t="n">
        <v>0.305</v>
      </c>
      <c r="CC128" t="n">
        <v>33</v>
      </c>
      <c r="CD128" t="n">
        <v>11</v>
      </c>
      <c r="CE128" t="n">
        <v>33</v>
      </c>
      <c r="CF128" t="n">
        <v>38</v>
      </c>
      <c r="CG128" t="n">
        <v>7</v>
      </c>
      <c r="CH128" t="n">
        <v>65</v>
      </c>
      <c r="CI128" t="n">
        <v>10.393</v>
      </c>
      <c r="CJ128" t="n">
        <v>7.006</v>
      </c>
      <c r="CK128" t="n">
        <v>62</v>
      </c>
      <c r="CL128" t="n">
        <v>118</v>
      </c>
      <c r="CM128" t="n">
        <v>40</v>
      </c>
      <c r="CN128" t="n">
        <v>23</v>
      </c>
      <c r="CO128" t="n">
        <v>21</v>
      </c>
      <c r="CP128" t="n">
        <v>37</v>
      </c>
      <c r="CQ128" t="n">
        <v>4</v>
      </c>
      <c r="CR128" t="n">
        <v>83</v>
      </c>
      <c r="CS128" t="n">
        <v>8</v>
      </c>
      <c r="CT128" t="n">
        <v>0.4</v>
      </c>
      <c r="CV128" t="n">
        <v>2</v>
      </c>
      <c r="CW128" t="n">
        <v>35.72</v>
      </c>
      <c r="CX128" t="n">
        <v>1.436</v>
      </c>
      <c r="CY128" t="n">
        <v>0</v>
      </c>
      <c r="DB128" t="n">
        <v>0</v>
      </c>
      <c r="DE128" t="n">
        <v>6.78</v>
      </c>
      <c r="DF128" t="n">
        <v>3</v>
      </c>
      <c r="DG128" t="n">
        <v>0</v>
      </c>
      <c r="DH128" t="n">
        <v>20</v>
      </c>
      <c r="DI128" t="n">
        <v>15</v>
      </c>
      <c r="DL128" t="n">
        <v>19</v>
      </c>
      <c r="DM128" t="n">
        <v>25</v>
      </c>
      <c r="DN128" t="n">
        <v>2</v>
      </c>
      <c r="DO128" t="n">
        <v>0.2</v>
      </c>
      <c r="DP128" t="n">
        <v>65.59</v>
      </c>
      <c r="DQ128" t="n">
        <v>32.84</v>
      </c>
      <c r="DR128" t="n">
        <v>65.68000000000001</v>
      </c>
      <c r="DS128" t="n">
        <v>-0.09</v>
      </c>
      <c r="DT128" t="n">
        <v>1573</v>
      </c>
      <c r="DU128" t="n">
        <v>41.4</v>
      </c>
      <c r="DV128" t="inlineStr">
        <is>
          <t>flat</t>
        </is>
      </c>
      <c r="DW128" t="n">
        <v>87.11</v>
      </c>
      <c r="DY128" t="n">
        <v>92.48</v>
      </c>
      <c r="DZ128" t="n">
        <v>5.37</v>
      </c>
      <c r="EA128" t="n">
        <v>7</v>
      </c>
      <c r="EB128" t="n">
        <v>25.08</v>
      </c>
      <c r="EC128" t="n">
        <v>42.18</v>
      </c>
      <c r="ED128" t="n">
        <v>118.5</v>
      </c>
      <c r="EE128" t="n">
        <v>12</v>
      </c>
      <c r="EF128" t="b">
        <v>1</v>
      </c>
      <c r="EG128" t="n">
        <v>0.3</v>
      </c>
      <c r="EH128" t="n">
        <v>14.3</v>
      </c>
      <c r="EI128" t="n">
        <v>136</v>
      </c>
      <c r="EJ128" t="n">
        <v>77.2</v>
      </c>
      <c r="EK128" t="n">
        <v>56</v>
      </c>
      <c r="EL128" t="n">
        <v>67.8</v>
      </c>
      <c r="EM128" t="n">
        <v>1179</v>
      </c>
      <c r="EN128" t="n">
        <v>393</v>
      </c>
      <c r="EO128" t="n">
        <v>294.8</v>
      </c>
      <c r="EP128" t="n">
        <v>22.8</v>
      </c>
    </row>
    <row r="129">
      <c r="A129" t="inlineStr">
        <is>
          <t>Diego Gómez</t>
        </is>
      </c>
      <c r="B129" t="inlineStr">
        <is>
          <t>BHA</t>
        </is>
      </c>
      <c r="C129" t="inlineStr">
        <is>
          <t>MID</t>
        </is>
      </c>
      <c r="D129" t="inlineStr">
        <is>
          <t>MID</t>
        </is>
      </c>
      <c r="E129" t="n">
        <v>5</v>
      </c>
      <c r="F129" t="b">
        <v>1</v>
      </c>
      <c r="G129" t="b">
        <v>1</v>
      </c>
      <c r="H129" t="n">
        <v>23.4</v>
      </c>
      <c r="I129" t="inlineStr">
        <is>
          <t>a</t>
        </is>
      </c>
      <c r="L129" t="inlineStr">
        <is>
          <t>p514254</t>
        </is>
      </c>
      <c r="M129" t="n">
        <v>127</v>
      </c>
      <c r="P129" t="n">
        <v>4</v>
      </c>
      <c r="Q129" t="n">
        <v>2117</v>
      </c>
      <c r="R129" t="n">
        <v>32</v>
      </c>
      <c r="S129" t="n">
        <v>26</v>
      </c>
      <c r="T129" t="n">
        <v>23.522</v>
      </c>
      <c r="U129" t="n">
        <v>66.2</v>
      </c>
      <c r="V129" t="n">
        <v>97</v>
      </c>
      <c r="W129" t="n">
        <v>4.124</v>
      </c>
      <c r="X129" t="n">
        <v>5</v>
      </c>
      <c r="Y129" t="n">
        <v>1</v>
      </c>
      <c r="Z129" t="n">
        <v>1</v>
      </c>
      <c r="AA129" t="n">
        <v>8</v>
      </c>
      <c r="AB129" t="n">
        <v>29</v>
      </c>
      <c r="AC129" t="n">
        <v>9</v>
      </c>
      <c r="AD129" t="n">
        <v>9</v>
      </c>
      <c r="AE129" t="n">
        <v>0</v>
      </c>
      <c r="AF129" t="n">
        <v>361</v>
      </c>
      <c r="AG129" t="n">
        <v>351</v>
      </c>
      <c r="AH129" t="n">
        <v>-10</v>
      </c>
      <c r="AI129" t="n">
        <v>97</v>
      </c>
      <c r="AJ129" t="n">
        <v>0.093</v>
      </c>
      <c r="AK129" t="n">
        <v>0.102</v>
      </c>
      <c r="AL129" t="n">
        <v>238</v>
      </c>
      <c r="AM129" t="n">
        <v>10.118</v>
      </c>
      <c r="AN129" t="n">
        <v>3</v>
      </c>
      <c r="AO129" t="n">
        <v>6</v>
      </c>
      <c r="AP129" t="n">
        <v>0.115</v>
      </c>
      <c r="AQ129" t="n">
        <v>0.346</v>
      </c>
      <c r="AR129" t="n">
        <v>0.115</v>
      </c>
      <c r="AS129" t="n">
        <v>0.6840000000000001</v>
      </c>
      <c r="AT129" t="n">
        <v>0.719</v>
      </c>
      <c r="AU129" t="n">
        <v>21</v>
      </c>
      <c r="AV129" t="n">
        <v>2</v>
      </c>
      <c r="AW129" t="n">
        <v>3.39</v>
      </c>
      <c r="AX129" t="n">
        <v>16</v>
      </c>
      <c r="AY129" t="n">
        <v>6.24</v>
      </c>
      <c r="AZ129" t="n">
        <v>6.418</v>
      </c>
      <c r="BA129" t="n">
        <v>6.329</v>
      </c>
      <c r="BB129" t="n">
        <v>6.418</v>
      </c>
      <c r="BC129" t="n">
        <v>0.265</v>
      </c>
      <c r="BD129" t="n">
        <v>0.273</v>
      </c>
      <c r="BE129" t="n">
        <v>0.269</v>
      </c>
      <c r="BF129" t="n">
        <v>4.3</v>
      </c>
      <c r="BG129" t="n">
        <v>0.183</v>
      </c>
      <c r="BH129" t="n">
        <v>0.903</v>
      </c>
      <c r="BI129" t="n">
        <v>7.06</v>
      </c>
      <c r="BJ129" t="n">
        <v>5.635</v>
      </c>
      <c r="BK129" t="n">
        <v>0.24</v>
      </c>
      <c r="BL129" t="n">
        <v>-1.329</v>
      </c>
      <c r="BM129" t="n">
        <v>-1.94</v>
      </c>
      <c r="BN129" t="n">
        <v>0.7</v>
      </c>
      <c r="BO129" t="n">
        <v>-0.178</v>
      </c>
      <c r="BP129" t="n">
        <v>42</v>
      </c>
      <c r="BQ129" t="n">
        <v>14</v>
      </c>
      <c r="BR129" t="n">
        <v>7</v>
      </c>
      <c r="BS129" t="n">
        <v>80</v>
      </c>
      <c r="BT129" t="n">
        <v>3.401</v>
      </c>
      <c r="BW129" t="n">
        <v>1.72</v>
      </c>
      <c r="BX129" t="n">
        <v>2.092</v>
      </c>
      <c r="BY129" t="n">
        <v>1.906</v>
      </c>
      <c r="BZ129" t="n">
        <v>0.081</v>
      </c>
      <c r="CA129" t="n">
        <v>8.234999999999999</v>
      </c>
      <c r="CB129" t="n">
        <v>0.35</v>
      </c>
      <c r="CC129" t="n">
        <v>20</v>
      </c>
      <c r="CD129" t="n">
        <v>4</v>
      </c>
      <c r="CE129" t="n">
        <v>21</v>
      </c>
      <c r="CF129" t="n">
        <v>6</v>
      </c>
      <c r="CG129" t="n">
        <v>1</v>
      </c>
      <c r="CH129" t="n">
        <v>1</v>
      </c>
      <c r="CI129" t="n">
        <v>14.406</v>
      </c>
      <c r="CJ129" t="n">
        <v>7.101</v>
      </c>
      <c r="CK129" t="n">
        <v>49</v>
      </c>
      <c r="CL129" t="n">
        <v>112</v>
      </c>
      <c r="CM129" t="n">
        <v>77</v>
      </c>
      <c r="CN129" t="n">
        <v>50</v>
      </c>
      <c r="CO129" t="n">
        <v>18</v>
      </c>
      <c r="CP129" t="n">
        <v>28</v>
      </c>
      <c r="CQ129" t="n">
        <v>3</v>
      </c>
      <c r="CR129" t="n">
        <v>162</v>
      </c>
      <c r="CS129" t="n">
        <v>55</v>
      </c>
      <c r="CT129" t="n">
        <v>0.8</v>
      </c>
      <c r="CV129" t="n">
        <v>2</v>
      </c>
      <c r="CW129" t="n">
        <v>29.35</v>
      </c>
      <c r="CX129" t="n">
        <v>1.248</v>
      </c>
      <c r="CY129" t="n">
        <v>0</v>
      </c>
      <c r="DB129" t="n">
        <v>0</v>
      </c>
      <c r="DE129" t="n">
        <v>6.91</v>
      </c>
      <c r="DF129" t="n">
        <v>9</v>
      </c>
      <c r="DG129" t="n">
        <v>0</v>
      </c>
      <c r="DH129" t="n">
        <v>48</v>
      </c>
      <c r="DI129" t="n">
        <v>11</v>
      </c>
      <c r="DK129" t="n">
        <v>1</v>
      </c>
      <c r="DL129" t="n">
        <v>19</v>
      </c>
      <c r="DM129" t="n">
        <v>29</v>
      </c>
      <c r="DN129" t="n">
        <v>1</v>
      </c>
      <c r="DO129" t="n">
        <v>2.5</v>
      </c>
      <c r="DP129" t="n">
        <v>138.84</v>
      </c>
      <c r="DQ129" t="n">
        <v>71.2</v>
      </c>
      <c r="DR129" t="n">
        <v>142.4</v>
      </c>
      <c r="DS129" t="n">
        <v>-3.56</v>
      </c>
      <c r="DT129" t="n">
        <v>2605</v>
      </c>
      <c r="DU129" t="n">
        <v>68.55</v>
      </c>
      <c r="DV129" t="inlineStr">
        <is>
          <t>flat</t>
        </is>
      </c>
      <c r="DW129" t="n">
        <v>89.34999999999999</v>
      </c>
      <c r="DX129" t="n">
        <v>87.55</v>
      </c>
      <c r="DY129" t="n">
        <v>90.34</v>
      </c>
      <c r="DZ129" t="n">
        <v>0.99</v>
      </c>
      <c r="EA129" t="n">
        <v>51</v>
      </c>
      <c r="EB129" t="n">
        <v>22.6</v>
      </c>
      <c r="EC129" t="n">
        <v>21</v>
      </c>
      <c r="ED129" t="n">
        <v>120</v>
      </c>
      <c r="EE129" t="n">
        <v>64</v>
      </c>
      <c r="EF129" t="b">
        <v>1</v>
      </c>
      <c r="EG129" t="n">
        <v>1.5</v>
      </c>
      <c r="EH129" t="n">
        <v>14.7</v>
      </c>
      <c r="EI129" t="n">
        <v>245</v>
      </c>
      <c r="EJ129" t="n">
        <v>50.4</v>
      </c>
      <c r="EK129" t="n">
        <v>26.5</v>
      </c>
      <c r="EL129" t="n">
        <v>100.8</v>
      </c>
      <c r="EM129" t="n">
        <v>334.5</v>
      </c>
      <c r="EN129" t="n">
        <v>1110.6</v>
      </c>
      <c r="EO129" t="n">
        <v>257.1</v>
      </c>
      <c r="EP129" t="n">
        <v>21.8</v>
      </c>
    </row>
    <row r="130">
      <c r="A130" t="inlineStr">
        <is>
          <t>Lucas Digne</t>
        </is>
      </c>
      <c r="B130" t="inlineStr">
        <is>
          <t>AVL</t>
        </is>
      </c>
      <c r="C130" t="inlineStr">
        <is>
          <t>DEF</t>
        </is>
      </c>
      <c r="D130" t="inlineStr">
        <is>
          <t>DEF</t>
        </is>
      </c>
      <c r="E130" t="n">
        <v>4.5</v>
      </c>
      <c r="F130" t="b">
        <v>1</v>
      </c>
      <c r="G130" t="b">
        <v>1</v>
      </c>
      <c r="H130" t="n">
        <v>33.1</v>
      </c>
      <c r="I130" t="inlineStr">
        <is>
          <t>u</t>
        </is>
      </c>
      <c r="J130" t="inlineStr">
        <is>
          <t>Has joined Paris Saint-Germain permanently</t>
        </is>
      </c>
      <c r="K130" t="n">
        <v>0</v>
      </c>
      <c r="L130" t="inlineStr">
        <is>
          <t>p101188</t>
        </is>
      </c>
      <c r="M130" t="n">
        <v>30</v>
      </c>
      <c r="Q130" t="n">
        <v>1842</v>
      </c>
      <c r="R130" t="n">
        <v>31</v>
      </c>
      <c r="S130" t="n">
        <v>21</v>
      </c>
      <c r="T130" t="n">
        <v>20.467</v>
      </c>
      <c r="U130" t="n">
        <v>59.4</v>
      </c>
      <c r="V130" t="n">
        <v>97</v>
      </c>
      <c r="W130" t="n">
        <v>4.739</v>
      </c>
      <c r="X130" t="n">
        <v>0</v>
      </c>
      <c r="Y130" t="n">
        <v>7</v>
      </c>
      <c r="Z130" t="n">
        <v>6</v>
      </c>
      <c r="AA130" t="n">
        <v>7</v>
      </c>
      <c r="AB130" t="n">
        <v>23</v>
      </c>
      <c r="AC130" t="n">
        <v>5</v>
      </c>
      <c r="AD130" t="n">
        <v>4</v>
      </c>
      <c r="AE130" t="n">
        <v>-1</v>
      </c>
      <c r="AF130" t="n">
        <v>381</v>
      </c>
      <c r="AG130" t="n">
        <v>367</v>
      </c>
      <c r="AH130" t="n">
        <v>-14</v>
      </c>
      <c r="AI130" t="n">
        <v>96</v>
      </c>
      <c r="AJ130" t="n">
        <v>0.052</v>
      </c>
      <c r="AK130" t="n">
        <v>0.054</v>
      </c>
      <c r="AL130" t="n">
        <v>113</v>
      </c>
      <c r="AM130" t="n">
        <v>5.521</v>
      </c>
      <c r="AN130" t="n">
        <v>1</v>
      </c>
      <c r="AO130" t="n">
        <v>2</v>
      </c>
      <c r="AP130" t="n">
        <v>0.048</v>
      </c>
      <c r="AQ130" t="n">
        <v>0.048</v>
      </c>
      <c r="AR130" t="n">
        <v>0</v>
      </c>
      <c r="AS130" t="n">
        <v>0.553</v>
      </c>
      <c r="AT130" t="n">
        <v>0.613</v>
      </c>
      <c r="AU130" t="n">
        <v>17</v>
      </c>
      <c r="AV130" t="n">
        <v>0</v>
      </c>
      <c r="AW130" t="n">
        <v>2.62</v>
      </c>
      <c r="AX130" t="n">
        <v>9</v>
      </c>
      <c r="AY130" t="n">
        <v>0.67</v>
      </c>
      <c r="AZ130" t="n">
        <v>0.703</v>
      </c>
      <c r="BA130" t="n">
        <v>0.6870000000000001</v>
      </c>
      <c r="BB130" t="n">
        <v>0.703</v>
      </c>
      <c r="BC130" t="n">
        <v>0.033</v>
      </c>
      <c r="BD130" t="n">
        <v>0.034</v>
      </c>
      <c r="BE130" t="n">
        <v>0.034</v>
      </c>
      <c r="BF130" t="n">
        <v>0.7</v>
      </c>
      <c r="BG130" t="n">
        <v>0.034</v>
      </c>
      <c r="BH130" t="n">
        <v>1.01</v>
      </c>
      <c r="BI130" t="n">
        <v>2.89</v>
      </c>
      <c r="BJ130" t="n">
        <v>0.677</v>
      </c>
      <c r="BK130" t="n">
        <v>0.033</v>
      </c>
      <c r="BL130" t="n">
        <v>-0.6870000000000001</v>
      </c>
      <c r="BM130" t="n">
        <v>0.03</v>
      </c>
      <c r="BN130" t="n">
        <v>-0.7</v>
      </c>
      <c r="BO130" t="n">
        <v>-0.033</v>
      </c>
      <c r="BP130" t="n">
        <v>14</v>
      </c>
      <c r="BQ130" t="n">
        <v>5</v>
      </c>
      <c r="BS130" t="n">
        <v>27</v>
      </c>
      <c r="BT130" t="n">
        <v>1.319</v>
      </c>
      <c r="BW130" t="n">
        <v>3.28</v>
      </c>
      <c r="BX130" t="n">
        <v>3.053</v>
      </c>
      <c r="BY130" t="n">
        <v>3.166</v>
      </c>
      <c r="BZ130" t="n">
        <v>0.155</v>
      </c>
      <c r="CA130" t="n">
        <v>3.853</v>
      </c>
      <c r="CB130" t="n">
        <v>0.188</v>
      </c>
      <c r="CC130" t="n">
        <v>26</v>
      </c>
      <c r="CD130" t="n">
        <v>4</v>
      </c>
      <c r="CE130" t="n">
        <v>26</v>
      </c>
      <c r="CF130" t="n">
        <v>33</v>
      </c>
      <c r="CG130" t="n">
        <v>1</v>
      </c>
      <c r="CH130" t="n">
        <v>38</v>
      </c>
      <c r="CI130" t="n">
        <v>5.531</v>
      </c>
      <c r="CJ130" t="n">
        <v>4.143</v>
      </c>
      <c r="CK130" t="n">
        <v>77</v>
      </c>
      <c r="CL130" t="n">
        <v>63</v>
      </c>
      <c r="CM130" t="n">
        <v>36</v>
      </c>
      <c r="CN130" t="n">
        <v>28</v>
      </c>
      <c r="CO130" t="n">
        <v>15</v>
      </c>
      <c r="CP130" t="n">
        <v>61</v>
      </c>
      <c r="CQ130" t="n">
        <v>4</v>
      </c>
      <c r="CR130" t="n">
        <v>87</v>
      </c>
      <c r="CS130" t="n">
        <v>35</v>
      </c>
      <c r="CT130" t="n">
        <v>0</v>
      </c>
      <c r="CU130" t="n">
        <v>2</v>
      </c>
      <c r="CV130" t="n">
        <v>2</v>
      </c>
      <c r="CW130" t="n">
        <v>27.79</v>
      </c>
      <c r="CX130" t="n">
        <v>1.358</v>
      </c>
      <c r="CY130" t="n">
        <v>0</v>
      </c>
      <c r="DB130" t="n">
        <v>0</v>
      </c>
      <c r="DE130" t="n">
        <v>6.8</v>
      </c>
      <c r="DF130" t="n">
        <v>3</v>
      </c>
      <c r="DG130" t="n">
        <v>0</v>
      </c>
      <c r="DH130" t="n">
        <v>14</v>
      </c>
      <c r="DI130" t="n">
        <v>12</v>
      </c>
      <c r="DL130" t="n">
        <v>4</v>
      </c>
      <c r="DM130" t="n">
        <v>11</v>
      </c>
      <c r="DN130" t="n">
        <v>3</v>
      </c>
      <c r="DO130" t="n">
        <v>0.8</v>
      </c>
      <c r="DW130" t="n">
        <v>96.11</v>
      </c>
      <c r="DX130" t="n">
        <v>100.2</v>
      </c>
      <c r="DY130" t="n">
        <v>94.75</v>
      </c>
      <c r="DZ130" t="n">
        <v>-1.36</v>
      </c>
      <c r="EA130" t="n">
        <v>55</v>
      </c>
      <c r="EB130" t="n">
        <v>16.02</v>
      </c>
      <c r="EC130" t="n">
        <v>40.73</v>
      </c>
      <c r="ED130" t="n">
        <v>120</v>
      </c>
      <c r="EE130" t="n">
        <v>166</v>
      </c>
      <c r="EF130" t="b">
        <v>1</v>
      </c>
      <c r="EG130" t="n">
        <v>3.8</v>
      </c>
      <c r="EH130" t="n">
        <v>10.3</v>
      </c>
      <c r="EI130" t="n">
        <v>403</v>
      </c>
      <c r="EJ130" t="n">
        <v>131.6</v>
      </c>
      <c r="EK130" t="n">
        <v>68.2</v>
      </c>
      <c r="EL130" t="n">
        <v>70.8</v>
      </c>
      <c r="EM130" t="n">
        <v>2682.5</v>
      </c>
      <c r="EN130" t="n">
        <v>581.8</v>
      </c>
      <c r="EO130" t="n">
        <v>478.1</v>
      </c>
      <c r="EP130" t="n">
        <v>19</v>
      </c>
    </row>
    <row r="131">
      <c r="A131" t="inlineStr">
        <is>
          <t>Martin Dúbravka</t>
        </is>
      </c>
      <c r="B131" t="inlineStr">
        <is>
          <t>TOT</t>
        </is>
      </c>
      <c r="C131" t="inlineStr">
        <is>
          <t>GKP</t>
        </is>
      </c>
      <c r="D131" t="inlineStr">
        <is>
          <t>GKP</t>
        </is>
      </c>
      <c r="E131" t="n">
        <v>4</v>
      </c>
      <c r="F131" t="b">
        <v>1</v>
      </c>
      <c r="G131" t="b">
        <v>1</v>
      </c>
      <c r="H131" t="n">
        <v>37.6</v>
      </c>
      <c r="I131" t="inlineStr">
        <is>
          <t>a</t>
        </is>
      </c>
      <c r="L131" t="inlineStr">
        <is>
          <t>p67089</t>
        </is>
      </c>
      <c r="M131" t="n">
        <v>497</v>
      </c>
      <c r="Q131" t="n">
        <v>3150</v>
      </c>
      <c r="R131" t="n">
        <v>35</v>
      </c>
      <c r="S131" t="n">
        <v>35</v>
      </c>
      <c r="T131" t="n">
        <v>35</v>
      </c>
      <c r="U131" t="n">
        <v>90</v>
      </c>
      <c r="V131" t="n">
        <v>96</v>
      </c>
      <c r="W131" t="n">
        <v>2.743</v>
      </c>
      <c r="X131" t="n">
        <v>0</v>
      </c>
      <c r="Y131" t="n">
        <v>0</v>
      </c>
      <c r="AA131" t="n">
        <v>4</v>
      </c>
      <c r="AB131" t="n">
        <v>71</v>
      </c>
      <c r="AC131" t="n">
        <v>7</v>
      </c>
      <c r="AD131" t="n">
        <v>7</v>
      </c>
      <c r="AE131" t="n">
        <v>0</v>
      </c>
      <c r="AF131" t="n">
        <v>436</v>
      </c>
      <c r="AG131" t="n">
        <v>425</v>
      </c>
      <c r="AH131" t="n">
        <v>-11</v>
      </c>
      <c r="AI131" t="n">
        <v>96</v>
      </c>
      <c r="AJ131" t="n">
        <v>0.073</v>
      </c>
      <c r="AK131" t="n">
        <v>0.079</v>
      </c>
      <c r="AL131" t="n">
        <v>0</v>
      </c>
      <c r="AM131" t="n">
        <v>0</v>
      </c>
      <c r="AN131" t="n">
        <v>0</v>
      </c>
      <c r="AO131" t="n">
        <v>0</v>
      </c>
      <c r="AP131" t="n">
        <v>0</v>
      </c>
      <c r="AQ131" t="n">
        <v>0</v>
      </c>
      <c r="AR131" t="n">
        <v>0</v>
      </c>
      <c r="AS131" t="n">
        <v>0.921</v>
      </c>
      <c r="AT131" t="n">
        <v>1</v>
      </c>
      <c r="AU131" t="n">
        <v>24</v>
      </c>
      <c r="AV131" t="n">
        <v>1</v>
      </c>
      <c r="AW131" t="n">
        <v>2.37</v>
      </c>
      <c r="AX131" t="n">
        <v>11</v>
      </c>
      <c r="AY131" t="n">
        <v>0</v>
      </c>
      <c r="AZ131" t="n">
        <v>0</v>
      </c>
      <c r="BA131" t="n">
        <v>0</v>
      </c>
      <c r="BB131" t="n">
        <v>0</v>
      </c>
      <c r="BC131" t="n">
        <v>0</v>
      </c>
      <c r="BD131" t="n">
        <v>0</v>
      </c>
      <c r="BE131" t="n">
        <v>0</v>
      </c>
      <c r="BH131" t="n">
        <v>1</v>
      </c>
      <c r="BI131" t="n">
        <v>0</v>
      </c>
      <c r="BJ131" t="n">
        <v>0</v>
      </c>
      <c r="BK131" t="n">
        <v>0</v>
      </c>
      <c r="BL131" t="n">
        <v>0</v>
      </c>
      <c r="BO131" t="n">
        <v>0</v>
      </c>
      <c r="BW131" t="n">
        <v>0.04</v>
      </c>
      <c r="BX131" t="n">
        <v>0</v>
      </c>
      <c r="BY131" t="n">
        <v>0.02</v>
      </c>
      <c r="BZ131" t="n">
        <v>0.001</v>
      </c>
      <c r="CA131" t="n">
        <v>0.02</v>
      </c>
      <c r="CB131" t="n">
        <v>0.001</v>
      </c>
      <c r="CC131" t="n">
        <v>0</v>
      </c>
      <c r="CI131" t="n">
        <v>2.838</v>
      </c>
      <c r="CJ131" t="n">
        <v>2.838</v>
      </c>
      <c r="CK131" t="n">
        <v>59</v>
      </c>
      <c r="CL131" t="n">
        <v>291</v>
      </c>
      <c r="CM131" t="n">
        <v>1</v>
      </c>
      <c r="CN131" t="n">
        <v>1</v>
      </c>
      <c r="CP131" t="n">
        <v>59</v>
      </c>
      <c r="CR131" t="n">
        <v>29</v>
      </c>
      <c r="CS131" t="n">
        <v>22</v>
      </c>
      <c r="CU131" t="n">
        <v>2</v>
      </c>
      <c r="CW131" t="n">
        <v>71.26000000000001</v>
      </c>
      <c r="CX131" t="n">
        <v>2.036</v>
      </c>
      <c r="CY131" t="n">
        <v>127</v>
      </c>
      <c r="CZ131" t="n">
        <v>64.09999999999999</v>
      </c>
      <c r="DA131" t="n">
        <v>-3.3</v>
      </c>
      <c r="DB131" t="n">
        <v>0</v>
      </c>
      <c r="DC131" t="n">
        <v>25</v>
      </c>
      <c r="DD131" t="n">
        <v>42</v>
      </c>
      <c r="DE131" t="n">
        <v>6.73</v>
      </c>
      <c r="DF131" t="n">
        <v>1</v>
      </c>
      <c r="DG131" t="n">
        <v>0</v>
      </c>
      <c r="DI131" t="n">
        <v>8</v>
      </c>
      <c r="DO131" t="n">
        <v>22.4</v>
      </c>
      <c r="DP131" t="n">
        <v>1.54</v>
      </c>
      <c r="DQ131" t="n">
        <v>0.77</v>
      </c>
      <c r="DR131" t="n">
        <v>1.54</v>
      </c>
      <c r="DS131" t="n">
        <v>0</v>
      </c>
      <c r="DT131" t="n">
        <v>35</v>
      </c>
      <c r="DU131" t="n">
        <v>0.92</v>
      </c>
      <c r="DV131" t="inlineStr">
        <is>
          <t>flat</t>
        </is>
      </c>
      <c r="DW131" t="n">
        <v>104.35</v>
      </c>
      <c r="DX131" t="n">
        <v>87.44</v>
      </c>
      <c r="DY131" t="n">
        <v>108.24</v>
      </c>
      <c r="DZ131" t="n">
        <v>3.9</v>
      </c>
      <c r="EA131" t="n">
        <v>142</v>
      </c>
      <c r="EB131" t="n">
        <v>25.01</v>
      </c>
      <c r="EC131" t="n">
        <v>3</v>
      </c>
      <c r="ED131" t="n">
        <v>120</v>
      </c>
      <c r="EE131" t="n">
        <v>233</v>
      </c>
      <c r="EF131" t="b">
        <v>1</v>
      </c>
      <c r="EG131" t="n">
        <v>5.6</v>
      </c>
      <c r="EH131" t="n">
        <v>15.3</v>
      </c>
      <c r="EI131" t="n">
        <v>519</v>
      </c>
      <c r="EN131" t="n">
        <v>157500</v>
      </c>
      <c r="EO131" t="n">
        <v>157500</v>
      </c>
      <c r="EP131" t="n">
        <v>32.8</v>
      </c>
    </row>
    <row r="132">
      <c r="A132" t="inlineStr">
        <is>
          <t>Malo Gusto</t>
        </is>
      </c>
      <c r="B132" t="inlineStr">
        <is>
          <t>CHE</t>
        </is>
      </c>
      <c r="C132" t="inlineStr">
        <is>
          <t>DEF</t>
        </is>
      </c>
      <c r="D132" t="inlineStr">
        <is>
          <t>DEF</t>
        </is>
      </c>
      <c r="E132" t="n">
        <v>5</v>
      </c>
      <c r="F132" t="b">
        <v>1</v>
      </c>
      <c r="G132" t="b">
        <v>1</v>
      </c>
      <c r="H132" t="n">
        <v>23.3</v>
      </c>
      <c r="I132" t="inlineStr">
        <is>
          <t>a</t>
        </is>
      </c>
      <c r="L132" t="inlineStr">
        <is>
          <t>p482609</t>
        </is>
      </c>
      <c r="M132" t="n">
        <v>144</v>
      </c>
      <c r="Q132" t="n">
        <v>2255</v>
      </c>
      <c r="R132" t="n">
        <v>34</v>
      </c>
      <c r="S132" t="n">
        <v>26</v>
      </c>
      <c r="T132" t="n">
        <v>25.056</v>
      </c>
      <c r="U132" t="n">
        <v>66.3</v>
      </c>
      <c r="V132" t="n">
        <v>96</v>
      </c>
      <c r="W132" t="n">
        <v>3.831</v>
      </c>
      <c r="X132" t="n">
        <v>2</v>
      </c>
      <c r="Y132" t="n">
        <v>3</v>
      </c>
      <c r="Z132" t="n">
        <v>3</v>
      </c>
      <c r="AA132" t="n">
        <v>7</v>
      </c>
      <c r="AB132" t="n">
        <v>36</v>
      </c>
      <c r="AC132" t="n">
        <v>7</v>
      </c>
      <c r="AD132" t="n">
        <v>8</v>
      </c>
      <c r="AE132" t="n">
        <v>1</v>
      </c>
      <c r="AF132" t="n">
        <v>406</v>
      </c>
      <c r="AG132" t="n">
        <v>391</v>
      </c>
      <c r="AH132" t="n">
        <v>-15</v>
      </c>
      <c r="AI132" t="n">
        <v>97</v>
      </c>
      <c r="AJ132" t="n">
        <v>0.073</v>
      </c>
      <c r="AK132" t="n">
        <v>0.079</v>
      </c>
      <c r="AL132" t="n">
        <v>126</v>
      </c>
      <c r="AM132" t="n">
        <v>5.029</v>
      </c>
      <c r="AN132" t="n">
        <v>0</v>
      </c>
      <c r="AO132" t="n">
        <v>0</v>
      </c>
      <c r="AP132" t="n">
        <v>0</v>
      </c>
      <c r="AQ132" t="n">
        <v>0</v>
      </c>
      <c r="AR132" t="n">
        <v>0</v>
      </c>
      <c r="AS132" t="n">
        <v>0.6840000000000001</v>
      </c>
      <c r="AT132" t="n">
        <v>0.676</v>
      </c>
      <c r="AU132" t="n">
        <v>25</v>
      </c>
      <c r="AV132" t="n">
        <v>2</v>
      </c>
      <c r="AW132" t="n">
        <v>3.91</v>
      </c>
      <c r="AX132" t="n">
        <v>18</v>
      </c>
      <c r="AY132" t="n">
        <v>1.56</v>
      </c>
      <c r="AZ132" t="n">
        <v>1.942</v>
      </c>
      <c r="BA132" t="n">
        <v>1.751</v>
      </c>
      <c r="BB132" t="n">
        <v>1.942</v>
      </c>
      <c r="BC132" t="n">
        <v>0.062</v>
      </c>
      <c r="BD132" t="n">
        <v>0.078</v>
      </c>
      <c r="BE132" t="n">
        <v>0.07000000000000001</v>
      </c>
      <c r="BF132" t="n">
        <v>1.5</v>
      </c>
      <c r="BG132" t="n">
        <v>0.06</v>
      </c>
      <c r="BH132" t="n">
        <v>0.891</v>
      </c>
      <c r="BI132" t="n">
        <v>4.01</v>
      </c>
      <c r="BJ132" t="n">
        <v>1.39</v>
      </c>
      <c r="BK132" t="n">
        <v>0.055</v>
      </c>
      <c r="BL132" t="n">
        <v>0.249</v>
      </c>
      <c r="BM132" t="n">
        <v>-0.06</v>
      </c>
      <c r="BN132" t="n">
        <v>0.5</v>
      </c>
      <c r="BO132" t="n">
        <v>-0.382</v>
      </c>
      <c r="BP132" t="n">
        <v>12</v>
      </c>
      <c r="BQ132" t="n">
        <v>6</v>
      </c>
      <c r="BR132" t="n">
        <v>1</v>
      </c>
      <c r="BS132" t="n">
        <v>48</v>
      </c>
      <c r="BT132" t="n">
        <v>1.916</v>
      </c>
      <c r="BV132" t="n">
        <v>1</v>
      </c>
      <c r="BW132" t="n">
        <v>2.97</v>
      </c>
      <c r="BX132" t="n">
        <v>3.806</v>
      </c>
      <c r="BY132" t="n">
        <v>3.388</v>
      </c>
      <c r="BZ132" t="n">
        <v>0.135</v>
      </c>
      <c r="CA132" t="n">
        <v>5.139</v>
      </c>
      <c r="CB132" t="n">
        <v>0.205</v>
      </c>
      <c r="CC132" t="n">
        <v>27</v>
      </c>
      <c r="CD132" t="n">
        <v>4</v>
      </c>
      <c r="CE132" t="n">
        <v>27</v>
      </c>
      <c r="CF132" t="n">
        <v>12</v>
      </c>
      <c r="CG132" t="n">
        <v>4</v>
      </c>
      <c r="CI132" t="n">
        <v>16.338</v>
      </c>
      <c r="CJ132" t="n">
        <v>13.553</v>
      </c>
      <c r="CK132" t="n">
        <v>74</v>
      </c>
      <c r="CL132" t="n">
        <v>123</v>
      </c>
      <c r="CM132" t="n">
        <v>52</v>
      </c>
      <c r="CN132" t="n">
        <v>24</v>
      </c>
      <c r="CO132" t="n">
        <v>31</v>
      </c>
      <c r="CP132" t="n">
        <v>39</v>
      </c>
      <c r="CQ132" t="n">
        <v>5</v>
      </c>
      <c r="CR132" t="n">
        <v>101</v>
      </c>
      <c r="CS132" t="n">
        <v>15</v>
      </c>
      <c r="CT132" t="n">
        <v>0.4</v>
      </c>
      <c r="CU132" t="n">
        <v>1</v>
      </c>
      <c r="CV132" t="n">
        <v>1</v>
      </c>
      <c r="CW132" t="n">
        <v>37.13</v>
      </c>
      <c r="CX132" t="n">
        <v>1.482</v>
      </c>
      <c r="CY132" t="n">
        <v>0</v>
      </c>
      <c r="DB132" t="n">
        <v>0</v>
      </c>
      <c r="DE132" t="n">
        <v>6.84</v>
      </c>
      <c r="DF132" t="n">
        <v>3</v>
      </c>
      <c r="DG132" t="n">
        <v>1</v>
      </c>
      <c r="DH132" t="n">
        <v>20</v>
      </c>
      <c r="DI132" t="n">
        <v>20</v>
      </c>
      <c r="DK132" t="n">
        <v>1</v>
      </c>
      <c r="DL132" t="n">
        <v>13</v>
      </c>
      <c r="DM132" t="n">
        <v>16</v>
      </c>
      <c r="DN132" t="n">
        <v>1</v>
      </c>
      <c r="DO132" t="n">
        <v>1.1</v>
      </c>
      <c r="DP132" t="n">
        <v>34.3</v>
      </c>
      <c r="DQ132" t="n">
        <v>17.33</v>
      </c>
      <c r="DR132" t="n">
        <v>34.66</v>
      </c>
      <c r="DS132" t="n">
        <v>-0.36</v>
      </c>
      <c r="DT132" t="n">
        <v>663</v>
      </c>
      <c r="DU132" t="n">
        <v>17.45</v>
      </c>
      <c r="DV132" t="inlineStr">
        <is>
          <t>flat</t>
        </is>
      </c>
      <c r="DW132" t="n">
        <v>96.89</v>
      </c>
      <c r="DX132" t="n">
        <v>101.97</v>
      </c>
      <c r="DY132" t="n">
        <v>96.20999999999999</v>
      </c>
      <c r="DZ132" t="n">
        <v>-0.68</v>
      </c>
      <c r="EA132" t="n">
        <v>381</v>
      </c>
      <c r="EB132" t="n">
        <v>16.67</v>
      </c>
      <c r="EC132" t="n">
        <v>24.73</v>
      </c>
      <c r="ED132" t="n">
        <v>120</v>
      </c>
      <c r="EE132" t="n">
        <v>675</v>
      </c>
      <c r="EF132" t="b">
        <v>1</v>
      </c>
      <c r="EG132" t="n">
        <v>15.8</v>
      </c>
      <c r="EH132" t="n">
        <v>12.5</v>
      </c>
      <c r="EI132" t="n">
        <v>246</v>
      </c>
      <c r="EJ132" t="n">
        <v>187.9</v>
      </c>
      <c r="EK132" t="n">
        <v>47</v>
      </c>
      <c r="EL132" t="n">
        <v>83.5</v>
      </c>
      <c r="EM132" t="n">
        <v>1287.9</v>
      </c>
      <c r="EN132" t="n">
        <v>665.6</v>
      </c>
      <c r="EO132" t="n">
        <v>438.8</v>
      </c>
      <c r="EP132" t="n">
        <v>23.5</v>
      </c>
    </row>
    <row r="133">
      <c r="A133" t="inlineStr">
        <is>
          <t>Jayden Bogle</t>
        </is>
      </c>
      <c r="B133" t="inlineStr">
        <is>
          <t>LEE</t>
        </is>
      </c>
      <c r="C133" t="inlineStr">
        <is>
          <t>DEF</t>
        </is>
      </c>
      <c r="D133" t="inlineStr">
        <is>
          <t>DEF</t>
        </is>
      </c>
      <c r="E133" t="n">
        <v>4.5</v>
      </c>
      <c r="F133" t="b">
        <v>1</v>
      </c>
      <c r="G133" t="b">
        <v>1</v>
      </c>
      <c r="H133" t="n">
        <v>26.1</v>
      </c>
      <c r="I133" t="inlineStr">
        <is>
          <t>a</t>
        </is>
      </c>
      <c r="L133" t="inlineStr">
        <is>
          <t>p226182</t>
        </is>
      </c>
      <c r="M133" t="n">
        <v>330</v>
      </c>
      <c r="Q133" t="n">
        <v>2795</v>
      </c>
      <c r="R133" t="n">
        <v>34</v>
      </c>
      <c r="S133" t="n">
        <v>32</v>
      </c>
      <c r="T133" t="n">
        <v>31.056</v>
      </c>
      <c r="U133" t="n">
        <v>82.2</v>
      </c>
      <c r="V133" t="n">
        <v>96</v>
      </c>
      <c r="W133" t="n">
        <v>3.091</v>
      </c>
      <c r="X133" t="n">
        <v>1</v>
      </c>
      <c r="Y133" t="n">
        <v>5</v>
      </c>
      <c r="Z133" t="n">
        <v>2</v>
      </c>
      <c r="AA133" t="n">
        <v>6</v>
      </c>
      <c r="AB133" t="n">
        <v>44</v>
      </c>
      <c r="AC133" t="n">
        <v>1</v>
      </c>
      <c r="AD133" t="n">
        <v>1</v>
      </c>
      <c r="AE133" t="n">
        <v>0</v>
      </c>
      <c r="AF133" t="n">
        <v>311</v>
      </c>
      <c r="AG133" t="n">
        <v>289</v>
      </c>
      <c r="AH133" t="n">
        <v>-22</v>
      </c>
      <c r="AI133" t="n">
        <v>96</v>
      </c>
      <c r="AJ133" t="n">
        <v>0.01</v>
      </c>
      <c r="AK133" t="n">
        <v>0.011</v>
      </c>
      <c r="AL133" t="n">
        <v>178</v>
      </c>
      <c r="AM133" t="n">
        <v>5.732</v>
      </c>
      <c r="AN133" t="n">
        <v>2</v>
      </c>
      <c r="AO133" t="n">
        <v>4</v>
      </c>
      <c r="AP133" t="n">
        <v>0.062</v>
      </c>
      <c r="AQ133" t="n">
        <v>0.062</v>
      </c>
      <c r="AR133" t="n">
        <v>0.031</v>
      </c>
      <c r="AS133" t="n">
        <v>0.842</v>
      </c>
      <c r="AT133" t="n">
        <v>0.912</v>
      </c>
      <c r="AU133" t="n">
        <v>20</v>
      </c>
      <c r="AV133" t="n">
        <v>0</v>
      </c>
      <c r="AW133" t="n">
        <v>2.35</v>
      </c>
      <c r="AX133" t="n">
        <v>8</v>
      </c>
      <c r="AY133" t="n">
        <v>2.08</v>
      </c>
      <c r="AZ133" t="n">
        <v>1.892</v>
      </c>
      <c r="BA133" t="n">
        <v>1.986</v>
      </c>
      <c r="BB133" t="n">
        <v>1.892</v>
      </c>
      <c r="BC133" t="n">
        <v>0.067</v>
      </c>
      <c r="BD133" t="n">
        <v>0.061</v>
      </c>
      <c r="BE133" t="n">
        <v>0.064</v>
      </c>
      <c r="BF133" t="n">
        <v>1</v>
      </c>
      <c r="BG133" t="n">
        <v>0.032</v>
      </c>
      <c r="BH133" t="n">
        <v>0.9320000000000001</v>
      </c>
      <c r="BI133" t="n">
        <v>4.44</v>
      </c>
      <c r="BJ133" t="n">
        <v>1.94</v>
      </c>
      <c r="BK133" t="n">
        <v>0.062</v>
      </c>
      <c r="BL133" t="n">
        <v>-0.986</v>
      </c>
      <c r="BM133" t="n">
        <v>-1.08</v>
      </c>
      <c r="BN133" t="n">
        <v>0</v>
      </c>
      <c r="BO133" t="n">
        <v>0.188</v>
      </c>
      <c r="BP133" t="n">
        <v>18</v>
      </c>
      <c r="BQ133" t="n">
        <v>4</v>
      </c>
      <c r="BR133" t="n">
        <v>3</v>
      </c>
      <c r="BS133" t="n">
        <v>70</v>
      </c>
      <c r="BT133" t="n">
        <v>2.254</v>
      </c>
      <c r="BW133" t="n">
        <v>3.11</v>
      </c>
      <c r="BX133" t="n">
        <v>3.525</v>
      </c>
      <c r="BY133" t="n">
        <v>3.318</v>
      </c>
      <c r="BZ133" t="n">
        <v>0.107</v>
      </c>
      <c r="CA133" t="n">
        <v>5.304</v>
      </c>
      <c r="CB133" t="n">
        <v>0.171</v>
      </c>
      <c r="CC133" t="n">
        <v>21</v>
      </c>
      <c r="CD133" t="n">
        <v>7</v>
      </c>
      <c r="CE133" t="n">
        <v>21</v>
      </c>
      <c r="CF133" t="n">
        <v>16</v>
      </c>
      <c r="CG133" t="n">
        <v>1</v>
      </c>
      <c r="CI133" t="n">
        <v>11.021</v>
      </c>
      <c r="CJ133" t="n">
        <v>6.367</v>
      </c>
      <c r="CK133" t="n">
        <v>112</v>
      </c>
      <c r="CL133" t="n">
        <v>133</v>
      </c>
      <c r="CM133" t="n">
        <v>66</v>
      </c>
      <c r="CN133" t="n">
        <v>43</v>
      </c>
      <c r="CO133" t="n">
        <v>34</v>
      </c>
      <c r="CP133" t="n">
        <v>73</v>
      </c>
      <c r="CQ133" t="n">
        <v>5</v>
      </c>
      <c r="CR133" t="n">
        <v>138</v>
      </c>
      <c r="CS133" t="n">
        <v>24</v>
      </c>
      <c r="CT133" t="n">
        <v>0.5</v>
      </c>
      <c r="CU133" t="n">
        <v>1</v>
      </c>
      <c r="CV133" t="n">
        <v>2</v>
      </c>
      <c r="CW133" t="n">
        <v>39.93</v>
      </c>
      <c r="CX133" t="n">
        <v>1.286</v>
      </c>
      <c r="CY133" t="n">
        <v>0</v>
      </c>
      <c r="DB133" t="n">
        <v>0</v>
      </c>
      <c r="DE133" t="n">
        <v>6.7</v>
      </c>
      <c r="DF133" t="n">
        <v>6</v>
      </c>
      <c r="DG133" t="n">
        <v>0</v>
      </c>
      <c r="DH133" t="n">
        <v>39</v>
      </c>
      <c r="DI133" t="n">
        <v>29</v>
      </c>
      <c r="DJ133" t="n">
        <v>1</v>
      </c>
      <c r="DL133" t="n">
        <v>19</v>
      </c>
      <c r="DM133" t="n">
        <v>34</v>
      </c>
      <c r="DN133" t="n">
        <v>10</v>
      </c>
      <c r="DO133" t="n">
        <v>0.5</v>
      </c>
      <c r="DP133" t="n">
        <v>95.98</v>
      </c>
      <c r="DQ133" t="n">
        <v>48.14</v>
      </c>
      <c r="DR133" t="n">
        <v>96.28</v>
      </c>
      <c r="DS133" t="n">
        <v>-0.3</v>
      </c>
      <c r="DT133" t="n">
        <v>2440</v>
      </c>
      <c r="DU133" t="n">
        <v>64.2</v>
      </c>
      <c r="DV133" t="inlineStr">
        <is>
          <t>flat</t>
        </is>
      </c>
      <c r="DW133" t="n">
        <v>94.37</v>
      </c>
      <c r="DX133" t="n">
        <v>88.41</v>
      </c>
      <c r="DY133" t="n">
        <v>97.44</v>
      </c>
      <c r="DZ133" t="n">
        <v>3.07</v>
      </c>
      <c r="EA133" t="n">
        <v>53</v>
      </c>
      <c r="EB133" t="n">
        <v>21.05</v>
      </c>
      <c r="EC133" t="n">
        <v>23</v>
      </c>
      <c r="ED133" t="n">
        <v>118.93</v>
      </c>
      <c r="EE133" t="n">
        <v>78</v>
      </c>
      <c r="EF133" t="b">
        <v>1</v>
      </c>
      <c r="EG133" t="n">
        <v>1.8</v>
      </c>
      <c r="EH133" t="n">
        <v>10.3</v>
      </c>
      <c r="EI133" t="n">
        <v>404</v>
      </c>
      <c r="EJ133" t="n">
        <v>155.3</v>
      </c>
      <c r="EK133" t="n">
        <v>39.9</v>
      </c>
      <c r="EL133" t="n">
        <v>133.1</v>
      </c>
      <c r="EM133" t="n">
        <v>1407.3</v>
      </c>
      <c r="EN133" t="n">
        <v>842.5</v>
      </c>
      <c r="EO133" t="n">
        <v>527</v>
      </c>
      <c r="EP133" t="n">
        <v>29.1</v>
      </c>
    </row>
    <row r="134">
      <c r="A134" t="inlineStr">
        <is>
          <t>Nick Pope</t>
        </is>
      </c>
      <c r="B134" t="inlineStr">
        <is>
          <t>NEW</t>
        </is>
      </c>
      <c r="C134" t="inlineStr">
        <is>
          <t>GKP</t>
        </is>
      </c>
      <c r="D134" t="inlineStr">
        <is>
          <t>GKP</t>
        </is>
      </c>
      <c r="E134" t="n">
        <v>5</v>
      </c>
      <c r="F134" t="b">
        <v>1</v>
      </c>
      <c r="G134" t="b">
        <v>1</v>
      </c>
      <c r="H134" t="n">
        <v>34.3</v>
      </c>
      <c r="I134" t="inlineStr">
        <is>
          <t>a</t>
        </is>
      </c>
      <c r="L134" t="inlineStr">
        <is>
          <t>p98747</t>
        </is>
      </c>
      <c r="M134" t="n">
        <v>442</v>
      </c>
      <c r="Q134" t="n">
        <v>2416</v>
      </c>
      <c r="R134" t="n">
        <v>27</v>
      </c>
      <c r="S134" t="n">
        <v>27</v>
      </c>
      <c r="T134" t="n">
        <v>26.844</v>
      </c>
      <c r="U134" t="n">
        <v>89.5</v>
      </c>
      <c r="V134" t="n">
        <v>96</v>
      </c>
      <c r="W134" t="n">
        <v>3.576</v>
      </c>
      <c r="X134" t="n">
        <v>0</v>
      </c>
      <c r="Y134" t="n">
        <v>1</v>
      </c>
      <c r="AA134" t="n">
        <v>7</v>
      </c>
      <c r="AB134" t="n">
        <v>38</v>
      </c>
      <c r="AC134" t="n">
        <v>3</v>
      </c>
      <c r="AD134" t="n">
        <v>5</v>
      </c>
      <c r="AE134" t="n">
        <v>2</v>
      </c>
      <c r="AF134" t="n">
        <v>414</v>
      </c>
      <c r="AG134" t="n">
        <v>410</v>
      </c>
      <c r="AH134" t="n">
        <v>-4</v>
      </c>
      <c r="AI134" t="n">
        <v>98</v>
      </c>
      <c r="AJ134" t="n">
        <v>0.031</v>
      </c>
      <c r="AK134" t="n">
        <v>0.032</v>
      </c>
      <c r="AL134" t="n">
        <v>0</v>
      </c>
      <c r="AM134" t="n">
        <v>0</v>
      </c>
      <c r="AN134" t="n">
        <v>0</v>
      </c>
      <c r="AO134" t="n">
        <v>0</v>
      </c>
      <c r="AP134" t="n">
        <v>0</v>
      </c>
      <c r="AQ134" t="n">
        <v>0</v>
      </c>
      <c r="AR134" t="n">
        <v>0</v>
      </c>
      <c r="AS134" t="n">
        <v>0.711</v>
      </c>
      <c r="AT134" t="n">
        <v>1</v>
      </c>
      <c r="AU134" t="n">
        <v>11</v>
      </c>
      <c r="AV134" t="n">
        <v>0</v>
      </c>
      <c r="AW134" t="n">
        <v>2.42</v>
      </c>
      <c r="AX134" t="n">
        <v>9</v>
      </c>
      <c r="AY134" t="n">
        <v>0.16</v>
      </c>
      <c r="AZ134" t="n">
        <v>0.131</v>
      </c>
      <c r="BA134" t="n">
        <v>0.146</v>
      </c>
      <c r="BB134" t="n">
        <v>0.131</v>
      </c>
      <c r="BC134" t="n">
        <v>0.006</v>
      </c>
      <c r="BD134" t="n">
        <v>0.005</v>
      </c>
      <c r="BE134" t="n">
        <v>0.005</v>
      </c>
      <c r="BF134" t="n">
        <v>0.3</v>
      </c>
      <c r="BG134" t="n">
        <v>0.011</v>
      </c>
      <c r="BH134" t="n">
        <v>1.015</v>
      </c>
      <c r="BI134" t="n">
        <v>0.18</v>
      </c>
      <c r="BJ134" t="n">
        <v>0.162</v>
      </c>
      <c r="BK134" t="n">
        <v>0.006</v>
      </c>
      <c r="BL134" t="n">
        <v>-0.146</v>
      </c>
      <c r="BM134" t="n">
        <v>0.14</v>
      </c>
      <c r="BN134" t="n">
        <v>-0.3</v>
      </c>
      <c r="BO134" t="n">
        <v>0.029</v>
      </c>
      <c r="BP134" t="n">
        <v>1</v>
      </c>
      <c r="BQ134" t="n">
        <v>1</v>
      </c>
      <c r="BS134" t="n">
        <v>2</v>
      </c>
      <c r="BT134" t="n">
        <v>0.075</v>
      </c>
      <c r="BW134" t="n">
        <v>0</v>
      </c>
      <c r="BX134" t="n">
        <v>0</v>
      </c>
      <c r="BY134" t="n">
        <v>0</v>
      </c>
      <c r="BZ134" t="n">
        <v>0</v>
      </c>
      <c r="CA134" t="n">
        <v>0.146</v>
      </c>
      <c r="CB134" t="n">
        <v>0.005</v>
      </c>
      <c r="CC134" t="n">
        <v>0</v>
      </c>
      <c r="CI134" t="n">
        <v>2.811</v>
      </c>
      <c r="CJ134" t="n">
        <v>2.811</v>
      </c>
      <c r="CK134" t="n">
        <v>35</v>
      </c>
      <c r="CL134" t="n">
        <v>254</v>
      </c>
      <c r="CM134" t="n">
        <v>1</v>
      </c>
      <c r="CN134" t="n">
        <v>1</v>
      </c>
      <c r="CP134" t="n">
        <v>35</v>
      </c>
      <c r="CR134" t="n">
        <v>17</v>
      </c>
      <c r="CS134" t="n">
        <v>15</v>
      </c>
      <c r="CU134" t="n">
        <v>3</v>
      </c>
      <c r="CV134" t="n">
        <v>2</v>
      </c>
      <c r="CW134" t="n">
        <v>32.89</v>
      </c>
      <c r="CX134" t="n">
        <v>1.225</v>
      </c>
      <c r="CY134" t="n">
        <v>89</v>
      </c>
      <c r="CZ134" t="n">
        <v>70.09999999999999</v>
      </c>
      <c r="DA134" t="n">
        <v>-3.5</v>
      </c>
      <c r="DB134" t="n">
        <v>0</v>
      </c>
      <c r="DC134" t="n">
        <v>35</v>
      </c>
      <c r="DD134" t="n">
        <v>12</v>
      </c>
      <c r="DE134" t="n">
        <v>6.92</v>
      </c>
      <c r="DF134" t="n">
        <v>2</v>
      </c>
      <c r="DG134" t="n">
        <v>0</v>
      </c>
      <c r="DH134" t="n">
        <v>1</v>
      </c>
      <c r="DI134" t="n">
        <v>2</v>
      </c>
      <c r="DK134" t="n">
        <v>0</v>
      </c>
      <c r="DL134" t="n">
        <v>0</v>
      </c>
      <c r="DO134" t="n">
        <v>1.2</v>
      </c>
      <c r="DP134" t="n">
        <v>0.38</v>
      </c>
      <c r="DQ134" t="n">
        <v>0.19</v>
      </c>
      <c r="DR134" t="n">
        <v>0.38</v>
      </c>
      <c r="DS134" t="n">
        <v>0</v>
      </c>
      <c r="DT134" t="n">
        <v>4</v>
      </c>
      <c r="DU134" t="n">
        <v>0.1</v>
      </c>
      <c r="DV134" t="inlineStr">
        <is>
          <t>flat</t>
        </is>
      </c>
      <c r="DW134" t="n">
        <v>104.89</v>
      </c>
      <c r="DX134" t="n">
        <v>109.14</v>
      </c>
      <c r="DY134" t="n">
        <v>104.62</v>
      </c>
      <c r="DZ134" t="n">
        <v>-0.28</v>
      </c>
      <c r="EA134" t="n">
        <v>932</v>
      </c>
      <c r="EB134" t="n">
        <v>19.32</v>
      </c>
      <c r="EC134" t="n">
        <v>9</v>
      </c>
      <c r="ED134" t="n">
        <v>120</v>
      </c>
      <c r="EE134" t="n">
        <v>1612</v>
      </c>
      <c r="EF134" t="b">
        <v>1</v>
      </c>
      <c r="EG134" t="n">
        <v>79</v>
      </c>
      <c r="EH134" t="n">
        <v>58.1</v>
      </c>
      <c r="EI134" t="n">
        <v>247</v>
      </c>
      <c r="EJ134" t="n">
        <v>2416</v>
      </c>
      <c r="EK134" t="n">
        <v>1208</v>
      </c>
      <c r="EM134" t="n">
        <v>16577.1</v>
      </c>
      <c r="EO134" t="n">
        <v>16577.1</v>
      </c>
      <c r="EP134" t="n">
        <v>25.2</v>
      </c>
    </row>
    <row r="135">
      <c r="A135" t="inlineStr">
        <is>
          <t>Vitalii Mykolenko</t>
        </is>
      </c>
      <c r="B135" t="inlineStr">
        <is>
          <t>EVE</t>
        </is>
      </c>
      <c r="C135" t="inlineStr">
        <is>
          <t>DEF</t>
        </is>
      </c>
      <c r="D135" t="inlineStr">
        <is>
          <t>DEF</t>
        </is>
      </c>
      <c r="E135" t="n">
        <v>4.5</v>
      </c>
      <c r="F135" t="b">
        <v>1</v>
      </c>
      <c r="G135" t="b">
        <v>1</v>
      </c>
      <c r="H135" t="n">
        <v>27.2</v>
      </c>
      <c r="I135" t="inlineStr">
        <is>
          <t>a</t>
        </is>
      </c>
      <c r="L135" t="inlineStr">
        <is>
          <t>p224967</t>
        </is>
      </c>
      <c r="M135" t="n">
        <v>233</v>
      </c>
      <c r="Q135" t="n">
        <v>2959</v>
      </c>
      <c r="R135" t="n">
        <v>33</v>
      </c>
      <c r="S135" t="n">
        <v>33</v>
      </c>
      <c r="T135" t="n">
        <v>32.878</v>
      </c>
      <c r="U135" t="n">
        <v>89.7</v>
      </c>
      <c r="V135" t="n">
        <v>95</v>
      </c>
      <c r="W135" t="n">
        <v>2.889</v>
      </c>
      <c r="X135" t="n">
        <v>0</v>
      </c>
      <c r="Y135" t="n">
        <v>1</v>
      </c>
      <c r="Z135" t="n">
        <v>1</v>
      </c>
      <c r="AA135" t="n">
        <v>9</v>
      </c>
      <c r="AB135" t="n">
        <v>47</v>
      </c>
      <c r="AC135" t="n">
        <v>2</v>
      </c>
      <c r="AD135" t="n">
        <v>4</v>
      </c>
      <c r="AE135" t="n">
        <v>2</v>
      </c>
      <c r="AF135" t="n">
        <v>350</v>
      </c>
      <c r="AG135" t="n">
        <v>317</v>
      </c>
      <c r="AH135" t="n">
        <v>-33</v>
      </c>
      <c r="AI135" t="n">
        <v>97</v>
      </c>
      <c r="AJ135" t="n">
        <v>0.021</v>
      </c>
      <c r="AK135" t="n">
        <v>0.022</v>
      </c>
      <c r="AL135" t="n">
        <v>231</v>
      </c>
      <c r="AM135" t="n">
        <v>7.026</v>
      </c>
      <c r="AN135" t="n">
        <v>7</v>
      </c>
      <c r="AO135" t="n">
        <v>14</v>
      </c>
      <c r="AP135" t="n">
        <v>0.212</v>
      </c>
      <c r="AQ135" t="n">
        <v>0.212</v>
      </c>
      <c r="AR135" t="n">
        <v>0.061</v>
      </c>
      <c r="AS135" t="n">
        <v>0.868</v>
      </c>
      <c r="AT135" t="n">
        <v>1</v>
      </c>
      <c r="AU135" t="n">
        <v>20</v>
      </c>
      <c r="AV135" t="n">
        <v>0</v>
      </c>
      <c r="AW135" t="n">
        <v>2.49</v>
      </c>
      <c r="AX135" t="n">
        <v>9</v>
      </c>
      <c r="AY135" t="n">
        <v>0.28</v>
      </c>
      <c r="AZ135" t="n">
        <v>0.277</v>
      </c>
      <c r="BA135" t="n">
        <v>0.279</v>
      </c>
      <c r="BB135" t="n">
        <v>0.277</v>
      </c>
      <c r="BC135" t="n">
        <v>0.008999999999999999</v>
      </c>
      <c r="BD135" t="n">
        <v>0.008</v>
      </c>
      <c r="BE135" t="n">
        <v>0.008</v>
      </c>
      <c r="BF135" t="n">
        <v>0.2</v>
      </c>
      <c r="BG135" t="n">
        <v>0.006</v>
      </c>
      <c r="BH135" t="n">
        <v>0.945</v>
      </c>
      <c r="BI135" t="n">
        <v>2.79</v>
      </c>
      <c r="BJ135" t="n">
        <v>0.265</v>
      </c>
      <c r="BK135" t="n">
        <v>0.008</v>
      </c>
      <c r="BL135" t="n">
        <v>-0.279</v>
      </c>
      <c r="BM135" t="n">
        <v>-0.08</v>
      </c>
      <c r="BN135" t="n">
        <v>-0.2</v>
      </c>
      <c r="BO135" t="n">
        <v>0.003</v>
      </c>
      <c r="BP135" t="n">
        <v>9</v>
      </c>
      <c r="BQ135" t="n">
        <v>2</v>
      </c>
      <c r="BS135" t="n">
        <v>23</v>
      </c>
      <c r="BT135" t="n">
        <v>0.7</v>
      </c>
      <c r="BW135" t="n">
        <v>2.46</v>
      </c>
      <c r="BX135" t="n">
        <v>1.142</v>
      </c>
      <c r="BY135" t="n">
        <v>1.801</v>
      </c>
      <c r="BZ135" t="n">
        <v>0.055</v>
      </c>
      <c r="CA135" t="n">
        <v>2.08</v>
      </c>
      <c r="CB135" t="n">
        <v>0.063</v>
      </c>
      <c r="CC135" t="n">
        <v>22</v>
      </c>
      <c r="CD135" t="n">
        <v>1</v>
      </c>
      <c r="CE135" t="n">
        <v>22</v>
      </c>
      <c r="CF135" t="n">
        <v>20</v>
      </c>
      <c r="CG135" t="n">
        <v>1</v>
      </c>
      <c r="CH135" t="n">
        <v>0</v>
      </c>
      <c r="CI135" t="n">
        <v>8.095000000000001</v>
      </c>
      <c r="CJ135" t="n">
        <v>7.046</v>
      </c>
      <c r="CK135" t="n">
        <v>183</v>
      </c>
      <c r="CL135" t="n">
        <v>107</v>
      </c>
      <c r="CM135" t="n">
        <v>48</v>
      </c>
      <c r="CN135" t="n">
        <v>28</v>
      </c>
      <c r="CO135" t="n">
        <v>30</v>
      </c>
      <c r="CP135" t="n">
        <v>145</v>
      </c>
      <c r="CQ135" t="n">
        <v>9</v>
      </c>
      <c r="CR135" t="n">
        <v>139</v>
      </c>
      <c r="CS135" t="n">
        <v>50</v>
      </c>
      <c r="CT135" t="n">
        <v>0.3</v>
      </c>
      <c r="CU135" t="n">
        <v>1</v>
      </c>
      <c r="CW135" t="n">
        <v>48.41</v>
      </c>
      <c r="CX135" t="n">
        <v>1.472</v>
      </c>
      <c r="CY135" t="n">
        <v>0</v>
      </c>
      <c r="DB135" t="n">
        <v>0</v>
      </c>
      <c r="DE135" t="n">
        <v>6.76</v>
      </c>
      <c r="DF135" t="n">
        <v>6</v>
      </c>
      <c r="DG135" t="n">
        <v>0</v>
      </c>
      <c r="DH135" t="n">
        <v>29</v>
      </c>
      <c r="DI135" t="n">
        <v>28</v>
      </c>
      <c r="DL135" t="n">
        <v>10</v>
      </c>
      <c r="DM135" t="n">
        <v>11</v>
      </c>
      <c r="DO135" t="n">
        <v>1.3</v>
      </c>
      <c r="DP135" t="n">
        <v>113.14</v>
      </c>
      <c r="DQ135" t="n">
        <v>56.57</v>
      </c>
      <c r="DR135" t="n">
        <v>113.14</v>
      </c>
      <c r="DS135" t="n">
        <v>0</v>
      </c>
      <c r="DT135" t="n">
        <v>3004</v>
      </c>
      <c r="DU135" t="n">
        <v>79.05</v>
      </c>
      <c r="DV135" t="inlineStr">
        <is>
          <t>flat</t>
        </is>
      </c>
      <c r="DW135" t="n">
        <v>100.8</v>
      </c>
      <c r="DX135" t="n">
        <v>102.43</v>
      </c>
      <c r="DY135" t="n">
        <v>101.92</v>
      </c>
      <c r="DZ135" t="n">
        <v>1.11</v>
      </c>
      <c r="EA135" t="n">
        <v>158</v>
      </c>
      <c r="EB135" t="n">
        <v>14.68</v>
      </c>
      <c r="EC135" t="n">
        <v>13.33</v>
      </c>
      <c r="ED135" t="n">
        <v>120</v>
      </c>
      <c r="EE135" t="n">
        <v>234</v>
      </c>
      <c r="EF135" t="b">
        <v>1</v>
      </c>
      <c r="EG135" t="n">
        <v>5.3</v>
      </c>
      <c r="EH135" t="n">
        <v>10</v>
      </c>
      <c r="EI135" t="n">
        <v>405</v>
      </c>
      <c r="EJ135" t="n">
        <v>328.8</v>
      </c>
      <c r="EK135" t="n">
        <v>128.7</v>
      </c>
      <c r="EL135" t="n">
        <v>134.5</v>
      </c>
      <c r="EM135" t="n">
        <v>10616</v>
      </c>
      <c r="EN135" t="n">
        <v>1643.1</v>
      </c>
      <c r="EO135" t="n">
        <v>1422.8</v>
      </c>
      <c r="EP135" t="n">
        <v>31.1</v>
      </c>
    </row>
    <row r="136">
      <c r="A136" t="inlineStr">
        <is>
          <t>Patrick Dorgu</t>
        </is>
      </c>
      <c r="B136" t="inlineStr">
        <is>
          <t>MUN</t>
        </is>
      </c>
      <c r="C136" t="inlineStr">
        <is>
          <t>MID</t>
        </is>
      </c>
      <c r="D136" t="inlineStr">
        <is>
          <t>DEF</t>
        </is>
      </c>
      <c r="E136" t="n">
        <v>6</v>
      </c>
      <c r="F136" t="b">
        <v>1</v>
      </c>
      <c r="G136" t="b">
        <v>1</v>
      </c>
      <c r="H136" t="n">
        <v>21.8</v>
      </c>
      <c r="I136" t="inlineStr">
        <is>
          <t>a</t>
        </is>
      </c>
      <c r="L136" t="inlineStr">
        <is>
          <t>p596777</t>
        </is>
      </c>
      <c r="M136" t="n">
        <v>415</v>
      </c>
      <c r="Q136" t="n">
        <v>1440</v>
      </c>
      <c r="R136" t="n">
        <v>26</v>
      </c>
      <c r="S136" t="n">
        <v>15</v>
      </c>
      <c r="T136" t="n">
        <v>16</v>
      </c>
      <c r="U136" t="n">
        <v>55.4</v>
      </c>
      <c r="V136" t="n">
        <v>95</v>
      </c>
      <c r="W136" t="n">
        <v>5.938</v>
      </c>
      <c r="X136" t="n">
        <v>4</v>
      </c>
      <c r="Y136" t="n">
        <v>4</v>
      </c>
      <c r="Z136" t="n">
        <v>4</v>
      </c>
      <c r="AA136" t="n">
        <v>4</v>
      </c>
      <c r="AB136" t="n">
        <v>20</v>
      </c>
      <c r="AC136" t="n">
        <v>11</v>
      </c>
      <c r="AD136" t="n">
        <v>11</v>
      </c>
      <c r="AE136" t="n">
        <v>0</v>
      </c>
      <c r="AF136" t="n">
        <v>321</v>
      </c>
      <c r="AG136" t="n">
        <v>309</v>
      </c>
      <c r="AH136" t="n">
        <v>-12</v>
      </c>
      <c r="AI136" t="n">
        <v>95</v>
      </c>
      <c r="AJ136" t="n">
        <v>0.116</v>
      </c>
      <c r="AK136" t="n">
        <v>0.131</v>
      </c>
      <c r="AL136" t="n">
        <v>98</v>
      </c>
      <c r="AM136" t="n">
        <v>6.125</v>
      </c>
      <c r="AN136" t="n">
        <v>1</v>
      </c>
      <c r="AO136" t="n">
        <v>2</v>
      </c>
      <c r="AP136" t="n">
        <v>0.067</v>
      </c>
      <c r="AQ136" t="n">
        <v>0.067</v>
      </c>
      <c r="AR136" t="n">
        <v>0</v>
      </c>
      <c r="AS136" t="n">
        <v>0.395</v>
      </c>
      <c r="AT136" t="n">
        <v>0.538</v>
      </c>
      <c r="AU136" t="n">
        <v>18</v>
      </c>
      <c r="AV136" t="n">
        <v>3</v>
      </c>
      <c r="AW136" t="n">
        <v>4.61</v>
      </c>
      <c r="AX136" t="n">
        <v>18</v>
      </c>
      <c r="AY136" t="n">
        <v>2.39</v>
      </c>
      <c r="AZ136" t="n">
        <v>2.987</v>
      </c>
      <c r="BA136" t="n">
        <v>2.689</v>
      </c>
      <c r="BB136" t="n">
        <v>2.987</v>
      </c>
      <c r="BC136" t="n">
        <v>0.149</v>
      </c>
      <c r="BD136" t="n">
        <v>0.187</v>
      </c>
      <c r="BE136" t="n">
        <v>0.168</v>
      </c>
      <c r="BF136" t="n">
        <v>2.6</v>
      </c>
      <c r="BG136" t="n">
        <v>0.162</v>
      </c>
      <c r="BH136" t="n">
        <v>0.989</v>
      </c>
      <c r="BI136" t="n">
        <v>2.82</v>
      </c>
      <c r="BJ136" t="n">
        <v>2.363</v>
      </c>
      <c r="BK136" t="n">
        <v>0.148</v>
      </c>
      <c r="BL136" t="n">
        <v>1.311</v>
      </c>
      <c r="BM136" t="n">
        <v>0.21</v>
      </c>
      <c r="BN136" t="n">
        <v>1.4</v>
      </c>
      <c r="BO136" t="n">
        <v>-0.597</v>
      </c>
      <c r="BP136" t="n">
        <v>26</v>
      </c>
      <c r="BQ136" t="n">
        <v>12</v>
      </c>
      <c r="BR136" t="n">
        <v>3</v>
      </c>
      <c r="BS136" t="n">
        <v>70</v>
      </c>
      <c r="BT136" t="n">
        <v>4.375</v>
      </c>
      <c r="BV136" t="n">
        <v>1</v>
      </c>
      <c r="BW136" t="n">
        <v>1.84</v>
      </c>
      <c r="BX136" t="n">
        <v>3.111</v>
      </c>
      <c r="BY136" t="n">
        <v>2.476</v>
      </c>
      <c r="BZ136" t="n">
        <v>0.155</v>
      </c>
      <c r="CA136" t="n">
        <v>5.164</v>
      </c>
      <c r="CB136" t="n">
        <v>0.323</v>
      </c>
      <c r="CC136" t="n">
        <v>27</v>
      </c>
      <c r="CD136" t="n">
        <v>6</v>
      </c>
      <c r="CE136" t="n">
        <v>27</v>
      </c>
      <c r="CF136" t="n">
        <v>15</v>
      </c>
      <c r="CG136" t="n">
        <v>1</v>
      </c>
      <c r="CI136" t="n">
        <v>6.977</v>
      </c>
      <c r="CJ136" t="n">
        <v>1.996</v>
      </c>
      <c r="CK136" t="n">
        <v>50</v>
      </c>
      <c r="CL136" t="n">
        <v>77</v>
      </c>
      <c r="CM136" t="n">
        <v>48</v>
      </c>
      <c r="CN136" t="n">
        <v>31</v>
      </c>
      <c r="CO136" t="n">
        <v>15</v>
      </c>
      <c r="CP136" t="n">
        <v>32</v>
      </c>
      <c r="CQ136" t="n">
        <v>3</v>
      </c>
      <c r="CR136" t="n">
        <v>149</v>
      </c>
      <c r="CS136" t="n">
        <v>44</v>
      </c>
      <c r="CT136" t="n">
        <v>0.2</v>
      </c>
      <c r="CW136" t="n">
        <v>19.61</v>
      </c>
      <c r="CX136" t="n">
        <v>1.226</v>
      </c>
      <c r="CY136" t="n">
        <v>0</v>
      </c>
      <c r="DB136" t="n">
        <v>0</v>
      </c>
      <c r="DE136" t="n">
        <v>7.16</v>
      </c>
      <c r="DF136" t="n">
        <v>5</v>
      </c>
      <c r="DG136" t="n">
        <v>0</v>
      </c>
      <c r="DH136" t="n">
        <v>23</v>
      </c>
      <c r="DI136" t="n">
        <v>47</v>
      </c>
      <c r="DL136" t="n">
        <v>11</v>
      </c>
      <c r="DM136" t="n">
        <v>22</v>
      </c>
      <c r="DN136" t="n">
        <v>7</v>
      </c>
      <c r="DO136" t="n">
        <v>1.5</v>
      </c>
      <c r="DP136" t="n">
        <v>46.32</v>
      </c>
      <c r="DQ136" t="n">
        <v>23.6</v>
      </c>
      <c r="DR136" t="n">
        <v>47.2</v>
      </c>
      <c r="DS136" t="n">
        <v>-0.88</v>
      </c>
      <c r="DT136" t="n">
        <v>812</v>
      </c>
      <c r="DU136" t="n">
        <v>21.36</v>
      </c>
      <c r="DV136" t="inlineStr">
        <is>
          <t>fade (losing his place)</t>
        </is>
      </c>
      <c r="DW136" t="n">
        <v>70.65000000000001</v>
      </c>
      <c r="DX136" t="n">
        <v>73.53</v>
      </c>
      <c r="DY136" t="n">
        <v>68.44</v>
      </c>
      <c r="DZ136" t="n">
        <v>-2.22</v>
      </c>
      <c r="EA136" t="n">
        <v>482</v>
      </c>
      <c r="EB136" t="n">
        <v>23.82</v>
      </c>
      <c r="EC136" t="n">
        <v>5</v>
      </c>
      <c r="ED136" t="n">
        <v>120</v>
      </c>
      <c r="EE136" t="n">
        <v>957</v>
      </c>
      <c r="EF136" t="b">
        <v>1</v>
      </c>
      <c r="EG136" t="n">
        <v>22</v>
      </c>
      <c r="EH136" t="n">
        <v>10.9</v>
      </c>
      <c r="EI136" t="n">
        <v>82</v>
      </c>
      <c r="EJ136" t="n">
        <v>55.4</v>
      </c>
      <c r="EK136" t="n">
        <v>20.6</v>
      </c>
      <c r="EL136" t="n">
        <v>53.3</v>
      </c>
      <c r="EM136" t="n">
        <v>535.6</v>
      </c>
      <c r="EN136" t="n">
        <v>581.7</v>
      </c>
      <c r="EO136" t="n">
        <v>278.8</v>
      </c>
      <c r="EP136" t="n">
        <v>15.2</v>
      </c>
    </row>
    <row r="137">
      <c r="A137" t="inlineStr">
        <is>
          <t>Ryan Sessegnon</t>
        </is>
      </c>
      <c r="B137" t="inlineStr">
        <is>
          <t>FUL</t>
        </is>
      </c>
      <c r="C137" t="inlineStr">
        <is>
          <t>DEF</t>
        </is>
      </c>
      <c r="D137" t="inlineStr">
        <is>
          <t>MID</t>
        </is>
      </c>
      <c r="E137" t="n">
        <v>4.5</v>
      </c>
      <c r="F137" t="b">
        <v>1</v>
      </c>
      <c r="G137" t="b">
        <v>1</v>
      </c>
      <c r="H137" t="n">
        <v>26.3</v>
      </c>
      <c r="I137" t="inlineStr">
        <is>
          <t>a</t>
        </is>
      </c>
      <c r="L137" t="inlineStr">
        <is>
          <t>p184349</t>
        </is>
      </c>
      <c r="M137" t="n">
        <v>269</v>
      </c>
      <c r="Q137" t="n">
        <v>1816</v>
      </c>
      <c r="R137" t="n">
        <v>27</v>
      </c>
      <c r="S137" t="n">
        <v>20</v>
      </c>
      <c r="T137" t="n">
        <v>20.178</v>
      </c>
      <c r="U137" t="n">
        <v>67.3</v>
      </c>
      <c r="V137" t="n">
        <v>95</v>
      </c>
      <c r="W137" t="n">
        <v>4.708</v>
      </c>
      <c r="X137" t="n">
        <v>3</v>
      </c>
      <c r="Y137" t="n">
        <v>3</v>
      </c>
      <c r="Z137" t="n">
        <v>1</v>
      </c>
      <c r="AA137" t="n">
        <v>6</v>
      </c>
      <c r="AB137" t="n">
        <v>29</v>
      </c>
      <c r="AC137" t="n">
        <v>8</v>
      </c>
      <c r="AD137" t="n">
        <v>8</v>
      </c>
      <c r="AE137" t="n">
        <v>0</v>
      </c>
      <c r="AF137" t="n">
        <v>332</v>
      </c>
      <c r="AG137" t="n">
        <v>313</v>
      </c>
      <c r="AH137" t="n">
        <v>-19</v>
      </c>
      <c r="AI137" t="n">
        <v>95</v>
      </c>
      <c r="AJ137" t="n">
        <v>0.08400000000000001</v>
      </c>
      <c r="AK137" t="n">
        <v>0.092</v>
      </c>
      <c r="AL137" t="n">
        <v>218</v>
      </c>
      <c r="AM137" t="n">
        <v>10.804</v>
      </c>
      <c r="AN137" t="n">
        <v>5</v>
      </c>
      <c r="AO137" t="n">
        <v>10</v>
      </c>
      <c r="AP137" t="n">
        <v>0.25</v>
      </c>
      <c r="AQ137" t="n">
        <v>0.6</v>
      </c>
      <c r="AR137" t="n">
        <v>0.25</v>
      </c>
      <c r="AS137" t="n">
        <v>0.526</v>
      </c>
      <c r="AT137" t="n">
        <v>0.741</v>
      </c>
      <c r="AU137" t="n">
        <v>13</v>
      </c>
      <c r="AV137" t="n">
        <v>2</v>
      </c>
      <c r="AW137" t="n">
        <v>3.08</v>
      </c>
      <c r="AX137" t="n">
        <v>14</v>
      </c>
      <c r="AY137" t="n">
        <v>1.6</v>
      </c>
      <c r="AZ137" t="n">
        <v>2.048</v>
      </c>
      <c r="BA137" t="n">
        <v>1.824</v>
      </c>
      <c r="BB137" t="n">
        <v>2.048</v>
      </c>
      <c r="BC137" t="n">
        <v>0.079</v>
      </c>
      <c r="BD137" t="n">
        <v>0.102</v>
      </c>
      <c r="BE137" t="n">
        <v>0.09</v>
      </c>
      <c r="BF137" t="n">
        <v>1.4</v>
      </c>
      <c r="BG137" t="n">
        <v>0.06900000000000001</v>
      </c>
      <c r="BH137" t="n">
        <v>1.126</v>
      </c>
      <c r="BI137" t="n">
        <v>4.88</v>
      </c>
      <c r="BJ137" t="n">
        <v>1.801</v>
      </c>
      <c r="BK137" t="n">
        <v>0.089</v>
      </c>
      <c r="BL137" t="n">
        <v>1.176</v>
      </c>
      <c r="BM137" t="n">
        <v>-0.2</v>
      </c>
      <c r="BN137" t="n">
        <v>1.6</v>
      </c>
      <c r="BO137" t="n">
        <v>-0.448</v>
      </c>
      <c r="BP137" t="n">
        <v>16</v>
      </c>
      <c r="BQ137" t="n">
        <v>4</v>
      </c>
      <c r="BR137" t="n">
        <v>1</v>
      </c>
      <c r="BS137" t="n">
        <v>69</v>
      </c>
      <c r="BT137" t="n">
        <v>3.42</v>
      </c>
      <c r="BW137" t="n">
        <v>1.8</v>
      </c>
      <c r="BX137" t="n">
        <v>2.228</v>
      </c>
      <c r="BY137" t="n">
        <v>2.014</v>
      </c>
      <c r="BZ137" t="n">
        <v>0.1</v>
      </c>
      <c r="CA137" t="n">
        <v>3.838</v>
      </c>
      <c r="CB137" t="n">
        <v>0.19</v>
      </c>
      <c r="CC137" t="n">
        <v>14</v>
      </c>
      <c r="CD137" t="n">
        <v>3</v>
      </c>
      <c r="CE137" t="n">
        <v>14</v>
      </c>
      <c r="CF137" t="n">
        <v>6</v>
      </c>
      <c r="CG137" t="n">
        <v>2</v>
      </c>
      <c r="CH137" t="n">
        <v>1</v>
      </c>
      <c r="CI137" t="n">
        <v>8.259</v>
      </c>
      <c r="CJ137" t="n">
        <v>5.088</v>
      </c>
      <c r="CK137" t="n">
        <v>96</v>
      </c>
      <c r="CL137" t="n">
        <v>74</v>
      </c>
      <c r="CM137" t="n">
        <v>48</v>
      </c>
      <c r="CN137" t="n">
        <v>29</v>
      </c>
      <c r="CO137" t="n">
        <v>25</v>
      </c>
      <c r="CP137" t="n">
        <v>64</v>
      </c>
      <c r="CQ137" t="n">
        <v>8</v>
      </c>
      <c r="CR137" t="n">
        <v>79</v>
      </c>
      <c r="CS137" t="n">
        <v>19</v>
      </c>
      <c r="CT137" t="n">
        <v>0.1</v>
      </c>
      <c r="CV137" t="n">
        <v>1</v>
      </c>
      <c r="CW137" t="n">
        <v>26.33</v>
      </c>
      <c r="CX137" t="n">
        <v>1.305</v>
      </c>
      <c r="CY137" t="n">
        <v>0</v>
      </c>
      <c r="DB137" t="n">
        <v>0</v>
      </c>
      <c r="DE137" t="n">
        <v>6.69</v>
      </c>
      <c r="DF137" t="n">
        <v>0</v>
      </c>
      <c r="DG137" t="n">
        <v>0</v>
      </c>
      <c r="DH137" t="n">
        <v>33</v>
      </c>
      <c r="DI137" t="n">
        <v>3</v>
      </c>
      <c r="DK137" t="n">
        <v>2</v>
      </c>
      <c r="DL137" t="n">
        <v>9</v>
      </c>
      <c r="DM137" t="n">
        <v>18</v>
      </c>
      <c r="DN137" t="n">
        <v>4</v>
      </c>
      <c r="DO137" t="n">
        <v>0.4</v>
      </c>
      <c r="DP137" t="n">
        <v>69.23</v>
      </c>
      <c r="DQ137" t="n">
        <v>34.62</v>
      </c>
      <c r="DR137" t="n">
        <v>69.23999999999999</v>
      </c>
      <c r="DS137" t="n">
        <v>-0.01</v>
      </c>
      <c r="DT137" t="n">
        <v>1525</v>
      </c>
      <c r="DU137" t="n">
        <v>40.12</v>
      </c>
      <c r="DV137" t="inlineStr">
        <is>
          <t>flat</t>
        </is>
      </c>
      <c r="DW137" t="n">
        <v>101.27</v>
      </c>
      <c r="DX137" t="n">
        <v>100.26</v>
      </c>
      <c r="DY137" t="n">
        <v>101.06</v>
      </c>
      <c r="DZ137" t="n">
        <v>-0.21</v>
      </c>
      <c r="EA137" t="n">
        <v>68</v>
      </c>
      <c r="EB137" t="n">
        <v>13.32</v>
      </c>
      <c r="EC137" t="n">
        <v>55</v>
      </c>
      <c r="ED137" t="n">
        <v>120</v>
      </c>
      <c r="EE137" t="n">
        <v>104</v>
      </c>
      <c r="EF137" t="b">
        <v>1</v>
      </c>
      <c r="EG137" t="n">
        <v>2.4</v>
      </c>
      <c r="EH137" t="n">
        <v>9.6</v>
      </c>
      <c r="EI137" t="n">
        <v>406</v>
      </c>
      <c r="EJ137" t="n">
        <v>113.5</v>
      </c>
      <c r="EK137" t="n">
        <v>26.3</v>
      </c>
      <c r="EL137" t="n">
        <v>129.7</v>
      </c>
      <c r="EM137" t="n">
        <v>995.5</v>
      </c>
      <c r="EN137" t="n">
        <v>901.6</v>
      </c>
      <c r="EO137" t="n">
        <v>473.1</v>
      </c>
      <c r="EP137" t="n">
        <v>19.1</v>
      </c>
    </row>
    <row r="138">
      <c r="A138" t="inlineStr">
        <is>
          <t>Thierno Barry</t>
        </is>
      </c>
      <c r="B138" t="inlineStr">
        <is>
          <t>EVE</t>
        </is>
      </c>
      <c r="C138" t="inlineStr">
        <is>
          <t>FWD</t>
        </is>
      </c>
      <c r="D138" t="inlineStr">
        <is>
          <t>FWD</t>
        </is>
      </c>
      <c r="E138" t="n">
        <v>5.5</v>
      </c>
      <c r="F138" t="b">
        <v>1</v>
      </c>
      <c r="G138" t="b">
        <v>1</v>
      </c>
      <c r="H138" t="n">
        <v>23.8</v>
      </c>
      <c r="I138" t="inlineStr">
        <is>
          <t>a</t>
        </is>
      </c>
      <c r="L138" t="inlineStr">
        <is>
          <t>p586309</t>
        </is>
      </c>
      <c r="M138" t="n">
        <v>249</v>
      </c>
      <c r="N138" t="n">
        <v>2</v>
      </c>
      <c r="Q138" t="n">
        <v>1898</v>
      </c>
      <c r="R138" t="n">
        <v>38</v>
      </c>
      <c r="S138" t="n">
        <v>21</v>
      </c>
      <c r="T138" t="n">
        <v>21.089</v>
      </c>
      <c r="U138" t="n">
        <v>49.9</v>
      </c>
      <c r="V138" t="n">
        <v>95</v>
      </c>
      <c r="W138" t="n">
        <v>4.505</v>
      </c>
      <c r="X138" t="n">
        <v>8</v>
      </c>
      <c r="Y138" t="n">
        <v>0</v>
      </c>
      <c r="AA138" t="n">
        <v>7</v>
      </c>
      <c r="AB138" t="n">
        <v>34</v>
      </c>
      <c r="AC138" t="n">
        <v>9</v>
      </c>
      <c r="AD138" t="n">
        <v>9</v>
      </c>
      <c r="AE138" t="n">
        <v>0</v>
      </c>
      <c r="AF138" t="n">
        <v>295</v>
      </c>
      <c r="AG138" t="n">
        <v>287</v>
      </c>
      <c r="AH138" t="n">
        <v>-8</v>
      </c>
      <c r="AI138" t="n">
        <v>95</v>
      </c>
      <c r="AJ138" t="n">
        <v>0.095</v>
      </c>
      <c r="AK138" t="n">
        <v>0.105</v>
      </c>
      <c r="AL138" t="n">
        <v>74</v>
      </c>
      <c r="AM138" t="n">
        <v>3.509</v>
      </c>
      <c r="AN138" t="n">
        <v>0</v>
      </c>
      <c r="AO138" t="n">
        <v>0</v>
      </c>
      <c r="AP138" t="n">
        <v>0</v>
      </c>
      <c r="AQ138" t="n">
        <v>0</v>
      </c>
      <c r="AR138" t="n">
        <v>0</v>
      </c>
      <c r="AS138" t="n">
        <v>0.553</v>
      </c>
      <c r="AT138" t="n">
        <v>0.5</v>
      </c>
      <c r="AU138" t="n">
        <v>31</v>
      </c>
      <c r="AV138" t="n">
        <v>1</v>
      </c>
      <c r="AW138" t="n">
        <v>2.51</v>
      </c>
      <c r="AX138" t="n">
        <v>11</v>
      </c>
      <c r="AY138" t="n">
        <v>8.17</v>
      </c>
      <c r="AZ138" t="n">
        <v>9.148999999999999</v>
      </c>
      <c r="BA138" t="n">
        <v>8.66</v>
      </c>
      <c r="BB138" t="n">
        <v>9.148999999999999</v>
      </c>
      <c r="BC138" t="n">
        <v>0.387</v>
      </c>
      <c r="BD138" t="n">
        <v>0.434</v>
      </c>
      <c r="BE138" t="n">
        <v>0.411</v>
      </c>
      <c r="BF138" t="n">
        <v>5.9</v>
      </c>
      <c r="BG138" t="n">
        <v>0.28</v>
      </c>
      <c r="BH138" t="n">
        <v>0.86</v>
      </c>
      <c r="BI138" t="n">
        <v>8.17</v>
      </c>
      <c r="BJ138" t="n">
        <v>7.023</v>
      </c>
      <c r="BK138" t="n">
        <v>0.333</v>
      </c>
      <c r="BL138" t="n">
        <v>-0.66</v>
      </c>
      <c r="BM138" t="n">
        <v>-2.27</v>
      </c>
      <c r="BN138" t="n">
        <v>2.1</v>
      </c>
      <c r="BO138" t="n">
        <v>-0.979</v>
      </c>
      <c r="BP138" t="n">
        <v>38</v>
      </c>
      <c r="BQ138" t="n">
        <v>14</v>
      </c>
      <c r="BR138" t="n">
        <v>10</v>
      </c>
      <c r="BS138" t="n">
        <v>94</v>
      </c>
      <c r="BT138" t="n">
        <v>4.457</v>
      </c>
      <c r="BV138" t="n">
        <v>1</v>
      </c>
      <c r="BW138" t="n">
        <v>0.44</v>
      </c>
      <c r="BX138" t="n">
        <v>1.004</v>
      </c>
      <c r="BY138" t="n">
        <v>0.722</v>
      </c>
      <c r="BZ138" t="n">
        <v>0.034</v>
      </c>
      <c r="CA138" t="n">
        <v>9.382</v>
      </c>
      <c r="CB138" t="n">
        <v>0.445</v>
      </c>
      <c r="CC138" t="n">
        <v>12</v>
      </c>
      <c r="CD138" t="n">
        <v>2</v>
      </c>
      <c r="CE138" t="n">
        <v>12</v>
      </c>
      <c r="CF138" t="n">
        <v>1</v>
      </c>
      <c r="CI138" t="n">
        <v>10.249</v>
      </c>
      <c r="CJ138" t="n">
        <v>2.152</v>
      </c>
      <c r="CK138" t="n">
        <v>34</v>
      </c>
      <c r="CL138" t="n">
        <v>34</v>
      </c>
      <c r="CM138" t="n">
        <v>6</v>
      </c>
      <c r="CN138" t="n">
        <v>4</v>
      </c>
      <c r="CO138" t="n">
        <v>5</v>
      </c>
      <c r="CP138" t="n">
        <v>25</v>
      </c>
      <c r="CQ138" t="n">
        <v>4</v>
      </c>
      <c r="CR138" t="n">
        <v>153</v>
      </c>
      <c r="CS138" t="n">
        <v>130</v>
      </c>
      <c r="CT138" t="n">
        <v>0.4</v>
      </c>
      <c r="CW138" t="n">
        <v>33.49</v>
      </c>
      <c r="CX138" t="n">
        <v>1.588</v>
      </c>
      <c r="CY138" t="n">
        <v>0</v>
      </c>
      <c r="DB138" t="n">
        <v>0</v>
      </c>
      <c r="DE138" t="n">
        <v>6.44</v>
      </c>
      <c r="DF138" t="n">
        <v>3</v>
      </c>
      <c r="DG138" t="n">
        <v>0</v>
      </c>
      <c r="DH138" t="n">
        <v>47</v>
      </c>
      <c r="DI138" t="n">
        <v>8</v>
      </c>
      <c r="DL138" t="n">
        <v>9</v>
      </c>
      <c r="DM138" t="n">
        <v>23</v>
      </c>
      <c r="DN138" t="n">
        <v>12</v>
      </c>
      <c r="DO138" t="n">
        <v>1.1</v>
      </c>
      <c r="DP138" t="n">
        <v>121.22</v>
      </c>
      <c r="DQ138" t="n">
        <v>60.62</v>
      </c>
      <c r="DR138" t="n">
        <v>121.24</v>
      </c>
      <c r="DS138" t="n">
        <v>-0.02</v>
      </c>
      <c r="DT138" t="n">
        <v>2514</v>
      </c>
      <c r="DU138" t="n">
        <v>66.15000000000001</v>
      </c>
      <c r="DV138" t="inlineStr">
        <is>
          <t>flat</t>
        </is>
      </c>
      <c r="DW138" t="n">
        <v>87.5</v>
      </c>
      <c r="DX138" t="n">
        <v>97.39</v>
      </c>
      <c r="DY138" t="n">
        <v>84.41</v>
      </c>
      <c r="DZ138" t="n">
        <v>-3.09</v>
      </c>
      <c r="EA138" t="n">
        <v>676</v>
      </c>
      <c r="EB138" t="n">
        <v>23.2</v>
      </c>
      <c r="EC138" t="n">
        <v>16</v>
      </c>
      <c r="ED138" t="n">
        <v>120</v>
      </c>
      <c r="EE138" t="n">
        <v>1058</v>
      </c>
      <c r="EF138" t="b">
        <v>1</v>
      </c>
      <c r="EG138" t="n">
        <v>24</v>
      </c>
      <c r="EH138" t="n">
        <v>9.5</v>
      </c>
      <c r="EI138" t="n">
        <v>138</v>
      </c>
      <c r="EJ138" t="n">
        <v>49.9</v>
      </c>
      <c r="EK138" t="n">
        <v>20.2</v>
      </c>
      <c r="EL138" t="n">
        <v>158.2</v>
      </c>
      <c r="EM138" t="n">
        <v>219.2</v>
      </c>
      <c r="EN138" t="n">
        <v>2628.9</v>
      </c>
      <c r="EO138" t="n">
        <v>202.3</v>
      </c>
      <c r="EP138" t="n">
        <v>20</v>
      </c>
    </row>
    <row r="139">
      <c r="A139" t="inlineStr">
        <is>
          <t>Mats Wieffer</t>
        </is>
      </c>
      <c r="B139" t="inlineStr">
        <is>
          <t>BHA</t>
        </is>
      </c>
      <c r="C139" t="inlineStr">
        <is>
          <t>DEF</t>
        </is>
      </c>
      <c r="D139" t="inlineStr">
        <is>
          <t>MID</t>
        </is>
      </c>
      <c r="E139" t="n">
        <v>5</v>
      </c>
      <c r="F139" t="b">
        <v>1</v>
      </c>
      <c r="G139" t="b">
        <v>1</v>
      </c>
      <c r="H139" t="n">
        <v>26.8</v>
      </c>
      <c r="I139" t="inlineStr">
        <is>
          <t>a</t>
        </is>
      </c>
      <c r="L139" t="inlineStr">
        <is>
          <t>p467779</t>
        </is>
      </c>
      <c r="M139" t="n">
        <v>130</v>
      </c>
      <c r="Q139" t="n">
        <v>1901</v>
      </c>
      <c r="R139" t="n">
        <v>26</v>
      </c>
      <c r="S139" t="n">
        <v>23</v>
      </c>
      <c r="T139" t="n">
        <v>21.122</v>
      </c>
      <c r="U139" t="n">
        <v>73.09999999999999</v>
      </c>
      <c r="V139" t="n">
        <v>94</v>
      </c>
      <c r="W139" t="n">
        <v>4.45</v>
      </c>
      <c r="X139" t="n">
        <v>2</v>
      </c>
      <c r="Y139" t="n">
        <v>4</v>
      </c>
      <c r="Z139" t="n">
        <v>3</v>
      </c>
      <c r="AA139" t="n">
        <v>6</v>
      </c>
      <c r="AB139" t="n">
        <v>26</v>
      </c>
      <c r="AC139" t="n">
        <v>6</v>
      </c>
      <c r="AD139" t="n">
        <v>5</v>
      </c>
      <c r="AE139" t="n">
        <v>-1</v>
      </c>
      <c r="AF139" t="n">
        <v>398</v>
      </c>
      <c r="AG139" t="n">
        <v>380</v>
      </c>
      <c r="AH139" t="n">
        <v>-18</v>
      </c>
      <c r="AI139" t="n">
        <v>93</v>
      </c>
      <c r="AJ139" t="n">
        <v>0.064</v>
      </c>
      <c r="AK139" t="n">
        <v>0.068</v>
      </c>
      <c r="AL139" t="n">
        <v>269</v>
      </c>
      <c r="AM139" t="n">
        <v>12.735</v>
      </c>
      <c r="AN139" t="n">
        <v>11</v>
      </c>
      <c r="AO139" t="n">
        <v>22</v>
      </c>
      <c r="AP139" t="n">
        <v>0.478</v>
      </c>
      <c r="AQ139" t="n">
        <v>0.609</v>
      </c>
      <c r="AR139" t="n">
        <v>0.478</v>
      </c>
      <c r="AS139" t="n">
        <v>0.605</v>
      </c>
      <c r="AT139" t="n">
        <v>0.769</v>
      </c>
      <c r="AU139" t="n">
        <v>13</v>
      </c>
      <c r="AV139" t="n">
        <v>2</v>
      </c>
      <c r="AW139" t="n">
        <v>3.53</v>
      </c>
      <c r="AX139" t="n">
        <v>18</v>
      </c>
      <c r="AY139" t="n">
        <v>1.92</v>
      </c>
      <c r="AZ139" t="n">
        <v>1.927</v>
      </c>
      <c r="BA139" t="n">
        <v>1.924</v>
      </c>
      <c r="BB139" t="n">
        <v>1.927</v>
      </c>
      <c r="BC139" t="n">
        <v>0.091</v>
      </c>
      <c r="BD139" t="n">
        <v>0.091</v>
      </c>
      <c r="BE139" t="n">
        <v>0.091</v>
      </c>
      <c r="BF139" t="n">
        <v>1.9</v>
      </c>
      <c r="BG139" t="n">
        <v>0.09</v>
      </c>
      <c r="BH139" t="n">
        <v>1.082</v>
      </c>
      <c r="BI139" t="n">
        <v>2.72</v>
      </c>
      <c r="BJ139" t="n">
        <v>2.078</v>
      </c>
      <c r="BK139" t="n">
        <v>0.098</v>
      </c>
      <c r="BL139" t="n">
        <v>0.076</v>
      </c>
      <c r="BM139" t="n">
        <v>-0.02</v>
      </c>
      <c r="BN139" t="n">
        <v>0.1</v>
      </c>
      <c r="BO139" t="n">
        <v>-0.007</v>
      </c>
      <c r="BP139" t="n">
        <v>18</v>
      </c>
      <c r="BQ139" t="n">
        <v>6</v>
      </c>
      <c r="BR139" t="n">
        <v>2</v>
      </c>
      <c r="BS139" t="n">
        <v>52</v>
      </c>
      <c r="BT139" t="n">
        <v>2.462</v>
      </c>
      <c r="BW139" t="n">
        <v>1.86</v>
      </c>
      <c r="BX139" t="n">
        <v>2.869</v>
      </c>
      <c r="BY139" t="n">
        <v>2.365</v>
      </c>
      <c r="BZ139" t="n">
        <v>0.112</v>
      </c>
      <c r="CA139" t="n">
        <v>4.288</v>
      </c>
      <c r="CB139" t="n">
        <v>0.203</v>
      </c>
      <c r="CC139" t="n">
        <v>19</v>
      </c>
      <c r="CD139" t="n">
        <v>4</v>
      </c>
      <c r="CE139" t="n">
        <v>20</v>
      </c>
      <c r="CF139" t="n">
        <v>3</v>
      </c>
      <c r="CG139" t="n">
        <v>1</v>
      </c>
      <c r="CH139" t="n">
        <v>0</v>
      </c>
      <c r="CI139" t="n">
        <v>10.284</v>
      </c>
      <c r="CJ139" t="n">
        <v>8.268000000000001</v>
      </c>
      <c r="CK139" t="n">
        <v>101</v>
      </c>
      <c r="CL139" t="n">
        <v>102</v>
      </c>
      <c r="CM139" t="n">
        <v>66</v>
      </c>
      <c r="CN139" t="n">
        <v>42</v>
      </c>
      <c r="CO139" t="n">
        <v>25</v>
      </c>
      <c r="CP139" t="n">
        <v>71</v>
      </c>
      <c r="CQ139" t="n">
        <v>7</v>
      </c>
      <c r="CR139" t="n">
        <v>140</v>
      </c>
      <c r="CS139" t="n">
        <v>44</v>
      </c>
      <c r="CT139" t="n">
        <v>0.5</v>
      </c>
      <c r="CV139" t="n">
        <v>1</v>
      </c>
      <c r="CW139" t="n">
        <v>23.95</v>
      </c>
      <c r="CX139" t="n">
        <v>1.134</v>
      </c>
      <c r="CY139" t="n">
        <v>0</v>
      </c>
      <c r="DB139" t="n">
        <v>0</v>
      </c>
      <c r="DE139" t="n">
        <v>7.02</v>
      </c>
      <c r="DF139" t="n">
        <v>8</v>
      </c>
      <c r="DG139" t="n">
        <v>0</v>
      </c>
      <c r="DH139" t="n">
        <v>30</v>
      </c>
      <c r="DI139" t="n">
        <v>22</v>
      </c>
      <c r="DL139" t="n">
        <v>9</v>
      </c>
      <c r="DM139" t="n">
        <v>22</v>
      </c>
      <c r="DN139" t="n">
        <v>2</v>
      </c>
      <c r="DO139" t="n">
        <v>0.3</v>
      </c>
      <c r="DP139" t="n">
        <v>125.23</v>
      </c>
      <c r="DQ139" t="n">
        <v>62.74</v>
      </c>
      <c r="DR139" t="n">
        <v>125.48</v>
      </c>
      <c r="DS139" t="n">
        <v>-0.25</v>
      </c>
      <c r="DT139" t="n">
        <v>2787</v>
      </c>
      <c r="DU139" t="n">
        <v>73.34999999999999</v>
      </c>
      <c r="DV139" t="inlineStr">
        <is>
          <t>flat</t>
        </is>
      </c>
      <c r="DW139" t="n">
        <v>100.93</v>
      </c>
      <c r="DX139" t="n">
        <v>103.29</v>
      </c>
      <c r="DY139" t="n">
        <v>101.62</v>
      </c>
      <c r="DZ139" t="n">
        <v>0.6899999999999999</v>
      </c>
      <c r="EA139" t="n">
        <v>184</v>
      </c>
      <c r="EB139" t="n">
        <v>14.98</v>
      </c>
      <c r="EC139" t="n">
        <v>41.6</v>
      </c>
      <c r="ED139" t="n">
        <v>120</v>
      </c>
      <c r="EE139" t="n">
        <v>280</v>
      </c>
      <c r="EF139" t="b">
        <v>1</v>
      </c>
      <c r="EG139" t="n">
        <v>7.3</v>
      </c>
      <c r="EH139" t="n">
        <v>21.1</v>
      </c>
      <c r="EI139" t="n">
        <v>248</v>
      </c>
      <c r="EJ139" t="n">
        <v>105.6</v>
      </c>
      <c r="EK139" t="n">
        <v>36.6</v>
      </c>
      <c r="EL139" t="n">
        <v>95</v>
      </c>
      <c r="EM139" t="n">
        <v>988.2</v>
      </c>
      <c r="EN139" t="n">
        <v>804</v>
      </c>
      <c r="EO139" t="n">
        <v>443.3</v>
      </c>
      <c r="EP139" t="n">
        <v>20.2</v>
      </c>
    </row>
    <row r="140">
      <c r="A140" t="inlineStr">
        <is>
          <t>James Justin</t>
        </is>
      </c>
      <c r="B140" t="inlineStr">
        <is>
          <t>LEE</t>
        </is>
      </c>
      <c r="C140" t="inlineStr">
        <is>
          <t>DEF</t>
        </is>
      </c>
      <c r="D140" t="inlineStr">
        <is>
          <t>DEF</t>
        </is>
      </c>
      <c r="E140" t="n">
        <v>4.5</v>
      </c>
      <c r="F140" t="b">
        <v>1</v>
      </c>
      <c r="G140" t="b">
        <v>1</v>
      </c>
      <c r="H140" t="n">
        <v>28.5</v>
      </c>
      <c r="I140" t="inlineStr">
        <is>
          <t>a</t>
        </is>
      </c>
      <c r="L140" t="inlineStr">
        <is>
          <t>p220627</t>
        </is>
      </c>
      <c r="M140" t="n">
        <v>332</v>
      </c>
      <c r="Q140" t="n">
        <v>1893</v>
      </c>
      <c r="R140" t="n">
        <v>29</v>
      </c>
      <c r="S140" t="n">
        <v>21</v>
      </c>
      <c r="T140" t="n">
        <v>21.033</v>
      </c>
      <c r="U140" t="n">
        <v>65.3</v>
      </c>
      <c r="V140" t="n">
        <v>94</v>
      </c>
      <c r="W140" t="n">
        <v>4.469</v>
      </c>
      <c r="X140" t="n">
        <v>2</v>
      </c>
      <c r="Y140" t="n">
        <v>1</v>
      </c>
      <c r="Z140" t="n">
        <v>1</v>
      </c>
      <c r="AA140" t="n">
        <v>6</v>
      </c>
      <c r="AB140" t="n">
        <v>26</v>
      </c>
      <c r="AC140" t="n">
        <v>9</v>
      </c>
      <c r="AD140" t="n">
        <v>8</v>
      </c>
      <c r="AE140" t="n">
        <v>-1</v>
      </c>
      <c r="AF140" t="n">
        <v>338</v>
      </c>
      <c r="AG140" t="n">
        <v>315</v>
      </c>
      <c r="AH140" t="n">
        <v>-23</v>
      </c>
      <c r="AI140" t="n">
        <v>93</v>
      </c>
      <c r="AJ140" t="n">
        <v>0.096</v>
      </c>
      <c r="AK140" t="n">
        <v>0.106</v>
      </c>
      <c r="AL140" t="n">
        <v>183</v>
      </c>
      <c r="AM140" t="n">
        <v>8.699999999999999</v>
      </c>
      <c r="AN140" t="n">
        <v>4</v>
      </c>
      <c r="AO140" t="n">
        <v>8</v>
      </c>
      <c r="AP140" t="n">
        <v>0.19</v>
      </c>
      <c r="AQ140" t="n">
        <v>0.19</v>
      </c>
      <c r="AR140" t="n">
        <v>0.095</v>
      </c>
      <c r="AS140" t="n">
        <v>0.553</v>
      </c>
      <c r="AT140" t="n">
        <v>0.6899999999999999</v>
      </c>
      <c r="AU140" t="n">
        <v>18</v>
      </c>
      <c r="AV140" t="n">
        <v>1</v>
      </c>
      <c r="AW140" t="n">
        <v>3.52</v>
      </c>
      <c r="AX140" t="n">
        <v>16</v>
      </c>
      <c r="AY140" t="n">
        <v>1.83</v>
      </c>
      <c r="AZ140" t="n">
        <v>2.563</v>
      </c>
      <c r="BA140" t="n">
        <v>2.196</v>
      </c>
      <c r="BB140" t="n">
        <v>2.563</v>
      </c>
      <c r="BC140" t="n">
        <v>0.08699999999999999</v>
      </c>
      <c r="BD140" t="n">
        <v>0.122</v>
      </c>
      <c r="BE140" t="n">
        <v>0.104</v>
      </c>
      <c r="BF140" t="n">
        <v>1</v>
      </c>
      <c r="BG140" t="n">
        <v>0.048</v>
      </c>
      <c r="BH140" t="n">
        <v>0.836</v>
      </c>
      <c r="BI140" t="n">
        <v>3.61</v>
      </c>
      <c r="BJ140" t="n">
        <v>1.529</v>
      </c>
      <c r="BK140" t="n">
        <v>0.073</v>
      </c>
      <c r="BL140" t="n">
        <v>-0.196</v>
      </c>
      <c r="BM140" t="n">
        <v>-0.83</v>
      </c>
      <c r="BN140" t="n">
        <v>1</v>
      </c>
      <c r="BO140" t="n">
        <v>-0.733</v>
      </c>
      <c r="BP140" t="n">
        <v>24</v>
      </c>
      <c r="BQ140" t="n">
        <v>6</v>
      </c>
      <c r="BR140" t="n">
        <v>2</v>
      </c>
      <c r="BS140" t="n">
        <v>40</v>
      </c>
      <c r="BT140" t="n">
        <v>1.902</v>
      </c>
      <c r="BW140" t="n">
        <v>1.16</v>
      </c>
      <c r="BX140" t="n">
        <v>2.573</v>
      </c>
      <c r="BY140" t="n">
        <v>1.866</v>
      </c>
      <c r="BZ140" t="n">
        <v>0.089</v>
      </c>
      <c r="CA140" t="n">
        <v>4.063</v>
      </c>
      <c r="CB140" t="n">
        <v>0.193</v>
      </c>
      <c r="CC140" t="n">
        <v>13</v>
      </c>
      <c r="CD140" t="n">
        <v>5</v>
      </c>
      <c r="CE140" t="n">
        <v>12</v>
      </c>
      <c r="CF140" t="n">
        <v>6</v>
      </c>
      <c r="CH140" t="n">
        <v>9</v>
      </c>
      <c r="CI140" t="n">
        <v>5.142</v>
      </c>
      <c r="CJ140" t="n">
        <v>2.756</v>
      </c>
      <c r="CK140" t="n">
        <v>128</v>
      </c>
      <c r="CL140" t="n">
        <v>70</v>
      </c>
      <c r="CM140" t="n">
        <v>55</v>
      </c>
      <c r="CN140" t="n">
        <v>37</v>
      </c>
      <c r="CO140" t="n">
        <v>28</v>
      </c>
      <c r="CP140" t="n">
        <v>90</v>
      </c>
      <c r="CQ140" t="n">
        <v>11</v>
      </c>
      <c r="CR140" t="n">
        <v>127</v>
      </c>
      <c r="CS140" t="n">
        <v>40</v>
      </c>
      <c r="CT140" t="n">
        <v>0.1</v>
      </c>
      <c r="CV140" t="n">
        <v>1</v>
      </c>
      <c r="CW140" t="n">
        <v>33.01</v>
      </c>
      <c r="CX140" t="n">
        <v>1.569</v>
      </c>
      <c r="CY140" t="n">
        <v>0</v>
      </c>
      <c r="DB140" t="n">
        <v>0</v>
      </c>
      <c r="DE140" t="n">
        <v>7.05</v>
      </c>
      <c r="DF140" t="n">
        <v>4</v>
      </c>
      <c r="DG140" t="n">
        <v>0</v>
      </c>
      <c r="DH140" t="n">
        <v>13</v>
      </c>
      <c r="DI140" t="n">
        <v>30</v>
      </c>
      <c r="DL140" t="n">
        <v>3</v>
      </c>
      <c r="DM140" t="n">
        <v>10</v>
      </c>
      <c r="DN140" t="n">
        <v>2</v>
      </c>
      <c r="DO140" t="n">
        <v>0.5</v>
      </c>
      <c r="DP140" t="n">
        <v>99.73999999999999</v>
      </c>
      <c r="DQ140" t="n">
        <v>50.56</v>
      </c>
      <c r="DR140" t="n">
        <v>101.12</v>
      </c>
      <c r="DS140" t="n">
        <v>-1.38</v>
      </c>
      <c r="DT140" t="n">
        <v>2280</v>
      </c>
      <c r="DU140" t="n">
        <v>60</v>
      </c>
      <c r="DV140" t="inlineStr">
        <is>
          <t>flat</t>
        </is>
      </c>
      <c r="DW140" t="n">
        <v>104.01</v>
      </c>
      <c r="DX140" t="n">
        <v>108.88</v>
      </c>
      <c r="DY140" t="n">
        <v>103.1</v>
      </c>
      <c r="DZ140" t="n">
        <v>-0.91</v>
      </c>
      <c r="EA140" t="n">
        <v>35</v>
      </c>
      <c r="EB140" t="n">
        <v>14.77</v>
      </c>
      <c r="EC140" t="n">
        <v>49.33</v>
      </c>
      <c r="ED140" t="n">
        <v>120</v>
      </c>
      <c r="EE140" t="n">
        <v>70</v>
      </c>
      <c r="EF140" t="b">
        <v>1</v>
      </c>
      <c r="EG140" t="n">
        <v>1.6</v>
      </c>
      <c r="EH140" t="n">
        <v>9.1</v>
      </c>
      <c r="EI140" t="n">
        <v>407</v>
      </c>
      <c r="EJ140" t="n">
        <v>78.90000000000001</v>
      </c>
      <c r="EK140" t="n">
        <v>47.3</v>
      </c>
      <c r="EL140" t="n">
        <v>157.8</v>
      </c>
      <c r="EM140" t="n">
        <v>861.9</v>
      </c>
      <c r="EN140" t="n">
        <v>1014.3</v>
      </c>
      <c r="EO140" t="n">
        <v>465.9</v>
      </c>
      <c r="EP140" t="n">
        <v>20.1</v>
      </c>
    </row>
    <row r="141">
      <c r="A141" t="inlineStr">
        <is>
          <t>Dan Burn</t>
        </is>
      </c>
      <c r="B141" t="inlineStr">
        <is>
          <t>NEW</t>
        </is>
      </c>
      <c r="C141" t="inlineStr">
        <is>
          <t>DEF</t>
        </is>
      </c>
      <c r="D141" t="inlineStr">
        <is>
          <t>DEF</t>
        </is>
      </c>
      <c r="E141" t="n">
        <v>5</v>
      </c>
      <c r="F141" t="b">
        <v>1</v>
      </c>
      <c r="G141" t="b">
        <v>1</v>
      </c>
      <c r="H141" t="n">
        <v>34.3</v>
      </c>
      <c r="I141" t="inlineStr">
        <is>
          <t>a</t>
        </is>
      </c>
      <c r="L141" t="inlineStr">
        <is>
          <t>p78916</t>
        </is>
      </c>
      <c r="M141" t="n">
        <v>448</v>
      </c>
      <c r="Q141" t="n">
        <v>2195</v>
      </c>
      <c r="R141" t="n">
        <v>29</v>
      </c>
      <c r="S141" t="n">
        <v>25</v>
      </c>
      <c r="T141" t="n">
        <v>24.389</v>
      </c>
      <c r="U141" t="n">
        <v>75.7</v>
      </c>
      <c r="V141" t="n">
        <v>93</v>
      </c>
      <c r="W141" t="n">
        <v>3.813</v>
      </c>
      <c r="X141" t="n">
        <v>1</v>
      </c>
      <c r="Y141" t="n">
        <v>3</v>
      </c>
      <c r="Z141" t="n">
        <v>2</v>
      </c>
      <c r="AA141" t="n">
        <v>6</v>
      </c>
      <c r="AB141" t="n">
        <v>36</v>
      </c>
      <c r="AC141" t="n">
        <v>5</v>
      </c>
      <c r="AD141" t="n">
        <v>3</v>
      </c>
      <c r="AE141" t="n">
        <v>-2</v>
      </c>
      <c r="AF141" t="n">
        <v>286</v>
      </c>
      <c r="AG141" t="n">
        <v>256</v>
      </c>
      <c r="AH141" t="n">
        <v>-30</v>
      </c>
      <c r="AI141" t="n">
        <v>91</v>
      </c>
      <c r="AJ141" t="n">
        <v>0.054</v>
      </c>
      <c r="AK141" t="n">
        <v>0.057</v>
      </c>
      <c r="AL141" t="n">
        <v>225</v>
      </c>
      <c r="AM141" t="n">
        <v>9.226000000000001</v>
      </c>
      <c r="AN141" t="n">
        <v>10</v>
      </c>
      <c r="AO141" t="n">
        <v>20</v>
      </c>
      <c r="AP141" t="n">
        <v>0.4</v>
      </c>
      <c r="AQ141" t="n">
        <v>0.4</v>
      </c>
      <c r="AR141" t="n">
        <v>0.32</v>
      </c>
      <c r="AS141" t="n">
        <v>0.658</v>
      </c>
      <c r="AT141" t="n">
        <v>0.828</v>
      </c>
      <c r="AU141" t="n">
        <v>18</v>
      </c>
      <c r="AV141" t="n">
        <v>1</v>
      </c>
      <c r="AW141" t="n">
        <v>3.02</v>
      </c>
      <c r="AX141" t="n">
        <v>11</v>
      </c>
      <c r="AY141" t="n">
        <v>1.08</v>
      </c>
      <c r="AZ141" t="n">
        <v>0.921</v>
      </c>
      <c r="BA141" t="n">
        <v>1.001</v>
      </c>
      <c r="BB141" t="n">
        <v>0.921</v>
      </c>
      <c r="BC141" t="n">
        <v>0.044</v>
      </c>
      <c r="BD141" t="n">
        <v>0.038</v>
      </c>
      <c r="BE141" t="n">
        <v>0.041</v>
      </c>
      <c r="BF141" t="n">
        <v>1.1</v>
      </c>
      <c r="BG141" t="n">
        <v>0.045</v>
      </c>
      <c r="BH141" t="n">
        <v>0.896</v>
      </c>
      <c r="BI141" t="n">
        <v>8.52</v>
      </c>
      <c r="BJ141" t="n">
        <v>0.968</v>
      </c>
      <c r="BK141" t="n">
        <v>0.04</v>
      </c>
      <c r="BL141" t="n">
        <v>-0.001</v>
      </c>
      <c r="BM141" t="n">
        <v>0.02</v>
      </c>
      <c r="BN141" t="n">
        <v>-0.1</v>
      </c>
      <c r="BO141" t="n">
        <v>0.159</v>
      </c>
      <c r="BP141" t="n">
        <v>10</v>
      </c>
      <c r="BQ141" t="n">
        <v>3</v>
      </c>
      <c r="BR141" t="n">
        <v>1</v>
      </c>
      <c r="BS141" t="n">
        <v>45</v>
      </c>
      <c r="BT141" t="n">
        <v>1.845</v>
      </c>
      <c r="BV141" t="n">
        <v>1</v>
      </c>
      <c r="BW141" t="n">
        <v>0.36</v>
      </c>
      <c r="BX141" t="n">
        <v>0.409</v>
      </c>
      <c r="BY141" t="n">
        <v>0.384</v>
      </c>
      <c r="BZ141" t="n">
        <v>0.016</v>
      </c>
      <c r="CA141" t="n">
        <v>1.385</v>
      </c>
      <c r="CB141" t="n">
        <v>0.057</v>
      </c>
      <c r="CC141" t="n">
        <v>7</v>
      </c>
      <c r="CE141" t="n">
        <v>7</v>
      </c>
      <c r="CF141" t="n">
        <v>1</v>
      </c>
      <c r="CI141" t="n">
        <v>5.236</v>
      </c>
      <c r="CJ141" t="n">
        <v>4.939</v>
      </c>
      <c r="CK141" t="n">
        <v>185</v>
      </c>
      <c r="CL141" t="n">
        <v>76</v>
      </c>
      <c r="CM141" t="n">
        <v>40</v>
      </c>
      <c r="CN141" t="n">
        <v>26</v>
      </c>
      <c r="CO141" t="n">
        <v>21</v>
      </c>
      <c r="CP141" t="n">
        <v>152</v>
      </c>
      <c r="CQ141" t="n">
        <v>12</v>
      </c>
      <c r="CR141" t="n">
        <v>151</v>
      </c>
      <c r="CS141" t="n">
        <v>98</v>
      </c>
      <c r="CT141" t="n">
        <v>0.1</v>
      </c>
      <c r="CV141" t="n">
        <v>2</v>
      </c>
      <c r="CW141" t="n">
        <v>30.15</v>
      </c>
      <c r="CX141" t="n">
        <v>1.236</v>
      </c>
      <c r="CY141" t="n">
        <v>0</v>
      </c>
      <c r="DB141" t="n">
        <v>0</v>
      </c>
      <c r="DE141" t="n">
        <v>6.71</v>
      </c>
      <c r="DF141" t="n">
        <v>9</v>
      </c>
      <c r="DG141" t="n">
        <v>1</v>
      </c>
      <c r="DH141" t="n">
        <v>36</v>
      </c>
      <c r="DI141" t="n">
        <v>13</v>
      </c>
      <c r="DJ141" t="n">
        <v>1</v>
      </c>
      <c r="DK141" t="n">
        <v>1</v>
      </c>
      <c r="DL141" t="n">
        <v>2</v>
      </c>
      <c r="DM141" t="n">
        <v>6</v>
      </c>
      <c r="DN141" t="n">
        <v>3</v>
      </c>
      <c r="DO141" t="n">
        <v>2.6</v>
      </c>
      <c r="DP141" t="n">
        <v>58.97</v>
      </c>
      <c r="DQ141" t="n">
        <v>29.5</v>
      </c>
      <c r="DR141" t="n">
        <v>59</v>
      </c>
      <c r="DS141" t="n">
        <v>-0.03</v>
      </c>
      <c r="DT141" t="n">
        <v>1406</v>
      </c>
      <c r="DU141" t="n">
        <v>37</v>
      </c>
      <c r="DV141" t="inlineStr">
        <is>
          <t>flat</t>
        </is>
      </c>
      <c r="DW141" t="n">
        <v>93.36</v>
      </c>
      <c r="DX141" t="n">
        <v>99.40000000000001</v>
      </c>
      <c r="DY141" t="n">
        <v>92.84</v>
      </c>
      <c r="DZ141" t="n">
        <v>-0.52</v>
      </c>
      <c r="EA141" t="n">
        <v>564</v>
      </c>
      <c r="EB141" t="n">
        <v>18.9</v>
      </c>
      <c r="EC141" t="n">
        <v>23.5</v>
      </c>
      <c r="ED141" t="n">
        <v>120</v>
      </c>
      <c r="EE141" t="n">
        <v>943</v>
      </c>
      <c r="EF141" t="b">
        <v>1</v>
      </c>
      <c r="EG141" t="n">
        <v>21.7</v>
      </c>
      <c r="EH141" t="n">
        <v>10.9</v>
      </c>
      <c r="EI141" t="n">
        <v>249</v>
      </c>
      <c r="EJ141" t="n">
        <v>219.5</v>
      </c>
      <c r="EK141" t="n">
        <v>48.8</v>
      </c>
      <c r="EL141" t="n">
        <v>313.6</v>
      </c>
      <c r="EM141" t="n">
        <v>2193.4</v>
      </c>
      <c r="EN141" t="n">
        <v>5711.9</v>
      </c>
      <c r="EO141" t="n">
        <v>1584.8</v>
      </c>
      <c r="EP141" t="n">
        <v>23.6</v>
      </c>
    </row>
    <row r="142">
      <c r="A142" t="inlineStr">
        <is>
          <t>Tijjani Reijnders</t>
        </is>
      </c>
      <c r="B142" t="inlineStr">
        <is>
          <t>MCI</t>
        </is>
      </c>
      <c r="C142" t="inlineStr">
        <is>
          <t>MID</t>
        </is>
      </c>
      <c r="D142" t="inlineStr">
        <is>
          <t>MID</t>
        </is>
      </c>
      <c r="E142" t="n">
        <v>6</v>
      </c>
      <c r="F142" t="b">
        <v>1</v>
      </c>
      <c r="G142" t="b">
        <v>1</v>
      </c>
      <c r="H142" t="n">
        <v>28.1</v>
      </c>
      <c r="I142" t="inlineStr">
        <is>
          <t>a</t>
        </is>
      </c>
      <c r="L142" t="inlineStr">
        <is>
          <t>p433036</t>
        </is>
      </c>
      <c r="M142" t="n">
        <v>404</v>
      </c>
      <c r="O142" t="n">
        <v>4</v>
      </c>
      <c r="P142" t="n">
        <v>4</v>
      </c>
      <c r="Q142" t="n">
        <v>1623</v>
      </c>
      <c r="R142" t="n">
        <v>28</v>
      </c>
      <c r="S142" t="n">
        <v>19</v>
      </c>
      <c r="T142" t="n">
        <v>18.033</v>
      </c>
      <c r="U142" t="n">
        <v>58</v>
      </c>
      <c r="V142" t="n">
        <v>92</v>
      </c>
      <c r="W142" t="n">
        <v>5.102</v>
      </c>
      <c r="X142" t="n">
        <v>5</v>
      </c>
      <c r="Y142" t="n">
        <v>3</v>
      </c>
      <c r="Z142" t="n">
        <v>2</v>
      </c>
      <c r="AA142" t="n">
        <v>7</v>
      </c>
      <c r="AB142" t="n">
        <v>18</v>
      </c>
      <c r="AC142" t="n">
        <v>6</v>
      </c>
      <c r="AD142" t="n">
        <v>6</v>
      </c>
      <c r="AE142" t="n">
        <v>0</v>
      </c>
      <c r="AF142" t="n">
        <v>337</v>
      </c>
      <c r="AG142" t="n">
        <v>332</v>
      </c>
      <c r="AH142" t="n">
        <v>-5</v>
      </c>
      <c r="AI142" t="n">
        <v>92</v>
      </c>
      <c r="AJ142" t="n">
        <v>0.065</v>
      </c>
      <c r="AK142" t="n">
        <v>0.07000000000000001</v>
      </c>
      <c r="AL142" t="n">
        <v>100</v>
      </c>
      <c r="AM142" t="n">
        <v>5.545</v>
      </c>
      <c r="AN142" t="n">
        <v>1</v>
      </c>
      <c r="AO142" t="n">
        <v>2</v>
      </c>
      <c r="AP142" t="n">
        <v>0.053</v>
      </c>
      <c r="AQ142" t="n">
        <v>0.053</v>
      </c>
      <c r="AR142" t="n">
        <v>0.053</v>
      </c>
      <c r="AS142" t="n">
        <v>0.5</v>
      </c>
      <c r="AT142" t="n">
        <v>0.607</v>
      </c>
      <c r="AU142" t="n">
        <v>16</v>
      </c>
      <c r="AV142" t="n">
        <v>2</v>
      </c>
      <c r="AW142" t="n">
        <v>3</v>
      </c>
      <c r="AX142" t="n">
        <v>10</v>
      </c>
      <c r="AY142" t="n">
        <v>4.61</v>
      </c>
      <c r="AZ142" t="n">
        <v>4.862</v>
      </c>
      <c r="BA142" t="n">
        <v>4.736</v>
      </c>
      <c r="BB142" t="n">
        <v>4.862</v>
      </c>
      <c r="BC142" t="n">
        <v>0.256</v>
      </c>
      <c r="BD142" t="n">
        <v>0.27</v>
      </c>
      <c r="BE142" t="n">
        <v>0.263</v>
      </c>
      <c r="BF142" t="n">
        <v>4.2</v>
      </c>
      <c r="BG142" t="n">
        <v>0.233</v>
      </c>
      <c r="BH142" t="n">
        <v>0.968</v>
      </c>
      <c r="BI142" t="n">
        <v>4.61</v>
      </c>
      <c r="BJ142" t="n">
        <v>4.46</v>
      </c>
      <c r="BK142" t="n">
        <v>0.247</v>
      </c>
      <c r="BL142" t="n">
        <v>0.264</v>
      </c>
      <c r="BM142" t="n">
        <v>-0.41</v>
      </c>
      <c r="BN142" t="n">
        <v>0.8</v>
      </c>
      <c r="BO142" t="n">
        <v>-0.252</v>
      </c>
      <c r="BP142" t="n">
        <v>49</v>
      </c>
      <c r="BQ142" t="n">
        <v>16</v>
      </c>
      <c r="BR142" t="n">
        <v>5</v>
      </c>
      <c r="BS142" t="n">
        <v>72</v>
      </c>
      <c r="BT142" t="n">
        <v>3.993</v>
      </c>
      <c r="BW142" t="n">
        <v>2.35</v>
      </c>
      <c r="BX142" t="n">
        <v>3.073</v>
      </c>
      <c r="BY142" t="n">
        <v>2.712</v>
      </c>
      <c r="BZ142" t="n">
        <v>0.15</v>
      </c>
      <c r="CA142" t="n">
        <v>7.448</v>
      </c>
      <c r="CB142" t="n">
        <v>0.413</v>
      </c>
      <c r="CC142" t="n">
        <v>18</v>
      </c>
      <c r="CD142" t="n">
        <v>4</v>
      </c>
      <c r="CE142" t="n">
        <v>17</v>
      </c>
      <c r="CF142" t="n">
        <v>10</v>
      </c>
      <c r="CG142" t="n">
        <v>2</v>
      </c>
      <c r="CH142" t="n">
        <v>28</v>
      </c>
      <c r="CI142" t="n">
        <v>13.192</v>
      </c>
      <c r="CJ142" t="n">
        <v>7.174</v>
      </c>
      <c r="CK142" t="n">
        <v>32</v>
      </c>
      <c r="CL142" t="n">
        <v>58</v>
      </c>
      <c r="CM142" t="n">
        <v>10</v>
      </c>
      <c r="CN142" t="n">
        <v>4</v>
      </c>
      <c r="CO142" t="n">
        <v>10</v>
      </c>
      <c r="CP142" t="n">
        <v>20</v>
      </c>
      <c r="CQ142" t="n">
        <v>1</v>
      </c>
      <c r="CR142" t="n">
        <v>48</v>
      </c>
      <c r="CS142" t="n">
        <v>3</v>
      </c>
      <c r="CT142" t="n">
        <v>0.8</v>
      </c>
      <c r="CV142" t="n">
        <v>1</v>
      </c>
      <c r="CW142" t="n">
        <v>18.82</v>
      </c>
      <c r="CX142" t="n">
        <v>1.044</v>
      </c>
      <c r="CY142" t="n">
        <v>0</v>
      </c>
      <c r="DB142" t="n">
        <v>0</v>
      </c>
      <c r="DE142" t="n">
        <v>6.95</v>
      </c>
      <c r="DF142" t="n">
        <v>2</v>
      </c>
      <c r="DG142" t="n">
        <v>0</v>
      </c>
      <c r="DH142" t="n">
        <v>19</v>
      </c>
      <c r="DI142" t="n">
        <v>15</v>
      </c>
      <c r="DL142" t="n">
        <v>20</v>
      </c>
      <c r="DM142" t="n">
        <v>16</v>
      </c>
      <c r="DN142" t="n">
        <v>4</v>
      </c>
      <c r="DO142" t="n">
        <v>0.4</v>
      </c>
      <c r="DP142" t="n">
        <v>22.15</v>
      </c>
      <c r="DQ142" t="n">
        <v>13.2</v>
      </c>
      <c r="DR142" t="n">
        <v>26.4</v>
      </c>
      <c r="DS142" t="n">
        <v>-4.25</v>
      </c>
      <c r="DT142" t="n">
        <v>247</v>
      </c>
      <c r="DU142" t="n">
        <v>6.5</v>
      </c>
      <c r="DV142" t="inlineStr">
        <is>
          <t>flat</t>
        </is>
      </c>
      <c r="DW142" t="n">
        <v>74.22</v>
      </c>
      <c r="DX142" t="n">
        <v>77.01000000000001</v>
      </c>
      <c r="DY142" t="n">
        <v>73.05</v>
      </c>
      <c r="DZ142" t="n">
        <v>-1.17</v>
      </c>
      <c r="EA142" t="n">
        <v>256</v>
      </c>
      <c r="EB142" t="n">
        <v>23.85</v>
      </c>
      <c r="EC142" t="n">
        <v>17.5</v>
      </c>
      <c r="ED142" t="n">
        <v>120</v>
      </c>
      <c r="EE142" t="n">
        <v>500</v>
      </c>
      <c r="EF142" t="b">
        <v>1</v>
      </c>
      <c r="EG142" t="n">
        <v>11.7</v>
      </c>
      <c r="EH142" t="n">
        <v>12.6</v>
      </c>
      <c r="EI142" t="n">
        <v>83</v>
      </c>
      <c r="EJ142" t="n">
        <v>33.1</v>
      </c>
      <c r="EK142" t="n">
        <v>22.5</v>
      </c>
      <c r="EL142" t="n">
        <v>95.5</v>
      </c>
      <c r="EM142" t="n">
        <v>342.7</v>
      </c>
      <c r="EN142" t="n">
        <v>598.5</v>
      </c>
      <c r="EO142" t="n">
        <v>217.9</v>
      </c>
      <c r="EP142" t="n">
        <v>17.6</v>
      </c>
    </row>
    <row r="143">
      <c r="A143" t="inlineStr">
        <is>
          <t>Brian Brobbey</t>
        </is>
      </c>
      <c r="B143" t="inlineStr">
        <is>
          <t>SUN</t>
        </is>
      </c>
      <c r="C143" t="inlineStr">
        <is>
          <t>FWD</t>
        </is>
      </c>
      <c r="D143" t="inlineStr">
        <is>
          <t>FWD</t>
        </is>
      </c>
      <c r="E143" t="n">
        <v>6</v>
      </c>
      <c r="F143" t="b">
        <v>1</v>
      </c>
      <c r="G143" t="b">
        <v>1</v>
      </c>
      <c r="H143" t="n">
        <v>24.6</v>
      </c>
      <c r="I143" t="inlineStr">
        <is>
          <t>a</t>
        </is>
      </c>
      <c r="L143" t="inlineStr">
        <is>
          <t>p441264</t>
        </is>
      </c>
      <c r="M143" t="n">
        <v>552</v>
      </c>
      <c r="Q143" t="n">
        <v>1920</v>
      </c>
      <c r="R143" t="n">
        <v>31</v>
      </c>
      <c r="S143" t="n">
        <v>22</v>
      </c>
      <c r="T143" t="n">
        <v>21.333</v>
      </c>
      <c r="U143" t="n">
        <v>61.9</v>
      </c>
      <c r="V143" t="n">
        <v>92</v>
      </c>
      <c r="W143" t="n">
        <v>4.312</v>
      </c>
      <c r="X143" t="n">
        <v>7</v>
      </c>
      <c r="Y143" t="n">
        <v>2</v>
      </c>
      <c r="Z143" t="n">
        <v>1</v>
      </c>
      <c r="AA143" t="n">
        <v>6</v>
      </c>
      <c r="AB143" t="n">
        <v>30</v>
      </c>
      <c r="AC143" t="n">
        <v>12</v>
      </c>
      <c r="AD143" t="n">
        <v>13</v>
      </c>
      <c r="AE143" t="n">
        <v>1</v>
      </c>
      <c r="AF143" t="n">
        <v>309</v>
      </c>
      <c r="AG143" t="n">
        <v>304</v>
      </c>
      <c r="AH143" t="n">
        <v>-5</v>
      </c>
      <c r="AI143" t="n">
        <v>93</v>
      </c>
      <c r="AJ143" t="n">
        <v>0.13</v>
      </c>
      <c r="AK143" t="n">
        <v>0.15</v>
      </c>
      <c r="AL143" t="n">
        <v>74</v>
      </c>
      <c r="AM143" t="n">
        <v>3.469</v>
      </c>
      <c r="AN143" t="n">
        <v>0</v>
      </c>
      <c r="AO143" t="n">
        <v>0</v>
      </c>
      <c r="AP143" t="n">
        <v>0</v>
      </c>
      <c r="AQ143" t="n">
        <v>0</v>
      </c>
      <c r="AR143" t="n">
        <v>0</v>
      </c>
      <c r="AS143" t="n">
        <v>0.579</v>
      </c>
      <c r="AT143" t="n">
        <v>0.677</v>
      </c>
      <c r="AU143" t="n">
        <v>22</v>
      </c>
      <c r="AV143" t="n">
        <v>0</v>
      </c>
      <c r="AW143" t="n">
        <v>2.64</v>
      </c>
      <c r="AX143" t="n">
        <v>9</v>
      </c>
      <c r="AY143" t="n">
        <v>6.02</v>
      </c>
      <c r="AZ143" t="n">
        <v>7.112</v>
      </c>
      <c r="BA143" t="n">
        <v>6.566</v>
      </c>
      <c r="BB143" t="n">
        <v>7.112</v>
      </c>
      <c r="BC143" t="n">
        <v>0.282</v>
      </c>
      <c r="BD143" t="n">
        <v>0.333</v>
      </c>
      <c r="BE143" t="n">
        <v>0.308</v>
      </c>
      <c r="BF143" t="n">
        <v>7.1</v>
      </c>
      <c r="BG143" t="n">
        <v>0.333</v>
      </c>
      <c r="BH143" t="n">
        <v>1.077</v>
      </c>
      <c r="BI143" t="n">
        <v>6.02</v>
      </c>
      <c r="BJ143" t="n">
        <v>6.484</v>
      </c>
      <c r="BK143" t="n">
        <v>0.304</v>
      </c>
      <c r="BL143" t="n">
        <v>0.434</v>
      </c>
      <c r="BM143" t="n">
        <v>1.08</v>
      </c>
      <c r="BN143" t="n">
        <v>-0.1</v>
      </c>
      <c r="BO143" t="n">
        <v>-1.092</v>
      </c>
      <c r="BP143" t="n">
        <v>36</v>
      </c>
      <c r="BQ143" t="n">
        <v>18</v>
      </c>
      <c r="BR143" t="n">
        <v>12</v>
      </c>
      <c r="BS143" t="n">
        <v>93</v>
      </c>
      <c r="BT143" t="n">
        <v>4.359</v>
      </c>
      <c r="BV143" t="n">
        <v>2</v>
      </c>
      <c r="BW143" t="n">
        <v>0.67</v>
      </c>
      <c r="BX143" t="n">
        <v>1.508</v>
      </c>
      <c r="BY143" t="n">
        <v>1.089</v>
      </c>
      <c r="BZ143" t="n">
        <v>0.051</v>
      </c>
      <c r="CA143" t="n">
        <v>7.655</v>
      </c>
      <c r="CB143" t="n">
        <v>0.359</v>
      </c>
      <c r="CC143" t="n">
        <v>15</v>
      </c>
      <c r="CD143" t="n">
        <v>2</v>
      </c>
      <c r="CE143" t="n">
        <v>15</v>
      </c>
      <c r="CI143" t="n">
        <v>9.288</v>
      </c>
      <c r="CJ143" t="n">
        <v>1.601</v>
      </c>
      <c r="CK143" t="n">
        <v>21</v>
      </c>
      <c r="CL143" t="n">
        <v>44</v>
      </c>
      <c r="CM143" t="n">
        <v>9</v>
      </c>
      <c r="CN143" t="n">
        <v>2</v>
      </c>
      <c r="CP143" t="n">
        <v>15</v>
      </c>
      <c r="CQ143" t="n">
        <v>6</v>
      </c>
      <c r="CR143" t="n">
        <v>112</v>
      </c>
      <c r="CS143" t="n">
        <v>65</v>
      </c>
      <c r="CT143" t="n">
        <v>0.3</v>
      </c>
      <c r="CW143" t="n">
        <v>31.4</v>
      </c>
      <c r="CX143" t="n">
        <v>1.472</v>
      </c>
      <c r="CY143" t="n">
        <v>0</v>
      </c>
      <c r="DB143" t="n">
        <v>0</v>
      </c>
      <c r="DE143" t="n">
        <v>6.53</v>
      </c>
      <c r="DF143" t="n">
        <v>6</v>
      </c>
      <c r="DG143" t="n">
        <v>0</v>
      </c>
      <c r="DH143" t="n">
        <v>32</v>
      </c>
      <c r="DI143" t="n">
        <v>37</v>
      </c>
      <c r="DJ143" t="n">
        <v>1</v>
      </c>
      <c r="DK143" t="n">
        <v>1</v>
      </c>
      <c r="DL143" t="n">
        <v>2</v>
      </c>
      <c r="DM143" t="n">
        <v>29</v>
      </c>
      <c r="DN143" t="n">
        <v>8</v>
      </c>
      <c r="DO143" t="n">
        <v>16.3</v>
      </c>
      <c r="DP143" t="n">
        <v>141.6</v>
      </c>
      <c r="DQ143" t="n">
        <v>70.8</v>
      </c>
      <c r="DR143" t="n">
        <v>141.6</v>
      </c>
      <c r="DS143" t="n">
        <v>0</v>
      </c>
      <c r="DT143" t="n">
        <v>2884</v>
      </c>
      <c r="DU143" t="n">
        <v>75.90000000000001</v>
      </c>
      <c r="DV143" t="inlineStr">
        <is>
          <t>flat</t>
        </is>
      </c>
      <c r="DW143" t="n">
        <v>52.14</v>
      </c>
      <c r="DX143" t="n">
        <v>52.89</v>
      </c>
      <c r="DY143" t="n">
        <v>47.89</v>
      </c>
      <c r="DZ143" t="n">
        <v>-4.25</v>
      </c>
      <c r="EA143" t="n">
        <v>1535</v>
      </c>
      <c r="EB143" t="n">
        <v>23.8</v>
      </c>
      <c r="EC143" t="n">
        <v>2.29</v>
      </c>
      <c r="ED143" t="n">
        <v>120</v>
      </c>
      <c r="EE143" t="n">
        <v>3589</v>
      </c>
      <c r="EF143" t="b">
        <v>1</v>
      </c>
      <c r="EG143" t="n">
        <v>94</v>
      </c>
      <c r="EH143" t="n">
        <v>21.7</v>
      </c>
      <c r="EI143" t="n">
        <v>84</v>
      </c>
      <c r="EJ143" t="n">
        <v>53.3</v>
      </c>
      <c r="EK143" t="n">
        <v>20.6</v>
      </c>
      <c r="EL143" t="n">
        <v>128</v>
      </c>
      <c r="EM143" t="n">
        <v>292.4</v>
      </c>
      <c r="EN143" t="n">
        <v>1762.7</v>
      </c>
      <c r="EO143" t="n">
        <v>250.8</v>
      </c>
      <c r="EP143" t="n">
        <v>20.9</v>
      </c>
    </row>
    <row r="144">
      <c r="A144" t="inlineStr">
        <is>
          <t>Jack Hinshelwood</t>
        </is>
      </c>
      <c r="B144" t="inlineStr">
        <is>
          <t>BHA</t>
        </is>
      </c>
      <c r="C144" t="inlineStr">
        <is>
          <t>MID</t>
        </is>
      </c>
      <c r="D144" t="inlineStr">
        <is>
          <t>MID</t>
        </is>
      </c>
      <c r="E144" t="n">
        <v>6</v>
      </c>
      <c r="F144" t="b">
        <v>1</v>
      </c>
      <c r="G144" t="b">
        <v>1</v>
      </c>
      <c r="H144" t="n">
        <v>21.4</v>
      </c>
      <c r="I144" t="inlineStr">
        <is>
          <t>a</t>
        </is>
      </c>
      <c r="L144" t="inlineStr">
        <is>
          <t>p532529</t>
        </is>
      </c>
      <c r="M144" t="n">
        <v>123</v>
      </c>
      <c r="Q144" t="n">
        <v>1736</v>
      </c>
      <c r="R144" t="n">
        <v>27</v>
      </c>
      <c r="S144" t="n">
        <v>20</v>
      </c>
      <c r="T144" t="n">
        <v>19.289</v>
      </c>
      <c r="U144" t="n">
        <v>64.3</v>
      </c>
      <c r="V144" t="n">
        <v>91</v>
      </c>
      <c r="W144" t="n">
        <v>4.718</v>
      </c>
      <c r="X144" t="n">
        <v>4</v>
      </c>
      <c r="Y144" t="n">
        <v>5</v>
      </c>
      <c r="Z144" t="n">
        <v>3</v>
      </c>
      <c r="AA144" t="n">
        <v>7</v>
      </c>
      <c r="AB144" t="n">
        <v>23</v>
      </c>
      <c r="AC144" t="n">
        <v>2</v>
      </c>
      <c r="AD144" t="n">
        <v>2</v>
      </c>
      <c r="AE144" t="n">
        <v>0</v>
      </c>
      <c r="AF144" t="n">
        <v>317</v>
      </c>
      <c r="AG144" t="n">
        <v>310</v>
      </c>
      <c r="AH144" t="n">
        <v>-7</v>
      </c>
      <c r="AI144" t="n">
        <v>91</v>
      </c>
      <c r="AJ144" t="n">
        <v>0.022</v>
      </c>
      <c r="AK144" t="n">
        <v>0.022</v>
      </c>
      <c r="AL144" t="n">
        <v>114</v>
      </c>
      <c r="AM144" t="n">
        <v>5.91</v>
      </c>
      <c r="AN144" t="n">
        <v>1</v>
      </c>
      <c r="AO144" t="n">
        <v>2</v>
      </c>
      <c r="AP144" t="n">
        <v>0.05</v>
      </c>
      <c r="AQ144" t="n">
        <v>0.1</v>
      </c>
      <c r="AR144" t="n">
        <v>0.05</v>
      </c>
      <c r="AS144" t="n">
        <v>0.526</v>
      </c>
      <c r="AT144" t="n">
        <v>0.741</v>
      </c>
      <c r="AU144" t="n">
        <v>14</v>
      </c>
      <c r="AV144" t="n">
        <v>0</v>
      </c>
      <c r="AW144" t="n">
        <v>2.62</v>
      </c>
      <c r="AX144" t="n">
        <v>8</v>
      </c>
      <c r="AY144" t="n">
        <v>4.94</v>
      </c>
      <c r="AZ144" t="n">
        <v>4.762</v>
      </c>
      <c r="BA144" t="n">
        <v>4.851</v>
      </c>
      <c r="BB144" t="n">
        <v>4.762</v>
      </c>
      <c r="BC144" t="n">
        <v>0.256</v>
      </c>
      <c r="BD144" t="n">
        <v>0.247</v>
      </c>
      <c r="BE144" t="n">
        <v>0.251</v>
      </c>
      <c r="BF144" t="n">
        <v>4.5</v>
      </c>
      <c r="BG144" t="n">
        <v>0.233</v>
      </c>
      <c r="BH144" t="n">
        <v>1.119</v>
      </c>
      <c r="BI144" t="n">
        <v>9.779999999999999</v>
      </c>
      <c r="BJ144" t="n">
        <v>5.529</v>
      </c>
      <c r="BK144" t="n">
        <v>0.287</v>
      </c>
      <c r="BL144" t="n">
        <v>-0.851</v>
      </c>
      <c r="BM144" t="n">
        <v>-0.44</v>
      </c>
      <c r="BN144" t="n">
        <v>-0.5</v>
      </c>
      <c r="BO144" t="n">
        <v>0.178</v>
      </c>
      <c r="BP144" t="n">
        <v>37</v>
      </c>
      <c r="BQ144" t="n">
        <v>15</v>
      </c>
      <c r="BR144" t="n">
        <v>6</v>
      </c>
      <c r="BS144" t="n">
        <v>64</v>
      </c>
      <c r="BT144" t="n">
        <v>3.318</v>
      </c>
      <c r="BV144" t="n">
        <v>1</v>
      </c>
      <c r="BW144" t="n">
        <v>2.34</v>
      </c>
      <c r="BX144" t="n">
        <v>2.357</v>
      </c>
      <c r="BY144" t="n">
        <v>2.349</v>
      </c>
      <c r="BZ144" t="n">
        <v>0.122</v>
      </c>
      <c r="CA144" t="n">
        <v>7.2</v>
      </c>
      <c r="CB144" t="n">
        <v>0.373</v>
      </c>
      <c r="CC144" t="n">
        <v>16</v>
      </c>
      <c r="CD144" t="n">
        <v>2</v>
      </c>
      <c r="CE144" t="n">
        <v>15</v>
      </c>
      <c r="CG144" t="n">
        <v>2</v>
      </c>
      <c r="CH144" t="n">
        <v>1</v>
      </c>
      <c r="CI144" t="n">
        <v>11.616</v>
      </c>
      <c r="CJ144" t="n">
        <v>5.945</v>
      </c>
      <c r="CK144" t="n">
        <v>35</v>
      </c>
      <c r="CL144" t="n">
        <v>61</v>
      </c>
      <c r="CM144" t="n">
        <v>18</v>
      </c>
      <c r="CN144" t="n">
        <v>14</v>
      </c>
      <c r="CO144" t="n">
        <v>5</v>
      </c>
      <c r="CP144" t="n">
        <v>25</v>
      </c>
      <c r="CQ144" t="n">
        <v>5</v>
      </c>
      <c r="CR144" t="n">
        <v>46</v>
      </c>
      <c r="CS144" t="n">
        <v>12</v>
      </c>
      <c r="CT144" t="n">
        <v>0.5</v>
      </c>
      <c r="CV144" t="n">
        <v>2</v>
      </c>
      <c r="CW144" t="n">
        <v>27.83</v>
      </c>
      <c r="CX144" t="n">
        <v>1.443</v>
      </c>
      <c r="CY144" t="n">
        <v>0</v>
      </c>
      <c r="DB144" t="n">
        <v>0</v>
      </c>
      <c r="DE144" t="n">
        <v>6.77</v>
      </c>
      <c r="DF144" t="n">
        <v>0</v>
      </c>
      <c r="DG144" t="n">
        <v>0</v>
      </c>
      <c r="DH144" t="n">
        <v>33</v>
      </c>
      <c r="DI144" t="n">
        <v>12</v>
      </c>
      <c r="DL144" t="n">
        <v>3</v>
      </c>
      <c r="DM144" t="n">
        <v>9</v>
      </c>
      <c r="DN144" t="n">
        <v>2</v>
      </c>
      <c r="DO144" t="n">
        <v>0.2</v>
      </c>
      <c r="DP144" t="n">
        <v>149.2</v>
      </c>
      <c r="DQ144" t="n">
        <v>75.06999999999999</v>
      </c>
      <c r="DR144" t="n">
        <v>150.14</v>
      </c>
      <c r="DS144" t="n">
        <v>-0.9399999999999999</v>
      </c>
      <c r="DT144" t="n">
        <v>2782</v>
      </c>
      <c r="DU144" t="n">
        <v>73.2</v>
      </c>
      <c r="DV144" t="inlineStr">
        <is>
          <t>flat</t>
        </is>
      </c>
      <c r="DW144" t="n">
        <v>83.08</v>
      </c>
      <c r="DX144" t="n">
        <v>85.15000000000001</v>
      </c>
      <c r="DY144" t="n">
        <v>82.88</v>
      </c>
      <c r="DZ144" t="n">
        <v>-0.21</v>
      </c>
      <c r="EA144" t="n">
        <v>230</v>
      </c>
      <c r="EB144" t="n">
        <v>19.45</v>
      </c>
      <c r="EC144" t="n">
        <v>34</v>
      </c>
      <c r="ED144" t="n">
        <v>120</v>
      </c>
      <c r="EE144" t="n">
        <v>397</v>
      </c>
      <c r="EF144" t="b">
        <v>1</v>
      </c>
      <c r="EG144" t="n">
        <v>9</v>
      </c>
      <c r="EH144" t="n">
        <v>10</v>
      </c>
      <c r="EI144" t="n">
        <v>85</v>
      </c>
      <c r="EJ144" t="n">
        <v>46.9</v>
      </c>
      <c r="EK144" t="n">
        <v>27.1</v>
      </c>
      <c r="EL144" t="n">
        <v>115.7</v>
      </c>
      <c r="EM144" t="n">
        <v>357.9</v>
      </c>
      <c r="EN144" t="n">
        <v>739.2</v>
      </c>
      <c r="EO144" t="n">
        <v>241.1</v>
      </c>
      <c r="EP144" t="n">
        <v>19.1</v>
      </c>
    </row>
    <row r="145">
      <c r="A145" t="inlineStr">
        <is>
          <t>Cristian Romero</t>
        </is>
      </c>
      <c r="B145" t="inlineStr">
        <is>
          <t>TOT</t>
        </is>
      </c>
      <c r="C145" t="inlineStr">
        <is>
          <t>DEF</t>
        </is>
      </c>
      <c r="D145" t="inlineStr">
        <is>
          <t>DEF</t>
        </is>
      </c>
      <c r="E145" t="n">
        <v>5</v>
      </c>
      <c r="F145" t="b">
        <v>1</v>
      </c>
      <c r="G145" t="b">
        <v>1</v>
      </c>
      <c r="H145" t="n">
        <v>28.3</v>
      </c>
      <c r="I145" t="inlineStr">
        <is>
          <t>a</t>
        </is>
      </c>
      <c r="L145" t="inlineStr">
        <is>
          <t>p221632</t>
        </is>
      </c>
      <c r="M145" t="n">
        <v>500</v>
      </c>
      <c r="Q145" t="n">
        <v>1869</v>
      </c>
      <c r="R145" t="n">
        <v>23</v>
      </c>
      <c r="S145" t="n">
        <v>22</v>
      </c>
      <c r="T145" t="n">
        <v>20.767</v>
      </c>
      <c r="U145" t="n">
        <v>81.3</v>
      </c>
      <c r="V145" t="n">
        <v>91</v>
      </c>
      <c r="W145" t="n">
        <v>4.382</v>
      </c>
      <c r="X145" t="n">
        <v>4</v>
      </c>
      <c r="Y145" t="n">
        <v>1</v>
      </c>
      <c r="Z145" t="n">
        <v>1</v>
      </c>
      <c r="AA145" t="n">
        <v>5</v>
      </c>
      <c r="AB145" t="n">
        <v>33</v>
      </c>
      <c r="AC145" t="n">
        <v>10</v>
      </c>
      <c r="AD145" t="n">
        <v>10</v>
      </c>
      <c r="AE145" t="n">
        <v>0</v>
      </c>
      <c r="AF145" t="n">
        <v>305</v>
      </c>
      <c r="AG145" t="n">
        <v>280</v>
      </c>
      <c r="AH145" t="n">
        <v>-25</v>
      </c>
      <c r="AI145" t="n">
        <v>91</v>
      </c>
      <c r="AJ145" t="n">
        <v>0.11</v>
      </c>
      <c r="AK145" t="n">
        <v>0.123</v>
      </c>
      <c r="AL145" t="n">
        <v>197</v>
      </c>
      <c r="AM145" t="n">
        <v>9.486000000000001</v>
      </c>
      <c r="AN145" t="n">
        <v>9</v>
      </c>
      <c r="AO145" t="n">
        <v>18</v>
      </c>
      <c r="AP145" t="n">
        <v>0.409</v>
      </c>
      <c r="AQ145" t="n">
        <v>0.409</v>
      </c>
      <c r="AR145" t="n">
        <v>0.273</v>
      </c>
      <c r="AS145" t="n">
        <v>0.579</v>
      </c>
      <c r="AT145" t="n">
        <v>0.87</v>
      </c>
      <c r="AU145" t="n">
        <v>14</v>
      </c>
      <c r="AV145" t="n">
        <v>3</v>
      </c>
      <c r="AW145" t="n">
        <v>4.17</v>
      </c>
      <c r="AX145" t="n">
        <v>17</v>
      </c>
      <c r="AY145" t="n">
        <v>1.39</v>
      </c>
      <c r="AZ145" t="n">
        <v>1.838</v>
      </c>
      <c r="BA145" t="n">
        <v>1.614</v>
      </c>
      <c r="BB145" t="n">
        <v>1.838</v>
      </c>
      <c r="BC145" t="n">
        <v>0.067</v>
      </c>
      <c r="BD145" t="n">
        <v>0.089</v>
      </c>
      <c r="BE145" t="n">
        <v>0.078</v>
      </c>
      <c r="BF145" t="n">
        <v>2.6</v>
      </c>
      <c r="BG145" t="n">
        <v>0.125</v>
      </c>
      <c r="BH145" t="n">
        <v>1.047</v>
      </c>
      <c r="BI145" t="n">
        <v>7.66</v>
      </c>
      <c r="BJ145" t="n">
        <v>1.456</v>
      </c>
      <c r="BK145" t="n">
        <v>0.07000000000000001</v>
      </c>
      <c r="BL145" t="n">
        <v>2.386</v>
      </c>
      <c r="BM145" t="n">
        <v>1.21</v>
      </c>
      <c r="BN145" t="n">
        <v>1.4</v>
      </c>
      <c r="BO145" t="n">
        <v>-0.448</v>
      </c>
      <c r="BP145" t="n">
        <v>17</v>
      </c>
      <c r="BQ145" t="n">
        <v>6</v>
      </c>
      <c r="BR145" t="n">
        <v>1</v>
      </c>
      <c r="BS145" t="n">
        <v>43</v>
      </c>
      <c r="BT145" t="n">
        <v>2.071</v>
      </c>
      <c r="BV145" t="n">
        <v>3</v>
      </c>
      <c r="BW145" t="n">
        <v>1.25</v>
      </c>
      <c r="BX145" t="n">
        <v>1.817</v>
      </c>
      <c r="BY145" t="n">
        <v>1.533</v>
      </c>
      <c r="BZ145" t="n">
        <v>0.074</v>
      </c>
      <c r="CA145" t="n">
        <v>3.148</v>
      </c>
      <c r="CB145" t="n">
        <v>0.152</v>
      </c>
      <c r="CC145" t="n">
        <v>12</v>
      </c>
      <c r="CD145" t="n">
        <v>4</v>
      </c>
      <c r="CE145" t="n">
        <v>11</v>
      </c>
      <c r="CI145" t="n">
        <v>6.114</v>
      </c>
      <c r="CJ145" t="n">
        <v>4.283</v>
      </c>
      <c r="CK145" t="n">
        <v>139</v>
      </c>
      <c r="CL145" t="n">
        <v>88</v>
      </c>
      <c r="CM145" t="n">
        <v>58</v>
      </c>
      <c r="CN145" t="n">
        <v>29</v>
      </c>
      <c r="CO145" t="n">
        <v>30</v>
      </c>
      <c r="CP145" t="n">
        <v>94</v>
      </c>
      <c r="CQ145" t="n">
        <v>14</v>
      </c>
      <c r="CR145" t="n">
        <v>155</v>
      </c>
      <c r="CS145" t="n">
        <v>73</v>
      </c>
      <c r="CT145" t="n">
        <v>0.1</v>
      </c>
      <c r="CU145" t="n">
        <v>1</v>
      </c>
      <c r="CV145" t="n">
        <v>2</v>
      </c>
      <c r="CW145" t="n">
        <v>28.32</v>
      </c>
      <c r="CX145" t="n">
        <v>1.364</v>
      </c>
      <c r="CY145" t="n">
        <v>0</v>
      </c>
      <c r="DB145" t="n">
        <v>0</v>
      </c>
      <c r="DE145" t="n">
        <v>7.06</v>
      </c>
      <c r="DF145" t="n">
        <v>9</v>
      </c>
      <c r="DG145" t="n">
        <v>2</v>
      </c>
      <c r="DH145" t="n">
        <v>32</v>
      </c>
      <c r="DI145" t="n">
        <v>16</v>
      </c>
      <c r="DL145" t="n">
        <v>8</v>
      </c>
      <c r="DM145" t="n">
        <v>6</v>
      </c>
      <c r="DN145" t="n">
        <v>1</v>
      </c>
      <c r="DO145" t="n">
        <v>1.1</v>
      </c>
      <c r="DP145" t="n">
        <v>9.31</v>
      </c>
      <c r="DQ145" t="n">
        <v>4.56</v>
      </c>
      <c r="DR145" t="n">
        <v>9.119999999999999</v>
      </c>
      <c r="DS145" t="n">
        <v>0.19</v>
      </c>
      <c r="DT145" t="n">
        <v>5</v>
      </c>
      <c r="DU145" t="n">
        <v>0.13</v>
      </c>
      <c r="DV145" t="inlineStr">
        <is>
          <t>flat</t>
        </is>
      </c>
      <c r="DW145" t="n">
        <v>93.7</v>
      </c>
      <c r="DX145" t="n">
        <v>97.42</v>
      </c>
      <c r="DY145" t="n">
        <v>93.08</v>
      </c>
      <c r="DZ145" t="n">
        <v>-0.62</v>
      </c>
      <c r="EA145" t="n">
        <v>332</v>
      </c>
      <c r="EB145" t="n">
        <v>19.36</v>
      </c>
      <c r="EC145" t="n">
        <v>21</v>
      </c>
      <c r="ED145" t="n">
        <v>120</v>
      </c>
      <c r="EE145" t="n">
        <v>645</v>
      </c>
      <c r="EF145" t="b">
        <v>1</v>
      </c>
      <c r="EG145" t="n">
        <v>14.7</v>
      </c>
      <c r="EH145" t="n">
        <v>10</v>
      </c>
      <c r="EI145" t="n">
        <v>251</v>
      </c>
      <c r="EJ145" t="n">
        <v>109.9</v>
      </c>
      <c r="EK145" t="n">
        <v>43.5</v>
      </c>
      <c r="EL145" t="n">
        <v>169.9</v>
      </c>
      <c r="EM145" t="n">
        <v>1157.9</v>
      </c>
      <c r="EN145" t="n">
        <v>1218.8</v>
      </c>
      <c r="EO145" t="n">
        <v>593.8</v>
      </c>
      <c r="EP145" t="n">
        <v>20.5</v>
      </c>
    </row>
    <row r="146">
      <c r="A146" t="inlineStr">
        <is>
          <t>Sander Berge</t>
        </is>
      </c>
      <c r="B146" t="inlineStr">
        <is>
          <t>FUL</t>
        </is>
      </c>
      <c r="C146" t="inlineStr">
        <is>
          <t>MID</t>
        </is>
      </c>
      <c r="D146" t="inlineStr">
        <is>
          <t>MID</t>
        </is>
      </c>
      <c r="E146" t="n">
        <v>5</v>
      </c>
      <c r="F146" t="b">
        <v>1</v>
      </c>
      <c r="G146" t="b">
        <v>1</v>
      </c>
      <c r="H146" t="n">
        <v>28.5</v>
      </c>
      <c r="I146" t="inlineStr">
        <is>
          <t>a</t>
        </is>
      </c>
      <c r="L146" t="inlineStr">
        <is>
          <t>p207189</t>
        </is>
      </c>
      <c r="M146" t="n">
        <v>265</v>
      </c>
      <c r="Q146" t="n">
        <v>2904</v>
      </c>
      <c r="R146" t="n">
        <v>35</v>
      </c>
      <c r="S146" t="n">
        <v>34</v>
      </c>
      <c r="T146" t="n">
        <v>32.267</v>
      </c>
      <c r="U146" t="n">
        <v>83</v>
      </c>
      <c r="V146" t="n">
        <v>91</v>
      </c>
      <c r="W146" t="n">
        <v>2.82</v>
      </c>
      <c r="X146" t="n">
        <v>0</v>
      </c>
      <c r="Y146" t="n">
        <v>3</v>
      </c>
      <c r="Z146" t="n">
        <v>1</v>
      </c>
      <c r="AA146" t="n">
        <v>8</v>
      </c>
      <c r="AB146" t="n">
        <v>45</v>
      </c>
      <c r="AC146" t="n">
        <v>3</v>
      </c>
      <c r="AD146" t="n">
        <v>3</v>
      </c>
      <c r="AE146" t="n">
        <v>0</v>
      </c>
      <c r="AF146" t="n">
        <v>503</v>
      </c>
      <c r="AG146" t="n">
        <v>484</v>
      </c>
      <c r="AH146" t="n">
        <v>-19</v>
      </c>
      <c r="AI146" t="n">
        <v>91</v>
      </c>
      <c r="AJ146" t="n">
        <v>0.033</v>
      </c>
      <c r="AK146" t="n">
        <v>0.034</v>
      </c>
      <c r="AL146" t="n">
        <v>280</v>
      </c>
      <c r="AM146" t="n">
        <v>8.678000000000001</v>
      </c>
      <c r="AN146" t="n">
        <v>5</v>
      </c>
      <c r="AO146" t="n">
        <v>10</v>
      </c>
      <c r="AP146" t="n">
        <v>0.147</v>
      </c>
      <c r="AQ146" t="n">
        <v>0.382</v>
      </c>
      <c r="AR146" t="n">
        <v>0.147</v>
      </c>
      <c r="AS146" t="n">
        <v>0.895</v>
      </c>
      <c r="AT146" t="n">
        <v>0.9429999999999999</v>
      </c>
      <c r="AU146" t="n">
        <v>24</v>
      </c>
      <c r="AV146" t="n">
        <v>1</v>
      </c>
      <c r="AW146" t="n">
        <v>1.76</v>
      </c>
      <c r="AX146" t="n">
        <v>10</v>
      </c>
      <c r="AY146" t="n">
        <v>1.54</v>
      </c>
      <c r="AZ146" t="n">
        <v>1.346</v>
      </c>
      <c r="BA146" t="n">
        <v>1.443</v>
      </c>
      <c r="BB146" t="n">
        <v>1.346</v>
      </c>
      <c r="BC146" t="n">
        <v>0.048</v>
      </c>
      <c r="BD146" t="n">
        <v>0.042</v>
      </c>
      <c r="BE146" t="n">
        <v>0.045</v>
      </c>
      <c r="BF146" t="n">
        <v>0.2</v>
      </c>
      <c r="BG146" t="n">
        <v>0.006</v>
      </c>
      <c r="BH146" t="n">
        <v>0.781</v>
      </c>
      <c r="BI146" t="n">
        <v>4.03</v>
      </c>
      <c r="BJ146" t="n">
        <v>1.203</v>
      </c>
      <c r="BK146" t="n">
        <v>0.037</v>
      </c>
      <c r="BL146" t="n">
        <v>-1.443</v>
      </c>
      <c r="BM146" t="n">
        <v>-1.34</v>
      </c>
      <c r="BN146" t="n">
        <v>-0.2</v>
      </c>
      <c r="BO146" t="n">
        <v>0.194</v>
      </c>
      <c r="BP146" t="n">
        <v>15</v>
      </c>
      <c r="BQ146" t="n">
        <v>3</v>
      </c>
      <c r="BR146" t="n">
        <v>3</v>
      </c>
      <c r="BS146" t="n">
        <v>27</v>
      </c>
      <c r="BT146" t="n">
        <v>0.837</v>
      </c>
      <c r="BW146" t="n">
        <v>1.5</v>
      </c>
      <c r="BX146" t="n">
        <v>1.985</v>
      </c>
      <c r="BY146" t="n">
        <v>1.743</v>
      </c>
      <c r="BZ146" t="n">
        <v>0.054</v>
      </c>
      <c r="CA146" t="n">
        <v>3.186</v>
      </c>
      <c r="CB146" t="n">
        <v>0.099</v>
      </c>
      <c r="CC146" t="n">
        <v>21</v>
      </c>
      <c r="CD146" t="n">
        <v>3</v>
      </c>
      <c r="CE146" t="n">
        <v>21</v>
      </c>
      <c r="CF146" t="n">
        <v>3</v>
      </c>
      <c r="CG146" t="n">
        <v>2</v>
      </c>
      <c r="CI146" t="n">
        <v>10.622</v>
      </c>
      <c r="CJ146" t="n">
        <v>8.999000000000001</v>
      </c>
      <c r="CK146" t="n">
        <v>91</v>
      </c>
      <c r="CL146" t="n">
        <v>132</v>
      </c>
      <c r="CM146" t="n">
        <v>57</v>
      </c>
      <c r="CN146" t="n">
        <v>40</v>
      </c>
      <c r="CO146" t="n">
        <v>25</v>
      </c>
      <c r="CP146" t="n">
        <v>50</v>
      </c>
      <c r="CQ146" t="n">
        <v>16</v>
      </c>
      <c r="CR146" t="n">
        <v>130</v>
      </c>
      <c r="CS146" t="n">
        <v>50</v>
      </c>
      <c r="CT146" t="n">
        <v>0.2</v>
      </c>
      <c r="CU146" t="n">
        <v>1</v>
      </c>
      <c r="CV146" t="n">
        <v>1</v>
      </c>
      <c r="CW146" t="n">
        <v>43.09</v>
      </c>
      <c r="CX146" t="n">
        <v>1.335</v>
      </c>
      <c r="CY146" t="n">
        <v>0</v>
      </c>
      <c r="DB146" t="n">
        <v>0</v>
      </c>
      <c r="DE146" t="n">
        <v>6.75</v>
      </c>
      <c r="DF146" t="n">
        <v>5</v>
      </c>
      <c r="DG146" t="n">
        <v>0</v>
      </c>
      <c r="DH146" t="n">
        <v>35</v>
      </c>
      <c r="DI146" t="n">
        <v>14</v>
      </c>
      <c r="DK146" t="n">
        <v>1</v>
      </c>
      <c r="DL146" t="n">
        <v>9</v>
      </c>
      <c r="DM146" t="n">
        <v>20</v>
      </c>
      <c r="DN146" t="n">
        <v>1</v>
      </c>
      <c r="DO146" t="n">
        <v>0.4</v>
      </c>
      <c r="DP146" t="n">
        <v>83.09999999999999</v>
      </c>
      <c r="DQ146" t="n">
        <v>41.92</v>
      </c>
      <c r="DR146" t="n">
        <v>83.84</v>
      </c>
      <c r="DS146" t="n">
        <v>-0.74</v>
      </c>
      <c r="DT146" t="n">
        <v>2337</v>
      </c>
      <c r="DU146" t="n">
        <v>61.5</v>
      </c>
      <c r="DV146" t="inlineStr">
        <is>
          <t>flat</t>
        </is>
      </c>
      <c r="DW146" t="n">
        <v>75.56999999999999</v>
      </c>
      <c r="DX146" t="n">
        <v>84.5</v>
      </c>
      <c r="DY146" t="n">
        <v>71.2</v>
      </c>
      <c r="DZ146" t="n">
        <v>-4.37</v>
      </c>
      <c r="EA146" t="n">
        <v>1</v>
      </c>
      <c r="EB146" t="n">
        <v>32.75</v>
      </c>
      <c r="EC146" t="n">
        <v>30.67</v>
      </c>
      <c r="ED146" t="n">
        <v>112</v>
      </c>
      <c r="EE146" t="n">
        <v>7</v>
      </c>
      <c r="EF146" t="b">
        <v>0</v>
      </c>
      <c r="EG146" t="n">
        <v>0.2</v>
      </c>
      <c r="EH146" t="n">
        <v>30</v>
      </c>
      <c r="EI146" t="n">
        <v>250</v>
      </c>
      <c r="EJ146" t="n">
        <v>193.6</v>
      </c>
      <c r="EK146" t="n">
        <v>107.6</v>
      </c>
      <c r="EL146" t="n">
        <v>138.3</v>
      </c>
      <c r="EM146" t="n">
        <v>2012.2</v>
      </c>
      <c r="EN146" t="n">
        <v>1666.5</v>
      </c>
      <c r="EO146" t="n">
        <v>911.6</v>
      </c>
      <c r="EP146" t="n">
        <v>31.9</v>
      </c>
    </row>
    <row r="147">
      <c r="A147" t="inlineStr">
        <is>
          <t>Amad Diallo</t>
        </is>
      </c>
      <c r="B147" t="inlineStr">
        <is>
          <t>MUN</t>
        </is>
      </c>
      <c r="C147" t="inlineStr">
        <is>
          <t>MID</t>
        </is>
      </c>
      <c r="D147" t="inlineStr">
        <is>
          <t>MID</t>
        </is>
      </c>
      <c r="E147" t="n">
        <v>6</v>
      </c>
      <c r="F147" t="b">
        <v>1</v>
      </c>
      <c r="G147" t="b">
        <v>1</v>
      </c>
      <c r="H147" t="n">
        <v>24.1</v>
      </c>
      <c r="I147" t="inlineStr">
        <is>
          <t>a</t>
        </is>
      </c>
      <c r="L147" t="inlineStr">
        <is>
          <t>p493250</t>
        </is>
      </c>
      <c r="M147" t="n">
        <v>431</v>
      </c>
      <c r="O147" t="n">
        <v>4</v>
      </c>
      <c r="Q147" t="n">
        <v>2339</v>
      </c>
      <c r="R147" t="n">
        <v>32</v>
      </c>
      <c r="S147" t="n">
        <v>27</v>
      </c>
      <c r="T147" t="n">
        <v>25.989</v>
      </c>
      <c r="U147" t="n">
        <v>73.09999999999999</v>
      </c>
      <c r="V147" t="n">
        <v>91</v>
      </c>
      <c r="W147" t="n">
        <v>3.501</v>
      </c>
      <c r="X147" t="n">
        <v>2</v>
      </c>
      <c r="Y147" t="n">
        <v>5</v>
      </c>
      <c r="Z147" t="n">
        <v>3</v>
      </c>
      <c r="AA147" t="n">
        <v>6</v>
      </c>
      <c r="AB147" t="n">
        <v>33</v>
      </c>
      <c r="AC147" t="n">
        <v>7</v>
      </c>
      <c r="AD147" t="n">
        <v>6</v>
      </c>
      <c r="AE147" t="n">
        <v>-1</v>
      </c>
      <c r="AF147" t="n">
        <v>463</v>
      </c>
      <c r="AG147" t="n">
        <v>450</v>
      </c>
      <c r="AH147" t="n">
        <v>-13</v>
      </c>
      <c r="AI147" t="n">
        <v>90</v>
      </c>
      <c r="AJ147" t="n">
        <v>0.077</v>
      </c>
      <c r="AK147" t="n">
        <v>0.083</v>
      </c>
      <c r="AL147" t="n">
        <v>198</v>
      </c>
      <c r="AM147" t="n">
        <v>7.619</v>
      </c>
      <c r="AN147" t="n">
        <v>0</v>
      </c>
      <c r="AO147" t="n">
        <v>0</v>
      </c>
      <c r="AP147" t="n">
        <v>0</v>
      </c>
      <c r="AQ147" t="n">
        <v>0.296</v>
      </c>
      <c r="AR147" t="n">
        <v>0</v>
      </c>
      <c r="AS147" t="n">
        <v>0.711</v>
      </c>
      <c r="AT147" t="n">
        <v>0.719</v>
      </c>
      <c r="AU147" t="n">
        <v>21</v>
      </c>
      <c r="AV147" t="n">
        <v>0</v>
      </c>
      <c r="AW147" t="n">
        <v>2.27</v>
      </c>
      <c r="AX147" t="n">
        <v>9</v>
      </c>
      <c r="AY147" t="n">
        <v>5.46</v>
      </c>
      <c r="AZ147" t="n">
        <v>5.73</v>
      </c>
      <c r="BA147" t="n">
        <v>5.595</v>
      </c>
      <c r="BB147" t="n">
        <v>5.73</v>
      </c>
      <c r="BC147" t="n">
        <v>0.21</v>
      </c>
      <c r="BD147" t="n">
        <v>0.22</v>
      </c>
      <c r="BE147" t="n">
        <v>0.215</v>
      </c>
      <c r="BF147" t="n">
        <v>4.2</v>
      </c>
      <c r="BG147" t="n">
        <v>0.162</v>
      </c>
      <c r="BH147" t="n">
        <v>0.957</v>
      </c>
      <c r="BI147" t="n">
        <v>10.7</v>
      </c>
      <c r="BJ147" t="n">
        <v>5.226</v>
      </c>
      <c r="BK147" t="n">
        <v>0.201</v>
      </c>
      <c r="BL147" t="n">
        <v>-3.595</v>
      </c>
      <c r="BM147" t="n">
        <v>-1.26</v>
      </c>
      <c r="BN147" t="n">
        <v>-2.2</v>
      </c>
      <c r="BO147" t="n">
        <v>-0.27</v>
      </c>
      <c r="BP147" t="n">
        <v>53</v>
      </c>
      <c r="BQ147" t="n">
        <v>23</v>
      </c>
      <c r="BR147" t="n">
        <v>6</v>
      </c>
      <c r="BS147" t="n">
        <v>139</v>
      </c>
      <c r="BT147" t="n">
        <v>5.348</v>
      </c>
      <c r="BV147" t="n">
        <v>1</v>
      </c>
      <c r="BW147" t="n">
        <v>4.74</v>
      </c>
      <c r="BX147" t="n">
        <v>5.647</v>
      </c>
      <c r="BY147" t="n">
        <v>5.194</v>
      </c>
      <c r="BZ147" t="n">
        <v>0.2</v>
      </c>
      <c r="CA147" t="n">
        <v>10.789</v>
      </c>
      <c r="CB147" t="n">
        <v>0.415</v>
      </c>
      <c r="CC147" t="n">
        <v>40</v>
      </c>
      <c r="CD147" t="n">
        <v>7</v>
      </c>
      <c r="CE147" t="n">
        <v>41</v>
      </c>
      <c r="CF147" t="n">
        <v>11</v>
      </c>
      <c r="CG147" t="n">
        <v>3</v>
      </c>
      <c r="CH147" t="n">
        <v>15</v>
      </c>
      <c r="CI147" t="n">
        <v>18.681</v>
      </c>
      <c r="CJ147" t="n">
        <v>10.052</v>
      </c>
      <c r="CK147" t="n">
        <v>48</v>
      </c>
      <c r="CL147" t="n">
        <v>112</v>
      </c>
      <c r="CM147" t="n">
        <v>38</v>
      </c>
      <c r="CN147" t="n">
        <v>25</v>
      </c>
      <c r="CO147" t="n">
        <v>17</v>
      </c>
      <c r="CP147" t="n">
        <v>29</v>
      </c>
      <c r="CQ147" t="n">
        <v>3</v>
      </c>
      <c r="CR147" t="n">
        <v>128</v>
      </c>
      <c r="CS147" t="n">
        <v>13</v>
      </c>
      <c r="CT147" t="n">
        <v>0.4</v>
      </c>
      <c r="CU147" t="n">
        <v>1</v>
      </c>
      <c r="CW147" t="n">
        <v>31.69</v>
      </c>
      <c r="CX147" t="n">
        <v>1.219</v>
      </c>
      <c r="CY147" t="n">
        <v>0</v>
      </c>
      <c r="DB147" t="n">
        <v>0</v>
      </c>
      <c r="DE147" t="n">
        <v>7.19</v>
      </c>
      <c r="DF147" t="n">
        <v>2</v>
      </c>
      <c r="DG147" t="n">
        <v>0</v>
      </c>
      <c r="DH147" t="n">
        <v>23</v>
      </c>
      <c r="DI147" t="n">
        <v>38</v>
      </c>
      <c r="DJ147" t="n">
        <v>1</v>
      </c>
      <c r="DL147" t="n">
        <v>39</v>
      </c>
      <c r="DM147" t="n">
        <v>25</v>
      </c>
      <c r="DN147" t="n">
        <v>12</v>
      </c>
      <c r="DO147" t="n">
        <v>1.7</v>
      </c>
      <c r="DP147" t="n">
        <v>87.73</v>
      </c>
      <c r="DQ147" t="n">
        <v>44.85</v>
      </c>
      <c r="DR147" t="n">
        <v>89.7</v>
      </c>
      <c r="DS147" t="n">
        <v>-1.97</v>
      </c>
      <c r="DT147" t="n">
        <v>1653</v>
      </c>
      <c r="DU147" t="n">
        <v>43.5</v>
      </c>
      <c r="DV147" t="inlineStr">
        <is>
          <t>fade (losing his place)</t>
        </is>
      </c>
      <c r="DW147" t="n">
        <v>73.47</v>
      </c>
      <c r="DX147" t="n">
        <v>76.53</v>
      </c>
      <c r="DY147" t="n">
        <v>73.33</v>
      </c>
      <c r="DZ147" t="n">
        <v>-0.13</v>
      </c>
      <c r="EA147" t="n">
        <v>600</v>
      </c>
      <c r="EB147" t="n">
        <v>24.05</v>
      </c>
      <c r="EC147" t="n">
        <v>10</v>
      </c>
      <c r="ED147" t="n">
        <v>120</v>
      </c>
      <c r="EE147" t="n">
        <v>971</v>
      </c>
      <c r="EF147" t="b">
        <v>1</v>
      </c>
      <c r="EG147" t="n">
        <v>22.3</v>
      </c>
      <c r="EH147" t="n">
        <v>10.6</v>
      </c>
      <c r="EI147" t="n">
        <v>86</v>
      </c>
      <c r="EJ147" t="n">
        <v>44.1</v>
      </c>
      <c r="EK147" t="n">
        <v>16.8</v>
      </c>
      <c r="EL147" t="n">
        <v>57</v>
      </c>
      <c r="EM147" t="n">
        <v>418.1</v>
      </c>
      <c r="EN147" t="n">
        <v>450.4</v>
      </c>
      <c r="EO147" t="n">
        <v>216.8</v>
      </c>
      <c r="EP147" t="n">
        <v>25.7</v>
      </c>
    </row>
    <row r="148">
      <c r="A148" t="inlineStr">
        <is>
          <t>Alisson Becker</t>
        </is>
      </c>
      <c r="B148" t="inlineStr">
        <is>
          <t>LIV</t>
        </is>
      </c>
      <c r="C148" t="inlineStr">
        <is>
          <t>GKP</t>
        </is>
      </c>
      <c r="D148" t="inlineStr">
        <is>
          <t>GKP</t>
        </is>
      </c>
      <c r="E148" t="n">
        <v>5.5</v>
      </c>
      <c r="F148" t="b">
        <v>1</v>
      </c>
      <c r="G148" t="b">
        <v>1</v>
      </c>
      <c r="H148" t="n">
        <v>33.9</v>
      </c>
      <c r="I148" t="inlineStr">
        <is>
          <t>a</t>
        </is>
      </c>
      <c r="L148" t="inlineStr">
        <is>
          <t>p116535</t>
        </is>
      </c>
      <c r="M148" t="n">
        <v>350</v>
      </c>
      <c r="Q148" t="n">
        <v>2340</v>
      </c>
      <c r="R148" t="n">
        <v>26</v>
      </c>
      <c r="S148" t="n">
        <v>26</v>
      </c>
      <c r="T148" t="n">
        <v>26</v>
      </c>
      <c r="U148" t="n">
        <v>90</v>
      </c>
      <c r="V148" t="n">
        <v>91</v>
      </c>
      <c r="W148" t="n">
        <v>3.5</v>
      </c>
      <c r="X148" t="n">
        <v>0</v>
      </c>
      <c r="Y148" t="n">
        <v>0</v>
      </c>
      <c r="AA148" t="n">
        <v>8</v>
      </c>
      <c r="AB148" t="n">
        <v>31</v>
      </c>
      <c r="AC148" t="n">
        <v>8</v>
      </c>
      <c r="AD148" t="n">
        <v>8</v>
      </c>
      <c r="AE148" t="n">
        <v>0</v>
      </c>
      <c r="AF148" t="n">
        <v>389</v>
      </c>
      <c r="AG148" t="n">
        <v>380</v>
      </c>
      <c r="AH148" t="n">
        <v>-9</v>
      </c>
      <c r="AI148" t="n">
        <v>91</v>
      </c>
      <c r="AJ148" t="n">
        <v>0.08799999999999999</v>
      </c>
      <c r="AK148" t="n">
        <v>0.096</v>
      </c>
      <c r="AL148" t="n">
        <v>0</v>
      </c>
      <c r="AM148" t="n">
        <v>0</v>
      </c>
      <c r="AN148" t="n">
        <v>0</v>
      </c>
      <c r="AO148" t="n">
        <v>0</v>
      </c>
      <c r="AP148" t="n">
        <v>0</v>
      </c>
      <c r="AQ148" t="n">
        <v>0</v>
      </c>
      <c r="AR148" t="n">
        <v>0</v>
      </c>
      <c r="AS148" t="n">
        <v>0.6840000000000001</v>
      </c>
      <c r="AT148" t="n">
        <v>1</v>
      </c>
      <c r="AU148" t="n">
        <v>14</v>
      </c>
      <c r="AV148" t="n">
        <v>1</v>
      </c>
      <c r="AW148" t="n">
        <v>2.75</v>
      </c>
      <c r="AX148" t="n">
        <v>10</v>
      </c>
      <c r="AY148" t="n">
        <v>0</v>
      </c>
      <c r="AZ148" t="n">
        <v>0</v>
      </c>
      <c r="BA148" t="n">
        <v>0</v>
      </c>
      <c r="BB148" t="n">
        <v>0</v>
      </c>
      <c r="BC148" t="n">
        <v>0</v>
      </c>
      <c r="BD148" t="n">
        <v>0</v>
      </c>
      <c r="BE148" t="n">
        <v>0</v>
      </c>
      <c r="BH148" t="n">
        <v>1</v>
      </c>
      <c r="BI148" t="n">
        <v>0</v>
      </c>
      <c r="BJ148" t="n">
        <v>0</v>
      </c>
      <c r="BK148" t="n">
        <v>0</v>
      </c>
      <c r="BL148" t="n">
        <v>0</v>
      </c>
      <c r="BO148" t="n">
        <v>0</v>
      </c>
      <c r="BW148" t="n">
        <v>0.03</v>
      </c>
      <c r="BX148" t="n">
        <v>0</v>
      </c>
      <c r="BY148" t="n">
        <v>0.015</v>
      </c>
      <c r="BZ148" t="n">
        <v>0.001</v>
      </c>
      <c r="CA148" t="n">
        <v>0.015</v>
      </c>
      <c r="CB148" t="n">
        <v>0.001</v>
      </c>
      <c r="CC148" t="n">
        <v>0</v>
      </c>
      <c r="CI148" t="n">
        <v>4.578</v>
      </c>
      <c r="CJ148" t="n">
        <v>4.578</v>
      </c>
      <c r="CK148" t="n">
        <v>37</v>
      </c>
      <c r="CL148" t="n">
        <v>229</v>
      </c>
      <c r="CM148" t="n">
        <v>0</v>
      </c>
      <c r="CP148" t="n">
        <v>37</v>
      </c>
      <c r="CR148" t="n">
        <v>11</v>
      </c>
      <c r="CS148" t="n">
        <v>6</v>
      </c>
      <c r="CV148" t="n">
        <v>3</v>
      </c>
      <c r="CW148" t="n">
        <v>29.58</v>
      </c>
      <c r="CX148" t="n">
        <v>1.138</v>
      </c>
      <c r="CY148" t="n">
        <v>57</v>
      </c>
      <c r="CZ148" t="n">
        <v>64.8</v>
      </c>
      <c r="DA148" t="n">
        <v>-2.7</v>
      </c>
      <c r="DB148" t="n">
        <v>0</v>
      </c>
      <c r="DC148" t="n">
        <v>19</v>
      </c>
      <c r="DD148" t="n">
        <v>21</v>
      </c>
      <c r="DE148" t="n">
        <v>6.82</v>
      </c>
      <c r="DF148" t="n">
        <v>1</v>
      </c>
      <c r="DG148" t="n">
        <v>0</v>
      </c>
      <c r="DH148" t="n">
        <v>1</v>
      </c>
      <c r="DI148" t="n">
        <v>7</v>
      </c>
      <c r="DK148" t="n">
        <v>1</v>
      </c>
      <c r="DO148" t="n">
        <v>4</v>
      </c>
      <c r="DP148" t="n">
        <v>136.72</v>
      </c>
      <c r="DQ148" t="n">
        <v>68.36</v>
      </c>
      <c r="DR148" t="n">
        <v>136.72</v>
      </c>
      <c r="DS148" t="n">
        <v>0</v>
      </c>
      <c r="DT148" t="n">
        <v>3385</v>
      </c>
      <c r="DU148" t="n">
        <v>89.09</v>
      </c>
      <c r="DV148" t="inlineStr">
        <is>
          <t>flat</t>
        </is>
      </c>
      <c r="DW148" t="n">
        <v>61.11</v>
      </c>
      <c r="DX148" t="n">
        <v>64.78</v>
      </c>
      <c r="DY148" t="n">
        <v>57.33</v>
      </c>
      <c r="DZ148" t="n">
        <v>-3.78</v>
      </c>
      <c r="EA148" t="n">
        <v>1577</v>
      </c>
      <c r="EB148" t="n">
        <v>23.06</v>
      </c>
      <c r="EC148" t="n">
        <v>2</v>
      </c>
      <c r="ED148" t="n">
        <v>120</v>
      </c>
      <c r="EE148" t="n">
        <v>3293</v>
      </c>
      <c r="EF148" t="b">
        <v>1</v>
      </c>
      <c r="EG148" t="n">
        <v>99.8</v>
      </c>
      <c r="EH148" t="n">
        <v>32.3</v>
      </c>
      <c r="EI148" t="n">
        <v>139</v>
      </c>
      <c r="EN148" t="n">
        <v>156000</v>
      </c>
      <c r="EO148" t="n">
        <v>156000</v>
      </c>
      <c r="EP148" t="n">
        <v>25.7</v>
      </c>
    </row>
    <row r="149">
      <c r="A149" t="inlineStr">
        <is>
          <t>Guglielmo Vicario</t>
        </is>
      </c>
      <c r="B149" t="inlineStr">
        <is>
          <t>TOT</t>
        </is>
      </c>
      <c r="C149" t="inlineStr">
        <is>
          <t>GKP</t>
        </is>
      </c>
      <c r="D149" t="inlineStr">
        <is>
          <t>GKP</t>
        </is>
      </c>
      <c r="E149" t="n">
        <v>4.5</v>
      </c>
      <c r="F149" t="b">
        <v>1</v>
      </c>
      <c r="G149" t="b">
        <v>1</v>
      </c>
      <c r="H149" t="n">
        <v>29.9</v>
      </c>
      <c r="I149" t="inlineStr">
        <is>
          <t>a</t>
        </is>
      </c>
      <c r="L149" t="inlineStr">
        <is>
          <t>p184254</t>
        </is>
      </c>
      <c r="M149" t="n">
        <v>494</v>
      </c>
      <c r="Q149" t="n">
        <v>2790</v>
      </c>
      <c r="R149" t="n">
        <v>31</v>
      </c>
      <c r="S149" t="n">
        <v>31</v>
      </c>
      <c r="T149" t="n">
        <v>31</v>
      </c>
      <c r="U149" t="n">
        <v>90</v>
      </c>
      <c r="V149" t="n">
        <v>90</v>
      </c>
      <c r="W149" t="n">
        <v>2.903</v>
      </c>
      <c r="X149" t="n">
        <v>0</v>
      </c>
      <c r="Y149" t="n">
        <v>0</v>
      </c>
      <c r="AA149" t="n">
        <v>7</v>
      </c>
      <c r="AB149" t="n">
        <v>50</v>
      </c>
      <c r="AC149" t="n">
        <v>6</v>
      </c>
      <c r="AD149" t="n">
        <v>7</v>
      </c>
      <c r="AE149" t="n">
        <v>1</v>
      </c>
      <c r="AF149" t="n">
        <v>412</v>
      </c>
      <c r="AG149" t="n">
        <v>404</v>
      </c>
      <c r="AH149" t="n">
        <v>-8</v>
      </c>
      <c r="AI149" t="n">
        <v>91</v>
      </c>
      <c r="AJ149" t="n">
        <v>0.067</v>
      </c>
      <c r="AK149" t="n">
        <v>0.07099999999999999</v>
      </c>
      <c r="AL149" t="n">
        <v>0</v>
      </c>
      <c r="AM149" t="n">
        <v>0</v>
      </c>
      <c r="AN149" t="n">
        <v>0</v>
      </c>
      <c r="AO149" t="n">
        <v>0</v>
      </c>
      <c r="AP149" t="n">
        <v>0</v>
      </c>
      <c r="AQ149" t="n">
        <v>0</v>
      </c>
      <c r="AR149" t="n">
        <v>0</v>
      </c>
      <c r="AS149" t="n">
        <v>0.8159999999999999</v>
      </c>
      <c r="AT149" t="n">
        <v>1</v>
      </c>
      <c r="AU149" t="n">
        <v>19</v>
      </c>
      <c r="AV149" t="n">
        <v>0</v>
      </c>
      <c r="AW149" t="n">
        <v>2.58</v>
      </c>
      <c r="AX149" t="n">
        <v>9</v>
      </c>
      <c r="AY149" t="n">
        <v>0</v>
      </c>
      <c r="AZ149" t="n">
        <v>0</v>
      </c>
      <c r="BA149" t="n">
        <v>0</v>
      </c>
      <c r="BB149" t="n">
        <v>0</v>
      </c>
      <c r="BC149" t="n">
        <v>0</v>
      </c>
      <c r="BD149" t="n">
        <v>0</v>
      </c>
      <c r="BE149" t="n">
        <v>0</v>
      </c>
      <c r="BH149" t="n">
        <v>1</v>
      </c>
      <c r="BI149" t="n">
        <v>0</v>
      </c>
      <c r="BJ149" t="n">
        <v>0</v>
      </c>
      <c r="BK149" t="n">
        <v>0</v>
      </c>
      <c r="BL149" t="n">
        <v>0</v>
      </c>
      <c r="BO149" t="n">
        <v>0</v>
      </c>
      <c r="BW149" t="n">
        <v>0.04</v>
      </c>
      <c r="BX149" t="n">
        <v>0.07199999999999999</v>
      </c>
      <c r="BY149" t="n">
        <v>0.056</v>
      </c>
      <c r="BZ149" t="n">
        <v>0.002</v>
      </c>
      <c r="CA149" t="n">
        <v>0.056</v>
      </c>
      <c r="CB149" t="n">
        <v>0.002</v>
      </c>
      <c r="CC149" t="n">
        <v>1</v>
      </c>
      <c r="CE149" t="n">
        <v>1</v>
      </c>
      <c r="CI149" t="n">
        <v>3.511</v>
      </c>
      <c r="CJ149" t="n">
        <v>3.439</v>
      </c>
      <c r="CK149" t="n">
        <v>35</v>
      </c>
      <c r="CL149" t="n">
        <v>247</v>
      </c>
      <c r="CM149" t="n">
        <v>1</v>
      </c>
      <c r="CN149" t="n">
        <v>1</v>
      </c>
      <c r="CP149" t="n">
        <v>37</v>
      </c>
      <c r="CR149" t="n">
        <v>16</v>
      </c>
      <c r="CS149" t="n">
        <v>12</v>
      </c>
      <c r="CU149" t="n">
        <v>2</v>
      </c>
      <c r="CV149" t="n">
        <v>1</v>
      </c>
      <c r="CW149" t="n">
        <v>46.21</v>
      </c>
      <c r="CX149" t="n">
        <v>1.491</v>
      </c>
      <c r="CY149" t="n">
        <v>83</v>
      </c>
      <c r="CZ149" t="n">
        <v>62.4</v>
      </c>
      <c r="DA149" t="n">
        <v>-5.2</v>
      </c>
      <c r="DB149" t="n">
        <v>0</v>
      </c>
      <c r="DC149" t="n">
        <v>22</v>
      </c>
      <c r="DD149" t="n">
        <v>19</v>
      </c>
      <c r="DE149" t="n">
        <v>6.68</v>
      </c>
      <c r="DF149" t="n">
        <v>1</v>
      </c>
      <c r="DG149" t="n">
        <v>0</v>
      </c>
      <c r="DI149" t="n">
        <v>3</v>
      </c>
      <c r="DO149" t="n">
        <v>1.4</v>
      </c>
      <c r="DP149" t="n">
        <v>0.38</v>
      </c>
      <c r="DQ149" t="n">
        <v>0.19</v>
      </c>
      <c r="DR149" t="n">
        <v>0.38</v>
      </c>
      <c r="DS149" t="n">
        <v>0</v>
      </c>
      <c r="DT149" t="n">
        <v>0</v>
      </c>
      <c r="DU149" t="n">
        <v>0.01</v>
      </c>
      <c r="DV149" t="inlineStr">
        <is>
          <t>flat</t>
        </is>
      </c>
      <c r="DW149" t="n">
        <v>110.21</v>
      </c>
      <c r="DX149" t="n">
        <v>110.95</v>
      </c>
      <c r="DY149" t="n">
        <v>111.3</v>
      </c>
      <c r="DZ149" t="n">
        <v>1.09</v>
      </c>
      <c r="EA149" t="n">
        <v>419</v>
      </c>
      <c r="EB149" t="n">
        <v>15.17</v>
      </c>
      <c r="EC149" t="n">
        <v>18.67</v>
      </c>
      <c r="ED149" t="n">
        <v>120</v>
      </c>
      <c r="EE149" t="n">
        <v>655</v>
      </c>
      <c r="EF149" t="b">
        <v>1</v>
      </c>
      <c r="EG149" t="n">
        <v>14.6</v>
      </c>
      <c r="EH149" t="n">
        <v>8</v>
      </c>
      <c r="EI149" t="n">
        <v>408</v>
      </c>
      <c r="EL149" t="n">
        <v>2790</v>
      </c>
      <c r="EN149" t="n">
        <v>49881.5</v>
      </c>
      <c r="EO149" t="n">
        <v>49881.5</v>
      </c>
      <c r="EP149" t="n">
        <v>31</v>
      </c>
    </row>
    <row r="150">
      <c r="A150" t="inlineStr">
        <is>
          <t>Harry Maguire</t>
        </is>
      </c>
      <c r="B150" t="inlineStr">
        <is>
          <t>MUN</t>
        </is>
      </c>
      <c r="C150" t="inlineStr">
        <is>
          <t>DEF</t>
        </is>
      </c>
      <c r="D150" t="inlineStr">
        <is>
          <t>DEF</t>
        </is>
      </c>
      <c r="E150" t="n">
        <v>5</v>
      </c>
      <c r="F150" t="b">
        <v>1</v>
      </c>
      <c r="G150" t="b">
        <v>1</v>
      </c>
      <c r="H150" t="n">
        <v>33.5</v>
      </c>
      <c r="I150" t="inlineStr">
        <is>
          <t>a</t>
        </is>
      </c>
      <c r="L150" t="inlineStr">
        <is>
          <t>p95658</t>
        </is>
      </c>
      <c r="M150" t="n">
        <v>418</v>
      </c>
      <c r="Q150" t="n">
        <v>1649</v>
      </c>
      <c r="R150" t="n">
        <v>23</v>
      </c>
      <c r="S150" t="n">
        <v>19</v>
      </c>
      <c r="T150" t="n">
        <v>18.322</v>
      </c>
      <c r="U150" t="n">
        <v>71.7</v>
      </c>
      <c r="V150" t="n">
        <v>90</v>
      </c>
      <c r="W150" t="n">
        <v>4.912</v>
      </c>
      <c r="X150" t="n">
        <v>1</v>
      </c>
      <c r="Y150" t="n">
        <v>2</v>
      </c>
      <c r="Z150" t="n">
        <v>2</v>
      </c>
      <c r="AA150" t="n">
        <v>7</v>
      </c>
      <c r="AB150" t="n">
        <v>20</v>
      </c>
      <c r="AC150" t="n">
        <v>5</v>
      </c>
      <c r="AD150" t="n">
        <v>4</v>
      </c>
      <c r="AE150" t="n">
        <v>-1</v>
      </c>
      <c r="AF150" t="n">
        <v>315</v>
      </c>
      <c r="AG150" t="n">
        <v>292</v>
      </c>
      <c r="AH150" t="n">
        <v>-23</v>
      </c>
      <c r="AI150" t="n">
        <v>89</v>
      </c>
      <c r="AJ150" t="n">
        <v>0.056</v>
      </c>
      <c r="AK150" t="n">
        <v>0.059</v>
      </c>
      <c r="AL150" t="n">
        <v>151</v>
      </c>
      <c r="AM150" t="n">
        <v>8.241</v>
      </c>
      <c r="AN150" t="n">
        <v>8</v>
      </c>
      <c r="AO150" t="n">
        <v>16</v>
      </c>
      <c r="AP150" t="n">
        <v>0.421</v>
      </c>
      <c r="AQ150" t="n">
        <v>0.421</v>
      </c>
      <c r="AR150" t="n">
        <v>0.105</v>
      </c>
      <c r="AS150" t="n">
        <v>0.5</v>
      </c>
      <c r="AT150" t="n">
        <v>0.826</v>
      </c>
      <c r="AU150" t="n">
        <v>12</v>
      </c>
      <c r="AV150" t="n">
        <v>3</v>
      </c>
      <c r="AW150" t="n">
        <v>3.32</v>
      </c>
      <c r="AX150" t="n">
        <v>11</v>
      </c>
      <c r="AY150" t="n">
        <v>1.12</v>
      </c>
      <c r="AZ150" t="n">
        <v>1.177</v>
      </c>
      <c r="BA150" t="n">
        <v>1.148</v>
      </c>
      <c r="BB150" t="n">
        <v>1.177</v>
      </c>
      <c r="BC150" t="n">
        <v>0.061</v>
      </c>
      <c r="BD150" t="n">
        <v>0.064</v>
      </c>
      <c r="BE150" t="n">
        <v>0.063</v>
      </c>
      <c r="BF150" t="n">
        <v>1</v>
      </c>
      <c r="BG150" t="n">
        <v>0.055</v>
      </c>
      <c r="BH150" t="n">
        <v>0.885</v>
      </c>
      <c r="BI150" t="n">
        <v>5.22</v>
      </c>
      <c r="BJ150" t="n">
        <v>0.991</v>
      </c>
      <c r="BK150" t="n">
        <v>0.054</v>
      </c>
      <c r="BL150" t="n">
        <v>-0.148</v>
      </c>
      <c r="BM150" t="n">
        <v>-0.12</v>
      </c>
      <c r="BN150" t="n">
        <v>0</v>
      </c>
      <c r="BO150" t="n">
        <v>-0.057</v>
      </c>
      <c r="BP150" t="n">
        <v>14</v>
      </c>
      <c r="BQ150" t="n">
        <v>4</v>
      </c>
      <c r="BR150" t="n">
        <v>1</v>
      </c>
      <c r="BS150" t="n">
        <v>27</v>
      </c>
      <c r="BT150" t="n">
        <v>1.474</v>
      </c>
      <c r="BV150" t="n">
        <v>1</v>
      </c>
      <c r="BW150" t="n">
        <v>0.5</v>
      </c>
      <c r="BX150" t="n">
        <v>0.725</v>
      </c>
      <c r="BY150" t="n">
        <v>0.613</v>
      </c>
      <c r="BZ150" t="n">
        <v>0.033</v>
      </c>
      <c r="CA150" t="n">
        <v>1.761</v>
      </c>
      <c r="CB150" t="n">
        <v>0.096</v>
      </c>
      <c r="CC150" t="n">
        <v>4</v>
      </c>
      <c r="CD150" t="n">
        <v>2</v>
      </c>
      <c r="CE150" t="n">
        <v>4</v>
      </c>
      <c r="CF150" t="n">
        <v>1</v>
      </c>
      <c r="CI150" t="n">
        <v>5.069</v>
      </c>
      <c r="CJ150" t="n">
        <v>5.069</v>
      </c>
      <c r="CK150" t="n">
        <v>129</v>
      </c>
      <c r="CL150" t="n">
        <v>62</v>
      </c>
      <c r="CM150" t="n">
        <v>22</v>
      </c>
      <c r="CN150" t="n">
        <v>17</v>
      </c>
      <c r="CO150" t="n">
        <v>13</v>
      </c>
      <c r="CP150" t="n">
        <v>105</v>
      </c>
      <c r="CQ150" t="n">
        <v>11</v>
      </c>
      <c r="CR150" t="n">
        <v>98</v>
      </c>
      <c r="CS150" t="n">
        <v>59</v>
      </c>
      <c r="CT150" t="n">
        <v>0.1</v>
      </c>
      <c r="CU150" t="n">
        <v>1</v>
      </c>
      <c r="CV150" t="n">
        <v>1</v>
      </c>
      <c r="CW150" t="n">
        <v>22.95</v>
      </c>
      <c r="CX150" t="n">
        <v>1.253</v>
      </c>
      <c r="CY150" t="n">
        <v>0</v>
      </c>
      <c r="DB150" t="n">
        <v>0</v>
      </c>
      <c r="DE150" t="n">
        <v>7.05</v>
      </c>
      <c r="DF150" t="n">
        <v>3</v>
      </c>
      <c r="DG150" t="n">
        <v>1</v>
      </c>
      <c r="DH150" t="n">
        <v>16</v>
      </c>
      <c r="DI150" t="n">
        <v>16</v>
      </c>
      <c r="DK150" t="n">
        <v>2</v>
      </c>
      <c r="DL150" t="n">
        <v>1</v>
      </c>
      <c r="DM150" t="n">
        <v>2</v>
      </c>
      <c r="DO150" t="n">
        <v>9.9</v>
      </c>
      <c r="DP150" t="n">
        <v>95.09999999999999</v>
      </c>
      <c r="DQ150" t="n">
        <v>49.44</v>
      </c>
      <c r="DR150" t="n">
        <v>98.88</v>
      </c>
      <c r="DS150" t="n">
        <v>-3.78</v>
      </c>
      <c r="DT150" t="n">
        <v>1972</v>
      </c>
      <c r="DU150" t="n">
        <v>51.9</v>
      </c>
      <c r="DV150" t="inlineStr">
        <is>
          <t>flat</t>
        </is>
      </c>
      <c r="DW150" t="n">
        <v>86.02</v>
      </c>
      <c r="DX150" t="n">
        <v>90.39</v>
      </c>
      <c r="DY150" t="n">
        <v>83.25</v>
      </c>
      <c r="DZ150" t="n">
        <v>-2.77</v>
      </c>
      <c r="EA150" t="n">
        <v>1143</v>
      </c>
      <c r="EB150" t="n">
        <v>22.67</v>
      </c>
      <c r="EC150" t="n">
        <v>0.8</v>
      </c>
      <c r="ED150" t="n">
        <v>120</v>
      </c>
      <c r="EE150" t="n">
        <v>2375</v>
      </c>
      <c r="EF150" t="b">
        <v>1</v>
      </c>
      <c r="EG150" t="n">
        <v>52.9</v>
      </c>
      <c r="EH150" t="n">
        <v>7.8</v>
      </c>
      <c r="EI150" t="n">
        <v>252</v>
      </c>
      <c r="EJ150" t="n">
        <v>117.8</v>
      </c>
      <c r="EK150" t="n">
        <v>61.1</v>
      </c>
      <c r="EL150" t="n">
        <v>412.2</v>
      </c>
      <c r="EM150" t="n">
        <v>1436</v>
      </c>
      <c r="EN150" t="n">
        <v>2692</v>
      </c>
      <c r="EO150" t="n">
        <v>936.5</v>
      </c>
      <c r="EP150" t="n">
        <v>18.3</v>
      </c>
    </row>
    <row r="151">
      <c r="A151" t="inlineStr">
        <is>
          <t>Sven Botman</t>
        </is>
      </c>
      <c r="B151" t="inlineStr">
        <is>
          <t>NEW</t>
        </is>
      </c>
      <c r="C151" t="inlineStr">
        <is>
          <t>DEF</t>
        </is>
      </c>
      <c r="D151" t="inlineStr">
        <is>
          <t>DEF</t>
        </is>
      </c>
      <c r="E151" t="n">
        <v>5</v>
      </c>
      <c r="F151" t="b">
        <v>1</v>
      </c>
      <c r="G151" t="b">
        <v>1</v>
      </c>
      <c r="H151" t="n">
        <v>26.6</v>
      </c>
      <c r="I151" t="inlineStr">
        <is>
          <t>a</t>
        </is>
      </c>
      <c r="L151" t="inlineStr">
        <is>
          <t>p220237</t>
        </is>
      </c>
      <c r="M151" t="n">
        <v>447</v>
      </c>
      <c r="Q151" t="n">
        <v>1834</v>
      </c>
      <c r="R151" t="n">
        <v>25</v>
      </c>
      <c r="S151" t="n">
        <v>21</v>
      </c>
      <c r="T151" t="n">
        <v>20.378</v>
      </c>
      <c r="U151" t="n">
        <v>73.40000000000001</v>
      </c>
      <c r="V151" t="n">
        <v>89</v>
      </c>
      <c r="W151" t="n">
        <v>4.368</v>
      </c>
      <c r="X151" t="n">
        <v>1</v>
      </c>
      <c r="Y151" t="n">
        <v>1</v>
      </c>
      <c r="Z151" t="n">
        <v>1</v>
      </c>
      <c r="AA151" t="n">
        <v>5</v>
      </c>
      <c r="AB151" t="n">
        <v>27</v>
      </c>
      <c r="AC151" t="n">
        <v>6</v>
      </c>
      <c r="AD151" t="n">
        <v>6</v>
      </c>
      <c r="AE151" t="n">
        <v>0</v>
      </c>
      <c r="AF151" t="n">
        <v>332</v>
      </c>
      <c r="AG151" t="n">
        <v>299</v>
      </c>
      <c r="AH151" t="n">
        <v>-33</v>
      </c>
      <c r="AI151" t="n">
        <v>89</v>
      </c>
      <c r="AJ151" t="n">
        <v>0.067</v>
      </c>
      <c r="AK151" t="n">
        <v>0.07199999999999999</v>
      </c>
      <c r="AL151" t="n">
        <v>216</v>
      </c>
      <c r="AM151" t="n">
        <v>10.6</v>
      </c>
      <c r="AN151" t="n">
        <v>11</v>
      </c>
      <c r="AO151" t="n">
        <v>22</v>
      </c>
      <c r="AP151" t="n">
        <v>0.524</v>
      </c>
      <c r="AQ151" t="n">
        <v>0.524</v>
      </c>
      <c r="AR151" t="n">
        <v>0.381</v>
      </c>
      <c r="AS151" t="n">
        <v>0.553</v>
      </c>
      <c r="AT151" t="n">
        <v>0.8</v>
      </c>
      <c r="AU151" t="n">
        <v>9</v>
      </c>
      <c r="AV151" t="n">
        <v>1</v>
      </c>
      <c r="AW151" t="n">
        <v>2.71</v>
      </c>
      <c r="AX151" t="n">
        <v>10</v>
      </c>
      <c r="AY151" t="n">
        <v>1.73</v>
      </c>
      <c r="AZ151" t="n">
        <v>1.551</v>
      </c>
      <c r="BA151" t="n">
        <v>1.641</v>
      </c>
      <c r="BB151" t="n">
        <v>1.551</v>
      </c>
      <c r="BC151" t="n">
        <v>0.08500000000000001</v>
      </c>
      <c r="BD151" t="n">
        <v>0.076</v>
      </c>
      <c r="BE151" t="n">
        <v>0.081</v>
      </c>
      <c r="BF151" t="n">
        <v>1</v>
      </c>
      <c r="BG151" t="n">
        <v>0.049</v>
      </c>
      <c r="BH151" t="n">
        <v>0.9350000000000001</v>
      </c>
      <c r="BI151" t="n">
        <v>5.69</v>
      </c>
      <c r="BJ151" t="n">
        <v>1.618</v>
      </c>
      <c r="BK151" t="n">
        <v>0.079</v>
      </c>
      <c r="BL151" t="n">
        <v>-0.641</v>
      </c>
      <c r="BM151" t="n">
        <v>-0.73</v>
      </c>
      <c r="BN151" t="n">
        <v>0</v>
      </c>
      <c r="BO151" t="n">
        <v>0.179</v>
      </c>
      <c r="BP151" t="n">
        <v>15</v>
      </c>
      <c r="BQ151" t="n">
        <v>4</v>
      </c>
      <c r="BR151" t="n">
        <v>1</v>
      </c>
      <c r="BS151" t="n">
        <v>42</v>
      </c>
      <c r="BT151" t="n">
        <v>2.061</v>
      </c>
      <c r="BV151" t="n">
        <v>1</v>
      </c>
      <c r="BW151" t="n">
        <v>0.86</v>
      </c>
      <c r="BX151" t="n">
        <v>1.483</v>
      </c>
      <c r="BY151" t="n">
        <v>1.172</v>
      </c>
      <c r="BZ151" t="n">
        <v>0.057</v>
      </c>
      <c r="CA151" t="n">
        <v>2.812</v>
      </c>
      <c r="CB151" t="n">
        <v>0.138</v>
      </c>
      <c r="CC151" t="n">
        <v>6</v>
      </c>
      <c r="CD151" t="n">
        <v>3</v>
      </c>
      <c r="CE151" t="n">
        <v>8</v>
      </c>
      <c r="CH151" t="n">
        <v>0</v>
      </c>
      <c r="CI151" t="n">
        <v>6.021</v>
      </c>
      <c r="CJ151" t="n">
        <v>5.722</v>
      </c>
      <c r="CK151" t="n">
        <v>195</v>
      </c>
      <c r="CL151" t="n">
        <v>89</v>
      </c>
      <c r="CM151" t="n">
        <v>21</v>
      </c>
      <c r="CN151" t="n">
        <v>14</v>
      </c>
      <c r="CO151" t="n">
        <v>27</v>
      </c>
      <c r="CP151" t="n">
        <v>141</v>
      </c>
      <c r="CQ151" t="n">
        <v>26</v>
      </c>
      <c r="CR151" t="n">
        <v>131</v>
      </c>
      <c r="CS151" t="n">
        <v>87</v>
      </c>
      <c r="CT151" t="n">
        <v>0</v>
      </c>
      <c r="CV151" t="n">
        <v>4</v>
      </c>
      <c r="CW151" t="n">
        <v>27.58</v>
      </c>
      <c r="CX151" t="n">
        <v>1.353</v>
      </c>
      <c r="CY151" t="n">
        <v>0</v>
      </c>
      <c r="DB151" t="n">
        <v>0</v>
      </c>
      <c r="DE151" t="n">
        <v>7</v>
      </c>
      <c r="DF151" t="n">
        <v>2</v>
      </c>
      <c r="DG151" t="n">
        <v>0</v>
      </c>
      <c r="DH151" t="n">
        <v>13</v>
      </c>
      <c r="DI151" t="n">
        <v>19</v>
      </c>
      <c r="DK151" t="n">
        <v>1</v>
      </c>
      <c r="DL151" t="n">
        <v>4</v>
      </c>
      <c r="DM151" t="n">
        <v>5</v>
      </c>
      <c r="DN151" t="n">
        <v>1</v>
      </c>
      <c r="DO151" t="n">
        <v>0.4</v>
      </c>
      <c r="DP151" t="n">
        <v>111.56</v>
      </c>
      <c r="DQ151" t="n">
        <v>55.78</v>
      </c>
      <c r="DR151" t="n">
        <v>111.56</v>
      </c>
      <c r="DS151" t="n">
        <v>0</v>
      </c>
      <c r="DT151" t="n">
        <v>2440</v>
      </c>
      <c r="DU151" t="n">
        <v>64.2</v>
      </c>
      <c r="DV151" t="inlineStr">
        <is>
          <t>flat</t>
        </is>
      </c>
      <c r="DW151" t="n">
        <v>98.76000000000001</v>
      </c>
      <c r="DX151" t="n">
        <v>100.74</v>
      </c>
      <c r="DY151" t="n">
        <v>97.7</v>
      </c>
      <c r="DZ151" t="n">
        <v>-1.06</v>
      </c>
      <c r="EA151" t="n">
        <v>201</v>
      </c>
      <c r="EB151" t="n">
        <v>14.46</v>
      </c>
      <c r="EC151" t="n">
        <v>44</v>
      </c>
      <c r="ED151" t="n">
        <v>120</v>
      </c>
      <c r="EE151" t="n">
        <v>298</v>
      </c>
      <c r="EF151" t="b">
        <v>1</v>
      </c>
      <c r="EG151" t="n">
        <v>7.5</v>
      </c>
      <c r="EH151" t="n">
        <v>18.1</v>
      </c>
      <c r="EI151" t="n">
        <v>253</v>
      </c>
      <c r="EJ151" t="n">
        <v>122.3</v>
      </c>
      <c r="EK151" t="n">
        <v>43.7</v>
      </c>
      <c r="EL151" t="n">
        <v>229.2</v>
      </c>
      <c r="EM151" t="n">
        <v>1117.9</v>
      </c>
      <c r="EN151" t="n">
        <v>1565.4</v>
      </c>
      <c r="EO151" t="n">
        <v>652.2</v>
      </c>
      <c r="EP151" t="n">
        <v>20.6</v>
      </c>
    </row>
    <row r="152">
      <c r="A152" t="inlineStr">
        <is>
          <t>Ibrahim Sangaré</t>
        </is>
      </c>
      <c r="B152" t="inlineStr">
        <is>
          <t>NFO</t>
        </is>
      </c>
      <c r="C152" t="inlineStr">
        <is>
          <t>MID</t>
        </is>
      </c>
      <c r="D152" t="inlineStr">
        <is>
          <t>MID</t>
        </is>
      </c>
      <c r="E152" t="n">
        <v>5</v>
      </c>
      <c r="F152" t="b">
        <v>1</v>
      </c>
      <c r="G152" t="b">
        <v>1</v>
      </c>
      <c r="H152" t="n">
        <v>28.7</v>
      </c>
      <c r="I152" t="inlineStr">
        <is>
          <t>a</t>
        </is>
      </c>
      <c r="L152" t="inlineStr">
        <is>
          <t>p210462</t>
        </is>
      </c>
      <c r="M152" t="n">
        <v>488</v>
      </c>
      <c r="Q152" t="n">
        <v>2073</v>
      </c>
      <c r="R152" t="n">
        <v>28</v>
      </c>
      <c r="S152" t="n">
        <v>25</v>
      </c>
      <c r="T152" t="n">
        <v>23.033</v>
      </c>
      <c r="U152" t="n">
        <v>74</v>
      </c>
      <c r="V152" t="n">
        <v>89</v>
      </c>
      <c r="W152" t="n">
        <v>3.864</v>
      </c>
      <c r="X152" t="n">
        <v>2</v>
      </c>
      <c r="Y152" t="n">
        <v>2</v>
      </c>
      <c r="Z152" t="n">
        <v>2</v>
      </c>
      <c r="AA152" t="n">
        <v>8</v>
      </c>
      <c r="AB152" t="n">
        <v>26</v>
      </c>
      <c r="AC152" t="n">
        <v>2</v>
      </c>
      <c r="AD152" t="n">
        <v>2</v>
      </c>
      <c r="AE152" t="n">
        <v>0</v>
      </c>
      <c r="AF152" t="n">
        <v>366</v>
      </c>
      <c r="AG152" t="n">
        <v>349</v>
      </c>
      <c r="AH152" t="n">
        <v>-17</v>
      </c>
      <c r="AI152" t="n">
        <v>89</v>
      </c>
      <c r="AJ152" t="n">
        <v>0.022</v>
      </c>
      <c r="AK152" t="n">
        <v>0.023</v>
      </c>
      <c r="AL152" t="n">
        <v>267</v>
      </c>
      <c r="AM152" t="n">
        <v>11.592</v>
      </c>
      <c r="AN152" t="n">
        <v>9</v>
      </c>
      <c r="AO152" t="n">
        <v>18</v>
      </c>
      <c r="AP152" t="n">
        <v>0.36</v>
      </c>
      <c r="AQ152" t="n">
        <v>0.48</v>
      </c>
      <c r="AR152" t="n">
        <v>0.36</v>
      </c>
      <c r="AS152" t="n">
        <v>0.658</v>
      </c>
      <c r="AT152" t="n">
        <v>0.786</v>
      </c>
      <c r="AU152" t="n">
        <v>13</v>
      </c>
      <c r="AV152" t="n">
        <v>1</v>
      </c>
      <c r="AW152" t="n">
        <v>3.08</v>
      </c>
      <c r="AX152" t="n">
        <v>18</v>
      </c>
      <c r="AY152" t="n">
        <v>1.16</v>
      </c>
      <c r="AZ152" t="n">
        <v>1.57</v>
      </c>
      <c r="BA152" t="n">
        <v>1.365</v>
      </c>
      <c r="BB152" t="n">
        <v>1.57</v>
      </c>
      <c r="BC152" t="n">
        <v>0.05</v>
      </c>
      <c r="BD152" t="n">
        <v>0.068</v>
      </c>
      <c r="BE152" t="n">
        <v>0.059</v>
      </c>
      <c r="BF152" t="n">
        <v>2</v>
      </c>
      <c r="BG152" t="n">
        <v>0.08699999999999999</v>
      </c>
      <c r="BH152" t="n">
        <v>1.015</v>
      </c>
      <c r="BI152" t="n">
        <v>1.85</v>
      </c>
      <c r="BJ152" t="n">
        <v>1.178</v>
      </c>
      <c r="BK152" t="n">
        <v>0.051</v>
      </c>
      <c r="BL152" t="n">
        <v>0.635</v>
      </c>
      <c r="BM152" t="n">
        <v>0.84</v>
      </c>
      <c r="BN152" t="n">
        <v>0</v>
      </c>
      <c r="BO152" t="n">
        <v>-0.41</v>
      </c>
      <c r="BP152" t="n">
        <v>16</v>
      </c>
      <c r="BQ152" t="n">
        <v>5</v>
      </c>
      <c r="BR152" t="n">
        <v>1</v>
      </c>
      <c r="BS152" t="n">
        <v>18</v>
      </c>
      <c r="BT152" t="n">
        <v>0.781</v>
      </c>
      <c r="BW152" t="n">
        <v>1.8</v>
      </c>
      <c r="BX152" t="n">
        <v>1.449</v>
      </c>
      <c r="BY152" t="n">
        <v>1.625</v>
      </c>
      <c r="BZ152" t="n">
        <v>0.07099999999999999</v>
      </c>
      <c r="CA152" t="n">
        <v>2.99</v>
      </c>
      <c r="CB152" t="n">
        <v>0.13</v>
      </c>
      <c r="CC152" t="n">
        <v>12</v>
      </c>
      <c r="CD152" t="n">
        <v>2</v>
      </c>
      <c r="CE152" t="n">
        <v>12</v>
      </c>
      <c r="CG152" t="n">
        <v>2</v>
      </c>
      <c r="CI152" t="n">
        <v>7.422</v>
      </c>
      <c r="CJ152" t="n">
        <v>5.289</v>
      </c>
      <c r="CK152" t="n">
        <v>95</v>
      </c>
      <c r="CL152" t="n">
        <v>114</v>
      </c>
      <c r="CM152" t="n">
        <v>58</v>
      </c>
      <c r="CN152" t="n">
        <v>30</v>
      </c>
      <c r="CO152" t="n">
        <v>25</v>
      </c>
      <c r="CP152" t="n">
        <v>50</v>
      </c>
      <c r="CQ152" t="n">
        <v>19</v>
      </c>
      <c r="CR152" t="n">
        <v>111</v>
      </c>
      <c r="CS152" t="n">
        <v>24</v>
      </c>
      <c r="CT152" t="n">
        <v>0.3</v>
      </c>
      <c r="CV152" t="n">
        <v>3</v>
      </c>
      <c r="CW152" t="n">
        <v>33.17</v>
      </c>
      <c r="CX152" t="n">
        <v>1.44</v>
      </c>
      <c r="CY152" t="n">
        <v>0</v>
      </c>
      <c r="DB152" t="n">
        <v>0</v>
      </c>
      <c r="DE152" t="n">
        <v>6.94</v>
      </c>
      <c r="DF152" t="n">
        <v>5</v>
      </c>
      <c r="DG152" t="n">
        <v>0</v>
      </c>
      <c r="DH152" t="n">
        <v>42</v>
      </c>
      <c r="DI152" t="n">
        <v>18</v>
      </c>
      <c r="DK152" t="n">
        <v>2</v>
      </c>
      <c r="DL152" t="n">
        <v>11</v>
      </c>
      <c r="DM152" t="n">
        <v>15</v>
      </c>
      <c r="DO152" t="n">
        <v>0.6</v>
      </c>
      <c r="DP152" t="n">
        <v>126.86</v>
      </c>
      <c r="DQ152" t="n">
        <v>63.43</v>
      </c>
      <c r="DR152" t="n">
        <v>126.86</v>
      </c>
      <c r="DS152" t="n">
        <v>0</v>
      </c>
      <c r="DT152" t="n">
        <v>2998</v>
      </c>
      <c r="DU152" t="n">
        <v>78.90000000000001</v>
      </c>
      <c r="DV152" t="inlineStr">
        <is>
          <t>flat</t>
        </is>
      </c>
      <c r="DW152" t="n">
        <v>91.03</v>
      </c>
      <c r="DX152" t="n">
        <v>99.92</v>
      </c>
      <c r="DY152" t="n">
        <v>89</v>
      </c>
      <c r="DZ152" t="n">
        <v>-2.02</v>
      </c>
      <c r="EA152" t="n">
        <v>21</v>
      </c>
      <c r="EB152" t="n">
        <v>17.59</v>
      </c>
      <c r="EC152" t="n">
        <v>41.6</v>
      </c>
      <c r="ED152" t="n">
        <v>120</v>
      </c>
      <c r="EE152" t="n">
        <v>37</v>
      </c>
      <c r="EF152" t="b">
        <v>1</v>
      </c>
      <c r="EG152" t="n">
        <v>0.8</v>
      </c>
      <c r="EH152" t="n">
        <v>9.800000000000001</v>
      </c>
      <c r="EI152" t="n">
        <v>254</v>
      </c>
      <c r="EJ152" t="n">
        <v>129.6</v>
      </c>
      <c r="EK152" t="n">
        <v>115.2</v>
      </c>
      <c r="EL152" t="n">
        <v>172.8</v>
      </c>
      <c r="EM152" t="n">
        <v>1518.5</v>
      </c>
      <c r="EN152" t="n">
        <v>1276</v>
      </c>
      <c r="EO152" t="n">
        <v>693.4</v>
      </c>
      <c r="EP152" t="n">
        <v>23.3</v>
      </c>
    </row>
    <row r="153">
      <c r="A153" t="inlineStr">
        <is>
          <t>Callum Hudson-Odoi</t>
        </is>
      </c>
      <c r="B153" t="inlineStr">
        <is>
          <t>NFO</t>
        </is>
      </c>
      <c r="C153" t="inlineStr">
        <is>
          <t>MID</t>
        </is>
      </c>
      <c r="D153" t="inlineStr">
        <is>
          <t>MID</t>
        </is>
      </c>
      <c r="E153" t="n">
        <v>6</v>
      </c>
      <c r="F153" t="b">
        <v>1</v>
      </c>
      <c r="G153" t="b">
        <v>1</v>
      </c>
      <c r="H153" t="n">
        <v>25.8</v>
      </c>
      <c r="I153" t="inlineStr">
        <is>
          <t>a</t>
        </is>
      </c>
      <c r="K153" t="n">
        <v>100</v>
      </c>
      <c r="L153" t="inlineStr">
        <is>
          <t>p209046</t>
        </is>
      </c>
      <c r="M153" t="n">
        <v>482</v>
      </c>
      <c r="P153" t="n">
        <v>4</v>
      </c>
      <c r="Q153" t="n">
        <v>1838</v>
      </c>
      <c r="R153" t="n">
        <v>30</v>
      </c>
      <c r="S153" t="n">
        <v>21</v>
      </c>
      <c r="T153" t="n">
        <v>20.422</v>
      </c>
      <c r="U153" t="n">
        <v>61.3</v>
      </c>
      <c r="V153" t="n">
        <v>88</v>
      </c>
      <c r="W153" t="n">
        <v>4.309</v>
      </c>
      <c r="X153" t="n">
        <v>3</v>
      </c>
      <c r="Y153" t="n">
        <v>4</v>
      </c>
      <c r="Z153" t="n">
        <v>4</v>
      </c>
      <c r="AA153" t="n">
        <v>6</v>
      </c>
      <c r="AB153" t="n">
        <v>26</v>
      </c>
      <c r="AC153" t="n">
        <v>8</v>
      </c>
      <c r="AD153" t="n">
        <v>8</v>
      </c>
      <c r="AE153" t="n">
        <v>0</v>
      </c>
      <c r="AF153" t="n">
        <v>358</v>
      </c>
      <c r="AG153" t="n">
        <v>355</v>
      </c>
      <c r="AH153" t="n">
        <v>-3</v>
      </c>
      <c r="AI153" t="n">
        <v>88</v>
      </c>
      <c r="AJ153" t="n">
        <v>0.091</v>
      </c>
      <c r="AK153" t="n">
        <v>0.1</v>
      </c>
      <c r="AL153" t="n">
        <v>106</v>
      </c>
      <c r="AM153" t="n">
        <v>5.19</v>
      </c>
      <c r="AN153" t="n">
        <v>0</v>
      </c>
      <c r="AO153" t="n">
        <v>0</v>
      </c>
      <c r="AP153" t="n">
        <v>0</v>
      </c>
      <c r="AQ153" t="n">
        <v>0.048</v>
      </c>
      <c r="AR153" t="n">
        <v>0</v>
      </c>
      <c r="AS153" t="n">
        <v>0.553</v>
      </c>
      <c r="AT153" t="n">
        <v>0.5669999999999999</v>
      </c>
      <c r="AU153" t="n">
        <v>21</v>
      </c>
      <c r="AV153" t="n">
        <v>2</v>
      </c>
      <c r="AW153" t="n">
        <v>3.46</v>
      </c>
      <c r="AX153" t="n">
        <v>19</v>
      </c>
      <c r="AY153" t="n">
        <v>2.77</v>
      </c>
      <c r="AZ153" t="n">
        <v>2.952</v>
      </c>
      <c r="BA153" t="n">
        <v>2.861</v>
      </c>
      <c r="BB153" t="n">
        <v>2.952</v>
      </c>
      <c r="BC153" t="n">
        <v>0.136</v>
      </c>
      <c r="BD153" t="n">
        <v>0.145</v>
      </c>
      <c r="BE153" t="n">
        <v>0.14</v>
      </c>
      <c r="BF153" t="n">
        <v>2.7</v>
      </c>
      <c r="BG153" t="n">
        <v>0.132</v>
      </c>
      <c r="BH153" t="n">
        <v>1.167</v>
      </c>
      <c r="BI153" t="n">
        <v>7.94</v>
      </c>
      <c r="BJ153" t="n">
        <v>3.232</v>
      </c>
      <c r="BK153" t="n">
        <v>0.158</v>
      </c>
      <c r="BL153" t="n">
        <v>0.139</v>
      </c>
      <c r="BM153" t="n">
        <v>-0.07000000000000001</v>
      </c>
      <c r="BN153" t="n">
        <v>0.3</v>
      </c>
      <c r="BO153" t="n">
        <v>-0.182</v>
      </c>
      <c r="BP153" t="n">
        <v>30</v>
      </c>
      <c r="BQ153" t="n">
        <v>10</v>
      </c>
      <c r="BR153" t="n">
        <v>1</v>
      </c>
      <c r="BS153" t="n">
        <v>66</v>
      </c>
      <c r="BT153" t="n">
        <v>3.232</v>
      </c>
      <c r="BW153" t="n">
        <v>3.02</v>
      </c>
      <c r="BX153" t="n">
        <v>3.934</v>
      </c>
      <c r="BY153" t="n">
        <v>3.477</v>
      </c>
      <c r="BZ153" t="n">
        <v>0.17</v>
      </c>
      <c r="CA153" t="n">
        <v>6.338</v>
      </c>
      <c r="CB153" t="n">
        <v>0.31</v>
      </c>
      <c r="CC153" t="n">
        <v>44</v>
      </c>
      <c r="CD153" t="n">
        <v>5</v>
      </c>
      <c r="CE153" t="n">
        <v>44</v>
      </c>
      <c r="CF153" t="n">
        <v>13</v>
      </c>
      <c r="CH153" t="n">
        <v>7</v>
      </c>
      <c r="CI153" t="n">
        <v>11.128</v>
      </c>
      <c r="CJ153" t="n">
        <v>5.729</v>
      </c>
      <c r="CK153" t="n">
        <v>24</v>
      </c>
      <c r="CL153" t="n">
        <v>68</v>
      </c>
      <c r="CM153" t="n">
        <v>14</v>
      </c>
      <c r="CN153" t="n">
        <v>7</v>
      </c>
      <c r="CO153" t="n">
        <v>8</v>
      </c>
      <c r="CP153" t="n">
        <v>14</v>
      </c>
      <c r="CQ153" t="n">
        <v>2</v>
      </c>
      <c r="CR153" t="n">
        <v>59</v>
      </c>
      <c r="CS153" t="n">
        <v>3</v>
      </c>
      <c r="CT153" t="n">
        <v>0.4</v>
      </c>
      <c r="CV153" t="n">
        <v>1</v>
      </c>
      <c r="CW153" t="n">
        <v>30.88</v>
      </c>
      <c r="CX153" t="n">
        <v>1.512</v>
      </c>
      <c r="CY153" t="n">
        <v>0</v>
      </c>
      <c r="DB153" t="n">
        <v>0</v>
      </c>
      <c r="DE153" t="n">
        <v>6.85</v>
      </c>
      <c r="DF153" t="n">
        <v>0</v>
      </c>
      <c r="DG153" t="n">
        <v>0</v>
      </c>
      <c r="DH153" t="n">
        <v>12</v>
      </c>
      <c r="DI153" t="n">
        <v>12</v>
      </c>
      <c r="DL153" t="n">
        <v>30</v>
      </c>
      <c r="DM153" t="n">
        <v>22</v>
      </c>
      <c r="DN153" t="n">
        <v>3</v>
      </c>
      <c r="DO153" t="n">
        <v>0.1</v>
      </c>
      <c r="DP153" t="n">
        <v>50.18</v>
      </c>
      <c r="DQ153" t="n">
        <v>25.09</v>
      </c>
      <c r="DR153" t="n">
        <v>50.18</v>
      </c>
      <c r="DS153" t="n">
        <v>0</v>
      </c>
      <c r="DT153" t="n">
        <v>739</v>
      </c>
      <c r="DU153" t="n">
        <v>19.44</v>
      </c>
      <c r="DV153" t="inlineStr">
        <is>
          <t>flat</t>
        </is>
      </c>
      <c r="DW153" t="n">
        <v>82.87</v>
      </c>
      <c r="DX153" t="n">
        <v>81.31</v>
      </c>
      <c r="DY153" t="n">
        <v>82.98</v>
      </c>
      <c r="DZ153" t="n">
        <v>0.12</v>
      </c>
      <c r="EA153" t="n">
        <v>184</v>
      </c>
      <c r="EB153" t="n">
        <v>20.8</v>
      </c>
      <c r="EC153" t="n">
        <v>16.8</v>
      </c>
      <c r="ED153" t="n">
        <v>120</v>
      </c>
      <c r="EE153" t="n">
        <v>211</v>
      </c>
      <c r="EF153" t="b">
        <v>1</v>
      </c>
      <c r="EG153" t="n">
        <v>4.8</v>
      </c>
      <c r="EH153" t="n">
        <v>9.4</v>
      </c>
      <c r="EI153" t="n">
        <v>87</v>
      </c>
      <c r="EJ153" t="n">
        <v>61.3</v>
      </c>
      <c r="EK153" t="n">
        <v>27.8</v>
      </c>
      <c r="EL153" t="n">
        <v>41.8</v>
      </c>
      <c r="EM153" t="n">
        <v>642.5</v>
      </c>
      <c r="EN153" t="n">
        <v>528.6</v>
      </c>
      <c r="EO153" t="n">
        <v>290</v>
      </c>
      <c r="EP153" t="n">
        <v>20.9</v>
      </c>
    </row>
    <row r="154">
      <c r="A154" t="inlineStr">
        <is>
          <t>Georginio Rutter</t>
        </is>
      </c>
      <c r="B154" t="inlineStr">
        <is>
          <t>BHA</t>
        </is>
      </c>
      <c r="C154" t="inlineStr">
        <is>
          <t>FWD</t>
        </is>
      </c>
      <c r="D154" t="inlineStr">
        <is>
          <t>MID</t>
        </is>
      </c>
      <c r="E154" t="n">
        <v>5.5</v>
      </c>
      <c r="F154" t="b">
        <v>1</v>
      </c>
      <c r="G154" t="b">
        <v>1</v>
      </c>
      <c r="H154" t="n">
        <v>24.3</v>
      </c>
      <c r="I154" t="inlineStr">
        <is>
          <t>a</t>
        </is>
      </c>
      <c r="L154" t="inlineStr">
        <is>
          <t>p463067</t>
        </is>
      </c>
      <c r="M154" t="n">
        <v>125</v>
      </c>
      <c r="Q154" t="n">
        <v>1776</v>
      </c>
      <c r="R154" t="n">
        <v>32</v>
      </c>
      <c r="S154" t="n">
        <v>20</v>
      </c>
      <c r="T154" t="n">
        <v>19.733</v>
      </c>
      <c r="U154" t="n">
        <v>55.5</v>
      </c>
      <c r="V154" t="n">
        <v>87</v>
      </c>
      <c r="W154" t="n">
        <v>4.409</v>
      </c>
      <c r="X154" t="n">
        <v>3</v>
      </c>
      <c r="Y154" t="n">
        <v>5</v>
      </c>
      <c r="Z154" t="n">
        <v>3</v>
      </c>
      <c r="AA154" t="n">
        <v>7</v>
      </c>
      <c r="AB154" t="n">
        <v>20</v>
      </c>
      <c r="AC154" t="n">
        <v>2</v>
      </c>
      <c r="AD154" t="n">
        <v>2</v>
      </c>
      <c r="AE154" t="n">
        <v>0</v>
      </c>
      <c r="AF154" t="n">
        <v>290</v>
      </c>
      <c r="AG154" t="n">
        <v>279</v>
      </c>
      <c r="AH154" t="n">
        <v>-11</v>
      </c>
      <c r="AI154" t="n">
        <v>87</v>
      </c>
      <c r="AJ154" t="n">
        <v>0.023</v>
      </c>
      <c r="AK154" t="n">
        <v>0.024</v>
      </c>
      <c r="AL154" t="n">
        <v>131</v>
      </c>
      <c r="AM154" t="n">
        <v>6.639</v>
      </c>
      <c r="AN154" t="n">
        <v>1</v>
      </c>
      <c r="AO154" t="n">
        <v>2</v>
      </c>
      <c r="AP154" t="n">
        <v>0.05</v>
      </c>
      <c r="AQ154" t="n">
        <v>0.05</v>
      </c>
      <c r="AR154" t="n">
        <v>0.05</v>
      </c>
      <c r="AS154" t="n">
        <v>0.526</v>
      </c>
      <c r="AT154" t="n">
        <v>0.5620000000000001</v>
      </c>
      <c r="AU154" t="n">
        <v>21</v>
      </c>
      <c r="AV154" t="n">
        <v>0</v>
      </c>
      <c r="AW154" t="n">
        <v>2.34</v>
      </c>
      <c r="AX154" t="n">
        <v>8</v>
      </c>
      <c r="AY154" t="n">
        <v>2.9</v>
      </c>
      <c r="AZ154" t="n">
        <v>2.933</v>
      </c>
      <c r="BA154" t="n">
        <v>2.917</v>
      </c>
      <c r="BB154" t="n">
        <v>2.933</v>
      </c>
      <c r="BC154" t="n">
        <v>0.147</v>
      </c>
      <c r="BD154" t="n">
        <v>0.149</v>
      </c>
      <c r="BE154" t="n">
        <v>0.148</v>
      </c>
      <c r="BF154" t="n">
        <v>3.3</v>
      </c>
      <c r="BG154" t="n">
        <v>0.167</v>
      </c>
      <c r="BH154" t="n">
        <v>0.97</v>
      </c>
      <c r="BI154" t="n">
        <v>7.88</v>
      </c>
      <c r="BJ154" t="n">
        <v>2.812</v>
      </c>
      <c r="BK154" t="n">
        <v>0.142</v>
      </c>
      <c r="BL154" t="n">
        <v>0.083</v>
      </c>
      <c r="BM154" t="n">
        <v>0.4</v>
      </c>
      <c r="BN154" t="n">
        <v>-0.3</v>
      </c>
      <c r="BO154" t="n">
        <v>-0.033</v>
      </c>
      <c r="BP154" t="n">
        <v>42</v>
      </c>
      <c r="BQ154" t="n">
        <v>14</v>
      </c>
      <c r="BR154" t="n">
        <v>3</v>
      </c>
      <c r="BS154" t="n">
        <v>100</v>
      </c>
      <c r="BT154" t="n">
        <v>5.068</v>
      </c>
      <c r="BW154" t="n">
        <v>2.9</v>
      </c>
      <c r="BX154" t="n">
        <v>4.599</v>
      </c>
      <c r="BY154" t="n">
        <v>3.749</v>
      </c>
      <c r="BZ154" t="n">
        <v>0.19</v>
      </c>
      <c r="CA154" t="n">
        <v>6.666</v>
      </c>
      <c r="CB154" t="n">
        <v>0.338</v>
      </c>
      <c r="CC154" t="n">
        <v>25</v>
      </c>
      <c r="CD154" t="n">
        <v>8</v>
      </c>
      <c r="CE154" t="n">
        <v>25</v>
      </c>
      <c r="CF154" t="n">
        <v>3</v>
      </c>
      <c r="CG154" t="n">
        <v>5</v>
      </c>
      <c r="CH154" t="n">
        <v>0</v>
      </c>
      <c r="CI154" t="n">
        <v>10.858</v>
      </c>
      <c r="CJ154" t="n">
        <v>4.214</v>
      </c>
      <c r="CK154" t="n">
        <v>38</v>
      </c>
      <c r="CL154" t="n">
        <v>61</v>
      </c>
      <c r="CM154" t="n">
        <v>32</v>
      </c>
      <c r="CN154" t="n">
        <v>20</v>
      </c>
      <c r="CO154" t="n">
        <v>11</v>
      </c>
      <c r="CP154" t="n">
        <v>26</v>
      </c>
      <c r="CQ154" t="n">
        <v>1</v>
      </c>
      <c r="CR154" t="n">
        <v>113</v>
      </c>
      <c r="CS154" t="n">
        <v>19</v>
      </c>
      <c r="CT154" t="n">
        <v>1</v>
      </c>
      <c r="CW154" t="n">
        <v>21.59</v>
      </c>
      <c r="CX154" t="n">
        <v>1.094</v>
      </c>
      <c r="CY154" t="n">
        <v>0</v>
      </c>
      <c r="DB154" t="n">
        <v>0</v>
      </c>
      <c r="DE154" t="n">
        <v>6.6</v>
      </c>
      <c r="DF154" t="n">
        <v>2</v>
      </c>
      <c r="DG154" t="n">
        <v>0</v>
      </c>
      <c r="DH154" t="n">
        <v>30</v>
      </c>
      <c r="DI154" t="n">
        <v>34</v>
      </c>
      <c r="DJ154" t="n">
        <v>1</v>
      </c>
      <c r="DL154" t="n">
        <v>28</v>
      </c>
      <c r="DM154" t="n">
        <v>59</v>
      </c>
      <c r="DN154" t="n">
        <v>11</v>
      </c>
      <c r="DO154" t="n">
        <v>1</v>
      </c>
      <c r="DP154" t="n">
        <v>129.32</v>
      </c>
      <c r="DQ154" t="n">
        <v>65.08</v>
      </c>
      <c r="DR154" t="n">
        <v>130.16</v>
      </c>
      <c r="DS154" t="n">
        <v>-0.84</v>
      </c>
      <c r="DT154" t="n">
        <v>2611</v>
      </c>
      <c r="DU154" t="n">
        <v>68.7</v>
      </c>
      <c r="DV154" t="inlineStr">
        <is>
          <t>flat</t>
        </is>
      </c>
      <c r="DW154" t="n">
        <v>82.31</v>
      </c>
      <c r="DX154" t="n">
        <v>90.59</v>
      </c>
      <c r="DY154" t="n">
        <v>78.12</v>
      </c>
      <c r="DZ154" t="n">
        <v>-4.19</v>
      </c>
      <c r="EA154" t="n">
        <v>823</v>
      </c>
      <c r="EB154" t="n">
        <v>25.17</v>
      </c>
      <c r="EC154" t="n">
        <v>13.6</v>
      </c>
      <c r="ED154" t="n">
        <v>120</v>
      </c>
      <c r="EE154" t="n">
        <v>1273</v>
      </c>
      <c r="EF154" t="b">
        <v>1</v>
      </c>
      <c r="EG154" t="n">
        <v>28.7</v>
      </c>
      <c r="EH154" t="n">
        <v>8.9</v>
      </c>
      <c r="EI154" t="n">
        <v>141</v>
      </c>
      <c r="EJ154" t="n">
        <v>42.3</v>
      </c>
      <c r="EK154" t="n">
        <v>17.8</v>
      </c>
      <c r="EL154" t="n">
        <v>71</v>
      </c>
      <c r="EM154" t="n">
        <v>608.9</v>
      </c>
      <c r="EN154" t="n">
        <v>473.7</v>
      </c>
      <c r="EO154" t="n">
        <v>266.4</v>
      </c>
      <c r="EP154" t="n">
        <v>20.4</v>
      </c>
    </row>
    <row r="155">
      <c r="A155" t="inlineStr">
        <is>
          <t>Piero Hincapié</t>
        </is>
      </c>
      <c r="B155" t="inlineStr">
        <is>
          <t>ARS</t>
        </is>
      </c>
      <c r="C155" t="inlineStr">
        <is>
          <t>DEF</t>
        </is>
      </c>
      <c r="D155" t="inlineStr">
        <is>
          <t>DEF</t>
        </is>
      </c>
      <c r="E155" t="n">
        <v>5.5</v>
      </c>
      <c r="F155" t="b">
        <v>1</v>
      </c>
      <c r="G155" t="b">
        <v>1</v>
      </c>
      <c r="H155" t="n">
        <v>24.6</v>
      </c>
      <c r="I155" t="inlineStr">
        <is>
          <t>a</t>
        </is>
      </c>
      <c r="L155" t="inlineStr">
        <is>
          <t>p448104</t>
        </is>
      </c>
      <c r="M155" t="n">
        <v>9</v>
      </c>
      <c r="Q155" t="n">
        <v>1787</v>
      </c>
      <c r="R155" t="n">
        <v>25</v>
      </c>
      <c r="S155" t="n">
        <v>20</v>
      </c>
      <c r="T155" t="n">
        <v>19.856</v>
      </c>
      <c r="U155" t="n">
        <v>71.5</v>
      </c>
      <c r="V155" t="n">
        <v>87</v>
      </c>
      <c r="W155" t="n">
        <v>4.382</v>
      </c>
      <c r="X155" t="n">
        <v>1</v>
      </c>
      <c r="Y155" t="n">
        <v>2</v>
      </c>
      <c r="Z155" t="n">
        <v>2</v>
      </c>
      <c r="AA155" t="n">
        <v>5</v>
      </c>
      <c r="AB155" t="n">
        <v>19</v>
      </c>
      <c r="AC155" t="n">
        <v>7</v>
      </c>
      <c r="AD155" t="n">
        <v>5</v>
      </c>
      <c r="AE155" t="n">
        <v>-2</v>
      </c>
      <c r="AF155" t="n">
        <v>335</v>
      </c>
      <c r="AG155" t="n">
        <v>309</v>
      </c>
      <c r="AH155" t="n">
        <v>-26</v>
      </c>
      <c r="AI155" t="n">
        <v>85</v>
      </c>
      <c r="AJ155" t="n">
        <v>0.08</v>
      </c>
      <c r="AK155" t="n">
        <v>0.08799999999999999</v>
      </c>
      <c r="AL155" t="n">
        <v>171</v>
      </c>
      <c r="AM155" t="n">
        <v>8.612</v>
      </c>
      <c r="AN155" t="n">
        <v>7</v>
      </c>
      <c r="AO155" t="n">
        <v>14</v>
      </c>
      <c r="AP155" t="n">
        <v>0.35</v>
      </c>
      <c r="AQ155" t="n">
        <v>0.35</v>
      </c>
      <c r="AR155" t="n">
        <v>0.25</v>
      </c>
      <c r="AS155" t="n">
        <v>0.526</v>
      </c>
      <c r="AT155" t="n">
        <v>0.72</v>
      </c>
      <c r="AU155" t="n">
        <v>14</v>
      </c>
      <c r="AV155" t="n">
        <v>1</v>
      </c>
      <c r="AW155" t="n">
        <v>3.15</v>
      </c>
      <c r="AX155" t="n">
        <v>10</v>
      </c>
      <c r="AY155" t="n">
        <v>0.36</v>
      </c>
      <c r="AZ155" t="n">
        <v>0.413</v>
      </c>
      <c r="BA155" t="n">
        <v>0.386</v>
      </c>
      <c r="BB155" t="n">
        <v>0.413</v>
      </c>
      <c r="BC155" t="n">
        <v>0.018</v>
      </c>
      <c r="BD155" t="n">
        <v>0.021</v>
      </c>
      <c r="BE155" t="n">
        <v>0.019</v>
      </c>
      <c r="BF155" t="n">
        <v>0.3</v>
      </c>
      <c r="BG155" t="n">
        <v>0.015</v>
      </c>
      <c r="BH155" t="n">
        <v>0.993</v>
      </c>
      <c r="BI155" t="n">
        <v>0.36</v>
      </c>
      <c r="BJ155" t="n">
        <v>0.357</v>
      </c>
      <c r="BK155" t="n">
        <v>0.018</v>
      </c>
      <c r="BL155" t="n">
        <v>0.614</v>
      </c>
      <c r="BM155" t="n">
        <v>-0.06</v>
      </c>
      <c r="BN155" t="n">
        <v>0.7</v>
      </c>
      <c r="BO155" t="n">
        <v>-0.053</v>
      </c>
      <c r="BP155" t="n">
        <v>3</v>
      </c>
      <c r="BQ155" t="n">
        <v>2</v>
      </c>
      <c r="BR155" t="n">
        <v>0</v>
      </c>
      <c r="BS155" t="n">
        <v>26</v>
      </c>
      <c r="BT155" t="n">
        <v>1.309</v>
      </c>
      <c r="BW155" t="n">
        <v>1.67</v>
      </c>
      <c r="BX155" t="n">
        <v>2.127</v>
      </c>
      <c r="BY155" t="n">
        <v>1.899</v>
      </c>
      <c r="BZ155" t="n">
        <v>0.096</v>
      </c>
      <c r="CA155" t="n">
        <v>2.285</v>
      </c>
      <c r="CB155" t="n">
        <v>0.115</v>
      </c>
      <c r="CC155" t="n">
        <v>13</v>
      </c>
      <c r="CD155" t="n">
        <v>2</v>
      </c>
      <c r="CE155" t="n">
        <v>13</v>
      </c>
      <c r="CF155" t="n">
        <v>4</v>
      </c>
      <c r="CG155" t="n">
        <v>1</v>
      </c>
      <c r="CI155" t="n">
        <v>8.478999999999999</v>
      </c>
      <c r="CJ155" t="n">
        <v>6.883</v>
      </c>
      <c r="CK155" t="n">
        <v>123</v>
      </c>
      <c r="CL155" t="n">
        <v>63</v>
      </c>
      <c r="CM155" t="n">
        <v>48</v>
      </c>
      <c r="CN155" t="n">
        <v>27</v>
      </c>
      <c r="CO155" t="n">
        <v>26</v>
      </c>
      <c r="CP155" t="n">
        <v>88</v>
      </c>
      <c r="CQ155" t="n">
        <v>9</v>
      </c>
      <c r="CR155" t="n">
        <v>100</v>
      </c>
      <c r="CS155" t="n">
        <v>32</v>
      </c>
      <c r="CT155" t="n">
        <v>0.2</v>
      </c>
      <c r="CW155" t="n">
        <v>17.53</v>
      </c>
      <c r="CX155" t="n">
        <v>0.883</v>
      </c>
      <c r="CY155" t="n">
        <v>0</v>
      </c>
      <c r="DB155" t="n">
        <v>0</v>
      </c>
      <c r="DE155" t="n">
        <v>7.07</v>
      </c>
      <c r="DF155" t="n">
        <v>2</v>
      </c>
      <c r="DG155" t="n">
        <v>0</v>
      </c>
      <c r="DH155" t="n">
        <v>18</v>
      </c>
      <c r="DI155" t="n">
        <v>14</v>
      </c>
      <c r="DL155" t="n">
        <v>7</v>
      </c>
      <c r="DM155" t="n">
        <v>5</v>
      </c>
      <c r="DN155" t="n">
        <v>1</v>
      </c>
      <c r="DO155" t="n">
        <v>3.8</v>
      </c>
      <c r="DP155" t="n">
        <v>53.21</v>
      </c>
      <c r="DQ155" t="n">
        <v>27.51</v>
      </c>
      <c r="DR155" t="n">
        <v>55.02</v>
      </c>
      <c r="DS155" t="n">
        <v>-1.81</v>
      </c>
      <c r="DT155" t="n">
        <v>1043</v>
      </c>
      <c r="DU155" t="n">
        <v>27.45</v>
      </c>
      <c r="DV155" t="inlineStr">
        <is>
          <t>flat</t>
        </is>
      </c>
      <c r="DW155" t="n">
        <v>71.34999999999999</v>
      </c>
      <c r="DX155" t="n">
        <v>73.36</v>
      </c>
      <c r="DY155" t="n">
        <v>70.33</v>
      </c>
      <c r="DZ155" t="n">
        <v>-1.03</v>
      </c>
      <c r="EA155" t="n">
        <v>1313</v>
      </c>
      <c r="EB155" t="n">
        <v>21.42</v>
      </c>
      <c r="EC155" t="n">
        <v>4</v>
      </c>
      <c r="ED155" t="n">
        <v>120</v>
      </c>
      <c r="EE155" t="n">
        <v>2545</v>
      </c>
      <c r="EF155" t="b">
        <v>1</v>
      </c>
      <c r="EG155" t="n">
        <v>92.09999999999999</v>
      </c>
      <c r="EH155" t="n">
        <v>43.3</v>
      </c>
      <c r="EI155" t="n">
        <v>140</v>
      </c>
      <c r="EJ155" t="n">
        <v>595.7</v>
      </c>
      <c r="EK155" t="n">
        <v>68.7</v>
      </c>
      <c r="EL155" t="n">
        <v>137.5</v>
      </c>
      <c r="EM155" t="n">
        <v>4625.7</v>
      </c>
      <c r="EN155" t="n">
        <v>941.2</v>
      </c>
      <c r="EO155" t="n">
        <v>782</v>
      </c>
      <c r="EP155" t="n">
        <v>20.5</v>
      </c>
    </row>
    <row r="156">
      <c r="A156" t="inlineStr">
        <is>
          <t>Rodrigo Bentancur</t>
        </is>
      </c>
      <c r="B156" t="inlineStr">
        <is>
          <t>TOT</t>
        </is>
      </c>
      <c r="C156" t="inlineStr">
        <is>
          <t>MID</t>
        </is>
      </c>
      <c r="D156" t="inlineStr">
        <is>
          <t>MID</t>
        </is>
      </c>
      <c r="E156" t="n">
        <v>5.5</v>
      </c>
      <c r="F156" t="b">
        <v>1</v>
      </c>
      <c r="G156" t="b">
        <v>1</v>
      </c>
      <c r="H156" t="n">
        <v>29.2</v>
      </c>
      <c r="I156" t="inlineStr">
        <is>
          <t>a</t>
        </is>
      </c>
      <c r="L156" t="inlineStr">
        <is>
          <t>p202993</t>
        </is>
      </c>
      <c r="M156" t="n">
        <v>516</v>
      </c>
      <c r="Q156" t="n">
        <v>1880</v>
      </c>
      <c r="R156" t="n">
        <v>26</v>
      </c>
      <c r="S156" t="n">
        <v>23</v>
      </c>
      <c r="T156" t="n">
        <v>20.889</v>
      </c>
      <c r="U156" t="n">
        <v>72.3</v>
      </c>
      <c r="V156" t="n">
        <v>86</v>
      </c>
      <c r="W156" t="n">
        <v>4.117</v>
      </c>
      <c r="X156" t="n">
        <v>1</v>
      </c>
      <c r="Y156" t="n">
        <v>1</v>
      </c>
      <c r="Z156" t="n">
        <v>1</v>
      </c>
      <c r="AA156" t="n">
        <v>8</v>
      </c>
      <c r="AB156" t="n">
        <v>25</v>
      </c>
      <c r="AC156" t="n">
        <v>4</v>
      </c>
      <c r="AD156" t="n">
        <v>4</v>
      </c>
      <c r="AE156" t="n">
        <v>0</v>
      </c>
      <c r="AF156" t="n">
        <v>366</v>
      </c>
      <c r="AG156" t="n">
        <v>352</v>
      </c>
      <c r="AH156" t="n">
        <v>-14</v>
      </c>
      <c r="AI156" t="n">
        <v>86</v>
      </c>
      <c r="AJ156" t="n">
        <v>0.047</v>
      </c>
      <c r="AK156" t="n">
        <v>0.049</v>
      </c>
      <c r="AL156" t="n">
        <v>278</v>
      </c>
      <c r="AM156" t="n">
        <v>13.309</v>
      </c>
      <c r="AN156" t="n">
        <v>13</v>
      </c>
      <c r="AO156" t="n">
        <v>26</v>
      </c>
      <c r="AP156" t="n">
        <v>0.5649999999999999</v>
      </c>
      <c r="AQ156" t="n">
        <v>0.783</v>
      </c>
      <c r="AR156" t="n">
        <v>0.5649999999999999</v>
      </c>
      <c r="AS156" t="n">
        <v>0.605</v>
      </c>
      <c r="AT156" t="n">
        <v>0.8080000000000001</v>
      </c>
      <c r="AU156" t="n">
        <v>12</v>
      </c>
      <c r="AV156" t="n">
        <v>1</v>
      </c>
      <c r="AW156" t="n">
        <v>2.61</v>
      </c>
      <c r="AX156" t="n">
        <v>12</v>
      </c>
      <c r="AY156" t="n">
        <v>0.72</v>
      </c>
      <c r="AZ156" t="n">
        <v>0.977</v>
      </c>
      <c r="BA156" t="n">
        <v>0.849</v>
      </c>
      <c r="BB156" t="n">
        <v>0.977</v>
      </c>
      <c r="BC156" t="n">
        <v>0.034</v>
      </c>
      <c r="BD156" t="n">
        <v>0.047</v>
      </c>
      <c r="BE156" t="n">
        <v>0.041</v>
      </c>
      <c r="BF156" t="n">
        <v>0.9</v>
      </c>
      <c r="BG156" t="n">
        <v>0.043</v>
      </c>
      <c r="BH156" t="n">
        <v>1.004</v>
      </c>
      <c r="BI156" t="n">
        <v>6.35</v>
      </c>
      <c r="BJ156" t="n">
        <v>0.723</v>
      </c>
      <c r="BK156" t="n">
        <v>0.035</v>
      </c>
      <c r="BL156" t="n">
        <v>0.151</v>
      </c>
      <c r="BM156" t="n">
        <v>0.18</v>
      </c>
      <c r="BN156" t="n">
        <v>0.1</v>
      </c>
      <c r="BO156" t="n">
        <v>-0.257</v>
      </c>
      <c r="BP156" t="n">
        <v>13</v>
      </c>
      <c r="BQ156" t="n">
        <v>3</v>
      </c>
      <c r="BR156" t="n">
        <v>1</v>
      </c>
      <c r="BS156" t="n">
        <v>29</v>
      </c>
      <c r="BT156" t="n">
        <v>1.388</v>
      </c>
      <c r="BW156" t="n">
        <v>0.84</v>
      </c>
      <c r="BX156" t="n">
        <v>0.877</v>
      </c>
      <c r="BY156" t="n">
        <v>0.859</v>
      </c>
      <c r="BZ156" t="n">
        <v>0.041</v>
      </c>
      <c r="CA156" t="n">
        <v>1.707</v>
      </c>
      <c r="CB156" t="n">
        <v>0.082</v>
      </c>
      <c r="CC156" t="n">
        <v>10</v>
      </c>
      <c r="CD156" t="n">
        <v>1</v>
      </c>
      <c r="CE156" t="n">
        <v>10</v>
      </c>
      <c r="CF156" t="n">
        <v>1</v>
      </c>
      <c r="CI156" t="n">
        <v>4.669</v>
      </c>
      <c r="CJ156" t="n">
        <v>4.176</v>
      </c>
      <c r="CK156" t="n">
        <v>91</v>
      </c>
      <c r="CL156" t="n">
        <v>131</v>
      </c>
      <c r="CM156" t="n">
        <v>56</v>
      </c>
      <c r="CN156" t="n">
        <v>36</v>
      </c>
      <c r="CO156" t="n">
        <v>35</v>
      </c>
      <c r="CP156" t="n">
        <v>48</v>
      </c>
      <c r="CQ156" t="n">
        <v>7</v>
      </c>
      <c r="CR156" t="n">
        <v>115</v>
      </c>
      <c r="CS156" t="n">
        <v>31</v>
      </c>
      <c r="CT156" t="n">
        <v>0.3</v>
      </c>
      <c r="CV156" t="n">
        <v>2</v>
      </c>
      <c r="CW156" t="n">
        <v>23.65</v>
      </c>
      <c r="CX156" t="n">
        <v>1.132</v>
      </c>
      <c r="CY156" t="n">
        <v>0</v>
      </c>
      <c r="DB156" t="n">
        <v>0</v>
      </c>
      <c r="DE156" t="n">
        <v>7.11</v>
      </c>
      <c r="DF156" t="n">
        <v>7</v>
      </c>
      <c r="DG156" t="n">
        <v>0</v>
      </c>
      <c r="DH156" t="n">
        <v>19</v>
      </c>
      <c r="DI156" t="n">
        <v>8</v>
      </c>
      <c r="DK156" t="n">
        <v>1</v>
      </c>
      <c r="DL156" t="n">
        <v>20</v>
      </c>
      <c r="DM156" t="n">
        <v>8</v>
      </c>
      <c r="DN156" t="n">
        <v>1</v>
      </c>
      <c r="DO156" t="n">
        <v>0.2</v>
      </c>
      <c r="DP156" t="n">
        <v>31.85</v>
      </c>
      <c r="DQ156" t="n">
        <v>17.37</v>
      </c>
      <c r="DR156" t="n">
        <v>34.74</v>
      </c>
      <c r="DS156" t="n">
        <v>-2.89</v>
      </c>
      <c r="DT156" t="n">
        <v>356</v>
      </c>
      <c r="DU156" t="n">
        <v>9.359999999999999</v>
      </c>
      <c r="DV156" t="inlineStr">
        <is>
          <t>fade (losing his place)</t>
        </is>
      </c>
      <c r="DW156" t="n">
        <v>86.47</v>
      </c>
      <c r="DX156" t="n">
        <v>72.5</v>
      </c>
      <c r="DY156" t="n">
        <v>92.73</v>
      </c>
      <c r="DZ156" t="n">
        <v>6.26</v>
      </c>
      <c r="EA156" t="n">
        <v>8</v>
      </c>
      <c r="EB156" t="n">
        <v>21.86</v>
      </c>
      <c r="EC156" t="n">
        <v>36.8</v>
      </c>
      <c r="ED156" t="n">
        <v>118.5</v>
      </c>
      <c r="EE156" t="n">
        <v>13</v>
      </c>
      <c r="EF156" t="b">
        <v>1</v>
      </c>
      <c r="EG156" t="n">
        <v>0.4</v>
      </c>
      <c r="EH156" t="n">
        <v>38.1</v>
      </c>
      <c r="EI156" t="n">
        <v>142</v>
      </c>
      <c r="EJ156" t="n">
        <v>144.6</v>
      </c>
      <c r="EK156" t="n">
        <v>64.8</v>
      </c>
      <c r="EL156" t="n">
        <v>188</v>
      </c>
      <c r="EM156" t="n">
        <v>2215.4</v>
      </c>
      <c r="EN156" t="n">
        <v>2189.4</v>
      </c>
      <c r="EO156" t="n">
        <v>1101.2</v>
      </c>
      <c r="EP156" t="n">
        <v>21.9</v>
      </c>
    </row>
    <row r="157">
      <c r="A157" t="inlineStr">
        <is>
          <t>Milos Kerkez</t>
        </is>
      </c>
      <c r="B157" t="inlineStr">
        <is>
          <t>LIV</t>
        </is>
      </c>
      <c r="C157" t="inlineStr">
        <is>
          <t>DEF</t>
        </is>
      </c>
      <c r="D157" t="inlineStr">
        <is>
          <t>DEF</t>
        </is>
      </c>
      <c r="E157" t="n">
        <v>5.5</v>
      </c>
      <c r="F157" t="b">
        <v>1</v>
      </c>
      <c r="G157" t="b">
        <v>1</v>
      </c>
      <c r="H157" t="n">
        <v>22.8</v>
      </c>
      <c r="I157" t="inlineStr">
        <is>
          <t>a</t>
        </is>
      </c>
      <c r="L157" t="inlineStr">
        <is>
          <t>p544877</t>
        </is>
      </c>
      <c r="M157" t="n">
        <v>358</v>
      </c>
      <c r="Q157" t="n">
        <v>2251</v>
      </c>
      <c r="R157" t="n">
        <v>34</v>
      </c>
      <c r="S157" t="n">
        <v>27</v>
      </c>
      <c r="T157" t="n">
        <v>25.011</v>
      </c>
      <c r="U157" t="n">
        <v>66.2</v>
      </c>
      <c r="V157" t="n">
        <v>85</v>
      </c>
      <c r="W157" t="n">
        <v>3.398</v>
      </c>
      <c r="X157" t="n">
        <v>2</v>
      </c>
      <c r="Y157" t="n">
        <v>1</v>
      </c>
      <c r="Z157" t="n">
        <v>1</v>
      </c>
      <c r="AA157" t="n">
        <v>6</v>
      </c>
      <c r="AB157" t="n">
        <v>37</v>
      </c>
      <c r="AC157" t="n">
        <v>4</v>
      </c>
      <c r="AD157" t="n">
        <v>3</v>
      </c>
      <c r="AE157" t="n">
        <v>-1</v>
      </c>
      <c r="AF157" t="n">
        <v>357</v>
      </c>
      <c r="AG157" t="n">
        <v>339</v>
      </c>
      <c r="AH157" t="n">
        <v>-18</v>
      </c>
      <c r="AI157" t="n">
        <v>84</v>
      </c>
      <c r="AJ157" t="n">
        <v>0.047</v>
      </c>
      <c r="AK157" t="n">
        <v>0.049</v>
      </c>
      <c r="AL157" t="n">
        <v>134</v>
      </c>
      <c r="AM157" t="n">
        <v>5.358</v>
      </c>
      <c r="AN157" t="n">
        <v>1</v>
      </c>
      <c r="AO157" t="n">
        <v>2</v>
      </c>
      <c r="AP157" t="n">
        <v>0.037</v>
      </c>
      <c r="AQ157" t="n">
        <v>0.037</v>
      </c>
      <c r="AR157" t="n">
        <v>0</v>
      </c>
      <c r="AS157" t="n">
        <v>0.711</v>
      </c>
      <c r="AT157" t="n">
        <v>0.676</v>
      </c>
      <c r="AU157" t="n">
        <v>24</v>
      </c>
      <c r="AV157" t="n">
        <v>0</v>
      </c>
      <c r="AW157" t="n">
        <v>2.54</v>
      </c>
      <c r="AX157" t="n">
        <v>9</v>
      </c>
      <c r="AY157" t="n">
        <v>1.5</v>
      </c>
      <c r="AZ157" t="n">
        <v>1.394</v>
      </c>
      <c r="BA157" t="n">
        <v>1.447</v>
      </c>
      <c r="BB157" t="n">
        <v>1.394</v>
      </c>
      <c r="BC157" t="n">
        <v>0.06</v>
      </c>
      <c r="BD157" t="n">
        <v>0.056</v>
      </c>
      <c r="BE157" t="n">
        <v>0.058</v>
      </c>
      <c r="BF157" t="n">
        <v>1.1</v>
      </c>
      <c r="BG157" t="n">
        <v>0.044</v>
      </c>
      <c r="BH157" t="n">
        <v>0.954</v>
      </c>
      <c r="BI157" t="n">
        <v>3.42</v>
      </c>
      <c r="BJ157" t="n">
        <v>1.432</v>
      </c>
      <c r="BK157" t="n">
        <v>0.057</v>
      </c>
      <c r="BL157" t="n">
        <v>0.553</v>
      </c>
      <c r="BM157" t="n">
        <v>-0.4</v>
      </c>
      <c r="BN157" t="n">
        <v>0.9</v>
      </c>
      <c r="BO157" t="n">
        <v>0.106</v>
      </c>
      <c r="BP157" t="n">
        <v>9</v>
      </c>
      <c r="BQ157" t="n">
        <v>2</v>
      </c>
      <c r="BS157" t="n">
        <v>43</v>
      </c>
      <c r="BT157" t="n">
        <v>1.719</v>
      </c>
      <c r="BW157" t="n">
        <v>0.6899999999999999</v>
      </c>
      <c r="BX157" t="n">
        <v>1.863</v>
      </c>
      <c r="BY157" t="n">
        <v>1.277</v>
      </c>
      <c r="BZ157" t="n">
        <v>0.051</v>
      </c>
      <c r="CA157" t="n">
        <v>2.724</v>
      </c>
      <c r="CB157" t="n">
        <v>0.109</v>
      </c>
      <c r="CC157" t="n">
        <v>26</v>
      </c>
      <c r="CD157" t="n">
        <v>3</v>
      </c>
      <c r="CE157" t="n">
        <v>26</v>
      </c>
      <c r="CF157" t="n">
        <v>15</v>
      </c>
      <c r="CI157" t="n">
        <v>9.489000000000001</v>
      </c>
      <c r="CJ157" t="n">
        <v>6.859</v>
      </c>
      <c r="CK157" t="n">
        <v>93</v>
      </c>
      <c r="CL157" t="n">
        <v>88</v>
      </c>
      <c r="CM157" t="n">
        <v>41</v>
      </c>
      <c r="CN157" t="n">
        <v>26</v>
      </c>
      <c r="CO157" t="n">
        <v>14</v>
      </c>
      <c r="CP157" t="n">
        <v>71</v>
      </c>
      <c r="CQ157" t="n">
        <v>8</v>
      </c>
      <c r="CR157" t="n">
        <v>114</v>
      </c>
      <c r="CS157" t="n">
        <v>33</v>
      </c>
      <c r="CT157" t="n">
        <v>0.1</v>
      </c>
      <c r="CU157" t="n">
        <v>1</v>
      </c>
      <c r="CV157" t="n">
        <v>1</v>
      </c>
      <c r="CW157" t="n">
        <v>30.1</v>
      </c>
      <c r="CX157" t="n">
        <v>1.203</v>
      </c>
      <c r="CY157" t="n">
        <v>0</v>
      </c>
      <c r="DB157" t="n">
        <v>0</v>
      </c>
      <c r="DE157" t="n">
        <v>6.89</v>
      </c>
      <c r="DF157" t="n">
        <v>4</v>
      </c>
      <c r="DG157" t="n">
        <v>0</v>
      </c>
      <c r="DH157" t="n">
        <v>22</v>
      </c>
      <c r="DI157" t="n">
        <v>30</v>
      </c>
      <c r="DL157" t="n">
        <v>12</v>
      </c>
      <c r="DM157" t="n">
        <v>7</v>
      </c>
      <c r="DN157" t="n">
        <v>4</v>
      </c>
      <c r="DO157" t="n">
        <v>4.9</v>
      </c>
      <c r="DP157" t="n">
        <v>141.09</v>
      </c>
      <c r="DQ157" t="n">
        <v>70.62</v>
      </c>
      <c r="DR157" t="n">
        <v>141.24</v>
      </c>
      <c r="DS157" t="n">
        <v>-0.15</v>
      </c>
      <c r="DT157" t="n">
        <v>3137</v>
      </c>
      <c r="DU157" t="n">
        <v>82.55</v>
      </c>
      <c r="DV157" t="inlineStr">
        <is>
          <t>flat</t>
        </is>
      </c>
      <c r="DW157" t="n">
        <v>70.84999999999999</v>
      </c>
      <c r="DX157" t="n">
        <v>73.58</v>
      </c>
      <c r="DY157" t="n">
        <v>67.23999999999999</v>
      </c>
      <c r="DZ157" t="n">
        <v>-3.61</v>
      </c>
      <c r="EA157" t="n">
        <v>1456</v>
      </c>
      <c r="EB157" t="n">
        <v>19.9</v>
      </c>
      <c r="EC157" t="n">
        <v>14</v>
      </c>
      <c r="ED157" t="n">
        <v>120</v>
      </c>
      <c r="EE157" t="n">
        <v>3092</v>
      </c>
      <c r="EF157" t="b">
        <v>1</v>
      </c>
      <c r="EG157" t="n">
        <v>96</v>
      </c>
      <c r="EH157" t="n">
        <v>33.9</v>
      </c>
      <c r="EI157" t="n">
        <v>144</v>
      </c>
      <c r="EJ157" t="n">
        <v>250.1</v>
      </c>
      <c r="EK157" t="n">
        <v>52.3</v>
      </c>
      <c r="EL157" t="n">
        <v>86.59999999999999</v>
      </c>
      <c r="EM157" t="n">
        <v>1555.9</v>
      </c>
      <c r="EN157" t="n">
        <v>1763.1</v>
      </c>
      <c r="EO157" t="n">
        <v>826.5</v>
      </c>
      <c r="EP157" t="n">
        <v>26.5</v>
      </c>
    </row>
    <row r="158">
      <c r="A158" t="inlineStr">
        <is>
          <t>Maxim De Cuyper</t>
        </is>
      </c>
      <c r="B158" t="inlineStr">
        <is>
          <t>BHA</t>
        </is>
      </c>
      <c r="C158" t="inlineStr">
        <is>
          <t>DEF</t>
        </is>
      </c>
      <c r="D158" t="inlineStr">
        <is>
          <t>DEF</t>
        </is>
      </c>
      <c r="E158" t="n">
        <v>4.5</v>
      </c>
      <c r="F158" t="b">
        <v>1</v>
      </c>
      <c r="G158" t="b">
        <v>1</v>
      </c>
      <c r="H158" t="n">
        <v>25.7</v>
      </c>
      <c r="I158" t="inlineStr">
        <is>
          <t>a</t>
        </is>
      </c>
      <c r="L158" t="inlineStr">
        <is>
          <t>p465730</t>
        </is>
      </c>
      <c r="M158" t="n">
        <v>115</v>
      </c>
      <c r="O158" t="n">
        <v>4</v>
      </c>
      <c r="P158" t="n">
        <v>3</v>
      </c>
      <c r="Q158" t="n">
        <v>1404</v>
      </c>
      <c r="R158" t="n">
        <v>30</v>
      </c>
      <c r="S158" t="n">
        <v>17</v>
      </c>
      <c r="T158" t="n">
        <v>15.6</v>
      </c>
      <c r="U158" t="n">
        <v>46.8</v>
      </c>
      <c r="V158" t="n">
        <v>84</v>
      </c>
      <c r="W158" t="n">
        <v>5.385</v>
      </c>
      <c r="X158" t="n">
        <v>2</v>
      </c>
      <c r="Y158" t="n">
        <v>3</v>
      </c>
      <c r="Z158" t="n">
        <v>3</v>
      </c>
      <c r="AA158" t="n">
        <v>5</v>
      </c>
      <c r="AB158" t="n">
        <v>23</v>
      </c>
      <c r="AC158" t="n">
        <v>9</v>
      </c>
      <c r="AD158" t="n">
        <v>9</v>
      </c>
      <c r="AE158" t="n">
        <v>0</v>
      </c>
      <c r="AF158" t="n">
        <v>318</v>
      </c>
      <c r="AG158" t="n">
        <v>308</v>
      </c>
      <c r="AH158" t="n">
        <v>-10</v>
      </c>
      <c r="AI158" t="n">
        <v>84</v>
      </c>
      <c r="AJ158" t="n">
        <v>0.107</v>
      </c>
      <c r="AK158" t="n">
        <v>0.12</v>
      </c>
      <c r="AL158" t="n">
        <v>64</v>
      </c>
      <c r="AM158" t="n">
        <v>4.103</v>
      </c>
      <c r="AN158" t="n">
        <v>0</v>
      </c>
      <c r="AO158" t="n">
        <v>0</v>
      </c>
      <c r="AP158" t="n">
        <v>0</v>
      </c>
      <c r="AQ158" t="n">
        <v>0</v>
      </c>
      <c r="AR158" t="n">
        <v>0</v>
      </c>
      <c r="AS158" t="n">
        <v>0.447</v>
      </c>
      <c r="AT158" t="n">
        <v>0.4</v>
      </c>
      <c r="AU158" t="n">
        <v>23</v>
      </c>
      <c r="AV158" t="n">
        <v>2</v>
      </c>
      <c r="AW158" t="n">
        <v>3.71</v>
      </c>
      <c r="AX158" t="n">
        <v>15</v>
      </c>
      <c r="AY158" t="n">
        <v>1.66</v>
      </c>
      <c r="AZ158" t="n">
        <v>1.742</v>
      </c>
      <c r="BA158" t="n">
        <v>1.701</v>
      </c>
      <c r="BB158" t="n">
        <v>1.742</v>
      </c>
      <c r="BC158" t="n">
        <v>0.106</v>
      </c>
      <c r="BD158" t="n">
        <v>0.112</v>
      </c>
      <c r="BE158" t="n">
        <v>0.109</v>
      </c>
      <c r="BF158" t="n">
        <v>1.9</v>
      </c>
      <c r="BG158" t="n">
        <v>0.122</v>
      </c>
      <c r="BH158" t="n">
        <v>1.025</v>
      </c>
      <c r="BI158" t="n">
        <v>1.66</v>
      </c>
      <c r="BJ158" t="n">
        <v>1.701</v>
      </c>
      <c r="BK158" t="n">
        <v>0.109</v>
      </c>
      <c r="BL158" t="n">
        <v>0.299</v>
      </c>
      <c r="BM158" t="n">
        <v>0.24</v>
      </c>
      <c r="BN158" t="n">
        <v>0.1</v>
      </c>
      <c r="BO158" t="n">
        <v>-0.082</v>
      </c>
      <c r="BP158" t="n">
        <v>13</v>
      </c>
      <c r="BQ158" t="n">
        <v>6</v>
      </c>
      <c r="BR158" t="n">
        <v>1</v>
      </c>
      <c r="BS158" t="n">
        <v>29</v>
      </c>
      <c r="BT158" t="n">
        <v>1.859</v>
      </c>
      <c r="BV158" t="n">
        <v>1</v>
      </c>
      <c r="BW158" t="n">
        <v>4.08</v>
      </c>
      <c r="BX158" t="n">
        <v>4.686</v>
      </c>
      <c r="BY158" t="n">
        <v>4.383</v>
      </c>
      <c r="BZ158" t="n">
        <v>0.281</v>
      </c>
      <c r="CA158" t="n">
        <v>6.084</v>
      </c>
      <c r="CB158" t="n">
        <v>0.39</v>
      </c>
      <c r="CC158" t="n">
        <v>32</v>
      </c>
      <c r="CD158" t="n">
        <v>9</v>
      </c>
      <c r="CE158" t="n">
        <v>32</v>
      </c>
      <c r="CF158" t="n">
        <v>36</v>
      </c>
      <c r="CH158" t="n">
        <v>35</v>
      </c>
      <c r="CI158" t="n">
        <v>6.84</v>
      </c>
      <c r="CJ158" t="n">
        <v>3.495</v>
      </c>
      <c r="CK158" t="n">
        <v>42</v>
      </c>
      <c r="CL158" t="n">
        <v>68</v>
      </c>
      <c r="CM158" t="n">
        <v>22</v>
      </c>
      <c r="CN158" t="n">
        <v>12</v>
      </c>
      <c r="CO158" t="n">
        <v>12</v>
      </c>
      <c r="CP158" t="n">
        <v>28</v>
      </c>
      <c r="CQ158" t="n">
        <v>2</v>
      </c>
      <c r="CR158" t="n">
        <v>61</v>
      </c>
      <c r="CS158" t="n">
        <v>10</v>
      </c>
      <c r="CT158" t="n">
        <v>0.6</v>
      </c>
      <c r="CV158" t="n">
        <v>1</v>
      </c>
      <c r="CW158" t="n">
        <v>24.09</v>
      </c>
      <c r="CX158" t="n">
        <v>1.544</v>
      </c>
      <c r="CY158" t="n">
        <v>0</v>
      </c>
      <c r="DB158" t="n">
        <v>0</v>
      </c>
      <c r="DE158" t="n">
        <v>6.75</v>
      </c>
      <c r="DF158" t="n">
        <v>2</v>
      </c>
      <c r="DG158" t="n">
        <v>0</v>
      </c>
      <c r="DH158" t="n">
        <v>18</v>
      </c>
      <c r="DI158" t="n">
        <v>21</v>
      </c>
      <c r="DK158" t="n">
        <v>1</v>
      </c>
      <c r="DL158" t="n">
        <v>7</v>
      </c>
      <c r="DM158" t="n">
        <v>5</v>
      </c>
      <c r="DN158" t="n">
        <v>1</v>
      </c>
      <c r="DO158" t="n">
        <v>1.3</v>
      </c>
      <c r="DP158" t="n">
        <v>50.22</v>
      </c>
      <c r="DQ158" t="n">
        <v>28.83</v>
      </c>
      <c r="DR158" t="n">
        <v>57.66</v>
      </c>
      <c r="DS158" t="n">
        <v>-7.44</v>
      </c>
      <c r="DT158" t="n">
        <v>830</v>
      </c>
      <c r="DU158" t="n">
        <v>21.85</v>
      </c>
      <c r="DV158" t="inlineStr">
        <is>
          <t>fade (losing his place)</t>
        </is>
      </c>
      <c r="DW158" t="n">
        <v>98.54000000000001</v>
      </c>
      <c r="DX158" t="n">
        <v>99.34</v>
      </c>
      <c r="DY158" t="n">
        <v>98.68000000000001</v>
      </c>
      <c r="DZ158" t="n">
        <v>0.14</v>
      </c>
      <c r="EA158" t="n">
        <v>156</v>
      </c>
      <c r="EB158" t="n">
        <v>15.93</v>
      </c>
      <c r="EC158" t="n">
        <v>41</v>
      </c>
      <c r="ED158" t="n">
        <v>120</v>
      </c>
      <c r="EE158" t="n">
        <v>273</v>
      </c>
      <c r="EF158" t="b">
        <v>1</v>
      </c>
      <c r="EG158" t="n">
        <v>6.2</v>
      </c>
      <c r="EH158" t="n">
        <v>9.9</v>
      </c>
      <c r="EI158" t="n">
        <v>409</v>
      </c>
      <c r="EJ158" t="n">
        <v>108</v>
      </c>
      <c r="EK158" t="n">
        <v>48.4</v>
      </c>
      <c r="EL158" t="n">
        <v>43.9</v>
      </c>
      <c r="EM158" t="n">
        <v>825.4</v>
      </c>
      <c r="EN158" t="n">
        <v>320.3</v>
      </c>
      <c r="EO158" t="n">
        <v>230.8</v>
      </c>
      <c r="EP158" t="n">
        <v>16.7</v>
      </c>
    </row>
    <row r="159">
      <c r="A159" t="inlineStr">
        <is>
          <t>Florentino</t>
        </is>
      </c>
      <c r="B159" t="inlineStr">
        <is>
          <t>IPS</t>
        </is>
      </c>
      <c r="C159" t="inlineStr">
        <is>
          <t>MID</t>
        </is>
      </c>
      <c r="D159" t="inlineStr">
        <is>
          <t>MID</t>
        </is>
      </c>
      <c r="E159" t="n">
        <v>5</v>
      </c>
      <c r="F159" t="b">
        <v>1</v>
      </c>
      <c r="G159" t="b">
        <v>1</v>
      </c>
      <c r="H159" t="n">
        <v>27</v>
      </c>
      <c r="I159" t="inlineStr">
        <is>
          <t>a</t>
        </is>
      </c>
      <c r="L159" t="inlineStr">
        <is>
          <t>p216055</t>
        </is>
      </c>
      <c r="M159" t="n">
        <v>571</v>
      </c>
      <c r="Q159" t="n">
        <v>2100</v>
      </c>
      <c r="R159" t="n">
        <v>31</v>
      </c>
      <c r="S159" t="n">
        <v>25</v>
      </c>
      <c r="T159" t="n">
        <v>23.333</v>
      </c>
      <c r="U159" t="n">
        <v>67.7</v>
      </c>
      <c r="V159" t="n">
        <v>84</v>
      </c>
      <c r="W159" t="n">
        <v>3.6</v>
      </c>
      <c r="X159" t="n">
        <v>0</v>
      </c>
      <c r="Y159" t="n">
        <v>2</v>
      </c>
      <c r="Z159" t="n">
        <v>2</v>
      </c>
      <c r="AA159" t="n">
        <v>2</v>
      </c>
      <c r="AB159" t="n">
        <v>45</v>
      </c>
      <c r="AC159" t="n">
        <v>0</v>
      </c>
      <c r="AD159" t="n">
        <v>0</v>
      </c>
      <c r="AE159" t="n">
        <v>0</v>
      </c>
      <c r="AF159" t="n">
        <v>357</v>
      </c>
      <c r="AG159" t="n">
        <v>337</v>
      </c>
      <c r="AH159" t="n">
        <v>-20</v>
      </c>
      <c r="AI159" t="n">
        <v>84</v>
      </c>
      <c r="AJ159" t="n">
        <v>0</v>
      </c>
      <c r="AK159" t="n">
        <v>0</v>
      </c>
      <c r="AL159" t="n">
        <v>313</v>
      </c>
      <c r="AM159" t="n">
        <v>13.414</v>
      </c>
      <c r="AN159" t="n">
        <v>14</v>
      </c>
      <c r="AO159" t="n">
        <v>28</v>
      </c>
      <c r="AP159" t="n">
        <v>0.5600000000000001</v>
      </c>
      <c r="AQ159" t="n">
        <v>0.6</v>
      </c>
      <c r="AR159" t="n">
        <v>0.5600000000000001</v>
      </c>
      <c r="AS159" t="n">
        <v>0.658</v>
      </c>
      <c r="AT159" t="n">
        <v>0.742</v>
      </c>
      <c r="AU159" t="n">
        <v>17</v>
      </c>
      <c r="AV159" t="n">
        <v>0</v>
      </c>
      <c r="AW159" t="n">
        <v>1.91</v>
      </c>
      <c r="AX159" t="n">
        <v>8</v>
      </c>
      <c r="AY159" t="n">
        <v>0.64</v>
      </c>
      <c r="AZ159" t="n">
        <v>1.038</v>
      </c>
      <c r="BA159" t="n">
        <v>0.839</v>
      </c>
      <c r="BB159" t="n">
        <v>1.038</v>
      </c>
      <c r="BC159" t="n">
        <v>0.027</v>
      </c>
      <c r="BD159" t="n">
        <v>0.044</v>
      </c>
      <c r="BE159" t="n">
        <v>0.036</v>
      </c>
      <c r="BF159" t="n">
        <v>0.1</v>
      </c>
      <c r="BG159" t="n">
        <v>0.004</v>
      </c>
      <c r="BH159" t="n">
        <v>0.9379999999999999</v>
      </c>
      <c r="BI159" t="n">
        <v>0.64</v>
      </c>
      <c r="BJ159" t="n">
        <v>0.6</v>
      </c>
      <c r="BK159" t="n">
        <v>0.026</v>
      </c>
      <c r="BL159" t="n">
        <v>-0.839</v>
      </c>
      <c r="BM159" t="n">
        <v>-0.54</v>
      </c>
      <c r="BN159" t="n">
        <v>-0.1</v>
      </c>
      <c r="BO159" t="n">
        <v>-0.398</v>
      </c>
      <c r="BP159" t="n">
        <v>13</v>
      </c>
      <c r="BQ159" t="n">
        <v>2</v>
      </c>
      <c r="BR159" t="n">
        <v>2</v>
      </c>
      <c r="BS159" t="n">
        <v>8</v>
      </c>
      <c r="BT159" t="n">
        <v>0.343</v>
      </c>
      <c r="BW159" t="n">
        <v>0.52</v>
      </c>
      <c r="BX159" t="n">
        <v>0.538</v>
      </c>
      <c r="BY159" t="n">
        <v>0.529</v>
      </c>
      <c r="BZ159" t="n">
        <v>0.023</v>
      </c>
      <c r="CA159" t="n">
        <v>1.368</v>
      </c>
      <c r="CB159" t="n">
        <v>0.059</v>
      </c>
      <c r="CC159" t="n">
        <v>13</v>
      </c>
      <c r="CE159" t="n">
        <v>13</v>
      </c>
      <c r="CF159" t="n">
        <v>1</v>
      </c>
      <c r="CI159" t="n">
        <v>4.912</v>
      </c>
      <c r="CJ159" t="n">
        <v>4.165</v>
      </c>
      <c r="CK159" t="n">
        <v>111</v>
      </c>
      <c r="CL159" t="n">
        <v>113</v>
      </c>
      <c r="CM159" t="n">
        <v>89</v>
      </c>
      <c r="CN159" t="n">
        <v>49</v>
      </c>
      <c r="CO159" t="n">
        <v>41</v>
      </c>
      <c r="CP159" t="n">
        <v>56</v>
      </c>
      <c r="CQ159" t="n">
        <v>14</v>
      </c>
      <c r="CR159" t="n">
        <v>129</v>
      </c>
      <c r="CS159" t="n">
        <v>24</v>
      </c>
      <c r="CT159" t="n">
        <v>0.2</v>
      </c>
      <c r="CU159" t="n">
        <v>1</v>
      </c>
      <c r="CV159" t="n">
        <v>3</v>
      </c>
      <c r="CW159" t="n">
        <v>46.26</v>
      </c>
      <c r="CX159" t="n">
        <v>1.983</v>
      </c>
      <c r="CY159" t="n">
        <v>0</v>
      </c>
      <c r="DB159" t="n">
        <v>0</v>
      </c>
      <c r="DE159" t="n">
        <v>6.71</v>
      </c>
      <c r="DF159" t="n">
        <v>6</v>
      </c>
      <c r="DG159" t="n">
        <v>0</v>
      </c>
      <c r="DH159" t="n">
        <v>40</v>
      </c>
      <c r="DI159" t="n">
        <v>8</v>
      </c>
      <c r="DK159" t="n">
        <v>2</v>
      </c>
      <c r="DL159" t="n">
        <v>7</v>
      </c>
      <c r="DM159" t="n">
        <v>17</v>
      </c>
      <c r="DN159" t="n">
        <v>1</v>
      </c>
      <c r="DO159" t="n">
        <v>0.1</v>
      </c>
      <c r="DP159" t="n">
        <v>73.37</v>
      </c>
      <c r="DQ159" t="n">
        <v>37.03</v>
      </c>
      <c r="DR159" t="n">
        <v>74.06</v>
      </c>
      <c r="DS159" t="n">
        <v>-0.6899999999999999</v>
      </c>
      <c r="DT159" t="n">
        <v>1881</v>
      </c>
      <c r="DU159" t="n">
        <v>49.5</v>
      </c>
      <c r="DV159" t="inlineStr">
        <is>
          <t>flat</t>
        </is>
      </c>
      <c r="DW159" t="n">
        <v>80.58</v>
      </c>
      <c r="DX159" t="n">
        <v>31</v>
      </c>
      <c r="DY159" t="n">
        <v>80.58</v>
      </c>
      <c r="DZ159" t="n">
        <v>0</v>
      </c>
      <c r="EA159" t="n">
        <v>4</v>
      </c>
      <c r="EB159" t="n">
        <v>34.36</v>
      </c>
      <c r="EC159" t="n">
        <v>31</v>
      </c>
      <c r="ED159" t="n">
        <v>110</v>
      </c>
      <c r="EE159" t="n">
        <v>4</v>
      </c>
      <c r="EF159" t="b">
        <v>0</v>
      </c>
      <c r="EG159" t="n">
        <v>0.1</v>
      </c>
      <c r="EH159" t="n">
        <v>0</v>
      </c>
      <c r="EI159" t="n">
        <v>383</v>
      </c>
      <c r="EJ159" t="n">
        <v>161.5</v>
      </c>
      <c r="EK159" t="n">
        <v>262.5</v>
      </c>
      <c r="EL159" t="n">
        <v>161.5</v>
      </c>
      <c r="EM159" t="n">
        <v>2502.7</v>
      </c>
      <c r="EN159" t="n">
        <v>3971.5</v>
      </c>
      <c r="EO159" t="n">
        <v>1535.2</v>
      </c>
      <c r="EP159" t="n">
        <v>25</v>
      </c>
    </row>
    <row r="160">
      <c r="A160" t="inlineStr">
        <is>
          <t>Murillo</t>
        </is>
      </c>
      <c r="B160" t="inlineStr">
        <is>
          <t>NFO</t>
        </is>
      </c>
      <c r="C160" t="inlineStr">
        <is>
          <t>DEF</t>
        </is>
      </c>
      <c r="D160" t="inlineStr">
        <is>
          <t>DEF</t>
        </is>
      </c>
      <c r="E160" t="n">
        <v>5.5</v>
      </c>
      <c r="F160" t="b">
        <v>1</v>
      </c>
      <c r="G160" t="b">
        <v>1</v>
      </c>
      <c r="H160" t="n">
        <v>24.1</v>
      </c>
      <c r="I160" t="inlineStr">
        <is>
          <t>a</t>
        </is>
      </c>
      <c r="K160" t="n">
        <v>100</v>
      </c>
      <c r="L160" t="inlineStr">
        <is>
          <t>p575476</t>
        </is>
      </c>
      <c r="M160" t="n">
        <v>472</v>
      </c>
      <c r="P160" t="n">
        <v>3</v>
      </c>
      <c r="Q160" t="n">
        <v>2130</v>
      </c>
      <c r="R160" t="n">
        <v>25</v>
      </c>
      <c r="S160" t="n">
        <v>25</v>
      </c>
      <c r="T160" t="n">
        <v>23.667</v>
      </c>
      <c r="U160" t="n">
        <v>85.2</v>
      </c>
      <c r="V160" t="n">
        <v>83</v>
      </c>
      <c r="W160" t="n">
        <v>3.507</v>
      </c>
      <c r="X160" t="n">
        <v>1</v>
      </c>
      <c r="Y160" t="n">
        <v>0</v>
      </c>
      <c r="AA160" t="n">
        <v>6</v>
      </c>
      <c r="AB160" t="n">
        <v>29</v>
      </c>
      <c r="AC160" t="n">
        <v>3</v>
      </c>
      <c r="AD160" t="n">
        <v>3</v>
      </c>
      <c r="AE160" t="n">
        <v>0</v>
      </c>
      <c r="AF160" t="n">
        <v>333</v>
      </c>
      <c r="AG160" t="n">
        <v>300</v>
      </c>
      <c r="AH160" t="n">
        <v>-33</v>
      </c>
      <c r="AI160" t="n">
        <v>83</v>
      </c>
      <c r="AJ160" t="n">
        <v>0.036</v>
      </c>
      <c r="AK160" t="n">
        <v>0.038</v>
      </c>
      <c r="AL160" t="n">
        <v>223</v>
      </c>
      <c r="AM160" t="n">
        <v>9.423</v>
      </c>
      <c r="AN160" t="n">
        <v>10</v>
      </c>
      <c r="AO160" t="n">
        <v>20</v>
      </c>
      <c r="AP160" t="n">
        <v>0.4</v>
      </c>
      <c r="AQ160" t="n">
        <v>0.4</v>
      </c>
      <c r="AR160" t="n">
        <v>0.24</v>
      </c>
      <c r="AS160" t="n">
        <v>0.658</v>
      </c>
      <c r="AT160" t="n">
        <v>0.92</v>
      </c>
      <c r="AU160" t="n">
        <v>15</v>
      </c>
      <c r="AV160" t="n">
        <v>1</v>
      </c>
      <c r="AW160" t="n">
        <v>3.44</v>
      </c>
      <c r="AX160" t="n">
        <v>17</v>
      </c>
      <c r="AY160" t="n">
        <v>0.73</v>
      </c>
      <c r="AZ160" t="n">
        <v>0.596</v>
      </c>
      <c r="BA160" t="n">
        <v>0.663</v>
      </c>
      <c r="BB160" t="n">
        <v>0.596</v>
      </c>
      <c r="BC160" t="n">
        <v>0.031</v>
      </c>
      <c r="BD160" t="n">
        <v>0.025</v>
      </c>
      <c r="BE160" t="n">
        <v>0.028</v>
      </c>
      <c r="BF160" t="n">
        <v>1.3</v>
      </c>
      <c r="BG160" t="n">
        <v>0.055</v>
      </c>
      <c r="BH160" t="n">
        <v>0.968</v>
      </c>
      <c r="BI160" t="n">
        <v>3.98</v>
      </c>
      <c r="BJ160" t="n">
        <v>0.707</v>
      </c>
      <c r="BK160" t="n">
        <v>0.03</v>
      </c>
      <c r="BL160" t="n">
        <v>0.337</v>
      </c>
      <c r="BM160" t="n">
        <v>0.57</v>
      </c>
      <c r="BN160" t="n">
        <v>-0.3</v>
      </c>
      <c r="BO160" t="n">
        <v>0.134</v>
      </c>
      <c r="BP160" t="n">
        <v>11</v>
      </c>
      <c r="BQ160" t="n">
        <v>4</v>
      </c>
      <c r="BS160" t="n">
        <v>10</v>
      </c>
      <c r="BT160" t="n">
        <v>0.423</v>
      </c>
      <c r="BW160" t="n">
        <v>0.47</v>
      </c>
      <c r="BX160" t="n">
        <v>0.299</v>
      </c>
      <c r="BY160" t="n">
        <v>0.385</v>
      </c>
      <c r="BZ160" t="n">
        <v>0.016</v>
      </c>
      <c r="CA160" t="n">
        <v>1.048</v>
      </c>
      <c r="CB160" t="n">
        <v>0.044</v>
      </c>
      <c r="CC160" t="n">
        <v>8</v>
      </c>
      <c r="CD160" t="n">
        <v>1</v>
      </c>
      <c r="CE160" t="n">
        <v>8</v>
      </c>
      <c r="CG160" t="n">
        <v>1</v>
      </c>
      <c r="CI160" t="n">
        <v>6.359</v>
      </c>
      <c r="CJ160" t="n">
        <v>6.05</v>
      </c>
      <c r="CK160" t="n">
        <v>188</v>
      </c>
      <c r="CL160" t="n">
        <v>102</v>
      </c>
      <c r="CM160" t="n">
        <v>35</v>
      </c>
      <c r="CN160" t="n">
        <v>22</v>
      </c>
      <c r="CO160" t="n">
        <v>34</v>
      </c>
      <c r="CP160" t="n">
        <v>130</v>
      </c>
      <c r="CQ160" t="n">
        <v>24</v>
      </c>
      <c r="CR160" t="n">
        <v>74</v>
      </c>
      <c r="CS160" t="n">
        <v>24</v>
      </c>
      <c r="CT160" t="n">
        <v>0.1</v>
      </c>
      <c r="CV160" t="n">
        <v>2</v>
      </c>
      <c r="CW160" t="n">
        <v>32.99</v>
      </c>
      <c r="CX160" t="n">
        <v>1.394</v>
      </c>
      <c r="CY160" t="n">
        <v>0</v>
      </c>
      <c r="DB160" t="n">
        <v>0</v>
      </c>
      <c r="DE160" t="n">
        <v>6.94</v>
      </c>
      <c r="DF160" t="n">
        <v>5</v>
      </c>
      <c r="DG160" t="n">
        <v>0</v>
      </c>
      <c r="DH160" t="n">
        <v>23</v>
      </c>
      <c r="DI160" t="n">
        <v>7</v>
      </c>
      <c r="DL160" t="n">
        <v>9</v>
      </c>
      <c r="DM160" t="n">
        <v>9</v>
      </c>
      <c r="DO160" t="n">
        <v>0.8</v>
      </c>
      <c r="DP160" t="n">
        <v>138.2</v>
      </c>
      <c r="DQ160" t="n">
        <v>69.09999999999999</v>
      </c>
      <c r="DR160" t="n">
        <v>138.2</v>
      </c>
      <c r="DS160" t="n">
        <v>0</v>
      </c>
      <c r="DT160" t="n">
        <v>3101</v>
      </c>
      <c r="DU160" t="n">
        <v>81.59999999999999</v>
      </c>
      <c r="DV160" t="inlineStr">
        <is>
          <t>flat</t>
        </is>
      </c>
      <c r="DW160" t="n">
        <v>88.43000000000001</v>
      </c>
      <c r="DX160" t="n">
        <v>92</v>
      </c>
      <c r="DY160" t="n">
        <v>87.87</v>
      </c>
      <c r="DZ160" t="n">
        <v>-0.5600000000000001</v>
      </c>
      <c r="EA160" t="n">
        <v>967</v>
      </c>
      <c r="EB160" t="n">
        <v>17.63</v>
      </c>
      <c r="EC160" t="n">
        <v>24.8</v>
      </c>
      <c r="ED160" t="n">
        <v>120</v>
      </c>
      <c r="EE160" t="n">
        <v>1204</v>
      </c>
      <c r="EF160" t="b">
        <v>1</v>
      </c>
      <c r="EG160" t="n">
        <v>76.3</v>
      </c>
      <c r="EH160" t="n">
        <v>67.59999999999999</v>
      </c>
      <c r="EI160" t="n">
        <v>145</v>
      </c>
      <c r="EJ160" t="n">
        <v>193.6</v>
      </c>
      <c r="EK160" t="n">
        <v>213</v>
      </c>
      <c r="EL160" t="n">
        <v>266.2</v>
      </c>
      <c r="EM160" t="n">
        <v>3213.4</v>
      </c>
      <c r="EN160" t="n">
        <v>5536.8</v>
      </c>
      <c r="EO160" t="n">
        <v>2033.3</v>
      </c>
      <c r="EP160" t="n">
        <v>25.7</v>
      </c>
    </row>
    <row r="161">
      <c r="A161" t="inlineStr">
        <is>
          <t>Chemsdine Talbi</t>
        </is>
      </c>
      <c r="B161" t="inlineStr">
        <is>
          <t>SUN</t>
        </is>
      </c>
      <c r="C161" t="inlineStr">
        <is>
          <t>MID</t>
        </is>
      </c>
      <c r="D161" t="inlineStr">
        <is>
          <t>MID</t>
        </is>
      </c>
      <c r="E161" t="n">
        <v>5.5</v>
      </c>
      <c r="F161" t="b">
        <v>1</v>
      </c>
      <c r="G161" t="b">
        <v>1</v>
      </c>
      <c r="H161" t="n">
        <v>21.3</v>
      </c>
      <c r="I161" t="inlineStr">
        <is>
          <t>a</t>
        </is>
      </c>
      <c r="L161" t="inlineStr">
        <is>
          <t>p549912</t>
        </is>
      </c>
      <c r="M161" t="n">
        <v>549</v>
      </c>
      <c r="Q161" t="n">
        <v>1553</v>
      </c>
      <c r="R161" t="n">
        <v>28</v>
      </c>
      <c r="S161" t="n">
        <v>16</v>
      </c>
      <c r="T161" t="n">
        <v>17.256</v>
      </c>
      <c r="U161" t="n">
        <v>55.5</v>
      </c>
      <c r="V161" t="n">
        <v>83</v>
      </c>
      <c r="W161" t="n">
        <v>4.81</v>
      </c>
      <c r="X161" t="n">
        <v>4</v>
      </c>
      <c r="Y161" t="n">
        <v>2</v>
      </c>
      <c r="Z161" t="n">
        <v>1</v>
      </c>
      <c r="AA161" t="n">
        <v>7</v>
      </c>
      <c r="AB161" t="n">
        <v>14</v>
      </c>
      <c r="AC161" t="n">
        <v>6</v>
      </c>
      <c r="AD161" t="n">
        <v>7</v>
      </c>
      <c r="AE161" t="n">
        <v>1</v>
      </c>
      <c r="AF161" t="n">
        <v>248</v>
      </c>
      <c r="AG161" t="n">
        <v>243</v>
      </c>
      <c r="AH161" t="n">
        <v>-5</v>
      </c>
      <c r="AI161" t="n">
        <v>84</v>
      </c>
      <c r="AJ161" t="n">
        <v>0.07199999999999999</v>
      </c>
      <c r="AK161" t="n">
        <v>0.078</v>
      </c>
      <c r="AL161" t="n">
        <v>92</v>
      </c>
      <c r="AM161" t="n">
        <v>5.332</v>
      </c>
      <c r="AN161" t="n">
        <v>0</v>
      </c>
      <c r="AO161" t="n">
        <v>0</v>
      </c>
      <c r="AP161" t="n">
        <v>0</v>
      </c>
      <c r="AQ161" t="n">
        <v>0</v>
      </c>
      <c r="AR161" t="n">
        <v>0</v>
      </c>
      <c r="AS161" t="n">
        <v>0.421</v>
      </c>
      <c r="AT161" t="n">
        <v>0.571</v>
      </c>
      <c r="AU161" t="n">
        <v>17</v>
      </c>
      <c r="AV161" t="n">
        <v>1</v>
      </c>
      <c r="AW161" t="n">
        <v>2.58</v>
      </c>
      <c r="AX161" t="n">
        <v>10</v>
      </c>
      <c r="AY161" t="n">
        <v>2.13</v>
      </c>
      <c r="AZ161" t="n">
        <v>2.324</v>
      </c>
      <c r="BA161" t="n">
        <v>2.227</v>
      </c>
      <c r="BB161" t="n">
        <v>2.324</v>
      </c>
      <c r="BC161" t="n">
        <v>0.123</v>
      </c>
      <c r="BD161" t="n">
        <v>0.135</v>
      </c>
      <c r="BE161" t="n">
        <v>0.129</v>
      </c>
      <c r="BF161" t="n">
        <v>3.8</v>
      </c>
      <c r="BG161" t="n">
        <v>0.22</v>
      </c>
      <c r="BH161" t="n">
        <v>1.165</v>
      </c>
      <c r="BI161" t="n">
        <v>2.13</v>
      </c>
      <c r="BJ161" t="n">
        <v>2.481</v>
      </c>
      <c r="BK161" t="n">
        <v>0.144</v>
      </c>
      <c r="BL161" t="n">
        <v>1.773</v>
      </c>
      <c r="BM161" t="n">
        <v>1.67</v>
      </c>
      <c r="BN161" t="n">
        <v>0.2</v>
      </c>
      <c r="BO161" t="n">
        <v>-0.194</v>
      </c>
      <c r="BP161" t="n">
        <v>25</v>
      </c>
      <c r="BQ161" t="n">
        <v>10</v>
      </c>
      <c r="BR161" t="n">
        <v>2</v>
      </c>
      <c r="BS161" t="n">
        <v>48</v>
      </c>
      <c r="BT161" t="n">
        <v>2.782</v>
      </c>
      <c r="BW161" t="n">
        <v>1.18</v>
      </c>
      <c r="BX161" t="n">
        <v>0.6</v>
      </c>
      <c r="BY161" t="n">
        <v>0.89</v>
      </c>
      <c r="BZ161" t="n">
        <v>0.052</v>
      </c>
      <c r="CA161" t="n">
        <v>3.117</v>
      </c>
      <c r="CB161" t="n">
        <v>0.181</v>
      </c>
      <c r="CC161" t="n">
        <v>12</v>
      </c>
      <c r="CE161" t="n">
        <v>12</v>
      </c>
      <c r="CF161" t="n">
        <v>7</v>
      </c>
      <c r="CH161" t="n">
        <v>1</v>
      </c>
      <c r="CI161" t="n">
        <v>3.228</v>
      </c>
      <c r="CJ161" t="n">
        <v>1.189</v>
      </c>
      <c r="CK161" t="n">
        <v>20</v>
      </c>
      <c r="CL161" t="n">
        <v>61</v>
      </c>
      <c r="CM161" t="n">
        <v>11</v>
      </c>
      <c r="CN161" t="n">
        <v>6</v>
      </c>
      <c r="CO161" t="n">
        <v>2</v>
      </c>
      <c r="CP161" t="n">
        <v>17</v>
      </c>
      <c r="CQ161" t="n">
        <v>1</v>
      </c>
      <c r="CR161" t="n">
        <v>29</v>
      </c>
      <c r="CS161" t="n">
        <v>1</v>
      </c>
      <c r="CT161" t="n">
        <v>0.2</v>
      </c>
      <c r="CU161" t="n">
        <v>2</v>
      </c>
      <c r="CW161" t="n">
        <v>22.26</v>
      </c>
      <c r="CX161" t="n">
        <v>1.29</v>
      </c>
      <c r="CY161" t="n">
        <v>0</v>
      </c>
      <c r="DB161" t="n">
        <v>0</v>
      </c>
      <c r="DE161" t="n">
        <v>6.55</v>
      </c>
      <c r="DF161" t="n">
        <v>0</v>
      </c>
      <c r="DG161" t="n">
        <v>0</v>
      </c>
      <c r="DH161" t="n">
        <v>5</v>
      </c>
      <c r="DI161" t="n">
        <v>1</v>
      </c>
      <c r="DL161" t="n">
        <v>16</v>
      </c>
      <c r="DM161" t="n">
        <v>11</v>
      </c>
      <c r="DN161" t="n">
        <v>2</v>
      </c>
      <c r="DO161" t="n">
        <v>0.2</v>
      </c>
      <c r="DP161" t="n">
        <v>91.81999999999999</v>
      </c>
      <c r="DQ161" t="n">
        <v>45.91</v>
      </c>
      <c r="DR161" t="n">
        <v>91.81999999999999</v>
      </c>
      <c r="DS161" t="n">
        <v>0</v>
      </c>
      <c r="DT161" t="n">
        <v>2263</v>
      </c>
      <c r="DU161" t="n">
        <v>59.55</v>
      </c>
      <c r="DV161" t="inlineStr">
        <is>
          <t>flat</t>
        </is>
      </c>
      <c r="DW161" t="n">
        <v>85.54000000000001</v>
      </c>
      <c r="DX161" t="n">
        <v>79</v>
      </c>
      <c r="DY161" t="n">
        <v>90.66</v>
      </c>
      <c r="DZ161" t="n">
        <v>5.12</v>
      </c>
      <c r="EA161" t="n">
        <v>6</v>
      </c>
      <c r="EB161" t="n">
        <v>13.33</v>
      </c>
      <c r="EC161" t="n">
        <v>65.78</v>
      </c>
      <c r="ED161" t="n">
        <v>108.8</v>
      </c>
      <c r="EE161" t="n">
        <v>14</v>
      </c>
      <c r="EF161" t="b">
        <v>1</v>
      </c>
      <c r="EG161" t="n">
        <v>0.4</v>
      </c>
      <c r="EH161" t="n">
        <v>26.3</v>
      </c>
      <c r="EI161" t="n">
        <v>146</v>
      </c>
      <c r="EJ161" t="n">
        <v>62.1</v>
      </c>
      <c r="EK161" t="n">
        <v>32.4</v>
      </c>
      <c r="EL161" t="n">
        <v>129.4</v>
      </c>
      <c r="EM161" t="n">
        <v>697.4</v>
      </c>
      <c r="EN161" t="n">
        <v>1744.6</v>
      </c>
      <c r="EO161" t="n">
        <v>498.2</v>
      </c>
      <c r="EP161" t="n">
        <v>18.7</v>
      </c>
    </row>
    <row r="162">
      <c r="A162" t="inlineStr">
        <is>
          <t>Omari Hutchinson</t>
        </is>
      </c>
      <c r="B162" t="inlineStr">
        <is>
          <t>NFO</t>
        </is>
      </c>
      <c r="C162" t="inlineStr">
        <is>
          <t>MID</t>
        </is>
      </c>
      <c r="D162" t="inlineStr">
        <is>
          <t>MID</t>
        </is>
      </c>
      <c r="E162" t="n">
        <v>5.5</v>
      </c>
      <c r="F162" t="b">
        <v>1</v>
      </c>
      <c r="G162" t="b">
        <v>1</v>
      </c>
      <c r="H162" t="n">
        <v>22.8</v>
      </c>
      <c r="I162" t="inlineStr">
        <is>
          <t>a</t>
        </is>
      </c>
      <c r="L162" t="inlineStr">
        <is>
          <t>p503301</t>
        </is>
      </c>
      <c r="M162" t="n">
        <v>484</v>
      </c>
      <c r="O162" t="n">
        <v>4</v>
      </c>
      <c r="Q162" t="n">
        <v>1676</v>
      </c>
      <c r="R162" t="n">
        <v>31</v>
      </c>
      <c r="S162" t="n">
        <v>17</v>
      </c>
      <c r="T162" t="n">
        <v>18.622</v>
      </c>
      <c r="U162" t="n">
        <v>54.1</v>
      </c>
      <c r="V162" t="n">
        <v>82</v>
      </c>
      <c r="W162" t="n">
        <v>4.403</v>
      </c>
      <c r="X162" t="n">
        <v>1</v>
      </c>
      <c r="Y162" t="n">
        <v>7</v>
      </c>
      <c r="Z162" t="n">
        <v>5</v>
      </c>
      <c r="AA162" t="n">
        <v>6</v>
      </c>
      <c r="AB162" t="n">
        <v>24</v>
      </c>
      <c r="AC162" t="n">
        <v>3</v>
      </c>
      <c r="AD162" t="n">
        <v>3</v>
      </c>
      <c r="AE162" t="n">
        <v>0</v>
      </c>
      <c r="AF162" t="n">
        <v>329</v>
      </c>
      <c r="AG162" t="n">
        <v>324</v>
      </c>
      <c r="AH162" t="n">
        <v>-5</v>
      </c>
      <c r="AI162" t="n">
        <v>82</v>
      </c>
      <c r="AJ162" t="n">
        <v>0.037</v>
      </c>
      <c r="AK162" t="n">
        <v>0.038</v>
      </c>
      <c r="AL162" t="n">
        <v>129</v>
      </c>
      <c r="AM162" t="n">
        <v>6.927</v>
      </c>
      <c r="AN162" t="n">
        <v>1</v>
      </c>
      <c r="AO162" t="n">
        <v>2</v>
      </c>
      <c r="AP162" t="n">
        <v>0.059</v>
      </c>
      <c r="AQ162" t="n">
        <v>0.059</v>
      </c>
      <c r="AR162" t="n">
        <v>0.059</v>
      </c>
      <c r="AS162" t="n">
        <v>0.447</v>
      </c>
      <c r="AT162" t="n">
        <v>0.484</v>
      </c>
      <c r="AU162" t="n">
        <v>19</v>
      </c>
      <c r="AV162" t="n">
        <v>0</v>
      </c>
      <c r="AW162" t="n">
        <v>2.21</v>
      </c>
      <c r="AX162" t="n">
        <v>9</v>
      </c>
      <c r="AY162" t="n">
        <v>2.01</v>
      </c>
      <c r="AZ162" t="n">
        <v>2.178</v>
      </c>
      <c r="BA162" t="n">
        <v>2.094</v>
      </c>
      <c r="BB162" t="n">
        <v>2.178</v>
      </c>
      <c r="BC162" t="n">
        <v>0.108</v>
      </c>
      <c r="BD162" t="n">
        <v>0.117</v>
      </c>
      <c r="BE162" t="n">
        <v>0.112</v>
      </c>
      <c r="BF162" t="n">
        <v>2.2</v>
      </c>
      <c r="BG162" t="n">
        <v>0.118</v>
      </c>
      <c r="BH162" t="n">
        <v>1.043</v>
      </c>
      <c r="BI162" t="n">
        <v>4.94</v>
      </c>
      <c r="BJ162" t="n">
        <v>2.097</v>
      </c>
      <c r="BK162" t="n">
        <v>0.113</v>
      </c>
      <c r="BL162" t="n">
        <v>-1.094</v>
      </c>
      <c r="BM162" t="n">
        <v>0.19</v>
      </c>
      <c r="BN162" t="n">
        <v>-1.2</v>
      </c>
      <c r="BO162" t="n">
        <v>-0.168</v>
      </c>
      <c r="BP162" t="n">
        <v>25</v>
      </c>
      <c r="BQ162" t="n">
        <v>11</v>
      </c>
      <c r="BR162" t="n">
        <v>2</v>
      </c>
      <c r="BS162" t="n">
        <v>84</v>
      </c>
      <c r="BT162" t="n">
        <v>4.511</v>
      </c>
      <c r="BW162" t="n">
        <v>3.87</v>
      </c>
      <c r="BX162" t="n">
        <v>4.932</v>
      </c>
      <c r="BY162" t="n">
        <v>4.401</v>
      </c>
      <c r="BZ162" t="n">
        <v>0.236</v>
      </c>
      <c r="CA162" t="n">
        <v>6.495</v>
      </c>
      <c r="CB162" t="n">
        <v>0.349</v>
      </c>
      <c r="CC162" t="n">
        <v>33</v>
      </c>
      <c r="CD162" t="n">
        <v>8</v>
      </c>
      <c r="CE162" t="n">
        <v>33</v>
      </c>
      <c r="CF162" t="n">
        <v>28</v>
      </c>
      <c r="CG162" t="n">
        <v>1</v>
      </c>
      <c r="CH162" t="n">
        <v>45</v>
      </c>
      <c r="CI162" t="n">
        <v>10.329</v>
      </c>
      <c r="CJ162" t="n">
        <v>5.619</v>
      </c>
      <c r="CK162" t="n">
        <v>20</v>
      </c>
      <c r="CL162" t="n">
        <v>87</v>
      </c>
      <c r="CM162" t="n">
        <v>22</v>
      </c>
      <c r="CN162" t="n">
        <v>12</v>
      </c>
      <c r="CO162" t="n">
        <v>12</v>
      </c>
      <c r="CP162" t="n">
        <v>8</v>
      </c>
      <c r="CQ162" t="n">
        <v>0</v>
      </c>
      <c r="CR162" t="n">
        <v>91</v>
      </c>
      <c r="CS162" t="n">
        <v>5</v>
      </c>
      <c r="CT162" t="n">
        <v>0.7</v>
      </c>
      <c r="CU162" t="n">
        <v>1</v>
      </c>
      <c r="CV162" t="n">
        <v>1</v>
      </c>
      <c r="CW162" t="n">
        <v>24.42</v>
      </c>
      <c r="CX162" t="n">
        <v>1.311</v>
      </c>
      <c r="CY162" t="n">
        <v>0</v>
      </c>
      <c r="DB162" t="n">
        <v>0</v>
      </c>
      <c r="DE162" t="n">
        <v>6.76</v>
      </c>
      <c r="DF162" t="n">
        <v>1</v>
      </c>
      <c r="DG162" t="n">
        <v>0</v>
      </c>
      <c r="DH162" t="n">
        <v>23</v>
      </c>
      <c r="DI162" t="n">
        <v>24</v>
      </c>
      <c r="DJ162" t="n">
        <v>1</v>
      </c>
      <c r="DL162" t="n">
        <v>41</v>
      </c>
      <c r="DM162" t="n">
        <v>29</v>
      </c>
      <c r="DN162" t="n">
        <v>8</v>
      </c>
      <c r="DO162" t="n">
        <v>0.2</v>
      </c>
      <c r="DP162" t="n">
        <v>36.09</v>
      </c>
      <c r="DQ162" t="n">
        <v>18.06</v>
      </c>
      <c r="DR162" t="n">
        <v>36.12</v>
      </c>
      <c r="DS162" t="n">
        <v>-0.03</v>
      </c>
      <c r="DT162" t="n">
        <v>443</v>
      </c>
      <c r="DU162" t="n">
        <v>11.66</v>
      </c>
      <c r="DV162" t="inlineStr">
        <is>
          <t>flat</t>
        </is>
      </c>
      <c r="DW162" t="n">
        <v>79.26000000000001</v>
      </c>
      <c r="DY162" t="n">
        <v>84.76000000000001</v>
      </c>
      <c r="DZ162" t="n">
        <v>5.5</v>
      </c>
      <c r="EA162" t="n">
        <v>5</v>
      </c>
      <c r="EB162" t="n">
        <v>33.81</v>
      </c>
      <c r="EC162" t="n">
        <v>0.89</v>
      </c>
      <c r="ED162" t="n">
        <v>112</v>
      </c>
      <c r="EE162" t="n">
        <v>9</v>
      </c>
      <c r="EF162" t="b">
        <v>0</v>
      </c>
      <c r="EG162" t="n">
        <v>0.2</v>
      </c>
      <c r="EH162" t="n">
        <v>25</v>
      </c>
      <c r="EI162" t="n">
        <v>147</v>
      </c>
      <c r="EJ162" t="n">
        <v>67</v>
      </c>
      <c r="EK162" t="n">
        <v>20</v>
      </c>
      <c r="EL162" t="n">
        <v>50.8</v>
      </c>
      <c r="EM162" t="n">
        <v>800.4</v>
      </c>
      <c r="EN162" t="n">
        <v>380.8</v>
      </c>
      <c r="EO162" t="n">
        <v>258.1</v>
      </c>
      <c r="EP162" t="n">
        <v>20.4</v>
      </c>
    </row>
    <row r="163">
      <c r="A163" t="inlineStr">
        <is>
          <t>Jacob Murphy</t>
        </is>
      </c>
      <c r="B163" t="inlineStr">
        <is>
          <t>NEW</t>
        </is>
      </c>
      <c r="C163" t="inlineStr">
        <is>
          <t>MID</t>
        </is>
      </c>
      <c r="D163" t="inlineStr">
        <is>
          <t>MID</t>
        </is>
      </c>
      <c r="E163" t="n">
        <v>6</v>
      </c>
      <c r="F163" t="b">
        <v>1</v>
      </c>
      <c r="G163" t="b">
        <v>1</v>
      </c>
      <c r="H163" t="n">
        <v>31.5</v>
      </c>
      <c r="I163" t="inlineStr">
        <is>
          <t>a</t>
        </is>
      </c>
      <c r="L163" t="inlineStr">
        <is>
          <t>p114243</t>
        </is>
      </c>
      <c r="M163" t="n">
        <v>457</v>
      </c>
      <c r="O163" t="n">
        <v>3</v>
      </c>
      <c r="Q163" t="n">
        <v>1606</v>
      </c>
      <c r="R163" t="n">
        <v>33</v>
      </c>
      <c r="S163" t="n">
        <v>19</v>
      </c>
      <c r="T163" t="n">
        <v>17.844</v>
      </c>
      <c r="U163" t="n">
        <v>48.7</v>
      </c>
      <c r="V163" t="n">
        <v>82</v>
      </c>
      <c r="W163" t="n">
        <v>4.595</v>
      </c>
      <c r="X163" t="n">
        <v>3</v>
      </c>
      <c r="Y163" t="n">
        <v>2</v>
      </c>
      <c r="Z163" t="n">
        <v>2</v>
      </c>
      <c r="AA163" t="n">
        <v>8</v>
      </c>
      <c r="AB163" t="n">
        <v>20</v>
      </c>
      <c r="AC163" t="n">
        <v>5</v>
      </c>
      <c r="AD163" t="n">
        <v>5</v>
      </c>
      <c r="AE163" t="n">
        <v>0</v>
      </c>
      <c r="AF163" t="n">
        <v>314</v>
      </c>
      <c r="AG163" t="n">
        <v>311</v>
      </c>
      <c r="AH163" t="n">
        <v>-3</v>
      </c>
      <c r="AI163" t="n">
        <v>82</v>
      </c>
      <c r="AJ163" t="n">
        <v>0.061</v>
      </c>
      <c r="AK163" t="n">
        <v>0.065</v>
      </c>
      <c r="AL163" t="n">
        <v>90</v>
      </c>
      <c r="AM163" t="n">
        <v>5.044</v>
      </c>
      <c r="AN163" t="n">
        <v>0</v>
      </c>
      <c r="AO163" t="n">
        <v>0</v>
      </c>
      <c r="AP163" t="n">
        <v>0</v>
      </c>
      <c r="AQ163" t="n">
        <v>0</v>
      </c>
      <c r="AR163" t="n">
        <v>0</v>
      </c>
      <c r="AS163" t="n">
        <v>0.5</v>
      </c>
      <c r="AT163" t="n">
        <v>0.515</v>
      </c>
      <c r="AU163" t="n">
        <v>21</v>
      </c>
      <c r="AV163" t="n">
        <v>0</v>
      </c>
      <c r="AW163" t="n">
        <v>2.25</v>
      </c>
      <c r="AX163" t="n">
        <v>8</v>
      </c>
      <c r="AY163" t="n">
        <v>3.07</v>
      </c>
      <c r="AZ163" t="n">
        <v>3.12</v>
      </c>
      <c r="BA163" t="n">
        <v>3.095</v>
      </c>
      <c r="BB163" t="n">
        <v>3.12</v>
      </c>
      <c r="BC163" t="n">
        <v>0.172</v>
      </c>
      <c r="BD163" t="n">
        <v>0.175</v>
      </c>
      <c r="BE163" t="n">
        <v>0.173</v>
      </c>
      <c r="BF163" t="n">
        <v>1.7</v>
      </c>
      <c r="BG163" t="n">
        <v>0.095</v>
      </c>
      <c r="BH163" t="n">
        <v>0.923</v>
      </c>
      <c r="BI163" t="n">
        <v>14.65</v>
      </c>
      <c r="BJ163" t="n">
        <v>2.833</v>
      </c>
      <c r="BK163" t="n">
        <v>0.159</v>
      </c>
      <c r="BL163" t="n">
        <v>-0.095</v>
      </c>
      <c r="BM163" t="n">
        <v>-1.37</v>
      </c>
      <c r="BN163" t="n">
        <v>1.3</v>
      </c>
      <c r="BO163" t="n">
        <v>-0.05</v>
      </c>
      <c r="BP163" t="n">
        <v>42</v>
      </c>
      <c r="BQ163" t="n">
        <v>13</v>
      </c>
      <c r="BR163" t="n">
        <v>3</v>
      </c>
      <c r="BS163" t="n">
        <v>57</v>
      </c>
      <c r="BT163" t="n">
        <v>3.194</v>
      </c>
      <c r="BW163" t="n">
        <v>2.66</v>
      </c>
      <c r="BX163" t="n">
        <v>4.786</v>
      </c>
      <c r="BY163" t="n">
        <v>3.723</v>
      </c>
      <c r="BZ163" t="n">
        <v>0.209</v>
      </c>
      <c r="CA163" t="n">
        <v>6.818</v>
      </c>
      <c r="CB163" t="n">
        <v>0.382</v>
      </c>
      <c r="CC163" t="n">
        <v>23</v>
      </c>
      <c r="CD163" t="n">
        <v>10</v>
      </c>
      <c r="CE163" t="n">
        <v>23</v>
      </c>
      <c r="CF163" t="n">
        <v>24</v>
      </c>
      <c r="CG163" t="n">
        <v>3</v>
      </c>
      <c r="CH163" t="n">
        <v>7</v>
      </c>
      <c r="CI163" t="n">
        <v>8.43</v>
      </c>
      <c r="CJ163" t="n">
        <v>2.733</v>
      </c>
      <c r="CK163" t="n">
        <v>27</v>
      </c>
      <c r="CL163" t="n">
        <v>47</v>
      </c>
      <c r="CM163" t="n">
        <v>16</v>
      </c>
      <c r="CN163" t="n">
        <v>12</v>
      </c>
      <c r="CO163" t="n">
        <v>6</v>
      </c>
      <c r="CP163" t="n">
        <v>17</v>
      </c>
      <c r="CQ163" t="n">
        <v>4</v>
      </c>
      <c r="CR163" t="n">
        <v>56</v>
      </c>
      <c r="CS163" t="n">
        <v>7</v>
      </c>
      <c r="CT163" t="n">
        <v>0.4</v>
      </c>
      <c r="CV163" t="n">
        <v>1</v>
      </c>
      <c r="CW163" t="n">
        <v>24.35</v>
      </c>
      <c r="CX163" t="n">
        <v>1.365</v>
      </c>
      <c r="CY163" t="n">
        <v>0</v>
      </c>
      <c r="DB163" t="n">
        <v>0</v>
      </c>
      <c r="DE163" t="n">
        <v>6.59</v>
      </c>
      <c r="DF163" t="n">
        <v>2</v>
      </c>
      <c r="DG163" t="n">
        <v>0</v>
      </c>
      <c r="DH163" t="n">
        <v>9</v>
      </c>
      <c r="DI163" t="n">
        <v>13</v>
      </c>
      <c r="DK163" t="n">
        <v>1</v>
      </c>
      <c r="DL163" t="n">
        <v>20</v>
      </c>
      <c r="DM163" t="n">
        <v>19</v>
      </c>
      <c r="DN163" t="n">
        <v>5</v>
      </c>
      <c r="DO163" t="n">
        <v>0.2</v>
      </c>
      <c r="DP163" t="n">
        <v>90.89</v>
      </c>
      <c r="DQ163" t="n">
        <v>45.46</v>
      </c>
      <c r="DR163" t="n">
        <v>90.92</v>
      </c>
      <c r="DS163" t="n">
        <v>-0.03</v>
      </c>
      <c r="DT163" t="n">
        <v>1835</v>
      </c>
      <c r="DU163" t="n">
        <v>48.3</v>
      </c>
      <c r="DV163" t="inlineStr">
        <is>
          <t>flat</t>
        </is>
      </c>
      <c r="DW163" t="n">
        <v>83.95</v>
      </c>
      <c r="DX163" t="n">
        <v>79.2</v>
      </c>
      <c r="DY163" t="n">
        <v>83.87</v>
      </c>
      <c r="DZ163" t="n">
        <v>-0.08</v>
      </c>
      <c r="EA163" t="n">
        <v>69</v>
      </c>
      <c r="EB163" t="n">
        <v>20.75</v>
      </c>
      <c r="EC163" t="n">
        <v>16</v>
      </c>
      <c r="ED163" t="n">
        <v>112</v>
      </c>
      <c r="EE163" t="n">
        <v>102</v>
      </c>
      <c r="EF163" t="b">
        <v>1</v>
      </c>
      <c r="EG163" t="n">
        <v>2.5</v>
      </c>
      <c r="EH163" t="n">
        <v>17.7</v>
      </c>
      <c r="EI163" t="n">
        <v>88</v>
      </c>
      <c r="EJ163" t="n">
        <v>38.2</v>
      </c>
      <c r="EK163" t="n">
        <v>28.2</v>
      </c>
      <c r="EL163" t="n">
        <v>69.8</v>
      </c>
      <c r="EM163" t="n">
        <v>518.9</v>
      </c>
      <c r="EN163" t="n">
        <v>431.4</v>
      </c>
      <c r="EO163" t="n">
        <v>235.6</v>
      </c>
      <c r="EP163" t="n">
        <v>19.6</v>
      </c>
    </row>
    <row r="164">
      <c r="A164" t="inlineStr">
        <is>
          <t>Kenny Tete</t>
        </is>
      </c>
      <c r="B164" t="inlineStr">
        <is>
          <t>FUL</t>
        </is>
      </c>
      <c r="C164" t="inlineStr">
        <is>
          <t>DEF</t>
        </is>
      </c>
      <c r="D164" t="inlineStr">
        <is>
          <t>DEF</t>
        </is>
      </c>
      <c r="E164" t="n">
        <v>4.5</v>
      </c>
      <c r="F164" t="b">
        <v>1</v>
      </c>
      <c r="G164" t="b">
        <v>1</v>
      </c>
      <c r="H164" t="n">
        <v>30.9</v>
      </c>
      <c r="I164" t="inlineStr">
        <is>
          <t>a</t>
        </is>
      </c>
      <c r="L164" t="inlineStr">
        <is>
          <t>p167074</t>
        </is>
      </c>
      <c r="M164" t="n">
        <v>256</v>
      </c>
      <c r="Q164" t="n">
        <v>1791</v>
      </c>
      <c r="R164" t="n">
        <v>22</v>
      </c>
      <c r="S164" t="n">
        <v>21</v>
      </c>
      <c r="T164" t="n">
        <v>19.9</v>
      </c>
      <c r="U164" t="n">
        <v>81.40000000000001</v>
      </c>
      <c r="V164" t="n">
        <v>81</v>
      </c>
      <c r="W164" t="n">
        <v>4.07</v>
      </c>
      <c r="X164" t="n">
        <v>1</v>
      </c>
      <c r="Y164" t="n">
        <v>0</v>
      </c>
      <c r="AA164" t="n">
        <v>6</v>
      </c>
      <c r="AB164" t="n">
        <v>25</v>
      </c>
      <c r="AC164" t="n">
        <v>5</v>
      </c>
      <c r="AD164" t="n">
        <v>5</v>
      </c>
      <c r="AE164" t="n">
        <v>0</v>
      </c>
      <c r="AF164" t="n">
        <v>318</v>
      </c>
      <c r="AG164" t="n">
        <v>298</v>
      </c>
      <c r="AH164" t="n">
        <v>-20</v>
      </c>
      <c r="AI164" t="n">
        <v>81</v>
      </c>
      <c r="AJ164" t="n">
        <v>0.062</v>
      </c>
      <c r="AK164" t="n">
        <v>0.066</v>
      </c>
      <c r="AL164" t="n">
        <v>165</v>
      </c>
      <c r="AM164" t="n">
        <v>8.291</v>
      </c>
      <c r="AN164" t="n">
        <v>7</v>
      </c>
      <c r="AO164" t="n">
        <v>14</v>
      </c>
      <c r="AP164" t="n">
        <v>0.333</v>
      </c>
      <c r="AQ164" t="n">
        <v>0.333</v>
      </c>
      <c r="AR164" t="n">
        <v>0.143</v>
      </c>
      <c r="AS164" t="n">
        <v>0.553</v>
      </c>
      <c r="AT164" t="n">
        <v>0.864</v>
      </c>
      <c r="AU164" t="n">
        <v>11</v>
      </c>
      <c r="AV164" t="n">
        <v>1</v>
      </c>
      <c r="AW164" t="n">
        <v>2.88</v>
      </c>
      <c r="AX164" t="n">
        <v>12</v>
      </c>
      <c r="AY164" t="n">
        <v>0.92</v>
      </c>
      <c r="AZ164" t="n">
        <v>0.729</v>
      </c>
      <c r="BA164" t="n">
        <v>0.824</v>
      </c>
      <c r="BB164" t="n">
        <v>0.729</v>
      </c>
      <c r="BC164" t="n">
        <v>0.046</v>
      </c>
      <c r="BD164" t="n">
        <v>0.037</v>
      </c>
      <c r="BE164" t="n">
        <v>0.041</v>
      </c>
      <c r="BF164" t="n">
        <v>0.5</v>
      </c>
      <c r="BG164" t="n">
        <v>0.025</v>
      </c>
      <c r="BH164" t="n">
        <v>0.858</v>
      </c>
      <c r="BI164" t="n">
        <v>3.89</v>
      </c>
      <c r="BJ164" t="n">
        <v>0.789</v>
      </c>
      <c r="BK164" t="n">
        <v>0.04</v>
      </c>
      <c r="BL164" t="n">
        <v>0.176</v>
      </c>
      <c r="BM164" t="n">
        <v>-0.42</v>
      </c>
      <c r="BN164" t="n">
        <v>0.5</v>
      </c>
      <c r="BO164" t="n">
        <v>0.191</v>
      </c>
      <c r="BP164" t="n">
        <v>16</v>
      </c>
      <c r="BQ164" t="n">
        <v>3</v>
      </c>
      <c r="BS164" t="n">
        <v>24</v>
      </c>
      <c r="BT164" t="n">
        <v>1.206</v>
      </c>
      <c r="BW164" t="n">
        <v>1.46</v>
      </c>
      <c r="BX164" t="n">
        <v>0.949</v>
      </c>
      <c r="BY164" t="n">
        <v>1.205</v>
      </c>
      <c r="BZ164" t="n">
        <v>0.061</v>
      </c>
      <c r="CA164" t="n">
        <v>2.029</v>
      </c>
      <c r="CB164" t="n">
        <v>0.102</v>
      </c>
      <c r="CC164" t="n">
        <v>11</v>
      </c>
      <c r="CD164" t="n">
        <v>1</v>
      </c>
      <c r="CE164" t="n">
        <v>11</v>
      </c>
      <c r="CF164" t="n">
        <v>13</v>
      </c>
      <c r="CI164" t="n">
        <v>3.944</v>
      </c>
      <c r="CJ164" t="n">
        <v>3.158</v>
      </c>
      <c r="CK164" t="n">
        <v>100</v>
      </c>
      <c r="CL164" t="n">
        <v>82</v>
      </c>
      <c r="CM164" t="n">
        <v>65</v>
      </c>
      <c r="CN164" t="n">
        <v>38</v>
      </c>
      <c r="CO164" t="n">
        <v>27</v>
      </c>
      <c r="CP164" t="n">
        <v>68</v>
      </c>
      <c r="CQ164" t="n">
        <v>6</v>
      </c>
      <c r="CR164" t="n">
        <v>131</v>
      </c>
      <c r="CS164" t="n">
        <v>27</v>
      </c>
      <c r="CT164" t="n">
        <v>0.1</v>
      </c>
      <c r="CW164" t="n">
        <v>25.79</v>
      </c>
      <c r="CX164" t="n">
        <v>1.296</v>
      </c>
      <c r="CY164" t="n">
        <v>0</v>
      </c>
      <c r="DB164" t="n">
        <v>0</v>
      </c>
      <c r="DE164" t="n">
        <v>7.13</v>
      </c>
      <c r="DF164" t="n">
        <v>2</v>
      </c>
      <c r="DG164" t="n">
        <v>0</v>
      </c>
      <c r="DH164" t="n">
        <v>27</v>
      </c>
      <c r="DI164" t="n">
        <v>31</v>
      </c>
      <c r="DL164" t="n">
        <v>8</v>
      </c>
      <c r="DM164" t="n">
        <v>16</v>
      </c>
      <c r="DN164" t="n">
        <v>1</v>
      </c>
      <c r="DO164" t="n">
        <v>0.2</v>
      </c>
      <c r="DP164" t="n">
        <v>64.58</v>
      </c>
      <c r="DQ164" t="n">
        <v>32.29</v>
      </c>
      <c r="DR164" t="n">
        <v>64.58</v>
      </c>
      <c r="DS164" t="n">
        <v>0</v>
      </c>
      <c r="DT164" t="n">
        <v>1528</v>
      </c>
      <c r="DU164" t="n">
        <v>40.2</v>
      </c>
      <c r="DV164" t="inlineStr">
        <is>
          <t>flat</t>
        </is>
      </c>
      <c r="DW164" t="n">
        <v>107.21</v>
      </c>
      <c r="DX164" t="n">
        <v>106.33</v>
      </c>
      <c r="DY164" t="n">
        <v>107.75</v>
      </c>
      <c r="DZ164" t="n">
        <v>0.53</v>
      </c>
      <c r="EA164" t="n">
        <v>15</v>
      </c>
      <c r="EB164" t="n">
        <v>7.22</v>
      </c>
      <c r="EC164" t="n">
        <v>85.5</v>
      </c>
      <c r="ED164" t="n">
        <v>120</v>
      </c>
      <c r="EE164" t="n">
        <v>24</v>
      </c>
      <c r="EF164" t="b">
        <v>1</v>
      </c>
      <c r="EG164" t="n">
        <v>0.6</v>
      </c>
      <c r="EH164" t="n">
        <v>17.2</v>
      </c>
      <c r="EI164" t="n">
        <v>410</v>
      </c>
      <c r="EJ164" t="n">
        <v>111.9</v>
      </c>
      <c r="EK164" t="n">
        <v>74.59999999999999</v>
      </c>
      <c r="EL164" t="n">
        <v>162.8</v>
      </c>
      <c r="EM164" t="n">
        <v>2172.5</v>
      </c>
      <c r="EN164" t="n">
        <v>1486.9</v>
      </c>
      <c r="EO164" t="n">
        <v>882.7</v>
      </c>
      <c r="EP164" t="n">
        <v>22.1</v>
      </c>
    </row>
    <row r="165">
      <c r="A165" t="inlineStr">
        <is>
          <t>Sandro Tonali</t>
        </is>
      </c>
      <c r="B165" t="inlineStr">
        <is>
          <t>TOT</t>
        </is>
      </c>
      <c r="C165" t="inlineStr">
        <is>
          <t>MID</t>
        </is>
      </c>
      <c r="D165" t="inlineStr">
        <is>
          <t>MID</t>
        </is>
      </c>
      <c r="E165" t="n">
        <v>5.5</v>
      </c>
      <c r="F165" t="b">
        <v>1</v>
      </c>
      <c r="G165" t="b">
        <v>1</v>
      </c>
      <c r="H165" t="n">
        <v>26.3</v>
      </c>
      <c r="I165" t="inlineStr">
        <is>
          <t>a</t>
        </is>
      </c>
      <c r="L165" t="inlineStr">
        <is>
          <t>p432422</t>
        </is>
      </c>
      <c r="M165" t="n">
        <v>455</v>
      </c>
      <c r="O165" t="n">
        <v>5</v>
      </c>
      <c r="P165" t="n">
        <v>4</v>
      </c>
      <c r="Q165" t="n">
        <v>2534</v>
      </c>
      <c r="R165" t="n">
        <v>35</v>
      </c>
      <c r="S165" t="n">
        <v>31</v>
      </c>
      <c r="T165" t="n">
        <v>28.156</v>
      </c>
      <c r="U165" t="n">
        <v>72.40000000000001</v>
      </c>
      <c r="V165" t="n">
        <v>81</v>
      </c>
      <c r="W165" t="n">
        <v>2.877</v>
      </c>
      <c r="X165" t="n">
        <v>0</v>
      </c>
      <c r="Y165" t="n">
        <v>2</v>
      </c>
      <c r="Z165" t="n">
        <v>2</v>
      </c>
      <c r="AA165" t="n">
        <v>7</v>
      </c>
      <c r="AB165" t="n">
        <v>38</v>
      </c>
      <c r="AC165" t="n">
        <v>2</v>
      </c>
      <c r="AD165" t="n">
        <v>1</v>
      </c>
      <c r="AE165" t="n">
        <v>-1</v>
      </c>
      <c r="AF165" t="n">
        <v>477</v>
      </c>
      <c r="AG165" t="n">
        <v>460</v>
      </c>
      <c r="AH165" t="n">
        <v>-17</v>
      </c>
      <c r="AI165" t="n">
        <v>80</v>
      </c>
      <c r="AJ165" t="n">
        <v>0.025</v>
      </c>
      <c r="AK165" t="n">
        <v>0.025</v>
      </c>
      <c r="AL165" t="n">
        <v>257</v>
      </c>
      <c r="AM165" t="n">
        <v>9.128</v>
      </c>
      <c r="AN165" t="n">
        <v>4</v>
      </c>
      <c r="AO165" t="n">
        <v>8</v>
      </c>
      <c r="AP165" t="n">
        <v>0.129</v>
      </c>
      <c r="AQ165" t="n">
        <v>0.258</v>
      </c>
      <c r="AR165" t="n">
        <v>0.129</v>
      </c>
      <c r="AS165" t="n">
        <v>0.8159999999999999</v>
      </c>
      <c r="AT165" t="n">
        <v>0.771</v>
      </c>
      <c r="AU165" t="n">
        <v>23</v>
      </c>
      <c r="AV165" t="n">
        <v>0</v>
      </c>
      <c r="AW165" t="n">
        <v>1.46</v>
      </c>
      <c r="AX165" t="n">
        <v>6</v>
      </c>
      <c r="AY165" t="n">
        <v>1.75</v>
      </c>
      <c r="AZ165" t="n">
        <v>1.417</v>
      </c>
      <c r="BA165" t="n">
        <v>1.584</v>
      </c>
      <c r="BB165" t="n">
        <v>1.417</v>
      </c>
      <c r="BC165" t="n">
        <v>0.062</v>
      </c>
      <c r="BD165" t="n">
        <v>0.05</v>
      </c>
      <c r="BE165" t="n">
        <v>0.056</v>
      </c>
      <c r="BF165" t="n">
        <v>1.6</v>
      </c>
      <c r="BG165" t="n">
        <v>0.057</v>
      </c>
      <c r="BH165" t="n">
        <v>1.038</v>
      </c>
      <c r="BI165" t="n">
        <v>6.83</v>
      </c>
      <c r="BJ165" t="n">
        <v>1.817</v>
      </c>
      <c r="BK165" t="n">
        <v>0.065</v>
      </c>
      <c r="BL165" t="n">
        <v>-1.584</v>
      </c>
      <c r="BM165" t="n">
        <v>-0.15</v>
      </c>
      <c r="BN165" t="n">
        <v>-1.6</v>
      </c>
      <c r="BO165" t="n">
        <v>0.333</v>
      </c>
      <c r="BP165" t="n">
        <v>37</v>
      </c>
      <c r="BQ165" t="n">
        <v>8</v>
      </c>
      <c r="BR165" t="n">
        <v>1</v>
      </c>
      <c r="BS165" t="n">
        <v>25</v>
      </c>
      <c r="BT165" t="n">
        <v>0.888</v>
      </c>
      <c r="BW165" t="n">
        <v>2.87</v>
      </c>
      <c r="BX165" t="n">
        <v>3.761</v>
      </c>
      <c r="BY165" t="n">
        <v>3.315</v>
      </c>
      <c r="BZ165" t="n">
        <v>0.118</v>
      </c>
      <c r="CA165" t="n">
        <v>4.899</v>
      </c>
      <c r="CB165" t="n">
        <v>0.174</v>
      </c>
      <c r="CC165" t="n">
        <v>32</v>
      </c>
      <c r="CD165" t="n">
        <v>6</v>
      </c>
      <c r="CE165" t="n">
        <v>32</v>
      </c>
      <c r="CF165" t="n">
        <v>20</v>
      </c>
      <c r="CG165" t="n">
        <v>3</v>
      </c>
      <c r="CH165" t="n">
        <v>49</v>
      </c>
      <c r="CI165" t="n">
        <v>10.74</v>
      </c>
      <c r="CJ165" t="n">
        <v>8.413</v>
      </c>
      <c r="CK165" t="n">
        <v>75</v>
      </c>
      <c r="CL165" t="n">
        <v>147</v>
      </c>
      <c r="CM165" t="n">
        <v>35</v>
      </c>
      <c r="CN165" t="n">
        <v>26</v>
      </c>
      <c r="CO165" t="n">
        <v>31</v>
      </c>
      <c r="CP165" t="n">
        <v>37</v>
      </c>
      <c r="CQ165" t="n">
        <v>7</v>
      </c>
      <c r="CR165" t="n">
        <v>107</v>
      </c>
      <c r="CS165" t="n">
        <v>13</v>
      </c>
      <c r="CT165" t="n">
        <v>0.5</v>
      </c>
      <c r="CV165" t="n">
        <v>1</v>
      </c>
      <c r="CW165" t="n">
        <v>36.19</v>
      </c>
      <c r="CX165" t="n">
        <v>1.285</v>
      </c>
      <c r="CY165" t="n">
        <v>0</v>
      </c>
      <c r="DB165" t="n">
        <v>0</v>
      </c>
      <c r="DE165" t="n">
        <v>7.04</v>
      </c>
      <c r="DF165" t="n">
        <v>4</v>
      </c>
      <c r="DG165" t="n">
        <v>0</v>
      </c>
      <c r="DH165" t="n">
        <v>24</v>
      </c>
      <c r="DI165" t="n">
        <v>42</v>
      </c>
      <c r="DL165" t="n">
        <v>19</v>
      </c>
      <c r="DM165" t="n">
        <v>17</v>
      </c>
      <c r="DN165" t="n">
        <v>1</v>
      </c>
      <c r="DO165" t="n">
        <v>4.2</v>
      </c>
      <c r="DP165" t="n">
        <v>122.42</v>
      </c>
      <c r="DQ165" t="n">
        <v>61.3</v>
      </c>
      <c r="DR165" t="n">
        <v>122.6</v>
      </c>
      <c r="DS165" t="n">
        <v>-0.18</v>
      </c>
      <c r="DT165" t="n">
        <v>2918</v>
      </c>
      <c r="DU165" t="n">
        <v>76.8</v>
      </c>
      <c r="DV165" t="inlineStr">
        <is>
          <t>flat</t>
        </is>
      </c>
      <c r="DW165" t="n">
        <v>70.31999999999999</v>
      </c>
      <c r="DX165" t="n">
        <v>72.63</v>
      </c>
      <c r="DY165" t="n">
        <v>68.05</v>
      </c>
      <c r="DZ165" t="n">
        <v>-2.27</v>
      </c>
      <c r="EA165" t="n">
        <v>661</v>
      </c>
      <c r="EB165" t="n">
        <v>24.78</v>
      </c>
      <c r="EC165" t="n">
        <v>4</v>
      </c>
      <c r="ED165" t="n">
        <v>120</v>
      </c>
      <c r="EE165" t="n">
        <v>1317</v>
      </c>
      <c r="EF165" t="b">
        <v>1</v>
      </c>
      <c r="EG165" t="n">
        <v>29.4</v>
      </c>
      <c r="EH165" t="n">
        <v>8</v>
      </c>
      <c r="EI165" t="n">
        <v>149</v>
      </c>
      <c r="EJ165" t="n">
        <v>68.5</v>
      </c>
      <c r="EK165" t="n">
        <v>101.4</v>
      </c>
      <c r="EL165" t="n">
        <v>79.2</v>
      </c>
      <c r="EM165" t="n">
        <v>1600.3</v>
      </c>
      <c r="EN165" t="n">
        <v>764.3</v>
      </c>
      <c r="EO165" t="n">
        <v>517.3</v>
      </c>
      <c r="EP165" t="n">
        <v>31.3</v>
      </c>
    </row>
    <row r="166">
      <c r="A166" t="inlineStr">
        <is>
          <t>Curtis Jones</t>
        </is>
      </c>
      <c r="B166" t="inlineStr">
        <is>
          <t>LIV</t>
        </is>
      </c>
      <c r="C166" t="inlineStr">
        <is>
          <t>MID</t>
        </is>
      </c>
      <c r="D166" t="inlineStr">
        <is>
          <t>MID</t>
        </is>
      </c>
      <c r="E166" t="n">
        <v>5.5</v>
      </c>
      <c r="F166" t="b">
        <v>1</v>
      </c>
      <c r="G166" t="b">
        <v>1</v>
      </c>
      <c r="H166" t="n">
        <v>25.6</v>
      </c>
      <c r="I166" t="inlineStr">
        <is>
          <t>a</t>
        </is>
      </c>
      <c r="L166" t="inlineStr">
        <is>
          <t>p206915</t>
        </is>
      </c>
      <c r="M166" t="n">
        <v>373</v>
      </c>
      <c r="Q166" t="n">
        <v>1923</v>
      </c>
      <c r="R166" t="n">
        <v>34</v>
      </c>
      <c r="S166" t="n">
        <v>18</v>
      </c>
      <c r="T166" t="n">
        <v>21.367</v>
      </c>
      <c r="U166" t="n">
        <v>56.6</v>
      </c>
      <c r="V166" t="n">
        <v>81</v>
      </c>
      <c r="W166" t="n">
        <v>3.791</v>
      </c>
      <c r="X166" t="n">
        <v>1</v>
      </c>
      <c r="Y166" t="n">
        <v>3</v>
      </c>
      <c r="Z166" t="n">
        <v>2</v>
      </c>
      <c r="AA166" t="n">
        <v>3</v>
      </c>
      <c r="AB166" t="n">
        <v>37</v>
      </c>
      <c r="AC166" t="n">
        <v>6</v>
      </c>
      <c r="AD166" t="n">
        <v>6</v>
      </c>
      <c r="AE166" t="n">
        <v>0</v>
      </c>
      <c r="AF166" t="n">
        <v>447</v>
      </c>
      <c r="AG166" t="n">
        <v>436</v>
      </c>
      <c r="AH166" t="n">
        <v>-11</v>
      </c>
      <c r="AI166" t="n">
        <v>81</v>
      </c>
      <c r="AJ166" t="n">
        <v>0.074</v>
      </c>
      <c r="AK166" t="n">
        <v>0.08</v>
      </c>
      <c r="AL166" t="n">
        <v>237</v>
      </c>
      <c r="AM166" t="n">
        <v>11.092</v>
      </c>
      <c r="AN166" t="n">
        <v>4</v>
      </c>
      <c r="AO166" t="n">
        <v>8</v>
      </c>
      <c r="AP166" t="n">
        <v>0.222</v>
      </c>
      <c r="AQ166" t="n">
        <v>0.556</v>
      </c>
      <c r="AR166" t="n">
        <v>0.222</v>
      </c>
      <c r="AS166" t="n">
        <v>0.474</v>
      </c>
      <c r="AT166" t="n">
        <v>0.529</v>
      </c>
      <c r="AU166" t="n">
        <v>24</v>
      </c>
      <c r="AV166" t="n">
        <v>1</v>
      </c>
      <c r="AW166" t="n">
        <v>2.13</v>
      </c>
      <c r="AX166" t="n">
        <v>10</v>
      </c>
      <c r="AY166" t="n">
        <v>2.21</v>
      </c>
      <c r="AZ166" t="n">
        <v>2.406</v>
      </c>
      <c r="BA166" t="n">
        <v>2.308</v>
      </c>
      <c r="BB166" t="n">
        <v>2.406</v>
      </c>
      <c r="BC166" t="n">
        <v>0.103</v>
      </c>
      <c r="BD166" t="n">
        <v>0.113</v>
      </c>
      <c r="BE166" t="n">
        <v>0.108</v>
      </c>
      <c r="BF166" t="n">
        <v>2.5</v>
      </c>
      <c r="BG166" t="n">
        <v>0.117</v>
      </c>
      <c r="BH166" t="n">
        <v>0.992</v>
      </c>
      <c r="BI166" t="n">
        <v>10.44</v>
      </c>
      <c r="BJ166" t="n">
        <v>2.193</v>
      </c>
      <c r="BK166" t="n">
        <v>0.103</v>
      </c>
      <c r="BL166" t="n">
        <v>-1.308</v>
      </c>
      <c r="BM166" t="n">
        <v>0.29</v>
      </c>
      <c r="BN166" t="n">
        <v>-1.5</v>
      </c>
      <c r="BO166" t="n">
        <v>-0.196</v>
      </c>
      <c r="BP166" t="n">
        <v>23</v>
      </c>
      <c r="BQ166" t="n">
        <v>7</v>
      </c>
      <c r="BR166" t="n">
        <v>3</v>
      </c>
      <c r="BS166" t="n">
        <v>51</v>
      </c>
      <c r="BT166" t="n">
        <v>2.387</v>
      </c>
      <c r="BW166" t="n">
        <v>2.77</v>
      </c>
      <c r="BX166" t="n">
        <v>2.834</v>
      </c>
      <c r="BY166" t="n">
        <v>2.802</v>
      </c>
      <c r="BZ166" t="n">
        <v>0.131</v>
      </c>
      <c r="CA166" t="n">
        <v>5.11</v>
      </c>
      <c r="CB166" t="n">
        <v>0.239</v>
      </c>
      <c r="CC166" t="n">
        <v>22</v>
      </c>
      <c r="CD166" t="n">
        <v>4</v>
      </c>
      <c r="CE166" t="n">
        <v>21</v>
      </c>
      <c r="CF166" t="n">
        <v>1</v>
      </c>
      <c r="CG166" t="n">
        <v>3</v>
      </c>
      <c r="CH166" t="n">
        <v>2</v>
      </c>
      <c r="CI166" t="n">
        <v>10.62</v>
      </c>
      <c r="CJ166" t="n">
        <v>7.237</v>
      </c>
      <c r="CK166" t="n">
        <v>53</v>
      </c>
      <c r="CL166" t="n">
        <v>144</v>
      </c>
      <c r="CM166" t="n">
        <v>40</v>
      </c>
      <c r="CN166" t="n">
        <v>24</v>
      </c>
      <c r="CO166" t="n">
        <v>18</v>
      </c>
      <c r="CP166" t="n">
        <v>29</v>
      </c>
      <c r="CQ166" t="n">
        <v>6</v>
      </c>
      <c r="CR166" t="n">
        <v>102</v>
      </c>
      <c r="CS166" t="n">
        <v>11</v>
      </c>
      <c r="CT166" t="n">
        <v>0.4</v>
      </c>
      <c r="CV166" t="n">
        <v>5</v>
      </c>
      <c r="CW166" t="n">
        <v>31.44</v>
      </c>
      <c r="CX166" t="n">
        <v>1.471</v>
      </c>
      <c r="CY166" t="n">
        <v>0</v>
      </c>
      <c r="DB166" t="n">
        <v>0</v>
      </c>
      <c r="DE166" t="n">
        <v>6.96</v>
      </c>
      <c r="DF166" t="n">
        <v>2</v>
      </c>
      <c r="DG166" t="n">
        <v>0</v>
      </c>
      <c r="DH166" t="n">
        <v>17</v>
      </c>
      <c r="DI166" t="n">
        <v>29</v>
      </c>
      <c r="DL166" t="n">
        <v>22</v>
      </c>
      <c r="DM166" t="n">
        <v>23</v>
      </c>
      <c r="DO166" t="n">
        <v>0.2</v>
      </c>
      <c r="DP166" t="n">
        <v>45.67</v>
      </c>
      <c r="DQ166" t="n">
        <v>24.09</v>
      </c>
      <c r="DR166" t="n">
        <v>48.18</v>
      </c>
      <c r="DS166" t="n">
        <v>-2.51</v>
      </c>
      <c r="DT166" t="n">
        <v>697</v>
      </c>
      <c r="DU166" t="n">
        <v>18.34</v>
      </c>
      <c r="DV166" t="inlineStr">
        <is>
          <t>fade (losing his place)</t>
        </is>
      </c>
      <c r="DW166" t="n">
        <v>85.19</v>
      </c>
      <c r="DX166" t="n">
        <v>82</v>
      </c>
      <c r="DY166" t="n">
        <v>90.29000000000001</v>
      </c>
      <c r="DZ166" t="n">
        <v>5.1</v>
      </c>
      <c r="EA166" t="n">
        <v>5</v>
      </c>
      <c r="EB166" t="n">
        <v>21.11</v>
      </c>
      <c r="EC166" t="n">
        <v>44</v>
      </c>
      <c r="ED166" t="n">
        <v>110</v>
      </c>
      <c r="EE166" t="n">
        <v>11</v>
      </c>
      <c r="EF166" t="b">
        <v>1</v>
      </c>
      <c r="EG166" t="n">
        <v>0.3</v>
      </c>
      <c r="EH166" t="n">
        <v>15.4</v>
      </c>
      <c r="EI166" t="n">
        <v>148</v>
      </c>
      <c r="EJ166" t="n">
        <v>83.59999999999999</v>
      </c>
      <c r="EK166" t="n">
        <v>37.7</v>
      </c>
      <c r="EL166" t="n">
        <v>91.59999999999999</v>
      </c>
      <c r="EM166" t="n">
        <v>833.1</v>
      </c>
      <c r="EN166" t="n">
        <v>686.3</v>
      </c>
      <c r="EO166" t="n">
        <v>376.3</v>
      </c>
      <c r="EP166" t="n">
        <v>23.7</v>
      </c>
    </row>
    <row r="167">
      <c r="A167" t="inlineStr">
        <is>
          <t>Noah Sadiki</t>
        </is>
      </c>
      <c r="B167" t="inlineStr">
        <is>
          <t>SUN</t>
        </is>
      </c>
      <c r="C167" t="inlineStr">
        <is>
          <t>MID</t>
        </is>
      </c>
      <c r="D167" t="inlineStr">
        <is>
          <t>MID</t>
        </is>
      </c>
      <c r="E167" t="n">
        <v>5</v>
      </c>
      <c r="F167" t="b">
        <v>1</v>
      </c>
      <c r="G167" t="b">
        <v>1</v>
      </c>
      <c r="H167" t="n">
        <v>21.7</v>
      </c>
      <c r="I167" t="inlineStr">
        <is>
          <t>a</t>
        </is>
      </c>
      <c r="L167" t="inlineStr">
        <is>
          <t>p577669</t>
        </is>
      </c>
      <c r="M167" t="n">
        <v>545</v>
      </c>
      <c r="Q167" t="n">
        <v>2891</v>
      </c>
      <c r="R167" t="n">
        <v>33</v>
      </c>
      <c r="S167" t="n">
        <v>33</v>
      </c>
      <c r="T167" t="n">
        <v>32.122</v>
      </c>
      <c r="U167" t="n">
        <v>87.59999999999999</v>
      </c>
      <c r="V167" t="n">
        <v>80</v>
      </c>
      <c r="W167" t="n">
        <v>2.49</v>
      </c>
      <c r="X167" t="n">
        <v>0</v>
      </c>
      <c r="Y167" t="n">
        <v>2</v>
      </c>
      <c r="Z167" t="n">
        <v>1</v>
      </c>
      <c r="AA167" t="n">
        <v>9</v>
      </c>
      <c r="AB167" t="n">
        <v>42</v>
      </c>
      <c r="AC167" t="n">
        <v>0</v>
      </c>
      <c r="AD167" t="n">
        <v>0</v>
      </c>
      <c r="AE167" t="n">
        <v>0</v>
      </c>
      <c r="AF167" t="n">
        <v>410</v>
      </c>
      <c r="AG167" t="n">
        <v>388</v>
      </c>
      <c r="AH167" t="n">
        <v>-22</v>
      </c>
      <c r="AI167" t="n">
        <v>80</v>
      </c>
      <c r="AJ167" t="n">
        <v>0</v>
      </c>
      <c r="AK167" t="n">
        <v>0</v>
      </c>
      <c r="AL167" t="n">
        <v>248</v>
      </c>
      <c r="AM167" t="n">
        <v>7.721</v>
      </c>
      <c r="AN167" t="n">
        <v>4</v>
      </c>
      <c r="AO167" t="n">
        <v>8</v>
      </c>
      <c r="AP167" t="n">
        <v>0.121</v>
      </c>
      <c r="AQ167" t="n">
        <v>0.273</v>
      </c>
      <c r="AR167" t="n">
        <v>0.121</v>
      </c>
      <c r="AS167" t="n">
        <v>0.868</v>
      </c>
      <c r="AT167" t="n">
        <v>1</v>
      </c>
      <c r="AU167" t="n">
        <v>20</v>
      </c>
      <c r="AV167" t="n">
        <v>0</v>
      </c>
      <c r="AW167" t="n">
        <v>1.27</v>
      </c>
      <c r="AX167" t="n">
        <v>5</v>
      </c>
      <c r="AY167" t="n">
        <v>1.43</v>
      </c>
      <c r="AZ167" t="n">
        <v>1.619</v>
      </c>
      <c r="BA167" t="n">
        <v>1.524</v>
      </c>
      <c r="BB167" t="n">
        <v>1.619</v>
      </c>
      <c r="BC167" t="n">
        <v>0.045</v>
      </c>
      <c r="BD167" t="n">
        <v>0.05</v>
      </c>
      <c r="BE167" t="n">
        <v>0.047</v>
      </c>
      <c r="BF167" t="n">
        <v>0.7</v>
      </c>
      <c r="BG167" t="n">
        <v>0.022</v>
      </c>
      <c r="BH167" t="n">
        <v>0.923</v>
      </c>
      <c r="BI167" t="n">
        <v>1.43</v>
      </c>
      <c r="BJ167" t="n">
        <v>1.319</v>
      </c>
      <c r="BK167" t="n">
        <v>0.041</v>
      </c>
      <c r="BL167" t="n">
        <v>-1.524</v>
      </c>
      <c r="BM167" t="n">
        <v>-0.73</v>
      </c>
      <c r="BN167" t="n">
        <v>-0.7</v>
      </c>
      <c r="BO167" t="n">
        <v>-0.189</v>
      </c>
      <c r="BP167" t="n">
        <v>18</v>
      </c>
      <c r="BQ167" t="n">
        <v>5</v>
      </c>
      <c r="BR167" t="n">
        <v>1</v>
      </c>
      <c r="BS167" t="n">
        <v>36</v>
      </c>
      <c r="BT167" t="n">
        <v>1.121</v>
      </c>
      <c r="BW167" t="n">
        <v>1.46</v>
      </c>
      <c r="BX167" t="n">
        <v>0.93</v>
      </c>
      <c r="BY167" t="n">
        <v>1.195</v>
      </c>
      <c r="BZ167" t="n">
        <v>0.037</v>
      </c>
      <c r="CA167" t="n">
        <v>2.719</v>
      </c>
      <c r="CB167" t="n">
        <v>0.08500000000000001</v>
      </c>
      <c r="CC167" t="n">
        <v>19</v>
      </c>
      <c r="CE167" t="n">
        <v>19</v>
      </c>
      <c r="CF167" t="n">
        <v>4</v>
      </c>
      <c r="CI167" t="n">
        <v>8.345000000000001</v>
      </c>
      <c r="CJ167" t="n">
        <v>6.268</v>
      </c>
      <c r="CK167" t="n">
        <v>89</v>
      </c>
      <c r="CL167" t="n">
        <v>113</v>
      </c>
      <c r="CM167" t="n">
        <v>46</v>
      </c>
      <c r="CN167" t="n">
        <v>24</v>
      </c>
      <c r="CO167" t="n">
        <v>34</v>
      </c>
      <c r="CP167" t="n">
        <v>44</v>
      </c>
      <c r="CQ167" t="n">
        <v>11</v>
      </c>
      <c r="CR167" t="n">
        <v>123</v>
      </c>
      <c r="CS167" t="n">
        <v>11</v>
      </c>
      <c r="CT167" t="n">
        <v>0.5</v>
      </c>
      <c r="CV167" t="n">
        <v>2</v>
      </c>
      <c r="CW167" t="n">
        <v>41.39</v>
      </c>
      <c r="CX167" t="n">
        <v>1.289</v>
      </c>
      <c r="CY167" t="n">
        <v>0</v>
      </c>
      <c r="DB167" t="n">
        <v>0</v>
      </c>
      <c r="DE167" t="n">
        <v>6.81</v>
      </c>
      <c r="DF167" t="n">
        <v>9</v>
      </c>
      <c r="DG167" t="n">
        <v>0</v>
      </c>
      <c r="DH167" t="n">
        <v>32</v>
      </c>
      <c r="DI167" t="n">
        <v>40</v>
      </c>
      <c r="DL167" t="n">
        <v>27</v>
      </c>
      <c r="DM167" t="n">
        <v>25</v>
      </c>
      <c r="DN167" t="n">
        <v>2</v>
      </c>
      <c r="DO167" t="n">
        <v>0.4</v>
      </c>
      <c r="DP167" t="n">
        <v>89.92</v>
      </c>
      <c r="DQ167" t="n">
        <v>44.96</v>
      </c>
      <c r="DR167" t="n">
        <v>89.92</v>
      </c>
      <c r="DS167" t="n">
        <v>0</v>
      </c>
      <c r="DT167" t="n">
        <v>2842</v>
      </c>
      <c r="DU167" t="n">
        <v>74.8</v>
      </c>
      <c r="DV167" t="inlineStr">
        <is>
          <t>flat</t>
        </is>
      </c>
      <c r="DW167" t="n">
        <v>88.70999999999999</v>
      </c>
      <c r="DY167" t="n">
        <v>84.31999999999999</v>
      </c>
      <c r="DZ167" t="n">
        <v>-4.4</v>
      </c>
      <c r="EA167" t="n">
        <v>7</v>
      </c>
      <c r="EB167" t="n">
        <v>27.15</v>
      </c>
      <c r="EC167" t="n">
        <v>42.4</v>
      </c>
      <c r="ED167" t="n">
        <v>119.5</v>
      </c>
      <c r="EE167" t="n">
        <v>8</v>
      </c>
      <c r="EF167" t="b">
        <v>0</v>
      </c>
      <c r="EG167" t="n">
        <v>0.2</v>
      </c>
      <c r="EH167" t="n">
        <v>11.1</v>
      </c>
      <c r="EI167" t="n">
        <v>255</v>
      </c>
      <c r="EJ167" t="n">
        <v>160.6</v>
      </c>
      <c r="EK167" t="n">
        <v>80.3</v>
      </c>
      <c r="EL167" t="n">
        <v>152.2</v>
      </c>
      <c r="EM167" t="n">
        <v>1896.5</v>
      </c>
      <c r="EN167" t="n">
        <v>2419.7</v>
      </c>
      <c r="EO167" t="n">
        <v>1063.2</v>
      </c>
      <c r="EP167" t="n">
        <v>36.1</v>
      </c>
    </row>
    <row r="168">
      <c r="A168" t="inlineStr">
        <is>
          <t>Xavi Simons</t>
        </is>
      </c>
      <c r="B168" t="inlineStr">
        <is>
          <t>TOT</t>
        </is>
      </c>
      <c r="C168" t="inlineStr">
        <is>
          <t>MID</t>
        </is>
      </c>
      <c r="D168" t="inlineStr">
        <is>
          <t>MID</t>
        </is>
      </c>
      <c r="E168" t="n">
        <v>6</v>
      </c>
      <c r="F168" t="b">
        <v>1</v>
      </c>
      <c r="G168" t="b">
        <v>1</v>
      </c>
      <c r="H168" t="n">
        <v>23.3</v>
      </c>
      <c r="I168" t="inlineStr">
        <is>
          <t>i</t>
        </is>
      </c>
      <c r="J168" t="inlineStr">
        <is>
          <t>Knee injury - Unknown return date</t>
        </is>
      </c>
      <c r="K168" t="n">
        <v>0</v>
      </c>
      <c r="L168" t="inlineStr">
        <is>
          <t>p493362</t>
        </is>
      </c>
      <c r="M168" t="n">
        <v>513</v>
      </c>
      <c r="N168" t="n">
        <v>3</v>
      </c>
      <c r="O168" t="n">
        <v>4</v>
      </c>
      <c r="P168" t="n">
        <v>2</v>
      </c>
      <c r="Q168" t="n">
        <v>1747</v>
      </c>
      <c r="R168" t="n">
        <v>28</v>
      </c>
      <c r="S168" t="n">
        <v>19</v>
      </c>
      <c r="T168" t="n">
        <v>19.411</v>
      </c>
      <c r="U168" t="n">
        <v>62.4</v>
      </c>
      <c r="V168" t="n">
        <v>80</v>
      </c>
      <c r="W168" t="n">
        <v>4.121</v>
      </c>
      <c r="X168" t="n">
        <v>2</v>
      </c>
      <c r="Y168" t="n">
        <v>5</v>
      </c>
      <c r="Z168" t="n">
        <v>5</v>
      </c>
      <c r="AA168" t="n">
        <v>4</v>
      </c>
      <c r="AB168" t="n">
        <v>36</v>
      </c>
      <c r="AC168" t="n">
        <v>7</v>
      </c>
      <c r="AD168" t="n">
        <v>7</v>
      </c>
      <c r="AE168" t="n">
        <v>0</v>
      </c>
      <c r="AF168" t="n">
        <v>345</v>
      </c>
      <c r="AG168" t="n">
        <v>341</v>
      </c>
      <c r="AH168" t="n">
        <v>-4</v>
      </c>
      <c r="AI168" t="n">
        <v>80</v>
      </c>
      <c r="AJ168" t="n">
        <v>0.08799999999999999</v>
      </c>
      <c r="AK168" t="n">
        <v>0.096</v>
      </c>
      <c r="AL168" t="n">
        <v>149</v>
      </c>
      <c r="AM168" t="n">
        <v>7.676</v>
      </c>
      <c r="AN168" t="n">
        <v>3</v>
      </c>
      <c r="AO168" t="n">
        <v>6</v>
      </c>
      <c r="AP168" t="n">
        <v>0.158</v>
      </c>
      <c r="AQ168" t="n">
        <v>0.263</v>
      </c>
      <c r="AR168" t="n">
        <v>0.158</v>
      </c>
      <c r="AS168" t="n">
        <v>0.5</v>
      </c>
      <c r="AT168" t="n">
        <v>0.643</v>
      </c>
      <c r="AU168" t="n">
        <v>18</v>
      </c>
      <c r="AV168" t="n">
        <v>2</v>
      </c>
      <c r="AW168" t="n">
        <v>3.11</v>
      </c>
      <c r="AX168" t="n">
        <v>14</v>
      </c>
      <c r="AY168" t="n">
        <v>3.06</v>
      </c>
      <c r="AZ168" t="n">
        <v>2.716</v>
      </c>
      <c r="BA168" t="n">
        <v>2.888</v>
      </c>
      <c r="BB168" t="n">
        <v>2.716</v>
      </c>
      <c r="BC168" t="n">
        <v>0.158</v>
      </c>
      <c r="BD168" t="n">
        <v>0.14</v>
      </c>
      <c r="BE168" t="n">
        <v>0.149</v>
      </c>
      <c r="BF168" t="n">
        <v>3.4</v>
      </c>
      <c r="BG168" t="n">
        <v>0.175</v>
      </c>
      <c r="BH168" t="n">
        <v>1.031</v>
      </c>
      <c r="BI168" t="n">
        <v>3.06</v>
      </c>
      <c r="BJ168" t="n">
        <v>3.154</v>
      </c>
      <c r="BK168" t="n">
        <v>0.162</v>
      </c>
      <c r="BL168" t="n">
        <v>-0.888</v>
      </c>
      <c r="BM168" t="n">
        <v>0.34</v>
      </c>
      <c r="BN168" t="n">
        <v>-1.4</v>
      </c>
      <c r="BO168" t="n">
        <v>0.344</v>
      </c>
      <c r="BP168" t="n">
        <v>42</v>
      </c>
      <c r="BQ168" t="n">
        <v>10</v>
      </c>
      <c r="BR168" t="n">
        <v>3</v>
      </c>
      <c r="BS168" t="n">
        <v>51</v>
      </c>
      <c r="BT168" t="n">
        <v>2.627</v>
      </c>
      <c r="BW168" t="n">
        <v>3.85</v>
      </c>
      <c r="BX168" t="n">
        <v>4.651</v>
      </c>
      <c r="BY168" t="n">
        <v>4.25</v>
      </c>
      <c r="BZ168" t="n">
        <v>0.219</v>
      </c>
      <c r="CA168" t="n">
        <v>7.138</v>
      </c>
      <c r="CB168" t="n">
        <v>0.368</v>
      </c>
      <c r="CC168" t="n">
        <v>34</v>
      </c>
      <c r="CD168" t="n">
        <v>7</v>
      </c>
      <c r="CE168" t="n">
        <v>34</v>
      </c>
      <c r="CF168" t="n">
        <v>14</v>
      </c>
      <c r="CG168" t="n">
        <v>3</v>
      </c>
      <c r="CH168" t="n">
        <v>33</v>
      </c>
      <c r="CI168" t="n">
        <v>9.529999999999999</v>
      </c>
      <c r="CJ168" t="n">
        <v>5.203</v>
      </c>
      <c r="CK168" t="n">
        <v>28</v>
      </c>
      <c r="CL168" t="n">
        <v>87</v>
      </c>
      <c r="CM168" t="n">
        <v>34</v>
      </c>
      <c r="CN168" t="n">
        <v>21</v>
      </c>
      <c r="CO168" t="n">
        <v>15</v>
      </c>
      <c r="CP168" t="n">
        <v>12</v>
      </c>
      <c r="CQ168" t="n">
        <v>1</v>
      </c>
      <c r="CR168" t="n">
        <v>118</v>
      </c>
      <c r="CS168" t="n">
        <v>12</v>
      </c>
      <c r="CT168" t="n">
        <v>1.1</v>
      </c>
      <c r="CV168" t="n">
        <v>2</v>
      </c>
      <c r="CW168" t="n">
        <v>30.71</v>
      </c>
      <c r="CX168" t="n">
        <v>1.582</v>
      </c>
      <c r="CY168" t="n">
        <v>0</v>
      </c>
      <c r="DB168" t="n">
        <v>0</v>
      </c>
      <c r="DE168" t="n">
        <v>6.92</v>
      </c>
      <c r="DF168" t="n">
        <v>5</v>
      </c>
      <c r="DG168" t="n">
        <v>1</v>
      </c>
      <c r="DH168" t="n">
        <v>21</v>
      </c>
      <c r="DI168" t="n">
        <v>44</v>
      </c>
      <c r="DL168" t="n">
        <v>28</v>
      </c>
      <c r="DM168" t="n">
        <v>30</v>
      </c>
      <c r="DO168" t="n">
        <v>0</v>
      </c>
      <c r="DP168" t="n">
        <v>86.84</v>
      </c>
      <c r="DQ168" t="n">
        <v>27.24</v>
      </c>
      <c r="DR168" t="n">
        <v>54.48</v>
      </c>
      <c r="DS168" t="n">
        <v>32.36</v>
      </c>
      <c r="DT168" t="n">
        <v>2160</v>
      </c>
      <c r="DU168" t="n">
        <v>56.85</v>
      </c>
      <c r="DV168" t="inlineStr">
        <is>
          <t>ramp-up (injury / late WC return)</t>
        </is>
      </c>
      <c r="DW168" t="n">
        <v>84.98999999999999</v>
      </c>
      <c r="DX168" t="n">
        <v>104</v>
      </c>
      <c r="DY168" t="n">
        <v>81.26000000000001</v>
      </c>
      <c r="DZ168" t="n">
        <v>-3.73</v>
      </c>
      <c r="EA168" t="n">
        <v>12</v>
      </c>
      <c r="EB168" t="n">
        <v>23.88</v>
      </c>
      <c r="EC168" t="n">
        <v>44.57</v>
      </c>
      <c r="ED168" t="n">
        <v>120</v>
      </c>
      <c r="EE168" t="n">
        <v>27</v>
      </c>
      <c r="EF168" t="b">
        <v>1</v>
      </c>
      <c r="EG168" t="n">
        <v>1</v>
      </c>
      <c r="EH168" t="n">
        <v>46</v>
      </c>
      <c r="EI168" t="n">
        <v>89</v>
      </c>
      <c r="EJ168" t="n">
        <v>41.6</v>
      </c>
      <c r="EK168" t="n">
        <v>34.3</v>
      </c>
      <c r="EL168" t="n">
        <v>51.4</v>
      </c>
      <c r="EM168" t="n">
        <v>604.9</v>
      </c>
      <c r="EN168" t="n">
        <v>411</v>
      </c>
      <c r="EO168" t="n">
        <v>244.7</v>
      </c>
      <c r="EP168" t="n">
        <v>21.8</v>
      </c>
    </row>
    <row r="169">
      <c r="A169" t="inlineStr">
        <is>
          <t>Emile Smith Rowe</t>
        </is>
      </c>
      <c r="B169" t="inlineStr">
        <is>
          <t>FUL</t>
        </is>
      </c>
      <c r="C169" t="inlineStr">
        <is>
          <t>MID</t>
        </is>
      </c>
      <c r="D169" t="inlineStr">
        <is>
          <t>MID</t>
        </is>
      </c>
      <c r="E169" t="n">
        <v>5.5</v>
      </c>
      <c r="F169" t="b">
        <v>1</v>
      </c>
      <c r="G169" t="b">
        <v>1</v>
      </c>
      <c r="H169" t="n">
        <v>26.1</v>
      </c>
      <c r="I169" t="inlineStr">
        <is>
          <t>a</t>
        </is>
      </c>
      <c r="L169" t="inlineStr">
        <is>
          <t>p209289</t>
        </is>
      </c>
      <c r="M169" t="n">
        <v>262</v>
      </c>
      <c r="Q169" t="n">
        <v>1909</v>
      </c>
      <c r="R169" t="n">
        <v>37</v>
      </c>
      <c r="S169" t="n">
        <v>22</v>
      </c>
      <c r="T169" t="n">
        <v>21.211</v>
      </c>
      <c r="U169" t="n">
        <v>51.6</v>
      </c>
      <c r="V169" t="n">
        <v>80</v>
      </c>
      <c r="W169" t="n">
        <v>3.772</v>
      </c>
      <c r="X169" t="n">
        <v>3</v>
      </c>
      <c r="Y169" t="n">
        <v>1</v>
      </c>
      <c r="AA169" t="n">
        <v>6</v>
      </c>
      <c r="AB169" t="n">
        <v>27</v>
      </c>
      <c r="AC169" t="n">
        <v>1</v>
      </c>
      <c r="AD169" t="n">
        <v>2</v>
      </c>
      <c r="AE169" t="n">
        <v>1</v>
      </c>
      <c r="AF169" t="n">
        <v>351</v>
      </c>
      <c r="AG169" t="n">
        <v>344</v>
      </c>
      <c r="AH169" t="n">
        <v>-7</v>
      </c>
      <c r="AI169" t="n">
        <v>81</v>
      </c>
      <c r="AJ169" t="n">
        <v>0.012</v>
      </c>
      <c r="AK169" t="n">
        <v>0.013</v>
      </c>
      <c r="AL169" t="n">
        <v>148</v>
      </c>
      <c r="AM169" t="n">
        <v>6.977</v>
      </c>
      <c r="AN169" t="n">
        <v>0</v>
      </c>
      <c r="AO169" t="n">
        <v>0</v>
      </c>
      <c r="AP169" t="n">
        <v>0</v>
      </c>
      <c r="AQ169" t="n">
        <v>0.136</v>
      </c>
      <c r="AR169" t="n">
        <v>0</v>
      </c>
      <c r="AS169" t="n">
        <v>0.579</v>
      </c>
      <c r="AT169" t="n">
        <v>0.514</v>
      </c>
      <c r="AU169" t="n">
        <v>27</v>
      </c>
      <c r="AV169" t="n">
        <v>0</v>
      </c>
      <c r="AW169" t="n">
        <v>1.75</v>
      </c>
      <c r="AX169" t="n">
        <v>8</v>
      </c>
      <c r="AY169" t="n">
        <v>4.71</v>
      </c>
      <c r="AZ169" t="n">
        <v>4.261</v>
      </c>
      <c r="BA169" t="n">
        <v>4.486</v>
      </c>
      <c r="BB169" t="n">
        <v>4.261</v>
      </c>
      <c r="BC169" t="n">
        <v>0.222</v>
      </c>
      <c r="BD169" t="n">
        <v>0.201</v>
      </c>
      <c r="BE169" t="n">
        <v>0.211</v>
      </c>
      <c r="BF169" t="n">
        <v>4.4</v>
      </c>
      <c r="BG169" t="n">
        <v>0.207</v>
      </c>
      <c r="BH169" t="n">
        <v>0.9340000000000001</v>
      </c>
      <c r="BI169" t="n">
        <v>11.27</v>
      </c>
      <c r="BJ169" t="n">
        <v>4.4</v>
      </c>
      <c r="BK169" t="n">
        <v>0.207</v>
      </c>
      <c r="BL169" t="n">
        <v>-1.486</v>
      </c>
      <c r="BM169" t="n">
        <v>-0.31</v>
      </c>
      <c r="BN169" t="n">
        <v>-1.4</v>
      </c>
      <c r="BO169" t="n">
        <v>0.449</v>
      </c>
      <c r="BP169" t="n">
        <v>36</v>
      </c>
      <c r="BQ169" t="n">
        <v>11</v>
      </c>
      <c r="BR169" t="n">
        <v>5</v>
      </c>
      <c r="BS169" t="n">
        <v>76</v>
      </c>
      <c r="BT169" t="n">
        <v>3.583</v>
      </c>
      <c r="BV169" t="n">
        <v>1</v>
      </c>
      <c r="BW169" t="n">
        <v>1.12</v>
      </c>
      <c r="BX169" t="n">
        <v>1.418</v>
      </c>
      <c r="BY169" t="n">
        <v>1.269</v>
      </c>
      <c r="BZ169" t="n">
        <v>0.06</v>
      </c>
      <c r="CA169" t="n">
        <v>5.755</v>
      </c>
      <c r="CB169" t="n">
        <v>0.271</v>
      </c>
      <c r="CC169" t="n">
        <v>18</v>
      </c>
      <c r="CD169" t="n">
        <v>1</v>
      </c>
      <c r="CE169" t="n">
        <v>18</v>
      </c>
      <c r="CF169" t="n">
        <v>1</v>
      </c>
      <c r="CI169" t="n">
        <v>8.590999999999999</v>
      </c>
      <c r="CJ169" t="n">
        <v>4.147</v>
      </c>
      <c r="CK169" t="n">
        <v>42</v>
      </c>
      <c r="CL169" t="n">
        <v>71</v>
      </c>
      <c r="CM169" t="n">
        <v>35</v>
      </c>
      <c r="CN169" t="n">
        <v>21</v>
      </c>
      <c r="CO169" t="n">
        <v>22</v>
      </c>
      <c r="CP169" t="n">
        <v>18</v>
      </c>
      <c r="CQ169" t="n">
        <v>1</v>
      </c>
      <c r="CR169" t="n">
        <v>72</v>
      </c>
      <c r="CS169" t="n">
        <v>7</v>
      </c>
      <c r="CT169" t="n">
        <v>0.3</v>
      </c>
      <c r="CV169" t="n">
        <v>2</v>
      </c>
      <c r="CW169" t="n">
        <v>31.27</v>
      </c>
      <c r="CX169" t="n">
        <v>1.474</v>
      </c>
      <c r="CY169" t="n">
        <v>0</v>
      </c>
      <c r="DB169" t="n">
        <v>0</v>
      </c>
      <c r="DE169" t="n">
        <v>6.7</v>
      </c>
      <c r="DF169" t="n">
        <v>1</v>
      </c>
      <c r="DG169" t="n">
        <v>0</v>
      </c>
      <c r="DH169" t="n">
        <v>10</v>
      </c>
      <c r="DI169" t="n">
        <v>17</v>
      </c>
      <c r="DL169" t="n">
        <v>14</v>
      </c>
      <c r="DM169" t="n">
        <v>31</v>
      </c>
      <c r="DN169" t="n">
        <v>3</v>
      </c>
      <c r="DO169" t="n">
        <v>0.4</v>
      </c>
      <c r="DP169" t="n">
        <v>84.76000000000001</v>
      </c>
      <c r="DQ169" t="n">
        <v>42.38</v>
      </c>
      <c r="DR169" t="n">
        <v>84.76000000000001</v>
      </c>
      <c r="DS169" t="n">
        <v>0</v>
      </c>
      <c r="DT169" t="n">
        <v>1744</v>
      </c>
      <c r="DU169" t="n">
        <v>45.9</v>
      </c>
      <c r="DV169" t="inlineStr">
        <is>
          <t>flat</t>
        </is>
      </c>
      <c r="DW169" t="n">
        <v>88.59999999999999</v>
      </c>
      <c r="DX169" t="n">
        <v>88.18000000000001</v>
      </c>
      <c r="DY169" t="n">
        <v>86.70999999999999</v>
      </c>
      <c r="DZ169" t="n">
        <v>-1.89</v>
      </c>
      <c r="EA169" t="n">
        <v>47</v>
      </c>
      <c r="EB169" t="n">
        <v>16.98</v>
      </c>
      <c r="EC169" t="n">
        <v>44</v>
      </c>
      <c r="ED169" t="n">
        <v>117.33</v>
      </c>
      <c r="EE169" t="n">
        <v>81</v>
      </c>
      <c r="EF169" t="b">
        <v>1</v>
      </c>
      <c r="EG169" t="n">
        <v>1.8</v>
      </c>
      <c r="EH169" t="n">
        <v>10</v>
      </c>
      <c r="EI169" t="n">
        <v>150</v>
      </c>
      <c r="EJ169" t="n">
        <v>53</v>
      </c>
      <c r="EK169" t="n">
        <v>25.1</v>
      </c>
      <c r="EL169" t="n">
        <v>106.1</v>
      </c>
      <c r="EM169" t="n">
        <v>425.6</v>
      </c>
      <c r="EN169" t="n">
        <v>1504.6</v>
      </c>
      <c r="EO169" t="n">
        <v>331.7</v>
      </c>
      <c r="EP169" t="n">
        <v>23.9</v>
      </c>
    </row>
    <row r="170">
      <c r="A170" t="inlineStr">
        <is>
          <t>Callum Wilson</t>
        </is>
      </c>
      <c r="B170" t="inlineStr">
        <is>
          <t>BRE</t>
        </is>
      </c>
      <c r="C170" t="inlineStr">
        <is>
          <t>FWD</t>
        </is>
      </c>
      <c r="D170" t="inlineStr">
        <is>
          <t>FWD</t>
        </is>
      </c>
      <c r="E170" t="n">
        <v>5.5</v>
      </c>
      <c r="F170" t="b">
        <v>1</v>
      </c>
      <c r="G170" t="b">
        <v>1</v>
      </c>
      <c r="H170" t="n">
        <v>34.5</v>
      </c>
      <c r="I170" t="inlineStr">
        <is>
          <t>a</t>
        </is>
      </c>
      <c r="L170" t="inlineStr">
        <is>
          <t>p75115</t>
        </is>
      </c>
      <c r="M170" t="n">
        <v>108</v>
      </c>
      <c r="Q170" t="n">
        <v>1234</v>
      </c>
      <c r="R170" t="n">
        <v>32</v>
      </c>
      <c r="S170" t="n">
        <v>11</v>
      </c>
      <c r="T170" t="n">
        <v>13.711</v>
      </c>
      <c r="U170" t="n">
        <v>38.6</v>
      </c>
      <c r="V170" t="n">
        <v>80</v>
      </c>
      <c r="W170" t="n">
        <v>5.835</v>
      </c>
      <c r="X170" t="n">
        <v>7</v>
      </c>
      <c r="Y170" t="n">
        <v>2</v>
      </c>
      <c r="Z170" t="n">
        <v>1</v>
      </c>
      <c r="AA170" t="n">
        <v>1</v>
      </c>
      <c r="AB170" t="n">
        <v>24</v>
      </c>
      <c r="AC170" t="n">
        <v>7</v>
      </c>
      <c r="AD170" t="n">
        <v>9</v>
      </c>
      <c r="AE170" t="n">
        <v>2</v>
      </c>
      <c r="AF170" t="n">
        <v>296</v>
      </c>
      <c r="AG170" t="n">
        <v>295</v>
      </c>
      <c r="AH170" t="n">
        <v>-1</v>
      </c>
      <c r="AI170" t="n">
        <v>82</v>
      </c>
      <c r="AJ170" t="n">
        <v>0.08799999999999999</v>
      </c>
      <c r="AK170" t="n">
        <v>0.096</v>
      </c>
      <c r="AL170" t="n">
        <v>41</v>
      </c>
      <c r="AM170" t="n">
        <v>2.99</v>
      </c>
      <c r="AN170" t="n">
        <v>0</v>
      </c>
      <c r="AO170" t="n">
        <v>0</v>
      </c>
      <c r="AP170" t="n">
        <v>0</v>
      </c>
      <c r="AQ170" t="n">
        <v>0</v>
      </c>
      <c r="AR170" t="n">
        <v>0</v>
      </c>
      <c r="AS170" t="n">
        <v>0.289</v>
      </c>
      <c r="AT170" t="n">
        <v>0.25</v>
      </c>
      <c r="AU170" t="n">
        <v>24</v>
      </c>
      <c r="AV170" t="n">
        <v>1</v>
      </c>
      <c r="AW170" t="n">
        <v>2.51</v>
      </c>
      <c r="AX170" t="n">
        <v>12</v>
      </c>
      <c r="AY170" t="n">
        <v>7.6</v>
      </c>
      <c r="AZ170" t="n">
        <v>7.603</v>
      </c>
      <c r="BA170" t="n">
        <v>7.601</v>
      </c>
      <c r="BB170" t="n">
        <v>7.603</v>
      </c>
      <c r="BC170" t="n">
        <v>0.554</v>
      </c>
      <c r="BD170" t="n">
        <v>0.554</v>
      </c>
      <c r="BE170" t="n">
        <v>0.554</v>
      </c>
      <c r="BF170" t="n">
        <v>6.8</v>
      </c>
      <c r="BG170" t="n">
        <v>0.496</v>
      </c>
      <c r="BH170" t="n">
        <v>0.965</v>
      </c>
      <c r="BI170" t="n">
        <v>33.35</v>
      </c>
      <c r="BJ170" t="n">
        <v>7.333</v>
      </c>
      <c r="BK170" t="n">
        <v>0.535</v>
      </c>
      <c r="BL170" t="n">
        <v>-0.601</v>
      </c>
      <c r="BM170" t="n">
        <v>-0.8</v>
      </c>
      <c r="BN170" t="n">
        <v>0.2</v>
      </c>
      <c r="BO170" t="n">
        <v>-0.003</v>
      </c>
      <c r="BP170" t="n">
        <v>38</v>
      </c>
      <c r="BQ170" t="n">
        <v>16</v>
      </c>
      <c r="BR170" t="n">
        <v>7</v>
      </c>
      <c r="BS170" t="n">
        <v>85</v>
      </c>
      <c r="BT170" t="n">
        <v>6.199</v>
      </c>
      <c r="BV170" t="n">
        <v>2</v>
      </c>
      <c r="BW170" t="n">
        <v>0.54</v>
      </c>
      <c r="BX170" t="n">
        <v>1.027</v>
      </c>
      <c r="BY170" t="n">
        <v>0.783</v>
      </c>
      <c r="BZ170" t="n">
        <v>0.057</v>
      </c>
      <c r="CA170" t="n">
        <v>8.385</v>
      </c>
      <c r="CB170" t="n">
        <v>0.612</v>
      </c>
      <c r="CC170" t="n">
        <v>8</v>
      </c>
      <c r="CD170" t="n">
        <v>1</v>
      </c>
      <c r="CE170" t="n">
        <v>8</v>
      </c>
      <c r="CF170" t="n">
        <v>1</v>
      </c>
      <c r="CI170" t="n">
        <v>6.896</v>
      </c>
      <c r="CJ170" t="n">
        <v>0.638</v>
      </c>
      <c r="CK170" t="n">
        <v>10</v>
      </c>
      <c r="CL170" t="n">
        <v>27</v>
      </c>
      <c r="CM170" t="n">
        <v>4</v>
      </c>
      <c r="CN170" t="n">
        <v>2</v>
      </c>
      <c r="CO170" t="n">
        <v>3</v>
      </c>
      <c r="CP170" t="n">
        <v>5</v>
      </c>
      <c r="CQ170" t="n">
        <v>2</v>
      </c>
      <c r="CR170" t="n">
        <v>50</v>
      </c>
      <c r="CS170" t="n">
        <v>19</v>
      </c>
      <c r="CT170" t="n">
        <v>0.7</v>
      </c>
      <c r="CW170" t="n">
        <v>21.49</v>
      </c>
      <c r="CX170" t="n">
        <v>1.567</v>
      </c>
      <c r="CY170" t="n">
        <v>0</v>
      </c>
      <c r="DB170" t="n">
        <v>0</v>
      </c>
      <c r="DE170" t="n">
        <v>6.4</v>
      </c>
      <c r="DF170" t="n">
        <v>1</v>
      </c>
      <c r="DG170" t="n">
        <v>0</v>
      </c>
      <c r="DH170" t="n">
        <v>12</v>
      </c>
      <c r="DI170" t="n">
        <v>14</v>
      </c>
      <c r="DL170" t="n">
        <v>13</v>
      </c>
      <c r="DM170" t="n">
        <v>21</v>
      </c>
      <c r="DN170" t="n">
        <v>9</v>
      </c>
      <c r="DO170" t="n">
        <v>0.4</v>
      </c>
      <c r="DP170" t="n">
        <v>31.68</v>
      </c>
      <c r="DQ170" t="n">
        <v>15.84</v>
      </c>
      <c r="DR170" t="n">
        <v>31.68</v>
      </c>
      <c r="DS170" t="n">
        <v>0</v>
      </c>
      <c r="DT170" t="n">
        <v>258</v>
      </c>
      <c r="DU170" t="n">
        <v>6.79</v>
      </c>
      <c r="DV170" t="inlineStr">
        <is>
          <t>flat</t>
        </is>
      </c>
      <c r="DW170" t="n">
        <v>94.69</v>
      </c>
      <c r="DX170" t="n">
        <v>98.11</v>
      </c>
      <c r="DY170" t="n">
        <v>93.75</v>
      </c>
      <c r="DZ170" t="n">
        <v>-0.9399999999999999</v>
      </c>
      <c r="EA170" t="n">
        <v>124</v>
      </c>
      <c r="EB170" t="n">
        <v>20.1</v>
      </c>
      <c r="EC170" t="n">
        <v>13.6</v>
      </c>
      <c r="ED170" t="n">
        <v>120</v>
      </c>
      <c r="EE170" t="n">
        <v>207</v>
      </c>
      <c r="EF170" t="b">
        <v>1</v>
      </c>
      <c r="EG170" t="n">
        <v>4.8</v>
      </c>
      <c r="EH170" t="n">
        <v>10.8</v>
      </c>
      <c r="EI170" t="n">
        <v>201</v>
      </c>
      <c r="EJ170" t="n">
        <v>32.5</v>
      </c>
      <c r="EK170" t="n">
        <v>14.5</v>
      </c>
      <c r="EL170" t="n">
        <v>154.2</v>
      </c>
      <c r="EM170" t="n">
        <v>162.3</v>
      </c>
      <c r="EN170" t="n">
        <v>1575.2</v>
      </c>
      <c r="EO170" t="n">
        <v>147.2</v>
      </c>
      <c r="EP170" t="n">
        <v>15.4</v>
      </c>
    </row>
    <row r="171">
      <c r="A171" t="inlineStr">
        <is>
          <t>Lewis Hall</t>
        </is>
      </c>
      <c r="B171" t="inlineStr">
        <is>
          <t>NEW</t>
        </is>
      </c>
      <c r="C171" t="inlineStr">
        <is>
          <t>DEF</t>
        </is>
      </c>
      <c r="D171" t="inlineStr">
        <is>
          <t>DEF</t>
        </is>
      </c>
      <c r="E171" t="n">
        <v>5</v>
      </c>
      <c r="F171" t="b">
        <v>1</v>
      </c>
      <c r="G171" t="b">
        <v>1</v>
      </c>
      <c r="H171" t="n">
        <v>21.9</v>
      </c>
      <c r="I171" t="inlineStr">
        <is>
          <t>a</t>
        </is>
      </c>
      <c r="L171" t="inlineStr">
        <is>
          <t>p487838</t>
        </is>
      </c>
      <c r="M171" t="n">
        <v>449</v>
      </c>
      <c r="O171" t="n">
        <v>2</v>
      </c>
      <c r="P171" t="n">
        <v>1</v>
      </c>
      <c r="Q171" t="n">
        <v>2176</v>
      </c>
      <c r="R171" t="n">
        <v>30</v>
      </c>
      <c r="S171" t="n">
        <v>24</v>
      </c>
      <c r="T171" t="n">
        <v>24.178</v>
      </c>
      <c r="U171" t="n">
        <v>72.5</v>
      </c>
      <c r="V171" t="n">
        <v>79</v>
      </c>
      <c r="W171" t="n">
        <v>3.267</v>
      </c>
      <c r="X171" t="n">
        <v>1</v>
      </c>
      <c r="Y171" t="n">
        <v>2</v>
      </c>
      <c r="Z171" t="n">
        <v>1</v>
      </c>
      <c r="AA171" t="n">
        <v>4</v>
      </c>
      <c r="AB171" t="n">
        <v>39</v>
      </c>
      <c r="AC171" t="n">
        <v>4</v>
      </c>
      <c r="AD171" t="n">
        <v>5</v>
      </c>
      <c r="AE171" t="n">
        <v>1</v>
      </c>
      <c r="AF171" t="n">
        <v>347</v>
      </c>
      <c r="AG171" t="n">
        <v>329</v>
      </c>
      <c r="AH171" t="n">
        <v>-18</v>
      </c>
      <c r="AI171" t="n">
        <v>80</v>
      </c>
      <c r="AJ171" t="n">
        <v>0.051</v>
      </c>
      <c r="AK171" t="n">
        <v>0.053</v>
      </c>
      <c r="AL171" t="n">
        <v>173</v>
      </c>
      <c r="AM171" t="n">
        <v>7.155</v>
      </c>
      <c r="AN171" t="n">
        <v>5</v>
      </c>
      <c r="AO171" t="n">
        <v>10</v>
      </c>
      <c r="AP171" t="n">
        <v>0.208</v>
      </c>
      <c r="AQ171" t="n">
        <v>0.208</v>
      </c>
      <c r="AR171" t="n">
        <v>0</v>
      </c>
      <c r="AS171" t="n">
        <v>0.632</v>
      </c>
      <c r="AT171" t="n">
        <v>0.767</v>
      </c>
      <c r="AU171" t="n">
        <v>19</v>
      </c>
      <c r="AV171" t="n">
        <v>0</v>
      </c>
      <c r="AW171" t="n">
        <v>2.32</v>
      </c>
      <c r="AX171" t="n">
        <v>9</v>
      </c>
      <c r="AY171" t="n">
        <v>1.01</v>
      </c>
      <c r="AZ171" t="n">
        <v>1.288</v>
      </c>
      <c r="BA171" t="n">
        <v>1.149</v>
      </c>
      <c r="BB171" t="n">
        <v>1.288</v>
      </c>
      <c r="BC171" t="n">
        <v>0.042</v>
      </c>
      <c r="BD171" t="n">
        <v>0.053</v>
      </c>
      <c r="BE171" t="n">
        <v>0.048</v>
      </c>
      <c r="BF171" t="n">
        <v>0.9</v>
      </c>
      <c r="BG171" t="n">
        <v>0.037</v>
      </c>
      <c r="BH171" t="n">
        <v>0.989</v>
      </c>
      <c r="BI171" t="n">
        <v>2.62</v>
      </c>
      <c r="BJ171" t="n">
        <v>0.999</v>
      </c>
      <c r="BK171" t="n">
        <v>0.041</v>
      </c>
      <c r="BL171" t="n">
        <v>-0.149</v>
      </c>
      <c r="BM171" t="n">
        <v>-0.11</v>
      </c>
      <c r="BN171" t="n">
        <v>0.1</v>
      </c>
      <c r="BO171" t="n">
        <v>-0.278</v>
      </c>
      <c r="BP171" t="n">
        <v>25</v>
      </c>
      <c r="BQ171" t="n">
        <v>6</v>
      </c>
      <c r="BR171" t="n">
        <v>1</v>
      </c>
      <c r="BS171" t="n">
        <v>50</v>
      </c>
      <c r="BT171" t="n">
        <v>2.068</v>
      </c>
      <c r="BW171" t="n">
        <v>2.78</v>
      </c>
      <c r="BX171" t="n">
        <v>2.534</v>
      </c>
      <c r="BY171" t="n">
        <v>2.657</v>
      </c>
      <c r="BZ171" t="n">
        <v>0.11</v>
      </c>
      <c r="CA171" t="n">
        <v>3.806</v>
      </c>
      <c r="CB171" t="n">
        <v>0.157</v>
      </c>
      <c r="CC171" t="n">
        <v>25</v>
      </c>
      <c r="CD171" t="n">
        <v>5</v>
      </c>
      <c r="CE171" t="n">
        <v>25</v>
      </c>
      <c r="CF171" t="n">
        <v>20</v>
      </c>
      <c r="CG171" t="n">
        <v>2</v>
      </c>
      <c r="CH171" t="n">
        <v>41</v>
      </c>
      <c r="CI171" t="n">
        <v>8.868</v>
      </c>
      <c r="CJ171" t="n">
        <v>7.468</v>
      </c>
      <c r="CK171" t="n">
        <v>119</v>
      </c>
      <c r="CL171" t="n">
        <v>134</v>
      </c>
      <c r="CM171" t="n">
        <v>54</v>
      </c>
      <c r="CN171" t="n">
        <v>31</v>
      </c>
      <c r="CO171" t="n">
        <v>28</v>
      </c>
      <c r="CP171" t="n">
        <v>77</v>
      </c>
      <c r="CQ171" t="n">
        <v>14</v>
      </c>
      <c r="CR171" t="n">
        <v>158</v>
      </c>
      <c r="CS171" t="n">
        <v>26</v>
      </c>
      <c r="CT171" t="n">
        <v>0.5</v>
      </c>
      <c r="CU171" t="n">
        <v>1</v>
      </c>
      <c r="CV171" t="n">
        <v>2</v>
      </c>
      <c r="CW171" t="n">
        <v>37.72</v>
      </c>
      <c r="CX171" t="n">
        <v>1.56</v>
      </c>
      <c r="CY171" t="n">
        <v>0</v>
      </c>
      <c r="DB171" t="n">
        <v>0</v>
      </c>
      <c r="DE171" t="n">
        <v>6.99</v>
      </c>
      <c r="DF171" t="n">
        <v>4</v>
      </c>
      <c r="DG171" t="n">
        <v>0</v>
      </c>
      <c r="DH171" t="n">
        <v>17</v>
      </c>
      <c r="DI171" t="n">
        <v>41</v>
      </c>
      <c r="DL171" t="n">
        <v>37</v>
      </c>
      <c r="DM171" t="n">
        <v>38</v>
      </c>
      <c r="DO171" t="n">
        <v>3.9</v>
      </c>
      <c r="DP171" t="n">
        <v>109.17</v>
      </c>
      <c r="DQ171" t="n">
        <v>54.65</v>
      </c>
      <c r="DR171" t="n">
        <v>109.3</v>
      </c>
      <c r="DS171" t="n">
        <v>-0.13</v>
      </c>
      <c r="DT171" t="n">
        <v>2702</v>
      </c>
      <c r="DU171" t="n">
        <v>71.09999999999999</v>
      </c>
      <c r="DV171" t="inlineStr">
        <is>
          <t>flat</t>
        </is>
      </c>
      <c r="DW171" t="n">
        <v>87.90000000000001</v>
      </c>
      <c r="DX171" t="n">
        <v>94.73999999999999</v>
      </c>
      <c r="DY171" t="n">
        <v>85.34</v>
      </c>
      <c r="DZ171" t="n">
        <v>-2.57</v>
      </c>
      <c r="EA171" t="n">
        <v>990</v>
      </c>
      <c r="EB171" t="n">
        <v>20.95</v>
      </c>
      <c r="EC171" t="n">
        <v>3.64</v>
      </c>
      <c r="ED171" t="n">
        <v>120</v>
      </c>
      <c r="EE171" t="n">
        <v>1801</v>
      </c>
      <c r="EF171" t="b">
        <v>1</v>
      </c>
      <c r="EG171" t="n">
        <v>40</v>
      </c>
      <c r="EH171" t="n">
        <v>7.6</v>
      </c>
      <c r="EI171" t="n">
        <v>256</v>
      </c>
      <c r="EJ171" t="n">
        <v>87</v>
      </c>
      <c r="EK171" t="n">
        <v>43.5</v>
      </c>
      <c r="EL171" t="n">
        <v>87</v>
      </c>
      <c r="EM171" t="n">
        <v>1893.7</v>
      </c>
      <c r="EN171" t="n">
        <v>819</v>
      </c>
      <c r="EO171" t="n">
        <v>571.7</v>
      </c>
      <c r="EP171" t="n">
        <v>27.5</v>
      </c>
    </row>
    <row r="172">
      <c r="A172" t="inlineStr">
        <is>
          <t>Jack Grealish</t>
        </is>
      </c>
      <c r="B172" t="inlineStr">
        <is>
          <t>MCI</t>
        </is>
      </c>
      <c r="C172" t="inlineStr">
        <is>
          <t>MID</t>
        </is>
      </c>
      <c r="D172" t="inlineStr">
        <is>
          <t>MID</t>
        </is>
      </c>
      <c r="E172" t="n">
        <v>6.5</v>
      </c>
      <c r="F172" t="b">
        <v>1</v>
      </c>
      <c r="G172" t="b">
        <v>1</v>
      </c>
      <c r="H172" t="n">
        <v>30.9</v>
      </c>
      <c r="I172" t="inlineStr">
        <is>
          <t>d</t>
        </is>
      </c>
      <c r="J172" t="inlineStr">
        <is>
          <t>Foot injury - 75% chance of playing</t>
        </is>
      </c>
      <c r="K172" t="n">
        <v>75</v>
      </c>
      <c r="L172" t="inlineStr">
        <is>
          <t>p114283</t>
        </is>
      </c>
      <c r="M172" t="n">
        <v>238</v>
      </c>
      <c r="Q172" t="n">
        <v>1627</v>
      </c>
      <c r="R172" t="n">
        <v>20</v>
      </c>
      <c r="S172" t="n">
        <v>18</v>
      </c>
      <c r="T172" t="n">
        <v>18.078</v>
      </c>
      <c r="U172" t="n">
        <v>81.40000000000001</v>
      </c>
      <c r="V172" t="n">
        <v>79</v>
      </c>
      <c r="W172" t="n">
        <v>4.37</v>
      </c>
      <c r="X172" t="n">
        <v>2</v>
      </c>
      <c r="Y172" t="n">
        <v>6</v>
      </c>
      <c r="Z172" t="n">
        <v>6</v>
      </c>
      <c r="AA172" t="n">
        <v>7</v>
      </c>
      <c r="AB172" t="n">
        <v>23</v>
      </c>
      <c r="AC172" t="n">
        <v>12</v>
      </c>
      <c r="AD172" t="n">
        <v>12</v>
      </c>
      <c r="AE172" t="n">
        <v>0</v>
      </c>
      <c r="AF172" t="n">
        <v>356</v>
      </c>
      <c r="AG172" t="n">
        <v>350</v>
      </c>
      <c r="AH172" t="n">
        <v>-6</v>
      </c>
      <c r="AI172" t="n">
        <v>79</v>
      </c>
      <c r="AJ172" t="n">
        <v>0.152</v>
      </c>
      <c r="AK172" t="n">
        <v>0.179</v>
      </c>
      <c r="AL172" t="n">
        <v>135</v>
      </c>
      <c r="AM172" t="n">
        <v>7.468</v>
      </c>
      <c r="AN172" t="n">
        <v>0</v>
      </c>
      <c r="AO172" t="n">
        <v>0</v>
      </c>
      <c r="AP172" t="n">
        <v>0</v>
      </c>
      <c r="AQ172" t="n">
        <v>0.222</v>
      </c>
      <c r="AR172" t="n">
        <v>0</v>
      </c>
      <c r="AS172" t="n">
        <v>0.474</v>
      </c>
      <c r="AT172" t="n">
        <v>0.9</v>
      </c>
      <c r="AU172" t="n">
        <v>11</v>
      </c>
      <c r="AV172" t="n">
        <v>5</v>
      </c>
      <c r="AW172" t="n">
        <v>3.46</v>
      </c>
      <c r="AX172" t="n">
        <v>11</v>
      </c>
      <c r="AY172" t="n">
        <v>2.05</v>
      </c>
      <c r="AZ172" t="n">
        <v>3.085</v>
      </c>
      <c r="BA172" t="n">
        <v>2.567</v>
      </c>
      <c r="BB172" t="n">
        <v>3.085</v>
      </c>
      <c r="BC172" t="n">
        <v>0.113</v>
      </c>
      <c r="BD172" t="n">
        <v>0.171</v>
      </c>
      <c r="BE172" t="n">
        <v>0.142</v>
      </c>
      <c r="BF172" t="n">
        <v>2.2</v>
      </c>
      <c r="BG172" t="n">
        <v>0.122</v>
      </c>
      <c r="BH172" t="n">
        <v>1.07</v>
      </c>
      <c r="BI172" t="n">
        <v>9.85</v>
      </c>
      <c r="BJ172" t="n">
        <v>2.194</v>
      </c>
      <c r="BK172" t="n">
        <v>0.121</v>
      </c>
      <c r="BL172" t="n">
        <v>-0.5669999999999999</v>
      </c>
      <c r="BM172" t="n">
        <v>0.15</v>
      </c>
      <c r="BN172" t="n">
        <v>-0.2</v>
      </c>
      <c r="BO172" t="n">
        <v>-1.035</v>
      </c>
      <c r="BP172" t="n">
        <v>26</v>
      </c>
      <c r="BQ172" t="n">
        <v>8</v>
      </c>
      <c r="BR172" t="n">
        <v>4</v>
      </c>
      <c r="BS172" t="n">
        <v>105</v>
      </c>
      <c r="BT172" t="n">
        <v>5.808</v>
      </c>
      <c r="BW172" t="n">
        <v>3.37</v>
      </c>
      <c r="BX172" t="n">
        <v>4.558</v>
      </c>
      <c r="BY172" t="n">
        <v>3.964</v>
      </c>
      <c r="BZ172" t="n">
        <v>0.219</v>
      </c>
      <c r="CA172" t="n">
        <v>6.532</v>
      </c>
      <c r="CB172" t="n">
        <v>0.361</v>
      </c>
      <c r="CC172" t="n">
        <v>38</v>
      </c>
      <c r="CD172" t="n">
        <v>5</v>
      </c>
      <c r="CE172" t="n">
        <v>38</v>
      </c>
      <c r="CF172" t="n">
        <v>10</v>
      </c>
      <c r="CG172" t="n">
        <v>3</v>
      </c>
      <c r="CH172" t="n">
        <v>2</v>
      </c>
      <c r="CI172" t="n">
        <v>9.291</v>
      </c>
      <c r="CJ172" t="n">
        <v>3.292</v>
      </c>
      <c r="CK172" t="n">
        <v>27</v>
      </c>
      <c r="CL172" t="n">
        <v>88</v>
      </c>
      <c r="CM172" t="n">
        <v>20</v>
      </c>
      <c r="CN172" t="n">
        <v>15</v>
      </c>
      <c r="CO172" t="n">
        <v>12</v>
      </c>
      <c r="CP172" t="n">
        <v>11</v>
      </c>
      <c r="CQ172" t="n">
        <v>6</v>
      </c>
      <c r="CR172" t="n">
        <v>106</v>
      </c>
      <c r="CS172" t="n">
        <v>4</v>
      </c>
      <c r="CT172" t="n">
        <v>0.9</v>
      </c>
      <c r="CV172" t="n">
        <v>2</v>
      </c>
      <c r="CW172" t="n">
        <v>25.81</v>
      </c>
      <c r="CX172" t="n">
        <v>1.428</v>
      </c>
      <c r="CY172" t="n">
        <v>0</v>
      </c>
      <c r="DB172" t="n">
        <v>0</v>
      </c>
      <c r="DE172" t="n">
        <v>7.21</v>
      </c>
      <c r="DF172" t="n">
        <v>3</v>
      </c>
      <c r="DG172" t="n">
        <v>1</v>
      </c>
      <c r="DH172" t="n">
        <v>13</v>
      </c>
      <c r="DI172" t="n">
        <v>58</v>
      </c>
      <c r="DL172" t="n">
        <v>23</v>
      </c>
      <c r="DM172" t="n">
        <v>30</v>
      </c>
      <c r="DN172" t="n">
        <v>0</v>
      </c>
      <c r="DO172" t="n">
        <v>0.1</v>
      </c>
      <c r="DP172" t="n">
        <v>7.77</v>
      </c>
      <c r="DQ172" t="n">
        <v>4.01</v>
      </c>
      <c r="DR172" t="n">
        <v>8.02</v>
      </c>
      <c r="DS172" t="n">
        <v>-0.25</v>
      </c>
      <c r="DT172" t="n">
        <v>27</v>
      </c>
      <c r="DU172" t="n">
        <v>0.7</v>
      </c>
      <c r="DV172" t="inlineStr">
        <is>
          <t>flat</t>
        </is>
      </c>
      <c r="DW172" t="n">
        <v>71.62</v>
      </c>
      <c r="DX172" t="n">
        <v>68.72</v>
      </c>
      <c r="DY172" t="n">
        <v>75.13</v>
      </c>
      <c r="DZ172" t="n">
        <v>3.51</v>
      </c>
      <c r="EA172" t="n">
        <v>121</v>
      </c>
      <c r="EB172" t="n">
        <v>27.04</v>
      </c>
      <c r="EC172" t="n">
        <v>13.14</v>
      </c>
      <c r="ED172" t="n">
        <v>117.71</v>
      </c>
      <c r="EE172" t="n">
        <v>194</v>
      </c>
      <c r="EF172" t="b">
        <v>1</v>
      </c>
      <c r="EG172" t="n">
        <v>47.5</v>
      </c>
      <c r="EH172" t="n">
        <v>91.59999999999999</v>
      </c>
      <c r="EI172" t="n">
        <v>42</v>
      </c>
      <c r="EJ172" t="n">
        <v>62.6</v>
      </c>
      <c r="EK172" t="n">
        <v>15.5</v>
      </c>
      <c r="EL172" t="n">
        <v>42.8</v>
      </c>
      <c r="EM172" t="n">
        <v>633.7</v>
      </c>
      <c r="EN172" t="n">
        <v>410.4</v>
      </c>
      <c r="EO172" t="n">
        <v>249.1</v>
      </c>
      <c r="EP172" t="n">
        <v>20.6</v>
      </c>
    </row>
    <row r="173">
      <c r="A173" t="inlineStr">
        <is>
          <t>Josko Gvardiol</t>
        </is>
      </c>
      <c r="B173" t="inlineStr">
        <is>
          <t>MCI</t>
        </is>
      </c>
      <c r="C173" t="inlineStr">
        <is>
          <t>DEF</t>
        </is>
      </c>
      <c r="D173" t="inlineStr">
        <is>
          <t>DEF</t>
        </is>
      </c>
      <c r="E173" t="n">
        <v>5.5</v>
      </c>
      <c r="F173" t="b">
        <v>1</v>
      </c>
      <c r="G173" t="b">
        <v>1</v>
      </c>
      <c r="H173" t="n">
        <v>24.6</v>
      </c>
      <c r="I173" t="inlineStr">
        <is>
          <t>a</t>
        </is>
      </c>
      <c r="L173" t="inlineStr">
        <is>
          <t>p477424</t>
        </is>
      </c>
      <c r="M173" t="n">
        <v>391</v>
      </c>
      <c r="Q173" t="n">
        <v>1370</v>
      </c>
      <c r="R173" t="n">
        <v>18</v>
      </c>
      <c r="S173" t="n">
        <v>16</v>
      </c>
      <c r="T173" t="n">
        <v>15.222</v>
      </c>
      <c r="U173" t="n">
        <v>76.09999999999999</v>
      </c>
      <c r="V173" t="n">
        <v>79</v>
      </c>
      <c r="W173" t="n">
        <v>5.19</v>
      </c>
      <c r="X173" t="n">
        <v>2</v>
      </c>
      <c r="Y173" t="n">
        <v>2</v>
      </c>
      <c r="Z173" t="n">
        <v>2</v>
      </c>
      <c r="AA173" t="n">
        <v>6</v>
      </c>
      <c r="AB173" t="n">
        <v>13</v>
      </c>
      <c r="AC173" t="n">
        <v>5</v>
      </c>
      <c r="AD173" t="n">
        <v>3</v>
      </c>
      <c r="AE173" t="n">
        <v>-2</v>
      </c>
      <c r="AF173" t="n">
        <v>303</v>
      </c>
      <c r="AG173" t="n">
        <v>288</v>
      </c>
      <c r="AH173" t="n">
        <v>-15</v>
      </c>
      <c r="AI173" t="n">
        <v>77</v>
      </c>
      <c r="AJ173" t="n">
        <v>0.063</v>
      </c>
      <c r="AK173" t="n">
        <v>0.068</v>
      </c>
      <c r="AL173" t="n">
        <v>103</v>
      </c>
      <c r="AM173" t="n">
        <v>6.766</v>
      </c>
      <c r="AN173" t="n">
        <v>3</v>
      </c>
      <c r="AO173" t="n">
        <v>6</v>
      </c>
      <c r="AP173" t="n">
        <v>0.188</v>
      </c>
      <c r="AQ173" t="n">
        <v>0.188</v>
      </c>
      <c r="AR173" t="n">
        <v>0.125</v>
      </c>
      <c r="AS173" t="n">
        <v>0.421</v>
      </c>
      <c r="AT173" t="n">
        <v>0.778</v>
      </c>
      <c r="AU173" t="n">
        <v>9</v>
      </c>
      <c r="AV173" t="n">
        <v>2</v>
      </c>
      <c r="AW173" t="n">
        <v>3.4</v>
      </c>
      <c r="AX173" t="n">
        <v>12</v>
      </c>
      <c r="AY173" t="n">
        <v>2.25</v>
      </c>
      <c r="AZ173" t="n">
        <v>1.861</v>
      </c>
      <c r="BA173" t="n">
        <v>2.056</v>
      </c>
      <c r="BB173" t="n">
        <v>1.861</v>
      </c>
      <c r="BC173" t="n">
        <v>0.148</v>
      </c>
      <c r="BD173" t="n">
        <v>0.122</v>
      </c>
      <c r="BE173" t="n">
        <v>0.135</v>
      </c>
      <c r="BF173" t="n">
        <v>2.5</v>
      </c>
      <c r="BG173" t="n">
        <v>0.164</v>
      </c>
      <c r="BH173" t="n">
        <v>0.923</v>
      </c>
      <c r="BI173" t="n">
        <v>9.99</v>
      </c>
      <c r="BJ173" t="n">
        <v>2.076</v>
      </c>
      <c r="BK173" t="n">
        <v>0.136</v>
      </c>
      <c r="BL173" t="n">
        <v>-0.056</v>
      </c>
      <c r="BM173" t="n">
        <v>0.25</v>
      </c>
      <c r="BN173" t="n">
        <v>-0.5</v>
      </c>
      <c r="BO173" t="n">
        <v>0.389</v>
      </c>
      <c r="BP173" t="n">
        <v>17</v>
      </c>
      <c r="BQ173" t="n">
        <v>6</v>
      </c>
      <c r="BR173" t="n">
        <v>2</v>
      </c>
      <c r="BS173" t="n">
        <v>32</v>
      </c>
      <c r="BT173" t="n">
        <v>2.102</v>
      </c>
      <c r="BV173" t="n">
        <v>1</v>
      </c>
      <c r="BW173" t="n">
        <v>0.7</v>
      </c>
      <c r="BX173" t="n">
        <v>0.438</v>
      </c>
      <c r="BY173" t="n">
        <v>0.569</v>
      </c>
      <c r="BZ173" t="n">
        <v>0.037</v>
      </c>
      <c r="CA173" t="n">
        <v>2.625</v>
      </c>
      <c r="CB173" t="n">
        <v>0.172</v>
      </c>
      <c r="CC173" t="n">
        <v>4</v>
      </c>
      <c r="CD173" t="n">
        <v>1</v>
      </c>
      <c r="CE173" t="n">
        <v>4</v>
      </c>
      <c r="CF173" t="n">
        <v>1</v>
      </c>
      <c r="CG173" t="n">
        <v>1</v>
      </c>
      <c r="CI173" t="n">
        <v>10.096</v>
      </c>
      <c r="CJ173" t="n">
        <v>9.548</v>
      </c>
      <c r="CK173" t="n">
        <v>86</v>
      </c>
      <c r="CL173" t="n">
        <v>49</v>
      </c>
      <c r="CM173" t="n">
        <v>17</v>
      </c>
      <c r="CN173" t="n">
        <v>13</v>
      </c>
      <c r="CO173" t="n">
        <v>15</v>
      </c>
      <c r="CP173" t="n">
        <v>61</v>
      </c>
      <c r="CQ173" t="n">
        <v>10</v>
      </c>
      <c r="CR173" t="n">
        <v>56</v>
      </c>
      <c r="CS173" t="n">
        <v>29</v>
      </c>
      <c r="CV173" t="n">
        <v>2</v>
      </c>
      <c r="CW173" t="n">
        <v>16.05</v>
      </c>
      <c r="CX173" t="n">
        <v>1.054</v>
      </c>
      <c r="CY173" t="n">
        <v>0</v>
      </c>
      <c r="DB173" t="n">
        <v>0</v>
      </c>
      <c r="DF173" t="n">
        <v>2</v>
      </c>
      <c r="DG173" t="n">
        <v>0</v>
      </c>
      <c r="DH173" t="n">
        <v>16</v>
      </c>
      <c r="DI173" t="n">
        <v>7</v>
      </c>
      <c r="DK173" t="n">
        <v>1</v>
      </c>
      <c r="DL173" t="n">
        <v>2</v>
      </c>
      <c r="DM173" t="n">
        <v>4</v>
      </c>
      <c r="DO173" t="n">
        <v>13.8</v>
      </c>
      <c r="DP173" t="n">
        <v>143.69</v>
      </c>
      <c r="DQ173" t="n">
        <v>71.43000000000001</v>
      </c>
      <c r="DR173" t="n">
        <v>142.86</v>
      </c>
      <c r="DS173" t="n">
        <v>0.83</v>
      </c>
      <c r="DT173" t="n">
        <v>3038</v>
      </c>
      <c r="DU173" t="n">
        <v>79.95</v>
      </c>
      <c r="DV173" t="inlineStr">
        <is>
          <t>flat</t>
        </is>
      </c>
      <c r="DW173" t="n">
        <v>56.77</v>
      </c>
      <c r="DX173" t="n">
        <v>60.97</v>
      </c>
      <c r="DY173" t="n">
        <v>48.71</v>
      </c>
      <c r="DZ173" t="n">
        <v>-8.050000000000001</v>
      </c>
      <c r="EA173" t="n">
        <v>1607</v>
      </c>
      <c r="EB173" t="n">
        <v>22.71</v>
      </c>
      <c r="EC173" t="n">
        <v>5.6</v>
      </c>
      <c r="ED173" t="n">
        <v>120</v>
      </c>
      <c r="EE173" t="n">
        <v>3900</v>
      </c>
      <c r="EF173" t="b">
        <v>1</v>
      </c>
      <c r="EG173" t="n">
        <v>99</v>
      </c>
      <c r="EH173" t="n">
        <v>19.2</v>
      </c>
      <c r="EI173" t="n">
        <v>151</v>
      </c>
      <c r="EJ173" t="n">
        <v>80.59999999999999</v>
      </c>
      <c r="EK173" t="n">
        <v>42.8</v>
      </c>
      <c r="EL173" t="n">
        <v>342.5</v>
      </c>
      <c r="EM173" t="n">
        <v>666.4</v>
      </c>
      <c r="EN173" t="n">
        <v>2408.6</v>
      </c>
      <c r="EO173" t="n">
        <v>522</v>
      </c>
      <c r="EP173" t="n">
        <v>17.3</v>
      </c>
    </row>
    <row r="174">
      <c r="A174" t="inlineStr">
        <is>
          <t>Pascal Groß</t>
        </is>
      </c>
      <c r="B174" t="inlineStr">
        <is>
          <t>BHA</t>
        </is>
      </c>
      <c r="C174" t="inlineStr">
        <is>
          <t>MID</t>
        </is>
      </c>
      <c r="D174" t="inlineStr">
        <is>
          <t>MID</t>
        </is>
      </c>
      <c r="E174" t="n">
        <v>5.5</v>
      </c>
      <c r="F174" t="b">
        <v>1</v>
      </c>
      <c r="G174" t="b">
        <v>1</v>
      </c>
      <c r="H174" t="n">
        <v>35.2</v>
      </c>
      <c r="I174" t="inlineStr">
        <is>
          <t>a</t>
        </is>
      </c>
      <c r="L174" t="inlineStr">
        <is>
          <t>p60307</t>
        </is>
      </c>
      <c r="M174" t="n">
        <v>124</v>
      </c>
      <c r="N174" t="n">
        <v>1</v>
      </c>
      <c r="O174" t="n">
        <v>1</v>
      </c>
      <c r="Q174" t="n">
        <v>1636</v>
      </c>
      <c r="R174" t="n">
        <v>19</v>
      </c>
      <c r="S174" t="n">
        <v>18</v>
      </c>
      <c r="T174" t="n">
        <v>18.178</v>
      </c>
      <c r="U174" t="n">
        <v>86.09999999999999</v>
      </c>
      <c r="V174" t="n">
        <v>78</v>
      </c>
      <c r="W174" t="n">
        <v>4.291</v>
      </c>
      <c r="X174" t="n">
        <v>1</v>
      </c>
      <c r="Y174" t="n">
        <v>6</v>
      </c>
      <c r="Z174" t="n">
        <v>3</v>
      </c>
      <c r="AA174" t="n">
        <v>6</v>
      </c>
      <c r="AB174" t="n">
        <v>17</v>
      </c>
      <c r="AC174" t="n">
        <v>10</v>
      </c>
      <c r="AD174" t="n">
        <v>10</v>
      </c>
      <c r="AE174" t="n">
        <v>0</v>
      </c>
      <c r="AF174" t="n">
        <v>389</v>
      </c>
      <c r="AG174" t="n">
        <v>378</v>
      </c>
      <c r="AH174" t="n">
        <v>-11</v>
      </c>
      <c r="AI174" t="n">
        <v>78</v>
      </c>
      <c r="AJ174" t="n">
        <v>0.128</v>
      </c>
      <c r="AK174" t="n">
        <v>0.147</v>
      </c>
      <c r="AL174" t="n">
        <v>145</v>
      </c>
      <c r="AM174" t="n">
        <v>7.977</v>
      </c>
      <c r="AN174" t="n">
        <v>2</v>
      </c>
      <c r="AO174" t="n">
        <v>4</v>
      </c>
      <c r="AP174" t="n">
        <v>0.111</v>
      </c>
      <c r="AQ174" t="n">
        <v>0.222</v>
      </c>
      <c r="AR174" t="n">
        <v>0.111</v>
      </c>
      <c r="AS174" t="n">
        <v>0.474</v>
      </c>
      <c r="AT174" t="n">
        <v>0.947</v>
      </c>
      <c r="AU174" t="n">
        <v>9</v>
      </c>
      <c r="AV174" t="n">
        <v>1</v>
      </c>
      <c r="AW174" t="n">
        <v>3.07</v>
      </c>
      <c r="AX174" t="n">
        <v>12</v>
      </c>
      <c r="AY174" t="n">
        <v>1.39</v>
      </c>
      <c r="AZ174" t="n">
        <v>1.253</v>
      </c>
      <c r="BA174" t="n">
        <v>1.321</v>
      </c>
      <c r="BB174" t="n">
        <v>1.253</v>
      </c>
      <c r="BC174" t="n">
        <v>0.076</v>
      </c>
      <c r="BD174" t="n">
        <v>0.06900000000000001</v>
      </c>
      <c r="BE174" t="n">
        <v>0.073</v>
      </c>
      <c r="BF174" t="n">
        <v>2.6</v>
      </c>
      <c r="BG174" t="n">
        <v>0.143</v>
      </c>
      <c r="BH174" t="n">
        <v>1.034</v>
      </c>
      <c r="BI174" t="n">
        <v>12.98</v>
      </c>
      <c r="BJ174" t="n">
        <v>1.438</v>
      </c>
      <c r="BK174" t="n">
        <v>0.079</v>
      </c>
      <c r="BL174" t="n">
        <v>-0.321</v>
      </c>
      <c r="BM174" t="n">
        <v>1.21</v>
      </c>
      <c r="BN174" t="n">
        <v>-1.6</v>
      </c>
      <c r="BO174" t="n">
        <v>0.137</v>
      </c>
      <c r="BP174" t="n">
        <v>18</v>
      </c>
      <c r="BQ174" t="n">
        <v>9</v>
      </c>
      <c r="BR174" t="n">
        <v>1</v>
      </c>
      <c r="BS174" t="n">
        <v>46</v>
      </c>
      <c r="BT174" t="n">
        <v>2.531</v>
      </c>
      <c r="BW174" t="n">
        <v>3.95</v>
      </c>
      <c r="BX174" t="n">
        <v>3.294</v>
      </c>
      <c r="BY174" t="n">
        <v>3.622</v>
      </c>
      <c r="BZ174" t="n">
        <v>0.199</v>
      </c>
      <c r="CA174" t="n">
        <v>4.944</v>
      </c>
      <c r="CB174" t="n">
        <v>0.272</v>
      </c>
      <c r="CC174" t="n">
        <v>39</v>
      </c>
      <c r="CD174" t="n">
        <v>5</v>
      </c>
      <c r="CE174" t="n">
        <v>39</v>
      </c>
      <c r="CF174" t="n">
        <v>40</v>
      </c>
      <c r="CH174" t="n">
        <v>57</v>
      </c>
      <c r="CI174" t="n">
        <v>10.013</v>
      </c>
      <c r="CJ174" t="n">
        <v>8.281000000000001</v>
      </c>
      <c r="CK174" t="n">
        <v>40</v>
      </c>
      <c r="CL174" t="n">
        <v>76</v>
      </c>
      <c r="CM174" t="n">
        <v>29</v>
      </c>
      <c r="CN174" t="n">
        <v>18</v>
      </c>
      <c r="CO174" t="n">
        <v>12</v>
      </c>
      <c r="CP174" t="n">
        <v>24</v>
      </c>
      <c r="CQ174" t="n">
        <v>4</v>
      </c>
      <c r="CR174" t="n">
        <v>61</v>
      </c>
      <c r="CS174" t="n">
        <v>13</v>
      </c>
      <c r="CT174" t="n">
        <v>0.9</v>
      </c>
      <c r="CV174" t="n">
        <v>1</v>
      </c>
      <c r="CW174" t="n">
        <v>20.36</v>
      </c>
      <c r="CX174" t="n">
        <v>1.12</v>
      </c>
      <c r="CY174" t="n">
        <v>0</v>
      </c>
      <c r="DB174" t="n">
        <v>0</v>
      </c>
      <c r="DE174" t="n">
        <v>7.2</v>
      </c>
      <c r="DF174" t="n">
        <v>2</v>
      </c>
      <c r="DG174" t="n">
        <v>0</v>
      </c>
      <c r="DH174" t="n">
        <v>17</v>
      </c>
      <c r="DI174" t="n">
        <v>12</v>
      </c>
      <c r="DL174" t="n">
        <v>7</v>
      </c>
      <c r="DM174" t="n">
        <v>10</v>
      </c>
      <c r="DN174" t="n">
        <v>4</v>
      </c>
      <c r="DO174" t="n">
        <v>11.1</v>
      </c>
      <c r="DP174" t="n">
        <v>159.26</v>
      </c>
      <c r="DQ174" t="n">
        <v>79.84999999999999</v>
      </c>
      <c r="DR174" t="n">
        <v>159.7</v>
      </c>
      <c r="DS174" t="n">
        <v>-0.44</v>
      </c>
      <c r="DT174" t="n">
        <v>3164</v>
      </c>
      <c r="DU174" t="n">
        <v>83.25</v>
      </c>
      <c r="DV174" t="inlineStr">
        <is>
          <t>flat</t>
        </is>
      </c>
      <c r="DW174" t="n">
        <v>75.47</v>
      </c>
      <c r="DX174" t="n">
        <v>80.72</v>
      </c>
      <c r="DY174" t="n">
        <v>71.06999999999999</v>
      </c>
      <c r="DZ174" t="n">
        <v>-4.4</v>
      </c>
      <c r="EA174" t="n">
        <v>771</v>
      </c>
      <c r="EB174" t="n">
        <v>21.97</v>
      </c>
      <c r="EC174" t="n">
        <v>9</v>
      </c>
      <c r="ED174" t="n">
        <v>120</v>
      </c>
      <c r="EE174" t="n">
        <v>1635</v>
      </c>
      <c r="EF174" t="b">
        <v>1</v>
      </c>
      <c r="EG174" t="n">
        <v>36</v>
      </c>
      <c r="EH174" t="n">
        <v>6.8</v>
      </c>
      <c r="EI174" t="n">
        <v>152</v>
      </c>
      <c r="EJ174" t="n">
        <v>90.90000000000001</v>
      </c>
      <c r="EK174" t="n">
        <v>35.6</v>
      </c>
      <c r="EL174" t="n">
        <v>41.9</v>
      </c>
      <c r="EM174" t="n">
        <v>1238</v>
      </c>
      <c r="EN174" t="n">
        <v>451.7</v>
      </c>
      <c r="EO174" t="n">
        <v>330.9</v>
      </c>
      <c r="EP174" t="n">
        <v>21</v>
      </c>
    </row>
    <row r="175">
      <c r="A175" t="inlineStr">
        <is>
          <t>Mathys Tel</t>
        </is>
      </c>
      <c r="B175" t="inlineStr">
        <is>
          <t>TOT</t>
        </is>
      </c>
      <c r="C175" t="inlineStr">
        <is>
          <t>MID</t>
        </is>
      </c>
      <c r="D175" t="inlineStr">
        <is>
          <t>MID</t>
        </is>
      </c>
      <c r="E175" t="n">
        <v>6</v>
      </c>
      <c r="F175" t="b">
        <v>1</v>
      </c>
      <c r="G175" t="b">
        <v>1</v>
      </c>
      <c r="H175" t="n">
        <v>21.3</v>
      </c>
      <c r="I175" t="inlineStr">
        <is>
          <t>a</t>
        </is>
      </c>
      <c r="L175" t="inlineStr">
        <is>
          <t>p511499</t>
        </is>
      </c>
      <c r="M175" t="n">
        <v>514</v>
      </c>
      <c r="O175" t="n">
        <v>3</v>
      </c>
      <c r="Q175" t="n">
        <v>1334</v>
      </c>
      <c r="R175" t="n">
        <v>31</v>
      </c>
      <c r="S175" t="n">
        <v>13</v>
      </c>
      <c r="T175" t="n">
        <v>14.822</v>
      </c>
      <c r="U175" t="n">
        <v>43</v>
      </c>
      <c r="V175" t="n">
        <v>78</v>
      </c>
      <c r="W175" t="n">
        <v>5.262</v>
      </c>
      <c r="X175" t="n">
        <v>4</v>
      </c>
      <c r="Y175" t="n">
        <v>2</v>
      </c>
      <c r="Z175" t="n">
        <v>1</v>
      </c>
      <c r="AA175" t="n">
        <v>3</v>
      </c>
      <c r="AB175" t="n">
        <v>23</v>
      </c>
      <c r="AC175" t="n">
        <v>7</v>
      </c>
      <c r="AD175" t="n">
        <v>6</v>
      </c>
      <c r="AE175" t="n">
        <v>-1</v>
      </c>
      <c r="AF175" t="n">
        <v>266</v>
      </c>
      <c r="AG175" t="n">
        <v>262</v>
      </c>
      <c r="AH175" t="n">
        <v>-4</v>
      </c>
      <c r="AI175" t="n">
        <v>77</v>
      </c>
      <c r="AJ175" t="n">
        <v>0.09</v>
      </c>
      <c r="AK175" t="n">
        <v>0.099</v>
      </c>
      <c r="AL175" t="n">
        <v>111</v>
      </c>
      <c r="AM175" t="n">
        <v>7.489</v>
      </c>
      <c r="AN175" t="n">
        <v>0</v>
      </c>
      <c r="AO175" t="n">
        <v>0</v>
      </c>
      <c r="AP175" t="n">
        <v>0</v>
      </c>
      <c r="AQ175" t="n">
        <v>0.077</v>
      </c>
      <c r="AR175" t="n">
        <v>0</v>
      </c>
      <c r="AS175" t="n">
        <v>0.342</v>
      </c>
      <c r="AT175" t="n">
        <v>0.387</v>
      </c>
      <c r="AU175" t="n">
        <v>23</v>
      </c>
      <c r="AV175" t="n">
        <v>1</v>
      </c>
      <c r="AW175" t="n">
        <v>2.54</v>
      </c>
      <c r="AX175" t="n">
        <v>10</v>
      </c>
      <c r="AY175" t="n">
        <v>2.47</v>
      </c>
      <c r="AZ175" t="n">
        <v>2.826</v>
      </c>
      <c r="BA175" t="n">
        <v>2.648</v>
      </c>
      <c r="BB175" t="n">
        <v>2.826</v>
      </c>
      <c r="BC175" t="n">
        <v>0.167</v>
      </c>
      <c r="BD175" t="n">
        <v>0.191</v>
      </c>
      <c r="BE175" t="n">
        <v>0.179</v>
      </c>
      <c r="BF175" t="n">
        <v>2.8</v>
      </c>
      <c r="BG175" t="n">
        <v>0.189</v>
      </c>
      <c r="BH175" t="n">
        <v>1.042</v>
      </c>
      <c r="BI175" t="n">
        <v>5.43</v>
      </c>
      <c r="BJ175" t="n">
        <v>2.575</v>
      </c>
      <c r="BK175" t="n">
        <v>0.174</v>
      </c>
      <c r="BL175" t="n">
        <v>1.352</v>
      </c>
      <c r="BM175" t="n">
        <v>0.33</v>
      </c>
      <c r="BN175" t="n">
        <v>1.2</v>
      </c>
      <c r="BO175" t="n">
        <v>-0.356</v>
      </c>
      <c r="BP175" t="n">
        <v>35</v>
      </c>
      <c r="BQ175" t="n">
        <v>8</v>
      </c>
      <c r="BR175" t="n">
        <v>4</v>
      </c>
      <c r="BS175" t="n">
        <v>68</v>
      </c>
      <c r="BT175" t="n">
        <v>4.588</v>
      </c>
      <c r="BW175" t="n">
        <v>2.43</v>
      </c>
      <c r="BX175" t="n">
        <v>3.414</v>
      </c>
      <c r="BY175" t="n">
        <v>2.922</v>
      </c>
      <c r="BZ175" t="n">
        <v>0.197</v>
      </c>
      <c r="CA175" t="n">
        <v>5.57</v>
      </c>
      <c r="CB175" t="n">
        <v>0.376</v>
      </c>
      <c r="CC175" t="n">
        <v>29</v>
      </c>
      <c r="CD175" t="n">
        <v>5</v>
      </c>
      <c r="CE175" t="n">
        <v>30</v>
      </c>
      <c r="CF175" t="n">
        <v>29</v>
      </c>
      <c r="CH175" t="n">
        <v>49</v>
      </c>
      <c r="CI175" t="n">
        <v>6.186</v>
      </c>
      <c r="CJ175" t="n">
        <v>2.608</v>
      </c>
      <c r="CK175" t="n">
        <v>19</v>
      </c>
      <c r="CL175" t="n">
        <v>72</v>
      </c>
      <c r="CM175" t="n">
        <v>20</v>
      </c>
      <c r="CN175" t="n">
        <v>11</v>
      </c>
      <c r="CO175" t="n">
        <v>6</v>
      </c>
      <c r="CP175" t="n">
        <v>12</v>
      </c>
      <c r="CQ175" t="n">
        <v>2</v>
      </c>
      <c r="CR175" t="n">
        <v>97</v>
      </c>
      <c r="CS175" t="n">
        <v>16</v>
      </c>
      <c r="CT175" t="n">
        <v>0.7</v>
      </c>
      <c r="CU175" t="n">
        <v>1</v>
      </c>
      <c r="CW175" t="n">
        <v>17.29</v>
      </c>
      <c r="CX175" t="n">
        <v>1.166</v>
      </c>
      <c r="CY175" t="n">
        <v>0</v>
      </c>
      <c r="DB175" t="n">
        <v>0</v>
      </c>
      <c r="DE175" t="n">
        <v>6.65</v>
      </c>
      <c r="DF175" t="n">
        <v>1</v>
      </c>
      <c r="DG175" t="n">
        <v>0</v>
      </c>
      <c r="DH175" t="n">
        <v>19</v>
      </c>
      <c r="DI175" t="n">
        <v>23</v>
      </c>
      <c r="DK175" t="n">
        <v>1</v>
      </c>
      <c r="DL175" t="n">
        <v>39</v>
      </c>
      <c r="DM175" t="n">
        <v>38</v>
      </c>
      <c r="DN175" t="n">
        <v>3</v>
      </c>
      <c r="DO175" t="n">
        <v>0.4</v>
      </c>
      <c r="DP175" t="n">
        <v>70.51000000000001</v>
      </c>
      <c r="DQ175" t="n">
        <v>41.43</v>
      </c>
      <c r="DR175" t="n">
        <v>82.86</v>
      </c>
      <c r="DS175" t="n">
        <v>-12.35</v>
      </c>
      <c r="DT175" t="n">
        <v>1097</v>
      </c>
      <c r="DU175" t="n">
        <v>28.88</v>
      </c>
      <c r="DV175" t="inlineStr">
        <is>
          <t>fade (losing his place)</t>
        </is>
      </c>
      <c r="DW175" t="n">
        <v>83.04000000000001</v>
      </c>
      <c r="DX175" t="n">
        <v>85.42</v>
      </c>
      <c r="DY175" t="n">
        <v>83.3</v>
      </c>
      <c r="DZ175" t="n">
        <v>0.27</v>
      </c>
      <c r="EA175" t="n">
        <v>169</v>
      </c>
      <c r="EB175" t="n">
        <v>23.52</v>
      </c>
      <c r="EC175" t="n">
        <v>10</v>
      </c>
      <c r="ED175" t="n">
        <v>120</v>
      </c>
      <c r="EE175" t="n">
        <v>303</v>
      </c>
      <c r="EF175" t="b">
        <v>1</v>
      </c>
      <c r="EG175" t="n">
        <v>7.2</v>
      </c>
      <c r="EH175" t="n">
        <v>14.2</v>
      </c>
      <c r="EI175" t="n">
        <v>90</v>
      </c>
      <c r="EJ175" t="n">
        <v>38.1</v>
      </c>
      <c r="EK175" t="n">
        <v>19.6</v>
      </c>
      <c r="EL175" t="n">
        <v>44.5</v>
      </c>
      <c r="EM175" t="n">
        <v>503.7</v>
      </c>
      <c r="EN175" t="n">
        <v>456.5</v>
      </c>
      <c r="EO175" t="n">
        <v>239.5</v>
      </c>
      <c r="EP175" t="n">
        <v>17.1</v>
      </c>
    </row>
    <row r="176">
      <c r="A176" t="inlineStr">
        <is>
          <t>Djed Spence</t>
        </is>
      </c>
      <c r="B176" t="inlineStr">
        <is>
          <t>TOT</t>
        </is>
      </c>
      <c r="C176" t="inlineStr">
        <is>
          <t>DEF</t>
        </is>
      </c>
      <c r="D176" t="inlineStr">
        <is>
          <t>DEF</t>
        </is>
      </c>
      <c r="E176" t="n">
        <v>4.5</v>
      </c>
      <c r="F176" t="b">
        <v>1</v>
      </c>
      <c r="G176" t="b">
        <v>1</v>
      </c>
      <c r="H176" t="n">
        <v>26</v>
      </c>
      <c r="I176" t="inlineStr">
        <is>
          <t>a</t>
        </is>
      </c>
      <c r="L176" t="inlineStr">
        <is>
          <t>p232859</t>
        </is>
      </c>
      <c r="M176" t="n">
        <v>505</v>
      </c>
      <c r="Q176" t="n">
        <v>2049</v>
      </c>
      <c r="R176" t="n">
        <v>30</v>
      </c>
      <c r="S176" t="n">
        <v>23</v>
      </c>
      <c r="T176" t="n">
        <v>22.767</v>
      </c>
      <c r="U176" t="n">
        <v>68.3</v>
      </c>
      <c r="V176" t="n">
        <v>78</v>
      </c>
      <c r="W176" t="n">
        <v>3.426</v>
      </c>
      <c r="X176" t="n">
        <v>0</v>
      </c>
      <c r="Y176" t="n">
        <v>0</v>
      </c>
      <c r="AA176" t="n">
        <v>9</v>
      </c>
      <c r="AB176" t="n">
        <v>31</v>
      </c>
      <c r="AC176" t="n">
        <v>3</v>
      </c>
      <c r="AD176" t="n">
        <v>3</v>
      </c>
      <c r="AE176" t="n">
        <v>0</v>
      </c>
      <c r="AF176" t="n">
        <v>271</v>
      </c>
      <c r="AG176" t="n">
        <v>258</v>
      </c>
      <c r="AH176" t="n">
        <v>-13</v>
      </c>
      <c r="AI176" t="n">
        <v>78</v>
      </c>
      <c r="AJ176" t="n">
        <v>0.038</v>
      </c>
      <c r="AK176" t="n">
        <v>0.04</v>
      </c>
      <c r="AL176" t="n">
        <v>116</v>
      </c>
      <c r="AM176" t="n">
        <v>5.095</v>
      </c>
      <c r="AN176" t="n">
        <v>1</v>
      </c>
      <c r="AO176" t="n">
        <v>2</v>
      </c>
      <c r="AP176" t="n">
        <v>0.043</v>
      </c>
      <c r="AQ176" t="n">
        <v>0.043</v>
      </c>
      <c r="AR176" t="n">
        <v>0</v>
      </c>
      <c r="AS176" t="n">
        <v>0.605</v>
      </c>
      <c r="AT176" t="n">
        <v>0.733</v>
      </c>
      <c r="AU176" t="n">
        <v>20</v>
      </c>
      <c r="AV176" t="n">
        <v>0</v>
      </c>
      <c r="AW176" t="n">
        <v>2.5</v>
      </c>
      <c r="AX176" t="n">
        <v>8</v>
      </c>
      <c r="AY176" t="n">
        <v>0.9</v>
      </c>
      <c r="AZ176" t="n">
        <v>1.135</v>
      </c>
      <c r="BA176" t="n">
        <v>1.018</v>
      </c>
      <c r="BB176" t="n">
        <v>1.135</v>
      </c>
      <c r="BC176" t="n">
        <v>0.04</v>
      </c>
      <c r="BD176" t="n">
        <v>0.05</v>
      </c>
      <c r="BE176" t="n">
        <v>0.045</v>
      </c>
      <c r="BF176" t="n">
        <v>0.7</v>
      </c>
      <c r="BG176" t="n">
        <v>0.031</v>
      </c>
      <c r="BH176" t="n">
        <v>1.038</v>
      </c>
      <c r="BI176" t="n">
        <v>1.54</v>
      </c>
      <c r="BJ176" t="n">
        <v>0.9340000000000001</v>
      </c>
      <c r="BK176" t="n">
        <v>0.041</v>
      </c>
      <c r="BL176" t="n">
        <v>-1.018</v>
      </c>
      <c r="BM176" t="n">
        <v>-0.2</v>
      </c>
      <c r="BN176" t="n">
        <v>-0.7</v>
      </c>
      <c r="BO176" t="n">
        <v>-0.235</v>
      </c>
      <c r="BP176" t="n">
        <v>13</v>
      </c>
      <c r="BQ176" t="n">
        <v>8</v>
      </c>
      <c r="BR176" t="n">
        <v>2</v>
      </c>
      <c r="BS176" t="n">
        <v>38</v>
      </c>
      <c r="BT176" t="n">
        <v>1.669</v>
      </c>
      <c r="BW176" t="n">
        <v>1.77</v>
      </c>
      <c r="BX176" t="n">
        <v>1.86</v>
      </c>
      <c r="BY176" t="n">
        <v>1.815</v>
      </c>
      <c r="BZ176" t="n">
        <v>0.08</v>
      </c>
      <c r="CA176" t="n">
        <v>2.833</v>
      </c>
      <c r="CB176" t="n">
        <v>0.124</v>
      </c>
      <c r="CC176" t="n">
        <v>10</v>
      </c>
      <c r="CD176" t="n">
        <v>4</v>
      </c>
      <c r="CE176" t="n">
        <v>10</v>
      </c>
      <c r="CF176" t="n">
        <v>10</v>
      </c>
      <c r="CI176" t="n">
        <v>5.716</v>
      </c>
      <c r="CJ176" t="n">
        <v>3.085</v>
      </c>
      <c r="CK176" t="n">
        <v>72</v>
      </c>
      <c r="CL176" t="n">
        <v>112</v>
      </c>
      <c r="CM176" t="n">
        <v>44</v>
      </c>
      <c r="CN176" t="n">
        <v>27</v>
      </c>
      <c r="CO176" t="n">
        <v>18</v>
      </c>
      <c r="CP176" t="n">
        <v>52</v>
      </c>
      <c r="CQ176" t="n">
        <v>3</v>
      </c>
      <c r="CR176" t="n">
        <v>121</v>
      </c>
      <c r="CS176" t="n">
        <v>23</v>
      </c>
      <c r="CT176" t="n">
        <v>0.4</v>
      </c>
      <c r="CU176" t="n">
        <v>2</v>
      </c>
      <c r="CV176" t="n">
        <v>4</v>
      </c>
      <c r="CW176" t="n">
        <v>31.42</v>
      </c>
      <c r="CX176" t="n">
        <v>1.38</v>
      </c>
      <c r="CY176" t="n">
        <v>0</v>
      </c>
      <c r="DB176" t="n">
        <v>0</v>
      </c>
      <c r="DE176" t="n">
        <v>6.63</v>
      </c>
      <c r="DF176" t="n">
        <v>4</v>
      </c>
      <c r="DG176" t="n">
        <v>0</v>
      </c>
      <c r="DH176" t="n">
        <v>28</v>
      </c>
      <c r="DI176" t="n">
        <v>21</v>
      </c>
      <c r="DL176" t="n">
        <v>33</v>
      </c>
      <c r="DM176" t="n">
        <v>29</v>
      </c>
      <c r="DN176" t="n">
        <v>4</v>
      </c>
      <c r="DO176" t="n">
        <v>6.5</v>
      </c>
      <c r="DP176" t="n">
        <v>81.09</v>
      </c>
      <c r="DQ176" t="n">
        <v>41.37</v>
      </c>
      <c r="DR176" t="n">
        <v>82.73999999999999</v>
      </c>
      <c r="DS176" t="n">
        <v>-1.65</v>
      </c>
      <c r="DT176" t="n">
        <v>1955</v>
      </c>
      <c r="DU176" t="n">
        <v>51.45</v>
      </c>
      <c r="DV176" t="inlineStr">
        <is>
          <t>flat</t>
        </is>
      </c>
      <c r="DW176" t="n">
        <v>85.78</v>
      </c>
      <c r="DX176" t="n">
        <v>87.59999999999999</v>
      </c>
      <c r="DY176" t="n">
        <v>86.8</v>
      </c>
      <c r="DZ176" t="n">
        <v>1.02</v>
      </c>
      <c r="EA176" t="n">
        <v>405</v>
      </c>
      <c r="EB176" t="n">
        <v>24.13</v>
      </c>
      <c r="EC176" t="n">
        <v>6</v>
      </c>
      <c r="ED176" t="n">
        <v>120</v>
      </c>
      <c r="EE176" t="n">
        <v>837</v>
      </c>
      <c r="EF176" t="b">
        <v>1</v>
      </c>
      <c r="EG176" t="n">
        <v>19</v>
      </c>
      <c r="EH176" t="n">
        <v>9.6</v>
      </c>
      <c r="EI176" t="n">
        <v>411</v>
      </c>
      <c r="EJ176" t="n">
        <v>157.6</v>
      </c>
      <c r="EK176" t="n">
        <v>53.9</v>
      </c>
      <c r="EL176" t="n">
        <v>204.9</v>
      </c>
      <c r="EM176" t="n">
        <v>2013.6</v>
      </c>
      <c r="EN176" t="n">
        <v>1128.8</v>
      </c>
      <c r="EO176" t="n">
        <v>723.3</v>
      </c>
      <c r="EP176" t="n">
        <v>26.3</v>
      </c>
    </row>
    <row r="177">
      <c r="A177" t="inlineStr">
        <is>
          <t>Tyler Adams</t>
        </is>
      </c>
      <c r="B177" t="inlineStr">
        <is>
          <t>BOU</t>
        </is>
      </c>
      <c r="C177" t="inlineStr">
        <is>
          <t>MID</t>
        </is>
      </c>
      <c r="D177" t="inlineStr">
        <is>
          <t>MID</t>
        </is>
      </c>
      <c r="E177" t="n">
        <v>5</v>
      </c>
      <c r="F177" t="b">
        <v>1</v>
      </c>
      <c r="G177" t="b">
        <v>1</v>
      </c>
      <c r="H177" t="n">
        <v>27.5</v>
      </c>
      <c r="I177" t="inlineStr">
        <is>
          <t>a</t>
        </is>
      </c>
      <c r="L177" t="inlineStr">
        <is>
          <t>p200785</t>
        </is>
      </c>
      <c r="M177" t="n">
        <v>73</v>
      </c>
      <c r="Q177" t="n">
        <v>1769</v>
      </c>
      <c r="R177" t="n">
        <v>25</v>
      </c>
      <c r="S177" t="n">
        <v>21</v>
      </c>
      <c r="T177" t="n">
        <v>19.656</v>
      </c>
      <c r="U177" t="n">
        <v>70.8</v>
      </c>
      <c r="V177" t="n">
        <v>77</v>
      </c>
      <c r="W177" t="n">
        <v>3.917</v>
      </c>
      <c r="X177" t="n">
        <v>2</v>
      </c>
      <c r="Y177" t="n">
        <v>2</v>
      </c>
      <c r="Z177" t="n">
        <v>2</v>
      </c>
      <c r="AA177" t="n">
        <v>7</v>
      </c>
      <c r="AB177" t="n">
        <v>28</v>
      </c>
      <c r="AC177" t="n">
        <v>3</v>
      </c>
      <c r="AD177" t="n">
        <v>3</v>
      </c>
      <c r="AE177" t="n">
        <v>0</v>
      </c>
      <c r="AF177" t="n">
        <v>346</v>
      </c>
      <c r="AG177" t="n">
        <v>327</v>
      </c>
      <c r="AH177" t="n">
        <v>-19</v>
      </c>
      <c r="AI177" t="n">
        <v>77</v>
      </c>
      <c r="AJ177" t="n">
        <v>0.039</v>
      </c>
      <c r="AK177" t="n">
        <v>0.041</v>
      </c>
      <c r="AL177" t="n">
        <v>232</v>
      </c>
      <c r="AM177" t="n">
        <v>11.803</v>
      </c>
      <c r="AN177" t="n">
        <v>7</v>
      </c>
      <c r="AO177" t="n">
        <v>14</v>
      </c>
      <c r="AP177" t="n">
        <v>0.333</v>
      </c>
      <c r="AQ177" t="n">
        <v>0.619</v>
      </c>
      <c r="AR177" t="n">
        <v>0.333</v>
      </c>
      <c r="AS177" t="n">
        <v>0.553</v>
      </c>
      <c r="AT177" t="n">
        <v>0.8</v>
      </c>
      <c r="AU177" t="n">
        <v>12</v>
      </c>
      <c r="AV177" t="n">
        <v>0</v>
      </c>
      <c r="AW177" t="n">
        <v>2.28</v>
      </c>
      <c r="AX177" t="n">
        <v>9</v>
      </c>
      <c r="AY177" t="n">
        <v>0.63</v>
      </c>
      <c r="AZ177" t="n">
        <v>0.929</v>
      </c>
      <c r="BA177" t="n">
        <v>0.779</v>
      </c>
      <c r="BB177" t="n">
        <v>0.929</v>
      </c>
      <c r="BC177" t="n">
        <v>0.032</v>
      </c>
      <c r="BD177" t="n">
        <v>0.047</v>
      </c>
      <c r="BE177" t="n">
        <v>0.04</v>
      </c>
      <c r="BF177" t="n">
        <v>1.6</v>
      </c>
      <c r="BG177" t="n">
        <v>0.081</v>
      </c>
      <c r="BH177" t="n">
        <v>1.063</v>
      </c>
      <c r="BI177" t="n">
        <v>2.07</v>
      </c>
      <c r="BJ177" t="n">
        <v>0.669</v>
      </c>
      <c r="BK177" t="n">
        <v>0.034</v>
      </c>
      <c r="BL177" t="n">
        <v>1.221</v>
      </c>
      <c r="BM177" t="n">
        <v>0.97</v>
      </c>
      <c r="BN177" t="n">
        <v>0.4</v>
      </c>
      <c r="BO177" t="n">
        <v>-0.299</v>
      </c>
      <c r="BP177" t="n">
        <v>10</v>
      </c>
      <c r="BQ177" t="n">
        <v>6</v>
      </c>
      <c r="BS177" t="n">
        <v>10</v>
      </c>
      <c r="BT177" t="n">
        <v>0.509</v>
      </c>
      <c r="BW177" t="n">
        <v>0.63</v>
      </c>
      <c r="BX177" t="n">
        <v>1.23</v>
      </c>
      <c r="BY177" t="n">
        <v>0.93</v>
      </c>
      <c r="BZ177" t="n">
        <v>0.047</v>
      </c>
      <c r="CA177" t="n">
        <v>1.71</v>
      </c>
      <c r="CB177" t="n">
        <v>0.08699999999999999</v>
      </c>
      <c r="CC177" t="n">
        <v>7</v>
      </c>
      <c r="CD177" t="n">
        <v>2</v>
      </c>
      <c r="CE177" t="n">
        <v>7</v>
      </c>
      <c r="CF177" t="n">
        <v>2</v>
      </c>
      <c r="CG177" t="n">
        <v>1</v>
      </c>
      <c r="CI177" t="n">
        <v>6.87</v>
      </c>
      <c r="CJ177" t="n">
        <v>5.868</v>
      </c>
      <c r="CK177" t="n">
        <v>83</v>
      </c>
      <c r="CL177" t="n">
        <v>96</v>
      </c>
      <c r="CM177" t="n">
        <v>53</v>
      </c>
      <c r="CN177" t="n">
        <v>23</v>
      </c>
      <c r="CO177" t="n">
        <v>33</v>
      </c>
      <c r="CP177" t="n">
        <v>42</v>
      </c>
      <c r="CQ177" t="n">
        <v>9</v>
      </c>
      <c r="CR177" t="n">
        <v>96</v>
      </c>
      <c r="CS177" t="n">
        <v>27</v>
      </c>
      <c r="CT177" t="n">
        <v>0.4</v>
      </c>
      <c r="CV177" t="n">
        <v>2</v>
      </c>
      <c r="CW177" t="n">
        <v>27.18</v>
      </c>
      <c r="CX177" t="n">
        <v>1.383</v>
      </c>
      <c r="CY177" t="n">
        <v>0</v>
      </c>
      <c r="DB177" t="n">
        <v>0</v>
      </c>
      <c r="DE177" t="n">
        <v>6.94</v>
      </c>
      <c r="DF177" t="n">
        <v>8</v>
      </c>
      <c r="DG177" t="n">
        <v>0</v>
      </c>
      <c r="DH177" t="n">
        <v>35</v>
      </c>
      <c r="DI177" t="n">
        <v>13</v>
      </c>
      <c r="DL177" t="n">
        <v>6</v>
      </c>
      <c r="DM177" t="n">
        <v>11</v>
      </c>
      <c r="DN177" t="n">
        <v>1</v>
      </c>
      <c r="DO177" t="n">
        <v>0.7</v>
      </c>
      <c r="DP177" t="n">
        <v>110.54</v>
      </c>
      <c r="DQ177" t="n">
        <v>55.52</v>
      </c>
      <c r="DR177" t="n">
        <v>111.04</v>
      </c>
      <c r="DS177" t="n">
        <v>-0.5</v>
      </c>
      <c r="DT177" t="n">
        <v>2633</v>
      </c>
      <c r="DU177" t="n">
        <v>69.3</v>
      </c>
      <c r="DV177" t="inlineStr">
        <is>
          <t>flat</t>
        </is>
      </c>
      <c r="DW177" t="n">
        <v>66.73999999999999</v>
      </c>
      <c r="DX177" t="n">
        <v>49.33</v>
      </c>
      <c r="DY177" t="n">
        <v>80.59</v>
      </c>
      <c r="DZ177" t="n">
        <v>13.85</v>
      </c>
      <c r="EA177" t="n">
        <v>3</v>
      </c>
      <c r="EB177" t="n">
        <v>32.64</v>
      </c>
      <c r="EC177" t="n">
        <v>1</v>
      </c>
      <c r="ED177" t="n">
        <v>111</v>
      </c>
      <c r="EE177" t="n">
        <v>12</v>
      </c>
      <c r="EF177" t="b">
        <v>1</v>
      </c>
      <c r="EG177" t="n">
        <v>0.3</v>
      </c>
      <c r="EH177" t="n">
        <v>20</v>
      </c>
      <c r="EI177" t="n">
        <v>257</v>
      </c>
      <c r="EJ177" t="n">
        <v>176.9</v>
      </c>
      <c r="EK177" t="n">
        <v>176.9</v>
      </c>
      <c r="EL177" t="n">
        <v>252.7</v>
      </c>
      <c r="EM177" t="n">
        <v>2269.4</v>
      </c>
      <c r="EN177" t="n">
        <v>1901.9</v>
      </c>
      <c r="EO177" t="n">
        <v>1034.7</v>
      </c>
      <c r="EP177" t="n">
        <v>23</v>
      </c>
    </row>
    <row r="178">
      <c r="A178" t="inlineStr">
        <is>
          <t>Yéremy Pino</t>
        </is>
      </c>
      <c r="B178" t="inlineStr">
        <is>
          <t>CRY</t>
        </is>
      </c>
      <c r="C178" t="inlineStr">
        <is>
          <t>MID</t>
        </is>
      </c>
      <c r="D178" t="inlineStr">
        <is>
          <t>MID</t>
        </is>
      </c>
      <c r="E178" t="n">
        <v>5.5</v>
      </c>
      <c r="F178" t="b">
        <v>1</v>
      </c>
      <c r="G178" t="b">
        <v>1</v>
      </c>
      <c r="H178" t="n">
        <v>23.8</v>
      </c>
      <c r="I178" t="inlineStr">
        <is>
          <t>a</t>
        </is>
      </c>
      <c r="L178" t="inlineStr">
        <is>
          <t>p488024</t>
        </is>
      </c>
      <c r="M178" t="n">
        <v>211</v>
      </c>
      <c r="O178" t="n">
        <v>2</v>
      </c>
      <c r="P178" t="n">
        <v>1</v>
      </c>
      <c r="Q178" t="n">
        <v>2074</v>
      </c>
      <c r="R178" t="n">
        <v>34</v>
      </c>
      <c r="S178" t="n">
        <v>26</v>
      </c>
      <c r="T178" t="n">
        <v>23.044</v>
      </c>
      <c r="U178" t="n">
        <v>61</v>
      </c>
      <c r="V178" t="n">
        <v>77</v>
      </c>
      <c r="W178" t="n">
        <v>3.341</v>
      </c>
      <c r="X178" t="n">
        <v>2</v>
      </c>
      <c r="Y178" t="n">
        <v>2</v>
      </c>
      <c r="Z178" t="n">
        <v>2</v>
      </c>
      <c r="AA178" t="n">
        <v>7</v>
      </c>
      <c r="AB178" t="n">
        <v>28</v>
      </c>
      <c r="AC178" t="n">
        <v>3</v>
      </c>
      <c r="AD178" t="n">
        <v>3</v>
      </c>
      <c r="AE178" t="n">
        <v>0</v>
      </c>
      <c r="AF178" t="n">
        <v>331</v>
      </c>
      <c r="AG178" t="n">
        <v>325</v>
      </c>
      <c r="AH178" t="n">
        <v>-6</v>
      </c>
      <c r="AI178" t="n">
        <v>77</v>
      </c>
      <c r="AJ178" t="n">
        <v>0.039</v>
      </c>
      <c r="AK178" t="n">
        <v>0.041</v>
      </c>
      <c r="AL178" t="n">
        <v>167</v>
      </c>
      <c r="AM178" t="n">
        <v>7.247</v>
      </c>
      <c r="AN178" t="n">
        <v>1</v>
      </c>
      <c r="AO178" t="n">
        <v>2</v>
      </c>
      <c r="AP178" t="n">
        <v>0.038</v>
      </c>
      <c r="AQ178" t="n">
        <v>0.077</v>
      </c>
      <c r="AR178" t="n">
        <v>0.038</v>
      </c>
      <c r="AS178" t="n">
        <v>0.6840000000000001</v>
      </c>
      <c r="AT178" t="n">
        <v>0.5590000000000001</v>
      </c>
      <c r="AU178" t="n">
        <v>23</v>
      </c>
      <c r="AV178" t="n">
        <v>0</v>
      </c>
      <c r="AW178" t="n">
        <v>1.94</v>
      </c>
      <c r="AX178" t="n">
        <v>9</v>
      </c>
      <c r="AY178" t="n">
        <v>4.53</v>
      </c>
      <c r="AZ178" t="n">
        <v>4.373</v>
      </c>
      <c r="BA178" t="n">
        <v>4.451</v>
      </c>
      <c r="BB178" t="n">
        <v>4.373</v>
      </c>
      <c r="BC178" t="n">
        <v>0.197</v>
      </c>
      <c r="BD178" t="n">
        <v>0.19</v>
      </c>
      <c r="BE178" t="n">
        <v>0.193</v>
      </c>
      <c r="BF178" t="n">
        <v>4.2</v>
      </c>
      <c r="BG178" t="n">
        <v>0.182</v>
      </c>
      <c r="BH178" t="n">
        <v>0.974</v>
      </c>
      <c r="BI178" t="n">
        <v>4.53</v>
      </c>
      <c r="BJ178" t="n">
        <v>4.411</v>
      </c>
      <c r="BK178" t="n">
        <v>0.191</v>
      </c>
      <c r="BL178" t="n">
        <v>-2.451</v>
      </c>
      <c r="BM178" t="n">
        <v>-0.33</v>
      </c>
      <c r="BN178" t="n">
        <v>-2.2</v>
      </c>
      <c r="BO178" t="n">
        <v>0.157</v>
      </c>
      <c r="BP178" t="n">
        <v>45</v>
      </c>
      <c r="BQ178" t="n">
        <v>11</v>
      </c>
      <c r="BR178" t="n">
        <v>5</v>
      </c>
      <c r="BS178" t="n">
        <v>84</v>
      </c>
      <c r="BT178" t="n">
        <v>3.645</v>
      </c>
      <c r="BW178" t="n">
        <v>6.12</v>
      </c>
      <c r="BX178" t="n">
        <v>8.502000000000001</v>
      </c>
      <c r="BY178" t="n">
        <v>7.311</v>
      </c>
      <c r="BZ178" t="n">
        <v>0.317</v>
      </c>
      <c r="CA178" t="n">
        <v>11.763</v>
      </c>
      <c r="CB178" t="n">
        <v>0.51</v>
      </c>
      <c r="CC178" t="n">
        <v>48</v>
      </c>
      <c r="CD178" t="n">
        <v>15</v>
      </c>
      <c r="CE178" t="n">
        <v>48</v>
      </c>
      <c r="CF178" t="n">
        <v>16</v>
      </c>
      <c r="CG178" t="n">
        <v>9</v>
      </c>
      <c r="CH178" t="n">
        <v>41</v>
      </c>
      <c r="CI178" t="n">
        <v>13.467</v>
      </c>
      <c r="CJ178" t="n">
        <v>4.587</v>
      </c>
      <c r="CK178" t="n">
        <v>30</v>
      </c>
      <c r="CL178" t="n">
        <v>101</v>
      </c>
      <c r="CM178" t="n">
        <v>36</v>
      </c>
      <c r="CN178" t="n">
        <v>20</v>
      </c>
      <c r="CO178" t="n">
        <v>9</v>
      </c>
      <c r="CP178" t="n">
        <v>21</v>
      </c>
      <c r="CQ178" t="n">
        <v>1</v>
      </c>
      <c r="CR178" t="n">
        <v>100</v>
      </c>
      <c r="CS178" t="n">
        <v>22</v>
      </c>
      <c r="CT178" t="n">
        <v>0.8</v>
      </c>
      <c r="CW178" t="n">
        <v>30.01</v>
      </c>
      <c r="CX178" t="n">
        <v>1.302</v>
      </c>
      <c r="CY178" t="n">
        <v>0</v>
      </c>
      <c r="DB178" t="n">
        <v>0</v>
      </c>
      <c r="DE178" t="n">
        <v>6.71</v>
      </c>
      <c r="DF178" t="n">
        <v>4</v>
      </c>
      <c r="DG178" t="n">
        <v>0</v>
      </c>
      <c r="DH178" t="n">
        <v>30</v>
      </c>
      <c r="DI178" t="n">
        <v>24</v>
      </c>
      <c r="DL178" t="n">
        <v>18</v>
      </c>
      <c r="DM178" t="n">
        <v>34</v>
      </c>
      <c r="DN178" t="n">
        <v>10</v>
      </c>
      <c r="DO178" t="n">
        <v>0.2</v>
      </c>
      <c r="DP178" t="n">
        <v>106.46</v>
      </c>
      <c r="DQ178" t="n">
        <v>53.23</v>
      </c>
      <c r="DR178" t="n">
        <v>106.46</v>
      </c>
      <c r="DS178" t="n">
        <v>0</v>
      </c>
      <c r="DT178" t="n">
        <v>2371</v>
      </c>
      <c r="DU178" t="n">
        <v>62.4</v>
      </c>
      <c r="DV178" t="inlineStr">
        <is>
          <t>flat</t>
        </is>
      </c>
      <c r="DW178" t="n">
        <v>90.01000000000001</v>
      </c>
      <c r="DX178" t="n">
        <v>96.73</v>
      </c>
      <c r="DY178" t="n">
        <v>88.95999999999999</v>
      </c>
      <c r="DZ178" t="n">
        <v>-1.05</v>
      </c>
      <c r="EA178" t="n">
        <v>43</v>
      </c>
      <c r="EB178" t="n">
        <v>18.16</v>
      </c>
      <c r="EC178" t="n">
        <v>29.33</v>
      </c>
      <c r="ED178" t="n">
        <v>120</v>
      </c>
      <c r="EE178" t="n">
        <v>67</v>
      </c>
      <c r="EF178" t="b">
        <v>1</v>
      </c>
      <c r="EG178" t="n">
        <v>1.6</v>
      </c>
      <c r="EH178" t="n">
        <v>15.2</v>
      </c>
      <c r="EI178" t="n">
        <v>153</v>
      </c>
      <c r="EJ178" t="n">
        <v>46.1</v>
      </c>
      <c r="EK178" t="n">
        <v>24.7</v>
      </c>
      <c r="EL178" t="n">
        <v>43.2</v>
      </c>
      <c r="EM178" t="n">
        <v>465.9</v>
      </c>
      <c r="EN178" t="n">
        <v>283.7</v>
      </c>
      <c r="EO178" t="n">
        <v>176.3</v>
      </c>
      <c r="EP178" t="n">
        <v>26.9</v>
      </c>
    </row>
    <row r="179">
      <c r="A179" t="inlineStr">
        <is>
          <t>Jordan Henderson</t>
        </is>
      </c>
      <c r="B179" t="inlineStr">
        <is>
          <t>CHE</t>
        </is>
      </c>
      <c r="C179" t="inlineStr">
        <is>
          <t>MID</t>
        </is>
      </c>
      <c r="D179" t="inlineStr">
        <is>
          <t>MID</t>
        </is>
      </c>
      <c r="E179" t="n">
        <v>5</v>
      </c>
      <c r="F179" t="b">
        <v>1</v>
      </c>
      <c r="G179" t="b">
        <v>1</v>
      </c>
      <c r="H179" t="n">
        <v>36.2</v>
      </c>
      <c r="I179" t="inlineStr">
        <is>
          <t>d</t>
        </is>
      </c>
      <c r="J179" t="inlineStr">
        <is>
          <t>Wrist injury - 75% chance of playing</t>
        </is>
      </c>
      <c r="K179" t="n">
        <v>75</v>
      </c>
      <c r="L179" t="inlineStr">
        <is>
          <t>p56979</t>
        </is>
      </c>
      <c r="M179" t="n">
        <v>101</v>
      </c>
      <c r="Q179" t="n">
        <v>1911</v>
      </c>
      <c r="R179" t="n">
        <v>32</v>
      </c>
      <c r="S179" t="n">
        <v>22</v>
      </c>
      <c r="T179" t="n">
        <v>21.233</v>
      </c>
      <c r="U179" t="n">
        <v>59.7</v>
      </c>
      <c r="V179" t="n">
        <v>76</v>
      </c>
      <c r="W179" t="n">
        <v>3.579</v>
      </c>
      <c r="X179" t="n">
        <v>1</v>
      </c>
      <c r="Y179" t="n">
        <v>3</v>
      </c>
      <c r="Z179" t="n">
        <v>3</v>
      </c>
      <c r="AA179" t="n">
        <v>6</v>
      </c>
      <c r="AB179" t="n">
        <v>28</v>
      </c>
      <c r="AC179" t="n">
        <v>5</v>
      </c>
      <c r="AD179" t="n">
        <v>5</v>
      </c>
      <c r="AE179" t="n">
        <v>0</v>
      </c>
      <c r="AF179" t="n">
        <v>343</v>
      </c>
      <c r="AG179" t="n">
        <v>335</v>
      </c>
      <c r="AH179" t="n">
        <v>-8</v>
      </c>
      <c r="AI179" t="n">
        <v>76</v>
      </c>
      <c r="AJ179" t="n">
        <v>0.066</v>
      </c>
      <c r="AK179" t="n">
        <v>0.07000000000000001</v>
      </c>
      <c r="AL179" t="n">
        <v>183</v>
      </c>
      <c r="AM179" t="n">
        <v>8.619</v>
      </c>
      <c r="AN179" t="n">
        <v>3</v>
      </c>
      <c r="AO179" t="n">
        <v>6</v>
      </c>
      <c r="AP179" t="n">
        <v>0.136</v>
      </c>
      <c r="AQ179" t="n">
        <v>0.182</v>
      </c>
      <c r="AR179" t="n">
        <v>0.136</v>
      </c>
      <c r="AS179" t="n">
        <v>0.579</v>
      </c>
      <c r="AT179" t="n">
        <v>0.594</v>
      </c>
      <c r="AU179" t="n">
        <v>23</v>
      </c>
      <c r="AV179" t="n">
        <v>0</v>
      </c>
      <c r="AW179" t="n">
        <v>2.19</v>
      </c>
      <c r="AX179" t="n">
        <v>9</v>
      </c>
      <c r="AY179" t="n">
        <v>0.33</v>
      </c>
      <c r="AZ179" t="n">
        <v>0.551</v>
      </c>
      <c r="BA179" t="n">
        <v>0.441</v>
      </c>
      <c r="BB179" t="n">
        <v>0.551</v>
      </c>
      <c r="BC179" t="n">
        <v>0.016</v>
      </c>
      <c r="BD179" t="n">
        <v>0.026</v>
      </c>
      <c r="BE179" t="n">
        <v>0.021</v>
      </c>
      <c r="BF179" t="n">
        <v>0.6</v>
      </c>
      <c r="BG179" t="n">
        <v>0.028</v>
      </c>
      <c r="BH179" t="n">
        <v>0.919</v>
      </c>
      <c r="BI179" t="n">
        <v>1.68</v>
      </c>
      <c r="BJ179" t="n">
        <v>0.303</v>
      </c>
      <c r="BK179" t="n">
        <v>0.014</v>
      </c>
      <c r="BL179" t="n">
        <v>0.5590000000000001</v>
      </c>
      <c r="BM179" t="n">
        <v>0.27</v>
      </c>
      <c r="BN179" t="n">
        <v>0.4</v>
      </c>
      <c r="BO179" t="n">
        <v>-0.221</v>
      </c>
      <c r="BP179" t="n">
        <v>6</v>
      </c>
      <c r="BQ179" t="n">
        <v>1</v>
      </c>
      <c r="BS179" t="n">
        <v>13</v>
      </c>
      <c r="BT179" t="n">
        <v>0.612</v>
      </c>
      <c r="BW179" t="n">
        <v>2.31</v>
      </c>
      <c r="BX179" t="n">
        <v>3.321</v>
      </c>
      <c r="BY179" t="n">
        <v>2.815</v>
      </c>
      <c r="BZ179" t="n">
        <v>0.133</v>
      </c>
      <c r="CA179" t="n">
        <v>3.256</v>
      </c>
      <c r="CB179" t="n">
        <v>0.153</v>
      </c>
      <c r="CC179" t="n">
        <v>19</v>
      </c>
      <c r="CD179" t="n">
        <v>8</v>
      </c>
      <c r="CE179" t="n">
        <v>19</v>
      </c>
      <c r="CF179" t="n">
        <v>17</v>
      </c>
      <c r="CG179" t="n">
        <v>2</v>
      </c>
      <c r="CH179" t="n">
        <v>3</v>
      </c>
      <c r="CI179" t="n">
        <v>8.789999999999999</v>
      </c>
      <c r="CJ179" t="n">
        <v>6.132</v>
      </c>
      <c r="CK179" t="n">
        <v>58</v>
      </c>
      <c r="CL179" t="n">
        <v>98</v>
      </c>
      <c r="CM179" t="n">
        <v>27</v>
      </c>
      <c r="CN179" t="n">
        <v>13</v>
      </c>
      <c r="CO179" t="n">
        <v>17</v>
      </c>
      <c r="CP179" t="n">
        <v>34</v>
      </c>
      <c r="CQ179" t="n">
        <v>7</v>
      </c>
      <c r="CR179" t="n">
        <v>48</v>
      </c>
      <c r="CS179" t="n">
        <v>13</v>
      </c>
      <c r="CT179" t="n">
        <v>0.3</v>
      </c>
      <c r="CW179" t="n">
        <v>28.16</v>
      </c>
      <c r="CX179" t="n">
        <v>1.326</v>
      </c>
      <c r="CY179" t="n">
        <v>0</v>
      </c>
      <c r="DB179" t="n">
        <v>0</v>
      </c>
      <c r="DE179" t="n">
        <v>6.7</v>
      </c>
      <c r="DF179" t="n">
        <v>6</v>
      </c>
      <c r="DG179" t="n">
        <v>0</v>
      </c>
      <c r="DH179" t="n">
        <v>13</v>
      </c>
      <c r="DI179" t="n">
        <v>7</v>
      </c>
      <c r="DL179" t="n">
        <v>3</v>
      </c>
      <c r="DM179" t="n">
        <v>6</v>
      </c>
      <c r="DN179" t="n">
        <v>1</v>
      </c>
      <c r="DO179" t="n">
        <v>0</v>
      </c>
      <c r="DP179" t="n">
        <v>35</v>
      </c>
      <c r="DQ179" t="n">
        <v>17.38</v>
      </c>
      <c r="DR179" t="n">
        <v>34.76</v>
      </c>
      <c r="DS179" t="n">
        <v>0.24</v>
      </c>
      <c r="DT179" t="n">
        <v>137</v>
      </c>
      <c r="DU179" t="n">
        <v>3.6</v>
      </c>
      <c r="DV179" t="inlineStr">
        <is>
          <t>flat</t>
        </is>
      </c>
      <c r="DW179" t="n">
        <v>66.09999999999999</v>
      </c>
      <c r="DY179" t="n">
        <v>66.09999999999999</v>
      </c>
      <c r="DZ179" t="n">
        <v>0</v>
      </c>
      <c r="EA179" t="n">
        <v>2</v>
      </c>
      <c r="EB179" t="n">
        <v>4.58</v>
      </c>
      <c r="EC179" t="n">
        <v>62.86</v>
      </c>
      <c r="ED179" t="n">
        <v>69.33</v>
      </c>
      <c r="EE179" t="n">
        <v>2</v>
      </c>
      <c r="EF179" t="b">
        <v>0</v>
      </c>
      <c r="EG179" t="n">
        <v>0.1</v>
      </c>
      <c r="EH179" t="n">
        <v>33.3</v>
      </c>
      <c r="EI179" t="n">
        <v>259</v>
      </c>
      <c r="EJ179" t="n">
        <v>318.5</v>
      </c>
      <c r="EK179" t="n">
        <v>147</v>
      </c>
      <c r="EL179" t="n">
        <v>100.6</v>
      </c>
      <c r="EM179" t="n">
        <v>4336.4</v>
      </c>
      <c r="EN179" t="n">
        <v>678.8</v>
      </c>
      <c r="EO179" t="n">
        <v>586.9</v>
      </c>
      <c r="EP179" t="n">
        <v>25.1</v>
      </c>
    </row>
    <row r="180">
      <c r="A180" t="inlineStr">
        <is>
          <t>Amadou Onana</t>
        </is>
      </c>
      <c r="B180" t="inlineStr">
        <is>
          <t>AVL</t>
        </is>
      </c>
      <c r="C180" t="inlineStr">
        <is>
          <t>MID</t>
        </is>
      </c>
      <c r="D180" t="inlineStr">
        <is>
          <t>MID</t>
        </is>
      </c>
      <c r="E180" t="n">
        <v>5</v>
      </c>
      <c r="F180" t="b">
        <v>1</v>
      </c>
      <c r="G180" t="b">
        <v>1</v>
      </c>
      <c r="H180" t="n">
        <v>25</v>
      </c>
      <c r="I180" t="inlineStr">
        <is>
          <t>i</t>
        </is>
      </c>
      <c r="J180" t="inlineStr">
        <is>
          <t>Knee injury - Unknown return date</t>
        </is>
      </c>
      <c r="K180" t="n">
        <v>0</v>
      </c>
      <c r="L180" t="inlineStr">
        <is>
          <t>p449871</t>
        </is>
      </c>
      <c r="M180" t="n">
        <v>48</v>
      </c>
      <c r="Q180" t="n">
        <v>1755</v>
      </c>
      <c r="R180" t="n">
        <v>25</v>
      </c>
      <c r="S180" t="n">
        <v>21</v>
      </c>
      <c r="T180" t="n">
        <v>19.5</v>
      </c>
      <c r="U180" t="n">
        <v>70.2</v>
      </c>
      <c r="V180" t="n">
        <v>76</v>
      </c>
      <c r="W180" t="n">
        <v>3.897</v>
      </c>
      <c r="X180" t="n">
        <v>2</v>
      </c>
      <c r="Y180" t="n">
        <v>0</v>
      </c>
      <c r="AA180" t="n">
        <v>6</v>
      </c>
      <c r="AB180" t="n">
        <v>26</v>
      </c>
      <c r="AC180" t="n">
        <v>4</v>
      </c>
      <c r="AD180" t="n">
        <v>4</v>
      </c>
      <c r="AE180" t="n">
        <v>0</v>
      </c>
      <c r="AF180" t="n">
        <v>353</v>
      </c>
      <c r="AG180" t="n">
        <v>332</v>
      </c>
      <c r="AH180" t="n">
        <v>-21</v>
      </c>
      <c r="AI180" t="n">
        <v>76</v>
      </c>
      <c r="AJ180" t="n">
        <v>0.053</v>
      </c>
      <c r="AK180" t="n">
        <v>0.056</v>
      </c>
      <c r="AL180" t="n">
        <v>219</v>
      </c>
      <c r="AM180" t="n">
        <v>11.231</v>
      </c>
      <c r="AN180" t="n">
        <v>7</v>
      </c>
      <c r="AO180" t="n">
        <v>14</v>
      </c>
      <c r="AP180" t="n">
        <v>0.333</v>
      </c>
      <c r="AQ180" t="n">
        <v>0.476</v>
      </c>
      <c r="AR180" t="n">
        <v>0.333</v>
      </c>
      <c r="AS180" t="n">
        <v>0.553</v>
      </c>
      <c r="AT180" t="n">
        <v>0.8</v>
      </c>
      <c r="AU180" t="n">
        <v>14</v>
      </c>
      <c r="AV180" t="n">
        <v>1</v>
      </c>
      <c r="AW180" t="n">
        <v>2.5</v>
      </c>
      <c r="AX180" t="n">
        <v>11</v>
      </c>
      <c r="AY180" t="n">
        <v>1.68</v>
      </c>
      <c r="AZ180" t="n">
        <v>2.773</v>
      </c>
      <c r="BA180" t="n">
        <v>2.226</v>
      </c>
      <c r="BB180" t="n">
        <v>2.773</v>
      </c>
      <c r="BC180" t="n">
        <v>0.08599999999999999</v>
      </c>
      <c r="BD180" t="n">
        <v>0.142</v>
      </c>
      <c r="BE180" t="n">
        <v>0.114</v>
      </c>
      <c r="BF180" t="n">
        <v>1.8</v>
      </c>
      <c r="BG180" t="n">
        <v>0.092</v>
      </c>
      <c r="BH180" t="n">
        <v>0.99</v>
      </c>
      <c r="BI180" t="n">
        <v>8.970000000000001</v>
      </c>
      <c r="BJ180" t="n">
        <v>1.663</v>
      </c>
      <c r="BK180" t="n">
        <v>0.08500000000000001</v>
      </c>
      <c r="BL180" t="n">
        <v>-0.226</v>
      </c>
      <c r="BM180" t="n">
        <v>0.12</v>
      </c>
      <c r="BN180" t="n">
        <v>0.2</v>
      </c>
      <c r="BO180" t="n">
        <v>-1.093</v>
      </c>
      <c r="BP180" t="n">
        <v>19</v>
      </c>
      <c r="BQ180" t="n">
        <v>7</v>
      </c>
      <c r="BR180" t="n">
        <v>4</v>
      </c>
      <c r="BS180" t="n">
        <v>25</v>
      </c>
      <c r="BT180" t="n">
        <v>1.282</v>
      </c>
      <c r="BV180" t="n">
        <v>1</v>
      </c>
      <c r="BW180" t="n">
        <v>0.6899999999999999</v>
      </c>
      <c r="BX180" t="n">
        <v>0.504</v>
      </c>
      <c r="BY180" t="n">
        <v>0.597</v>
      </c>
      <c r="BZ180" t="n">
        <v>0.031</v>
      </c>
      <c r="CA180" t="n">
        <v>2.823</v>
      </c>
      <c r="CB180" t="n">
        <v>0.145</v>
      </c>
      <c r="CC180" t="n">
        <v>7</v>
      </c>
      <c r="CD180" t="n">
        <v>0</v>
      </c>
      <c r="CE180" t="n">
        <v>7</v>
      </c>
      <c r="CG180" t="n">
        <v>1</v>
      </c>
      <c r="CI180" t="n">
        <v>6.815</v>
      </c>
      <c r="CJ180" t="n">
        <v>5.313</v>
      </c>
      <c r="CK180" t="n">
        <v>99</v>
      </c>
      <c r="CL180" t="n">
        <v>72</v>
      </c>
      <c r="CM180" t="n">
        <v>48</v>
      </c>
      <c r="CN180" t="n">
        <v>30</v>
      </c>
      <c r="CO180" t="n">
        <v>25</v>
      </c>
      <c r="CP180" t="n">
        <v>59</v>
      </c>
      <c r="CQ180" t="n">
        <v>17</v>
      </c>
      <c r="CR180" t="n">
        <v>122</v>
      </c>
      <c r="CS180" t="n">
        <v>45</v>
      </c>
      <c r="CT180" t="n">
        <v>0.3</v>
      </c>
      <c r="CU180" t="n">
        <v>1</v>
      </c>
      <c r="CV180" t="n">
        <v>1</v>
      </c>
      <c r="CW180" t="n">
        <v>28.53</v>
      </c>
      <c r="CX180" t="n">
        <v>1.463</v>
      </c>
      <c r="CY180" t="n">
        <v>0</v>
      </c>
      <c r="DB180" t="n">
        <v>0</v>
      </c>
      <c r="DE180" t="n">
        <v>6.91</v>
      </c>
      <c r="DF180" t="n">
        <v>3</v>
      </c>
      <c r="DG180" t="n">
        <v>0</v>
      </c>
      <c r="DH180" t="n">
        <v>20</v>
      </c>
      <c r="DI180" t="n">
        <v>25</v>
      </c>
      <c r="DL180" t="n">
        <v>7</v>
      </c>
      <c r="DM180" t="n">
        <v>10</v>
      </c>
      <c r="DO180" t="n">
        <v>0</v>
      </c>
      <c r="DP180" t="n">
        <v>47.78</v>
      </c>
      <c r="DQ180" t="n">
        <v>18.55</v>
      </c>
      <c r="DR180" t="n">
        <v>37.1</v>
      </c>
      <c r="DS180" t="n">
        <v>10.68</v>
      </c>
      <c r="DT180" t="n">
        <v>1285</v>
      </c>
      <c r="DU180" t="n">
        <v>33.82</v>
      </c>
      <c r="DV180" t="inlineStr">
        <is>
          <t>ramp-up (injury / late WC return)</t>
        </is>
      </c>
      <c r="DW180" t="n">
        <v>62.13</v>
      </c>
      <c r="DY180" t="n">
        <v>91.59999999999999</v>
      </c>
      <c r="DZ180" t="n">
        <v>29.47</v>
      </c>
      <c r="EA180" t="n">
        <v>2</v>
      </c>
      <c r="EB180" t="n">
        <v>36.98</v>
      </c>
      <c r="EC180" t="n">
        <v>20</v>
      </c>
      <c r="ED180" t="n">
        <v>104</v>
      </c>
      <c r="EE180" t="n">
        <v>4</v>
      </c>
      <c r="EF180" t="b">
        <v>0</v>
      </c>
      <c r="EG180" t="n">
        <v>0.2</v>
      </c>
      <c r="EH180" t="n">
        <v>60</v>
      </c>
      <c r="EI180" t="n">
        <v>258</v>
      </c>
      <c r="EJ180" t="n">
        <v>92.40000000000001</v>
      </c>
      <c r="EK180" t="n">
        <v>70.2</v>
      </c>
      <c r="EL180" t="n">
        <v>250.7</v>
      </c>
      <c r="EM180" t="n">
        <v>788.3</v>
      </c>
      <c r="EN180" t="n">
        <v>2939.9</v>
      </c>
      <c r="EO180" t="n">
        <v>621.6</v>
      </c>
      <c r="EP180" t="n">
        <v>23.1</v>
      </c>
    </row>
    <row r="181">
      <c r="A181" t="inlineStr">
        <is>
          <t>William Osula</t>
        </is>
      </c>
      <c r="B181" t="inlineStr">
        <is>
          <t>NEW</t>
        </is>
      </c>
      <c r="C181" t="inlineStr">
        <is>
          <t>FWD</t>
        </is>
      </c>
      <c r="D181" t="inlineStr">
        <is>
          <t>FWD</t>
        </is>
      </c>
      <c r="E181" t="n">
        <v>6</v>
      </c>
      <c r="F181" t="b">
        <v>1</v>
      </c>
      <c r="G181" t="b">
        <v>1</v>
      </c>
      <c r="H181" t="n">
        <v>23</v>
      </c>
      <c r="I181" t="inlineStr">
        <is>
          <t>a</t>
        </is>
      </c>
      <c r="L181" t="inlineStr">
        <is>
          <t>p538207</t>
        </is>
      </c>
      <c r="M181" t="n">
        <v>465</v>
      </c>
      <c r="N181" t="n">
        <v>2</v>
      </c>
      <c r="Q181" t="n">
        <v>805</v>
      </c>
      <c r="R181" t="n">
        <v>24</v>
      </c>
      <c r="S181" t="n">
        <v>8</v>
      </c>
      <c r="T181" t="n">
        <v>8.944000000000001</v>
      </c>
      <c r="U181" t="n">
        <v>33.5</v>
      </c>
      <c r="V181" t="n">
        <v>76</v>
      </c>
      <c r="W181" t="n">
        <v>8.497</v>
      </c>
      <c r="X181" t="n">
        <v>7</v>
      </c>
      <c r="Y181" t="n">
        <v>1</v>
      </c>
      <c r="AA181" t="n">
        <v>2</v>
      </c>
      <c r="AB181" t="n">
        <v>14</v>
      </c>
      <c r="AC181" t="n">
        <v>13</v>
      </c>
      <c r="AD181" t="n">
        <v>13</v>
      </c>
      <c r="AE181" t="n">
        <v>0</v>
      </c>
      <c r="AF181" t="n">
        <v>284</v>
      </c>
      <c r="AG181" t="n">
        <v>284</v>
      </c>
      <c r="AH181" t="n">
        <v>0</v>
      </c>
      <c r="AI181" t="n">
        <v>76</v>
      </c>
      <c r="AJ181" t="n">
        <v>0.171</v>
      </c>
      <c r="AK181" t="n">
        <v>0.206</v>
      </c>
      <c r="AL181" t="n">
        <v>31</v>
      </c>
      <c r="AM181" t="n">
        <v>3.466</v>
      </c>
      <c r="AN181" t="n">
        <v>0</v>
      </c>
      <c r="AO181" t="n">
        <v>0</v>
      </c>
      <c r="AP181" t="n">
        <v>0</v>
      </c>
      <c r="AQ181" t="n">
        <v>0</v>
      </c>
      <c r="AR181" t="n">
        <v>0</v>
      </c>
      <c r="AS181" t="n">
        <v>0.211</v>
      </c>
      <c r="AT181" t="n">
        <v>0.333</v>
      </c>
      <c r="AU181" t="n">
        <v>17</v>
      </c>
      <c r="AV181" t="n">
        <v>1</v>
      </c>
      <c r="AW181" t="n">
        <v>3.13</v>
      </c>
      <c r="AX181" t="n">
        <v>13</v>
      </c>
      <c r="AY181" t="n">
        <v>4.28</v>
      </c>
      <c r="AZ181" t="n">
        <v>4.915</v>
      </c>
      <c r="BA181" t="n">
        <v>4.598</v>
      </c>
      <c r="BB181" t="n">
        <v>4.915</v>
      </c>
      <c r="BC181" t="n">
        <v>0.479</v>
      </c>
      <c r="BD181" t="n">
        <v>0.55</v>
      </c>
      <c r="BE181" t="n">
        <v>0.514</v>
      </c>
      <c r="BF181" t="n">
        <v>6.1</v>
      </c>
      <c r="BG181" t="n">
        <v>0.6820000000000001</v>
      </c>
      <c r="BH181" t="n">
        <v>1.108</v>
      </c>
      <c r="BI181" t="n">
        <v>6.08</v>
      </c>
      <c r="BJ181" t="n">
        <v>4.742</v>
      </c>
      <c r="BK181" t="n">
        <v>0.53</v>
      </c>
      <c r="BL181" t="n">
        <v>2.402</v>
      </c>
      <c r="BM181" t="n">
        <v>1.82</v>
      </c>
      <c r="BN181" t="n">
        <v>0.9</v>
      </c>
      <c r="BO181" t="n">
        <v>-0.635</v>
      </c>
      <c r="BP181" t="n">
        <v>23</v>
      </c>
      <c r="BQ181" t="n">
        <v>12</v>
      </c>
      <c r="BR181" t="n">
        <v>4</v>
      </c>
      <c r="BS181" t="n">
        <v>39</v>
      </c>
      <c r="BT181" t="n">
        <v>4.36</v>
      </c>
      <c r="BV181" t="n">
        <v>1</v>
      </c>
      <c r="BW181" t="n">
        <v>0.62</v>
      </c>
      <c r="BX181" t="n">
        <v>0.447</v>
      </c>
      <c r="BY181" t="n">
        <v>0.533</v>
      </c>
      <c r="BZ181" t="n">
        <v>0.06</v>
      </c>
      <c r="CA181" t="n">
        <v>5.131</v>
      </c>
      <c r="CB181" t="n">
        <v>0.574</v>
      </c>
      <c r="CC181" t="n">
        <v>6</v>
      </c>
      <c r="CE181" t="n">
        <v>6</v>
      </c>
      <c r="CF181" t="n">
        <v>2</v>
      </c>
      <c r="CI181" t="n">
        <v>5.11</v>
      </c>
      <c r="CJ181" t="n">
        <v>0.375</v>
      </c>
      <c r="CK181" t="n">
        <v>2</v>
      </c>
      <c r="CL181" t="n">
        <v>23</v>
      </c>
      <c r="CM181" t="n">
        <v>6</v>
      </c>
      <c r="CN181" t="n">
        <v>5</v>
      </c>
      <c r="CO181" t="n">
        <v>1</v>
      </c>
      <c r="CQ181" t="n">
        <v>1</v>
      </c>
      <c r="CR181" t="n">
        <v>39</v>
      </c>
      <c r="CS181" t="n">
        <v>9</v>
      </c>
      <c r="CT181" t="n">
        <v>0.6</v>
      </c>
      <c r="CW181" t="n">
        <v>14.48</v>
      </c>
      <c r="CX181" t="n">
        <v>1.619</v>
      </c>
      <c r="CY181" t="n">
        <v>0</v>
      </c>
      <c r="DB181" t="n">
        <v>0</v>
      </c>
      <c r="DF181" t="n">
        <v>0</v>
      </c>
      <c r="DG181" t="n">
        <v>0</v>
      </c>
      <c r="DH181" t="n">
        <v>24</v>
      </c>
      <c r="DI181" t="n">
        <v>16</v>
      </c>
      <c r="DL181" t="n">
        <v>8</v>
      </c>
      <c r="DM181" t="n">
        <v>13</v>
      </c>
      <c r="DN181" t="n">
        <v>2</v>
      </c>
      <c r="DO181" t="n">
        <v>1.2</v>
      </c>
      <c r="DP181" t="n">
        <v>118.72</v>
      </c>
      <c r="DQ181" t="n">
        <v>59.36</v>
      </c>
      <c r="DR181" t="n">
        <v>118.72</v>
      </c>
      <c r="DS181" t="n">
        <v>0</v>
      </c>
      <c r="DT181" t="n">
        <v>2069</v>
      </c>
      <c r="DU181" t="n">
        <v>54.45</v>
      </c>
      <c r="DV181" t="inlineStr">
        <is>
          <t>flat</t>
        </is>
      </c>
      <c r="DW181" t="n">
        <v>75.98</v>
      </c>
      <c r="DX181" t="n">
        <v>80.68000000000001</v>
      </c>
      <c r="DY181" t="n">
        <v>74.40000000000001</v>
      </c>
      <c r="DZ181" t="n">
        <v>-1.58</v>
      </c>
      <c r="EA181" t="n">
        <v>990</v>
      </c>
      <c r="EB181" t="n">
        <v>25.23</v>
      </c>
      <c r="EC181" t="n">
        <v>3.5</v>
      </c>
      <c r="ED181" t="n">
        <v>120</v>
      </c>
      <c r="EE181" t="n">
        <v>1971</v>
      </c>
      <c r="EF181" t="b">
        <v>1</v>
      </c>
      <c r="EG181" t="n">
        <v>71</v>
      </c>
      <c r="EH181" t="n">
        <v>43.1</v>
      </c>
      <c r="EI181" t="n">
        <v>91</v>
      </c>
      <c r="EJ181" t="n">
        <v>35</v>
      </c>
      <c r="EK181" t="n">
        <v>20.6</v>
      </c>
      <c r="EL181" t="n">
        <v>134.2</v>
      </c>
      <c r="EM181" t="n">
        <v>175.1</v>
      </c>
      <c r="EN181" t="n">
        <v>1509.4</v>
      </c>
      <c r="EO181" t="n">
        <v>156.9</v>
      </c>
      <c r="EP181" t="n">
        <v>10.6</v>
      </c>
    </row>
    <row r="182">
      <c r="A182" t="inlineStr">
        <is>
          <t>Kristoffer Ajer</t>
        </is>
      </c>
      <c r="B182" t="inlineStr">
        <is>
          <t>BRE</t>
        </is>
      </c>
      <c r="C182" t="inlineStr">
        <is>
          <t>DEF</t>
        </is>
      </c>
      <c r="D182" t="inlineStr">
        <is>
          <t>DEF</t>
        </is>
      </c>
      <c r="E182" t="n">
        <v>4.5</v>
      </c>
      <c r="F182" t="b">
        <v>1</v>
      </c>
      <c r="G182" t="b">
        <v>1</v>
      </c>
      <c r="H182" t="n">
        <v>28.3</v>
      </c>
      <c r="I182" t="inlineStr">
        <is>
          <t>a</t>
        </is>
      </c>
      <c r="L182" t="inlineStr">
        <is>
          <t>p191866</t>
        </is>
      </c>
      <c r="M182" t="n">
        <v>87</v>
      </c>
      <c r="Q182" t="n">
        <v>1805</v>
      </c>
      <c r="R182" t="n">
        <v>27</v>
      </c>
      <c r="S182" t="n">
        <v>20</v>
      </c>
      <c r="T182" t="n">
        <v>20.056</v>
      </c>
      <c r="U182" t="n">
        <v>66.90000000000001</v>
      </c>
      <c r="V182" t="n">
        <v>76</v>
      </c>
      <c r="W182" t="n">
        <v>3.789</v>
      </c>
      <c r="X182" t="n">
        <v>0</v>
      </c>
      <c r="Y182" t="n">
        <v>2</v>
      </c>
      <c r="Z182" t="n">
        <v>1</v>
      </c>
      <c r="AA182" t="n">
        <v>5</v>
      </c>
      <c r="AB182" t="n">
        <v>32</v>
      </c>
      <c r="AC182" t="n">
        <v>1</v>
      </c>
      <c r="AD182" t="n">
        <v>1</v>
      </c>
      <c r="AE182" t="n">
        <v>0</v>
      </c>
      <c r="AF182" t="n">
        <v>211</v>
      </c>
      <c r="AG182" t="n">
        <v>185</v>
      </c>
      <c r="AH182" t="n">
        <v>-26</v>
      </c>
      <c r="AI182" t="n">
        <v>76</v>
      </c>
      <c r="AJ182" t="n">
        <v>0.013</v>
      </c>
      <c r="AK182" t="n">
        <v>0.013</v>
      </c>
      <c r="AL182" t="n">
        <v>192</v>
      </c>
      <c r="AM182" t="n">
        <v>9.573</v>
      </c>
      <c r="AN182" t="n">
        <v>9</v>
      </c>
      <c r="AO182" t="n">
        <v>18</v>
      </c>
      <c r="AP182" t="n">
        <v>0.45</v>
      </c>
      <c r="AQ182" t="n">
        <v>0.45</v>
      </c>
      <c r="AR182" t="n">
        <v>0.3</v>
      </c>
      <c r="AS182" t="n">
        <v>0.526</v>
      </c>
      <c r="AT182" t="n">
        <v>0.704</v>
      </c>
      <c r="AU182" t="n">
        <v>14</v>
      </c>
      <c r="AV182" t="n">
        <v>0</v>
      </c>
      <c r="AW182" t="n">
        <v>2.39</v>
      </c>
      <c r="AX182" t="n">
        <v>9</v>
      </c>
      <c r="AY182" t="n">
        <v>0.6899999999999999</v>
      </c>
      <c r="AZ182" t="n">
        <v>1.054</v>
      </c>
      <c r="BA182" t="n">
        <v>0.872</v>
      </c>
      <c r="BB182" t="n">
        <v>1.054</v>
      </c>
      <c r="BC182" t="n">
        <v>0.034</v>
      </c>
      <c r="BD182" t="n">
        <v>0.053</v>
      </c>
      <c r="BE182" t="n">
        <v>0.043</v>
      </c>
      <c r="BF182" t="n">
        <v>0.5</v>
      </c>
      <c r="BG182" t="n">
        <v>0.025</v>
      </c>
      <c r="BH182" t="n">
        <v>1.053</v>
      </c>
      <c r="BI182" t="n">
        <v>2.92</v>
      </c>
      <c r="BJ182" t="n">
        <v>0.727</v>
      </c>
      <c r="BK182" t="n">
        <v>0.036</v>
      </c>
      <c r="BL182" t="n">
        <v>-0.872</v>
      </c>
      <c r="BM182" t="n">
        <v>-0.19</v>
      </c>
      <c r="BN182" t="n">
        <v>-0.5</v>
      </c>
      <c r="BO182" t="n">
        <v>-0.364</v>
      </c>
      <c r="BP182" t="n">
        <v>10</v>
      </c>
      <c r="BQ182" t="n">
        <v>3</v>
      </c>
      <c r="BR182" t="n">
        <v>1</v>
      </c>
      <c r="BS182" t="n">
        <v>47</v>
      </c>
      <c r="BT182" t="n">
        <v>2.343</v>
      </c>
      <c r="BW182" t="n">
        <v>0.73</v>
      </c>
      <c r="BX182" t="n">
        <v>0.904</v>
      </c>
      <c r="BY182" t="n">
        <v>0.8169999999999999</v>
      </c>
      <c r="BZ182" t="n">
        <v>0.041</v>
      </c>
      <c r="CA182" t="n">
        <v>1.689</v>
      </c>
      <c r="CB182" t="n">
        <v>0.08400000000000001</v>
      </c>
      <c r="CC182" t="n">
        <v>5</v>
      </c>
      <c r="CD182" t="n">
        <v>1</v>
      </c>
      <c r="CE182" t="n">
        <v>4</v>
      </c>
      <c r="CF182" t="n">
        <v>1</v>
      </c>
      <c r="CI182" t="n">
        <v>5.492</v>
      </c>
      <c r="CJ182" t="n">
        <v>3.874</v>
      </c>
      <c r="CK182" t="n">
        <v>155</v>
      </c>
      <c r="CL182" t="n">
        <v>59</v>
      </c>
      <c r="CM182" t="n">
        <v>37</v>
      </c>
      <c r="CN182" t="n">
        <v>22</v>
      </c>
      <c r="CO182" t="n">
        <v>18</v>
      </c>
      <c r="CP182" t="n">
        <v>119</v>
      </c>
      <c r="CQ182" t="n">
        <v>16</v>
      </c>
      <c r="CR182" t="n">
        <v>105</v>
      </c>
      <c r="CS182" t="n">
        <v>60</v>
      </c>
      <c r="CT182" t="n">
        <v>0.1</v>
      </c>
      <c r="CV182" t="n">
        <v>1</v>
      </c>
      <c r="CW182" t="n">
        <v>31.51</v>
      </c>
      <c r="CX182" t="n">
        <v>1.571</v>
      </c>
      <c r="CY182" t="n">
        <v>0</v>
      </c>
      <c r="DB182" t="n">
        <v>0</v>
      </c>
      <c r="DE182" t="n">
        <v>6.61</v>
      </c>
      <c r="DF182" t="n">
        <v>4</v>
      </c>
      <c r="DG182" t="n">
        <v>0</v>
      </c>
      <c r="DH182" t="n">
        <v>23</v>
      </c>
      <c r="DI182" t="n">
        <v>5</v>
      </c>
      <c r="DK182" t="n">
        <v>1</v>
      </c>
      <c r="DL182" t="n">
        <v>3</v>
      </c>
      <c r="DM182" t="n">
        <v>6</v>
      </c>
      <c r="DN182" t="n">
        <v>0</v>
      </c>
      <c r="DO182" t="n">
        <v>1.9</v>
      </c>
      <c r="DP182" t="n">
        <v>77.01000000000001</v>
      </c>
      <c r="DQ182" t="n">
        <v>43.01</v>
      </c>
      <c r="DR182" t="n">
        <v>86.02</v>
      </c>
      <c r="DS182" t="n">
        <v>-9.01</v>
      </c>
      <c r="DT182" t="n">
        <v>1619</v>
      </c>
      <c r="DU182" t="n">
        <v>42.6</v>
      </c>
      <c r="DV182" t="inlineStr">
        <is>
          <t>fade (losing his place)</t>
        </is>
      </c>
      <c r="DW182" t="n">
        <v>97.33</v>
      </c>
      <c r="DX182" t="n">
        <v>95.19</v>
      </c>
      <c r="DY182" t="n">
        <v>98.25</v>
      </c>
      <c r="DZ182" t="n">
        <v>0.91</v>
      </c>
      <c r="EA182" t="n">
        <v>60</v>
      </c>
      <c r="EB182" t="n">
        <v>16.77</v>
      </c>
      <c r="EC182" t="n">
        <v>28.92</v>
      </c>
      <c r="ED182" t="n">
        <v>119</v>
      </c>
      <c r="EE182" t="n">
        <v>110</v>
      </c>
      <c r="EF182" t="b">
        <v>1</v>
      </c>
      <c r="EG182" t="n">
        <v>2.8</v>
      </c>
      <c r="EH182" t="n">
        <v>19.7</v>
      </c>
      <c r="EI182" t="n">
        <v>412</v>
      </c>
      <c r="EJ182" t="n">
        <v>180.5</v>
      </c>
      <c r="EK182" t="n">
        <v>38.4</v>
      </c>
      <c r="EL182" t="n">
        <v>451.2</v>
      </c>
      <c r="EM182" t="n">
        <v>2070.1</v>
      </c>
      <c r="EN182" t="n">
        <v>2208.9</v>
      </c>
      <c r="EO182" t="n">
        <v>1068.6</v>
      </c>
      <c r="EP182" t="n">
        <v>23.8</v>
      </c>
    </row>
    <row r="183">
      <c r="A183" t="inlineStr">
        <is>
          <t>Jørgen Strand Larsen</t>
        </is>
      </c>
      <c r="B183" t="inlineStr">
        <is>
          <t>CRY</t>
        </is>
      </c>
      <c r="C183" t="inlineStr">
        <is>
          <t>FWD</t>
        </is>
      </c>
      <c r="D183" t="inlineStr">
        <is>
          <t>FWD</t>
        </is>
      </c>
      <c r="E183" t="n">
        <v>6</v>
      </c>
      <c r="F183" t="b">
        <v>1</v>
      </c>
      <c r="G183" t="b">
        <v>1</v>
      </c>
      <c r="H183" t="n">
        <v>26.5</v>
      </c>
      <c r="I183" t="inlineStr">
        <is>
          <t>a</t>
        </is>
      </c>
      <c r="L183" t="inlineStr">
        <is>
          <t>p247412</t>
        </is>
      </c>
      <c r="M183" t="n">
        <v>222</v>
      </c>
      <c r="Q183" t="n">
        <v>2301</v>
      </c>
      <c r="R183" t="n">
        <v>36</v>
      </c>
      <c r="S183" t="n">
        <v>26</v>
      </c>
      <c r="T183" t="n">
        <v>25.567</v>
      </c>
      <c r="U183" t="n">
        <v>63.9</v>
      </c>
      <c r="V183" t="n">
        <v>75</v>
      </c>
      <c r="W183" t="n">
        <v>2.934</v>
      </c>
      <c r="X183" t="n">
        <v>4</v>
      </c>
      <c r="Y183" t="n">
        <v>1</v>
      </c>
      <c r="Z183" t="n">
        <v>1</v>
      </c>
      <c r="AA183" t="n">
        <v>5</v>
      </c>
      <c r="AB183" t="n">
        <v>41</v>
      </c>
      <c r="AC183" t="n">
        <v>3</v>
      </c>
      <c r="AD183" t="n">
        <v>3</v>
      </c>
      <c r="AE183" t="n">
        <v>0</v>
      </c>
      <c r="AF183" t="n">
        <v>215</v>
      </c>
      <c r="AG183" t="n">
        <v>206</v>
      </c>
      <c r="AH183" t="n">
        <v>-9</v>
      </c>
      <c r="AI183" t="n">
        <v>75</v>
      </c>
      <c r="AJ183" t="n">
        <v>0.04</v>
      </c>
      <c r="AK183" t="n">
        <v>0.042</v>
      </c>
      <c r="AL183" t="n">
        <v>95</v>
      </c>
      <c r="AM183" t="n">
        <v>3.716</v>
      </c>
      <c r="AN183" t="n">
        <v>0</v>
      </c>
      <c r="AO183" t="n">
        <v>0</v>
      </c>
      <c r="AP183" t="n">
        <v>0</v>
      </c>
      <c r="AQ183" t="n">
        <v>0</v>
      </c>
      <c r="AR183" t="n">
        <v>0</v>
      </c>
      <c r="AS183" t="n">
        <v>0.6840000000000001</v>
      </c>
      <c r="AT183" t="n">
        <v>0.639</v>
      </c>
      <c r="AU183" t="n">
        <v>32</v>
      </c>
      <c r="AV183" t="n">
        <v>1</v>
      </c>
      <c r="AW183" t="n">
        <v>2.2</v>
      </c>
      <c r="AX183" t="n">
        <v>13</v>
      </c>
      <c r="AY183" t="n">
        <v>5.3</v>
      </c>
      <c r="AZ183" t="n">
        <v>6.514</v>
      </c>
      <c r="BA183" t="n">
        <v>5.907</v>
      </c>
      <c r="BB183" t="n">
        <v>4.992</v>
      </c>
      <c r="BC183" t="n">
        <v>0.207</v>
      </c>
      <c r="BD183" t="n">
        <v>0.255</v>
      </c>
      <c r="BE183" t="n">
        <v>0.231</v>
      </c>
      <c r="BF183" t="n">
        <v>4</v>
      </c>
      <c r="BG183" t="n">
        <v>0.156</v>
      </c>
      <c r="BH183" t="n">
        <v>1.118</v>
      </c>
      <c r="BI183" t="n">
        <v>15.44</v>
      </c>
      <c r="BJ183" t="n">
        <v>5.924</v>
      </c>
      <c r="BK183" t="n">
        <v>0.232</v>
      </c>
      <c r="BL183" t="n">
        <v>-1.907</v>
      </c>
      <c r="BM183" t="n">
        <v>-1.3</v>
      </c>
      <c r="BN183" t="n">
        <v>0</v>
      </c>
      <c r="BO183" t="n">
        <v>-1.214</v>
      </c>
      <c r="BP183" t="n">
        <v>44</v>
      </c>
      <c r="BQ183" t="n">
        <v>14</v>
      </c>
      <c r="BR183" t="n">
        <v>5</v>
      </c>
      <c r="BS183" t="n">
        <v>97</v>
      </c>
      <c r="BT183" t="n">
        <v>3.794</v>
      </c>
      <c r="BU183" t="n">
        <v>1</v>
      </c>
      <c r="BV183" t="n">
        <v>1</v>
      </c>
      <c r="BW183" t="n">
        <v>1.12</v>
      </c>
      <c r="BX183" t="n">
        <v>0.6870000000000001</v>
      </c>
      <c r="BY183" t="n">
        <v>0.903</v>
      </c>
      <c r="BZ183" t="n">
        <v>0.035</v>
      </c>
      <c r="CA183" t="n">
        <v>6.81</v>
      </c>
      <c r="CB183" t="n">
        <v>0.266</v>
      </c>
      <c r="CC183" t="n">
        <v>10</v>
      </c>
      <c r="CD183" t="n">
        <v>1</v>
      </c>
      <c r="CE183" t="n">
        <v>10</v>
      </c>
      <c r="CG183" t="n">
        <v>1</v>
      </c>
      <c r="CI183" t="n">
        <v>7.07</v>
      </c>
      <c r="CJ183" t="n">
        <v>2.569</v>
      </c>
      <c r="CK183" t="n">
        <v>49</v>
      </c>
      <c r="CL183" t="n">
        <v>37</v>
      </c>
      <c r="CM183" t="n">
        <v>9</v>
      </c>
      <c r="CN183" t="n">
        <v>3</v>
      </c>
      <c r="CO183" t="n">
        <v>4</v>
      </c>
      <c r="CP183" t="n">
        <v>38</v>
      </c>
      <c r="CQ183" t="n">
        <v>7</v>
      </c>
      <c r="CR183" t="n">
        <v>121</v>
      </c>
      <c r="CS183" t="n">
        <v>80</v>
      </c>
      <c r="CT183" t="n">
        <v>0.3</v>
      </c>
      <c r="CW183" t="n">
        <v>36.03</v>
      </c>
      <c r="CX183" t="n">
        <v>1.409</v>
      </c>
      <c r="CY183" t="n">
        <v>0</v>
      </c>
      <c r="DB183" t="n">
        <v>0</v>
      </c>
      <c r="DE183" t="n">
        <v>6.23</v>
      </c>
      <c r="DF183" t="n">
        <v>4</v>
      </c>
      <c r="DG183" t="n">
        <v>0</v>
      </c>
      <c r="DH183" t="n">
        <v>52</v>
      </c>
      <c r="DI183" t="n">
        <v>21</v>
      </c>
      <c r="DL183" t="n">
        <v>11</v>
      </c>
      <c r="DM183" t="n">
        <v>27</v>
      </c>
      <c r="DN183" t="n">
        <v>10</v>
      </c>
      <c r="DO183" t="n">
        <v>0.6</v>
      </c>
      <c r="DP183" t="n">
        <v>52</v>
      </c>
      <c r="DQ183" t="n">
        <v>26</v>
      </c>
      <c r="DR183" t="n">
        <v>52</v>
      </c>
      <c r="DS183" t="n">
        <v>0</v>
      </c>
      <c r="DT183" t="n">
        <v>953</v>
      </c>
      <c r="DU183" t="n">
        <v>25.07</v>
      </c>
      <c r="DV183" t="inlineStr">
        <is>
          <t>flat</t>
        </is>
      </c>
      <c r="DW183" t="n">
        <v>79.05</v>
      </c>
      <c r="DX183" t="n">
        <v>86.79000000000001</v>
      </c>
      <c r="DY183" t="n">
        <v>74.64</v>
      </c>
      <c r="DZ183" t="n">
        <v>-4.41</v>
      </c>
      <c r="EA183" t="n">
        <v>955</v>
      </c>
      <c r="EB183" t="n">
        <v>24.72</v>
      </c>
      <c r="EC183" t="n">
        <v>7.5</v>
      </c>
      <c r="ED183" t="n">
        <v>120</v>
      </c>
      <c r="EE183" t="n">
        <v>1715</v>
      </c>
      <c r="EF183" t="b">
        <v>1</v>
      </c>
      <c r="EG183" t="n">
        <v>62.4</v>
      </c>
      <c r="EH183" t="n">
        <v>43.6</v>
      </c>
      <c r="EI183" t="n">
        <v>92</v>
      </c>
      <c r="EJ183" t="n">
        <v>52.3</v>
      </c>
      <c r="EK183" t="n">
        <v>23.7</v>
      </c>
      <c r="EL183" t="n">
        <v>230.1</v>
      </c>
      <c r="EM183" t="n">
        <v>389.5</v>
      </c>
      <c r="EN183" t="n">
        <v>2547.4</v>
      </c>
      <c r="EO183" t="n">
        <v>337.9</v>
      </c>
      <c r="EP183" t="n">
        <v>30.7</v>
      </c>
    </row>
    <row r="184">
      <c r="A184" t="inlineStr">
        <is>
          <t>Mohammed Kudus</t>
        </is>
      </c>
      <c r="B184" t="inlineStr">
        <is>
          <t>TOT</t>
        </is>
      </c>
      <c r="C184" t="inlineStr">
        <is>
          <t>MID</t>
        </is>
      </c>
      <c r="D184" t="inlineStr">
        <is>
          <t>MID</t>
        </is>
      </c>
      <c r="E184" t="n">
        <v>6.5</v>
      </c>
      <c r="F184" t="b">
        <v>1</v>
      </c>
      <c r="G184" t="b">
        <v>1</v>
      </c>
      <c r="H184" t="n">
        <v>26.1</v>
      </c>
      <c r="I184" t="inlineStr">
        <is>
          <t>d</t>
        </is>
      </c>
      <c r="J184" t="inlineStr">
        <is>
          <t>Thigh injury - 75% chance of playing</t>
        </is>
      </c>
      <c r="K184" t="n">
        <v>75</v>
      </c>
      <c r="L184" t="inlineStr">
        <is>
          <t>p460842</t>
        </is>
      </c>
      <c r="M184" t="n">
        <v>512</v>
      </c>
      <c r="N184" t="n">
        <v>2</v>
      </c>
      <c r="O184" t="n">
        <v>2</v>
      </c>
      <c r="P184" t="n">
        <v>3</v>
      </c>
      <c r="Q184" t="n">
        <v>1535</v>
      </c>
      <c r="R184" t="n">
        <v>19</v>
      </c>
      <c r="S184" t="n">
        <v>19</v>
      </c>
      <c r="T184" t="n">
        <v>17.056</v>
      </c>
      <c r="U184" t="n">
        <v>80.8</v>
      </c>
      <c r="V184" t="n">
        <v>75</v>
      </c>
      <c r="W184" t="n">
        <v>4.397</v>
      </c>
      <c r="X184" t="n">
        <v>2</v>
      </c>
      <c r="Y184" t="n">
        <v>6</v>
      </c>
      <c r="Z184" t="n">
        <v>5</v>
      </c>
      <c r="AA184" t="n">
        <v>7</v>
      </c>
      <c r="AB184" t="n">
        <v>20</v>
      </c>
      <c r="AC184" t="n">
        <v>7</v>
      </c>
      <c r="AD184" t="n">
        <v>8</v>
      </c>
      <c r="AE184" t="n">
        <v>1</v>
      </c>
      <c r="AF184" t="n">
        <v>257</v>
      </c>
      <c r="AG184" t="n">
        <v>255</v>
      </c>
      <c r="AH184" t="n">
        <v>-2</v>
      </c>
      <c r="AI184" t="n">
        <v>76</v>
      </c>
      <c r="AJ184" t="n">
        <v>0.093</v>
      </c>
      <c r="AK184" t="n">
        <v>0.103</v>
      </c>
      <c r="AL184" t="n">
        <v>133</v>
      </c>
      <c r="AM184" t="n">
        <v>7.798</v>
      </c>
      <c r="AN184" t="n">
        <v>0</v>
      </c>
      <c r="AO184" t="n">
        <v>0</v>
      </c>
      <c r="AP184" t="n">
        <v>0</v>
      </c>
      <c r="AQ184" t="n">
        <v>0.053</v>
      </c>
      <c r="AR184" t="n">
        <v>0</v>
      </c>
      <c r="AS184" t="n">
        <v>0.5</v>
      </c>
      <c r="AT184" t="n">
        <v>0.895</v>
      </c>
      <c r="AU184" t="n">
        <v>8</v>
      </c>
      <c r="AV184" t="n">
        <v>2</v>
      </c>
      <c r="AW184" t="n">
        <v>3.01</v>
      </c>
      <c r="AX184" t="n">
        <v>12</v>
      </c>
      <c r="AY184" t="n">
        <v>1.92</v>
      </c>
      <c r="AZ184" t="n">
        <v>2.362</v>
      </c>
      <c r="BA184" t="n">
        <v>2.141</v>
      </c>
      <c r="BB184" t="n">
        <v>2.362</v>
      </c>
      <c r="BC184" t="n">
        <v>0.113</v>
      </c>
      <c r="BD184" t="n">
        <v>0.139</v>
      </c>
      <c r="BE184" t="n">
        <v>0.126</v>
      </c>
      <c r="BF184" t="n">
        <v>2.6</v>
      </c>
      <c r="BG184" t="n">
        <v>0.152</v>
      </c>
      <c r="BH184" t="n">
        <v>0.993</v>
      </c>
      <c r="BI184" t="n">
        <v>13.95</v>
      </c>
      <c r="BJ184" t="n">
        <v>1.907</v>
      </c>
      <c r="BK184" t="n">
        <v>0.112</v>
      </c>
      <c r="BL184" t="n">
        <v>-0.141</v>
      </c>
      <c r="BM184" t="n">
        <v>0.68</v>
      </c>
      <c r="BN184" t="n">
        <v>-0.6</v>
      </c>
      <c r="BO184" t="n">
        <v>-0.442</v>
      </c>
      <c r="BP184" t="n">
        <v>26</v>
      </c>
      <c r="BQ184" t="n">
        <v>9</v>
      </c>
      <c r="BR184" t="n">
        <v>3</v>
      </c>
      <c r="BS184" t="n">
        <v>57</v>
      </c>
      <c r="BT184" t="n">
        <v>3.342</v>
      </c>
      <c r="BW184" t="n">
        <v>2.41</v>
      </c>
      <c r="BX184" t="n">
        <v>2.574</v>
      </c>
      <c r="BY184" t="n">
        <v>2.492</v>
      </c>
      <c r="BZ184" t="n">
        <v>0.146</v>
      </c>
      <c r="CA184" t="n">
        <v>4.633</v>
      </c>
      <c r="CB184" t="n">
        <v>0.272</v>
      </c>
      <c r="CC184" t="n">
        <v>21</v>
      </c>
      <c r="CD184" t="n">
        <v>3</v>
      </c>
      <c r="CE184" t="n">
        <v>23</v>
      </c>
      <c r="CF184" t="n">
        <v>28</v>
      </c>
      <c r="CH184" t="n">
        <v>49</v>
      </c>
      <c r="CI184" t="n">
        <v>4.963</v>
      </c>
      <c r="CJ184" t="n">
        <v>1.407</v>
      </c>
      <c r="CK184" t="n">
        <v>9</v>
      </c>
      <c r="CL184" t="n">
        <v>95</v>
      </c>
      <c r="CM184" t="n">
        <v>29</v>
      </c>
      <c r="CN184" t="n">
        <v>19</v>
      </c>
      <c r="CO184" t="n">
        <v>3</v>
      </c>
      <c r="CP184" t="n">
        <v>6</v>
      </c>
      <c r="CR184" t="n">
        <v>107</v>
      </c>
      <c r="CS184" t="n">
        <v>11</v>
      </c>
      <c r="CT184" t="n">
        <v>0.7</v>
      </c>
      <c r="CV184" t="n">
        <v>1</v>
      </c>
      <c r="CW184" t="n">
        <v>22.74</v>
      </c>
      <c r="CX184" t="n">
        <v>1.333</v>
      </c>
      <c r="CY184" t="n">
        <v>0</v>
      </c>
      <c r="DB184" t="n">
        <v>0</v>
      </c>
      <c r="DE184" t="n">
        <v>6.99</v>
      </c>
      <c r="DF184" t="n">
        <v>3</v>
      </c>
      <c r="DG184" t="n">
        <v>0</v>
      </c>
      <c r="DH184" t="n">
        <v>23</v>
      </c>
      <c r="DI184" t="n">
        <v>15</v>
      </c>
      <c r="DL184" t="n">
        <v>52</v>
      </c>
      <c r="DM184" t="n">
        <v>54</v>
      </c>
      <c r="DN184" t="n">
        <v>10</v>
      </c>
      <c r="DO184" t="n">
        <v>0.2</v>
      </c>
      <c r="DP184" t="n">
        <v>107.9</v>
      </c>
      <c r="DQ184" t="n">
        <v>56.4</v>
      </c>
      <c r="DR184" t="n">
        <v>112.8</v>
      </c>
      <c r="DS184" t="n">
        <v>-4.9</v>
      </c>
      <c r="DT184" t="n">
        <v>1858</v>
      </c>
      <c r="DU184" t="n">
        <v>48.9</v>
      </c>
      <c r="DV184" t="inlineStr">
        <is>
          <t>flat</t>
        </is>
      </c>
      <c r="DW184" t="n">
        <v>66.86</v>
      </c>
      <c r="DX184" t="n">
        <v>66.47</v>
      </c>
      <c r="DY184" t="n">
        <v>68.16</v>
      </c>
      <c r="DZ184" t="n">
        <v>1.3</v>
      </c>
      <c r="EA184" t="n">
        <v>688</v>
      </c>
      <c r="EB184" t="n">
        <v>23.2</v>
      </c>
      <c r="EC184" t="n">
        <v>5.09</v>
      </c>
      <c r="ED184" t="n">
        <v>120</v>
      </c>
      <c r="EE184" t="n">
        <v>1242</v>
      </c>
      <c r="EF184" t="b">
        <v>1</v>
      </c>
      <c r="EG184" t="n">
        <v>61</v>
      </c>
      <c r="EH184" t="n">
        <v>58.2</v>
      </c>
      <c r="EI184" t="n">
        <v>43</v>
      </c>
      <c r="EJ184" t="n">
        <v>59</v>
      </c>
      <c r="EK184" t="n">
        <v>26.9</v>
      </c>
      <c r="EL184" t="n">
        <v>66.7</v>
      </c>
      <c r="EM184" t="n">
        <v>716.9</v>
      </c>
      <c r="EN184" t="n">
        <v>616</v>
      </c>
      <c r="EO184" t="n">
        <v>331.3</v>
      </c>
      <c r="EP184" t="n">
        <v>20.5</v>
      </c>
    </row>
    <row r="185">
      <c r="A185" t="inlineStr">
        <is>
          <t>Martin Ødegaard</t>
        </is>
      </c>
      <c r="B185" t="inlineStr">
        <is>
          <t>ARS</t>
        </is>
      </c>
      <c r="C185" t="inlineStr">
        <is>
          <t>MID</t>
        </is>
      </c>
      <c r="D185" t="inlineStr">
        <is>
          <t>MID</t>
        </is>
      </c>
      <c r="E185" t="n">
        <v>6.5</v>
      </c>
      <c r="F185" t="b">
        <v>1</v>
      </c>
      <c r="G185" t="b">
        <v>1</v>
      </c>
      <c r="H185" t="n">
        <v>27.7</v>
      </c>
      <c r="I185" t="inlineStr">
        <is>
          <t>a</t>
        </is>
      </c>
      <c r="L185" t="inlineStr">
        <is>
          <t>p184029</t>
        </is>
      </c>
      <c r="M185" t="n">
        <v>15</v>
      </c>
      <c r="N185" t="n">
        <v>3</v>
      </c>
      <c r="O185" t="n">
        <v>3</v>
      </c>
      <c r="Q185" t="n">
        <v>1363</v>
      </c>
      <c r="R185" t="n">
        <v>24</v>
      </c>
      <c r="S185" t="n">
        <v>16</v>
      </c>
      <c r="T185" t="n">
        <v>15.144</v>
      </c>
      <c r="U185" t="n">
        <v>56.8</v>
      </c>
      <c r="V185" t="n">
        <v>74</v>
      </c>
      <c r="W185" t="n">
        <v>4.886</v>
      </c>
      <c r="X185" t="n">
        <v>1</v>
      </c>
      <c r="Y185" t="n">
        <v>7</v>
      </c>
      <c r="Z185" t="n">
        <v>6</v>
      </c>
      <c r="AA185" t="n">
        <v>6</v>
      </c>
      <c r="AB185" t="n">
        <v>13</v>
      </c>
      <c r="AC185" t="n">
        <v>5</v>
      </c>
      <c r="AD185" t="n">
        <v>5</v>
      </c>
      <c r="AE185" t="n">
        <v>0</v>
      </c>
      <c r="AF185" t="n">
        <v>306</v>
      </c>
      <c r="AG185" t="n">
        <v>304</v>
      </c>
      <c r="AH185" t="n">
        <v>-2</v>
      </c>
      <c r="AI185" t="n">
        <v>74</v>
      </c>
      <c r="AJ185" t="n">
        <v>0.068</v>
      </c>
      <c r="AK185" t="n">
        <v>0.07199999999999999</v>
      </c>
      <c r="AL185" t="n">
        <v>102</v>
      </c>
      <c r="AM185" t="n">
        <v>6.735</v>
      </c>
      <c r="AN185" t="n">
        <v>1</v>
      </c>
      <c r="AO185" t="n">
        <v>2</v>
      </c>
      <c r="AP185" t="n">
        <v>0.062</v>
      </c>
      <c r="AQ185" t="n">
        <v>0.188</v>
      </c>
      <c r="AR185" t="n">
        <v>0.062</v>
      </c>
      <c r="AS185" t="n">
        <v>0.421</v>
      </c>
      <c r="AT185" t="n">
        <v>0.458</v>
      </c>
      <c r="AU185" t="n">
        <v>10</v>
      </c>
      <c r="AV185" t="n">
        <v>1</v>
      </c>
      <c r="AW185" t="n">
        <v>2.3</v>
      </c>
      <c r="AX185" t="n">
        <v>10</v>
      </c>
      <c r="AY185" t="n">
        <v>1.25</v>
      </c>
      <c r="AZ185" t="n">
        <v>1.219</v>
      </c>
      <c r="BA185" t="n">
        <v>1.235</v>
      </c>
      <c r="BB185" t="n">
        <v>1.219</v>
      </c>
      <c r="BC185" t="n">
        <v>0.083</v>
      </c>
      <c r="BD185" t="n">
        <v>0.08</v>
      </c>
      <c r="BE185" t="n">
        <v>0.082</v>
      </c>
      <c r="BF185" t="n">
        <v>1.3</v>
      </c>
      <c r="BG185" t="n">
        <v>0.08599999999999999</v>
      </c>
      <c r="BH185" t="n">
        <v>0.956</v>
      </c>
      <c r="BI185" t="n">
        <v>23.38</v>
      </c>
      <c r="BJ185" t="n">
        <v>1.195</v>
      </c>
      <c r="BK185" t="n">
        <v>0.079</v>
      </c>
      <c r="BL185" t="n">
        <v>-0.235</v>
      </c>
      <c r="BM185" t="n">
        <v>0.05</v>
      </c>
      <c r="BN185" t="n">
        <v>-0.3</v>
      </c>
      <c r="BO185" t="n">
        <v>0.031</v>
      </c>
      <c r="BP185" t="n">
        <v>22</v>
      </c>
      <c r="BQ185" t="n">
        <v>8</v>
      </c>
      <c r="BS185" t="n">
        <v>38</v>
      </c>
      <c r="BT185" t="n">
        <v>2.509</v>
      </c>
      <c r="BW185" t="n">
        <v>3.65</v>
      </c>
      <c r="BX185" t="n">
        <v>4.978</v>
      </c>
      <c r="BY185" t="n">
        <v>4.314</v>
      </c>
      <c r="BZ185" t="n">
        <v>0.285</v>
      </c>
      <c r="CA185" t="n">
        <v>5.549</v>
      </c>
      <c r="CB185" t="n">
        <v>0.366</v>
      </c>
      <c r="CC185" t="n">
        <v>38</v>
      </c>
      <c r="CD185" t="n">
        <v>6</v>
      </c>
      <c r="CE185" t="n">
        <v>39</v>
      </c>
      <c r="CF185" t="n">
        <v>6</v>
      </c>
      <c r="CG185" t="n">
        <v>7</v>
      </c>
      <c r="CH185" t="n">
        <v>5</v>
      </c>
      <c r="CI185" t="n">
        <v>11.734</v>
      </c>
      <c r="CJ185" t="n">
        <v>7.589</v>
      </c>
      <c r="CK185" t="n">
        <v>13</v>
      </c>
      <c r="CL185" t="n">
        <v>70</v>
      </c>
      <c r="CM185" t="n">
        <v>19</v>
      </c>
      <c r="CN185" t="n">
        <v>8</v>
      </c>
      <c r="CO185" t="n">
        <v>7</v>
      </c>
      <c r="CP185" t="n">
        <v>6</v>
      </c>
      <c r="CR185" t="n">
        <v>40</v>
      </c>
      <c r="CS185" t="n">
        <v>3</v>
      </c>
      <c r="CT185" t="n">
        <v>1.2</v>
      </c>
      <c r="CV185" t="n">
        <v>1</v>
      </c>
      <c r="CW185" t="n">
        <v>16.2</v>
      </c>
      <c r="CX185" t="n">
        <v>1.07</v>
      </c>
      <c r="CY185" t="n">
        <v>0</v>
      </c>
      <c r="DB185" t="n">
        <v>0</v>
      </c>
      <c r="DE185" t="n">
        <v>7</v>
      </c>
      <c r="DF185" t="n">
        <v>0</v>
      </c>
      <c r="DG185" t="n">
        <v>0</v>
      </c>
      <c r="DH185" t="n">
        <v>9</v>
      </c>
      <c r="DI185" t="n">
        <v>9</v>
      </c>
      <c r="DL185" t="n">
        <v>9</v>
      </c>
      <c r="DM185" t="n">
        <v>13</v>
      </c>
      <c r="DN185" t="n">
        <v>2</v>
      </c>
      <c r="DO185" t="n">
        <v>2.9</v>
      </c>
      <c r="DP185" t="n">
        <v>98.61</v>
      </c>
      <c r="DQ185" t="n">
        <v>49.41</v>
      </c>
      <c r="DR185" t="n">
        <v>98.81999999999999</v>
      </c>
      <c r="DS185" t="n">
        <v>-0.21</v>
      </c>
      <c r="DT185" t="n">
        <v>1864</v>
      </c>
      <c r="DU185" t="n">
        <v>49.05</v>
      </c>
      <c r="DV185" t="inlineStr">
        <is>
          <t>flat</t>
        </is>
      </c>
      <c r="DW185" t="n">
        <v>50.03</v>
      </c>
      <c r="DX185" t="n">
        <v>51.62</v>
      </c>
      <c r="DY185" t="n">
        <v>47.37</v>
      </c>
      <c r="DZ185" t="n">
        <v>-2.66</v>
      </c>
      <c r="EA185" t="n">
        <v>1393</v>
      </c>
      <c r="EB185" t="n">
        <v>22.69</v>
      </c>
      <c r="EC185" t="n">
        <v>1</v>
      </c>
      <c r="ED185" t="n">
        <v>120</v>
      </c>
      <c r="EE185" t="n">
        <v>2913</v>
      </c>
      <c r="EF185" t="b">
        <v>1</v>
      </c>
      <c r="EG185" t="n">
        <v>85.90000000000001</v>
      </c>
      <c r="EH185" t="n">
        <v>30.4</v>
      </c>
      <c r="EI185" t="n">
        <v>44</v>
      </c>
      <c r="EJ185" t="n">
        <v>62</v>
      </c>
      <c r="EK185" t="n">
        <v>35.9</v>
      </c>
      <c r="EL185" t="n">
        <v>34.9</v>
      </c>
      <c r="EM185" t="n">
        <v>1104</v>
      </c>
      <c r="EN185" t="n">
        <v>315.9</v>
      </c>
      <c r="EO185" t="n">
        <v>245.6</v>
      </c>
      <c r="EP185" t="n">
        <v>18.4</v>
      </c>
    </row>
    <row r="186">
      <c r="A186" t="inlineStr">
        <is>
          <t>Wilson Isidor</t>
        </is>
      </c>
      <c r="B186" t="inlineStr">
        <is>
          <t>SUN</t>
        </is>
      </c>
      <c r="C186" t="inlineStr">
        <is>
          <t>FWD</t>
        </is>
      </c>
      <c r="D186" t="inlineStr">
        <is>
          <t>FWD</t>
        </is>
      </c>
      <c r="E186" t="n">
        <v>5.5</v>
      </c>
      <c r="F186" t="b">
        <v>1</v>
      </c>
      <c r="G186" t="b">
        <v>1</v>
      </c>
      <c r="H186" t="n">
        <v>26</v>
      </c>
      <c r="I186" t="inlineStr">
        <is>
          <t>a</t>
        </is>
      </c>
      <c r="L186" t="inlineStr">
        <is>
          <t>p437505</t>
        </is>
      </c>
      <c r="M186" t="n">
        <v>553</v>
      </c>
      <c r="Q186" t="n">
        <v>1148</v>
      </c>
      <c r="R186" t="n">
        <v>32</v>
      </c>
      <c r="S186" t="n">
        <v>11</v>
      </c>
      <c r="T186" t="n">
        <v>12.756</v>
      </c>
      <c r="U186" t="n">
        <v>35.9</v>
      </c>
      <c r="V186" t="n">
        <v>74</v>
      </c>
      <c r="W186" t="n">
        <v>5.801</v>
      </c>
      <c r="X186" t="n">
        <v>6</v>
      </c>
      <c r="Y186" t="n">
        <v>1</v>
      </c>
      <c r="AA186" t="n">
        <v>4</v>
      </c>
      <c r="AB186" t="n">
        <v>17</v>
      </c>
      <c r="AC186" t="n">
        <v>7</v>
      </c>
      <c r="AD186" t="n">
        <v>8</v>
      </c>
      <c r="AE186" t="n">
        <v>1</v>
      </c>
      <c r="AF186" t="n">
        <v>266</v>
      </c>
      <c r="AG186" t="n">
        <v>265</v>
      </c>
      <c r="AH186" t="n">
        <v>-1</v>
      </c>
      <c r="AI186" t="n">
        <v>75</v>
      </c>
      <c r="AJ186" t="n">
        <v>0.095</v>
      </c>
      <c r="AK186" t="n">
        <v>0.104</v>
      </c>
      <c r="AL186" t="n">
        <v>51</v>
      </c>
      <c r="AM186" t="n">
        <v>3.998</v>
      </c>
      <c r="AN186" t="n">
        <v>0</v>
      </c>
      <c r="AO186" t="n">
        <v>0</v>
      </c>
      <c r="AP186" t="n">
        <v>0</v>
      </c>
      <c r="AQ186" t="n">
        <v>0</v>
      </c>
      <c r="AR186" t="n">
        <v>0</v>
      </c>
      <c r="AS186" t="n">
        <v>0.289</v>
      </c>
      <c r="AT186" t="n">
        <v>0.281</v>
      </c>
      <c r="AU186" t="n">
        <v>25</v>
      </c>
      <c r="AV186" t="n">
        <v>0</v>
      </c>
      <c r="AW186" t="n">
        <v>2.24</v>
      </c>
      <c r="AX186" t="n">
        <v>9</v>
      </c>
      <c r="AY186" t="n">
        <v>4.7</v>
      </c>
      <c r="AZ186" t="n">
        <v>5.619</v>
      </c>
      <c r="BA186" t="n">
        <v>5.16</v>
      </c>
      <c r="BB186" t="n">
        <v>5.619</v>
      </c>
      <c r="BC186" t="n">
        <v>0.368</v>
      </c>
      <c r="BD186" t="n">
        <v>0.441</v>
      </c>
      <c r="BE186" t="n">
        <v>0.405</v>
      </c>
      <c r="BF186" t="n">
        <v>5.2</v>
      </c>
      <c r="BG186" t="n">
        <v>0.408</v>
      </c>
      <c r="BH186" t="n">
        <v>1.039</v>
      </c>
      <c r="BI186" t="n">
        <v>4.7</v>
      </c>
      <c r="BJ186" t="n">
        <v>4.885</v>
      </c>
      <c r="BK186" t="n">
        <v>0.383</v>
      </c>
      <c r="BL186" t="n">
        <v>0.84</v>
      </c>
      <c r="BM186" t="n">
        <v>0.5</v>
      </c>
      <c r="BN186" t="n">
        <v>0.8</v>
      </c>
      <c r="BO186" t="n">
        <v>-0.919</v>
      </c>
      <c r="BP186" t="n">
        <v>43</v>
      </c>
      <c r="BQ186" t="n">
        <v>17</v>
      </c>
      <c r="BR186" t="n">
        <v>2</v>
      </c>
      <c r="BS186" t="n">
        <v>67</v>
      </c>
      <c r="BT186" t="n">
        <v>5.253</v>
      </c>
      <c r="BV186" t="n">
        <v>1</v>
      </c>
      <c r="BW186" t="n">
        <v>0.38</v>
      </c>
      <c r="BX186" t="n">
        <v>0</v>
      </c>
      <c r="BY186" t="n">
        <v>0.19</v>
      </c>
      <c r="BZ186" t="n">
        <v>0.015</v>
      </c>
      <c r="CA186" t="n">
        <v>5.35</v>
      </c>
      <c r="CB186" t="n">
        <v>0.419</v>
      </c>
      <c r="CC186" t="n">
        <v>0</v>
      </c>
      <c r="CE186" t="n">
        <v>0</v>
      </c>
      <c r="CI186" t="n">
        <v>6.032</v>
      </c>
      <c r="CJ186" t="n">
        <v>0.675</v>
      </c>
      <c r="CK186" t="n">
        <v>17</v>
      </c>
      <c r="CL186" t="n">
        <v>23</v>
      </c>
      <c r="CM186" t="n">
        <v>11</v>
      </c>
      <c r="CN186" t="n">
        <v>8</v>
      </c>
      <c r="CO186" t="n">
        <v>1</v>
      </c>
      <c r="CP186" t="n">
        <v>15</v>
      </c>
      <c r="CQ186" t="n">
        <v>1</v>
      </c>
      <c r="CR186" t="n">
        <v>49</v>
      </c>
      <c r="CS186" t="n">
        <v>25</v>
      </c>
      <c r="CT186" t="n">
        <v>0.2</v>
      </c>
      <c r="CW186" t="n">
        <v>19.82</v>
      </c>
      <c r="CX186" t="n">
        <v>1.554</v>
      </c>
      <c r="CY186" t="n">
        <v>0</v>
      </c>
      <c r="DB186" t="n">
        <v>0</v>
      </c>
      <c r="DE186" t="n">
        <v>6.31</v>
      </c>
      <c r="DF186" t="n">
        <v>1</v>
      </c>
      <c r="DG186" t="n">
        <v>0</v>
      </c>
      <c r="DH186" t="n">
        <v>14</v>
      </c>
      <c r="DI186" t="n">
        <v>7</v>
      </c>
      <c r="DL186" t="n">
        <v>6</v>
      </c>
      <c r="DM186" t="n">
        <v>14</v>
      </c>
      <c r="DN186" t="n">
        <v>11</v>
      </c>
      <c r="DO186" t="n">
        <v>1.2</v>
      </c>
      <c r="DP186" t="n">
        <v>43.24</v>
      </c>
      <c r="DQ186" t="n">
        <v>21.62</v>
      </c>
      <c r="DR186" t="n">
        <v>43.24</v>
      </c>
      <c r="DS186" t="n">
        <v>0</v>
      </c>
      <c r="DT186" t="n">
        <v>481</v>
      </c>
      <c r="DU186" t="n">
        <v>12.66</v>
      </c>
      <c r="DV186" t="inlineStr">
        <is>
          <t>flat</t>
        </is>
      </c>
      <c r="DW186" t="n">
        <v>91.17</v>
      </c>
      <c r="DX186" t="n">
        <v>96.56</v>
      </c>
      <c r="DY186" t="n">
        <v>89.48999999999999</v>
      </c>
      <c r="DZ186" t="n">
        <v>-1.68</v>
      </c>
      <c r="EA186" t="n">
        <v>401</v>
      </c>
      <c r="EB186" t="n">
        <v>21.86</v>
      </c>
      <c r="EC186" t="n">
        <v>5.33</v>
      </c>
      <c r="ED186" t="n">
        <v>120</v>
      </c>
      <c r="EE186" t="n">
        <v>684</v>
      </c>
      <c r="EF186" t="b">
        <v>1</v>
      </c>
      <c r="EG186" t="n">
        <v>16.3</v>
      </c>
      <c r="EH186" t="n">
        <v>13.7</v>
      </c>
      <c r="EI186" t="n">
        <v>154</v>
      </c>
      <c r="EJ186" t="n">
        <v>26.7</v>
      </c>
      <c r="EK186" t="n">
        <v>17.1</v>
      </c>
      <c r="EM186" t="n">
        <v>222.5</v>
      </c>
      <c r="EN186" t="n">
        <v>6042.1</v>
      </c>
      <c r="EO186" t="n">
        <v>214.6</v>
      </c>
      <c r="EP186" t="n">
        <v>15.5</v>
      </c>
    </row>
    <row r="187">
      <c r="A187" t="inlineStr">
        <is>
          <t>Reinildo Mandava</t>
        </is>
      </c>
      <c r="B187" t="inlineStr">
        <is>
          <t>SUN</t>
        </is>
      </c>
      <c r="C187" t="inlineStr">
        <is>
          <t>DEF</t>
        </is>
      </c>
      <c r="D187" t="inlineStr">
        <is>
          <t>DEF</t>
        </is>
      </c>
      <c r="E187" t="n">
        <v>4.5</v>
      </c>
      <c r="F187" t="b">
        <v>1</v>
      </c>
      <c r="G187" t="b">
        <v>1</v>
      </c>
      <c r="H187" t="n">
        <v>32.6</v>
      </c>
      <c r="I187" t="inlineStr">
        <is>
          <t>a</t>
        </is>
      </c>
      <c r="L187" t="inlineStr">
        <is>
          <t>p434399</t>
        </is>
      </c>
      <c r="M187" t="n">
        <v>536</v>
      </c>
      <c r="Q187" t="n">
        <v>1966</v>
      </c>
      <c r="R187" t="n">
        <v>25</v>
      </c>
      <c r="S187" t="n">
        <v>23</v>
      </c>
      <c r="T187" t="n">
        <v>21.844</v>
      </c>
      <c r="U187" t="n">
        <v>78.59999999999999</v>
      </c>
      <c r="V187" t="n">
        <v>74</v>
      </c>
      <c r="W187" t="n">
        <v>3.388</v>
      </c>
      <c r="X187" t="n">
        <v>0</v>
      </c>
      <c r="Y187" t="n">
        <v>2</v>
      </c>
      <c r="Z187" t="n">
        <v>1</v>
      </c>
      <c r="AA187" t="n">
        <v>6</v>
      </c>
      <c r="AB187" t="n">
        <v>27</v>
      </c>
      <c r="AC187" t="n">
        <v>6</v>
      </c>
      <c r="AD187" t="n">
        <v>5</v>
      </c>
      <c r="AE187" t="n">
        <v>-1</v>
      </c>
      <c r="AF187" t="n">
        <v>281</v>
      </c>
      <c r="AG187" t="n">
        <v>258</v>
      </c>
      <c r="AH187" t="n">
        <v>-23</v>
      </c>
      <c r="AI187" t="n">
        <v>73</v>
      </c>
      <c r="AJ187" t="n">
        <v>0.081</v>
      </c>
      <c r="AK187" t="n">
        <v>0.08799999999999999</v>
      </c>
      <c r="AL187" t="n">
        <v>164</v>
      </c>
      <c r="AM187" t="n">
        <v>7.508</v>
      </c>
      <c r="AN187" t="n">
        <v>4</v>
      </c>
      <c r="AO187" t="n">
        <v>8</v>
      </c>
      <c r="AP187" t="n">
        <v>0.174</v>
      </c>
      <c r="AQ187" t="n">
        <v>0.174</v>
      </c>
      <c r="AR187" t="n">
        <v>0.08699999999999999</v>
      </c>
      <c r="AS187" t="n">
        <v>0.605</v>
      </c>
      <c r="AT187" t="n">
        <v>0.84</v>
      </c>
      <c r="AU187" t="n">
        <v>16</v>
      </c>
      <c r="AV187" t="n">
        <v>2</v>
      </c>
      <c r="AW187" t="n">
        <v>3.02</v>
      </c>
      <c r="AX187" t="n">
        <v>11</v>
      </c>
      <c r="AY187" t="n">
        <v>0.13</v>
      </c>
      <c r="AZ187" t="n">
        <v>0.17</v>
      </c>
      <c r="BA187" t="n">
        <v>0.15</v>
      </c>
      <c r="BB187" t="n">
        <v>0.17</v>
      </c>
      <c r="BC187" t="n">
        <v>0.006</v>
      </c>
      <c r="BD187" t="n">
        <v>0.008</v>
      </c>
      <c r="BE187" t="n">
        <v>0.007</v>
      </c>
      <c r="BH187" t="n">
        <v>0.984</v>
      </c>
      <c r="BI187" t="n">
        <v>0.13</v>
      </c>
      <c r="BJ187" t="n">
        <v>0.128</v>
      </c>
      <c r="BK187" t="n">
        <v>0.006</v>
      </c>
      <c r="BL187" t="n">
        <v>-0.15</v>
      </c>
      <c r="BO187" t="n">
        <v>-0.04</v>
      </c>
      <c r="BP187" t="n">
        <v>4</v>
      </c>
      <c r="BS187" t="n">
        <v>15</v>
      </c>
      <c r="BT187" t="n">
        <v>0.6870000000000001</v>
      </c>
      <c r="BW187" t="n">
        <v>0.62</v>
      </c>
      <c r="BX187" t="n">
        <v>0.296</v>
      </c>
      <c r="BY187" t="n">
        <v>0.458</v>
      </c>
      <c r="BZ187" t="n">
        <v>0.021</v>
      </c>
      <c r="CA187" t="n">
        <v>0.608</v>
      </c>
      <c r="CB187" t="n">
        <v>0.028</v>
      </c>
      <c r="CC187" t="n">
        <v>6</v>
      </c>
      <c r="CE187" t="n">
        <v>6</v>
      </c>
      <c r="CF187" t="n">
        <v>4</v>
      </c>
      <c r="CI187" t="n">
        <v>3.947</v>
      </c>
      <c r="CJ187" t="n">
        <v>3.705</v>
      </c>
      <c r="CK187" t="n">
        <v>125</v>
      </c>
      <c r="CL187" t="n">
        <v>90</v>
      </c>
      <c r="CM187" t="n">
        <v>39</v>
      </c>
      <c r="CN187" t="n">
        <v>23</v>
      </c>
      <c r="CO187" t="n">
        <v>31</v>
      </c>
      <c r="CP187" t="n">
        <v>81</v>
      </c>
      <c r="CQ187" t="n">
        <v>14</v>
      </c>
      <c r="CR187" t="n">
        <v>121</v>
      </c>
      <c r="CS187" t="n">
        <v>34</v>
      </c>
      <c r="CT187" t="n">
        <v>0.2</v>
      </c>
      <c r="CU187" t="n">
        <v>1</v>
      </c>
      <c r="CW187" t="n">
        <v>26.72</v>
      </c>
      <c r="CX187" t="n">
        <v>1.223</v>
      </c>
      <c r="CY187" t="n">
        <v>0</v>
      </c>
      <c r="DB187" t="n">
        <v>0</v>
      </c>
      <c r="DE187" t="n">
        <v>6.84</v>
      </c>
      <c r="DF187" t="n">
        <v>7</v>
      </c>
      <c r="DG187" t="n">
        <v>1</v>
      </c>
      <c r="DH187" t="n">
        <v>32</v>
      </c>
      <c r="DI187" t="n">
        <v>35</v>
      </c>
      <c r="DJ187" t="n">
        <v>1</v>
      </c>
      <c r="DK187" t="n">
        <v>1</v>
      </c>
      <c r="DL187" t="n">
        <v>15</v>
      </c>
      <c r="DM187" t="n">
        <v>13</v>
      </c>
      <c r="DN187" t="n">
        <v>1</v>
      </c>
      <c r="DO187" t="n">
        <v>0.5</v>
      </c>
      <c r="DP187" t="n">
        <v>111.72</v>
      </c>
      <c r="DQ187" t="n">
        <v>55.86</v>
      </c>
      <c r="DR187" t="n">
        <v>111.72</v>
      </c>
      <c r="DS187" t="n">
        <v>0</v>
      </c>
      <c r="DT187" t="n">
        <v>3067</v>
      </c>
      <c r="DU187" t="n">
        <v>80.7</v>
      </c>
      <c r="DV187" t="inlineStr">
        <is>
          <t>flat</t>
        </is>
      </c>
      <c r="DW187" t="n">
        <v>99.55</v>
      </c>
      <c r="DX187" t="n">
        <v>90.67</v>
      </c>
      <c r="DY187" t="n">
        <v>103.44</v>
      </c>
      <c r="DZ187" t="n">
        <v>3.9</v>
      </c>
      <c r="EA187" t="n">
        <v>20</v>
      </c>
      <c r="EB187" t="n">
        <v>15.08</v>
      </c>
      <c r="EC187" t="n">
        <v>54.86</v>
      </c>
      <c r="ED187" t="n">
        <v>119</v>
      </c>
      <c r="EE187" t="n">
        <v>36</v>
      </c>
      <c r="EF187" t="b">
        <v>1</v>
      </c>
      <c r="EG187" t="n">
        <v>0.9</v>
      </c>
      <c r="EH187" t="n">
        <v>14.3</v>
      </c>
      <c r="EI187" t="n">
        <v>413</v>
      </c>
      <c r="EJ187" t="n">
        <v>491.5</v>
      </c>
      <c r="EK187" t="n">
        <v>131.1</v>
      </c>
      <c r="EL187" t="n">
        <v>327.7</v>
      </c>
      <c r="EM187" t="n">
        <v>13106.5</v>
      </c>
      <c r="EN187" t="n">
        <v>4293.1</v>
      </c>
      <c r="EO187" t="n">
        <v>3233.8</v>
      </c>
      <c r="EP187" t="n">
        <v>26.6</v>
      </c>
    </row>
    <row r="188">
      <c r="A188" t="inlineStr">
        <is>
          <t>Vitaly Janelt</t>
        </is>
      </c>
      <c r="B188" t="inlineStr">
        <is>
          <t>BRE</t>
        </is>
      </c>
      <c r="C188" t="inlineStr">
        <is>
          <t>MID</t>
        </is>
      </c>
      <c r="D188" t="inlineStr">
        <is>
          <t>MID</t>
        </is>
      </c>
      <c r="E188" t="n">
        <v>5</v>
      </c>
      <c r="F188" t="b">
        <v>1</v>
      </c>
      <c r="G188" t="b">
        <v>1</v>
      </c>
      <c r="H188" t="n">
        <v>28.3</v>
      </c>
      <c r="I188" t="inlineStr">
        <is>
          <t>a</t>
        </is>
      </c>
      <c r="L188" t="inlineStr">
        <is>
          <t>p204580</t>
        </is>
      </c>
      <c r="M188" t="n">
        <v>98</v>
      </c>
      <c r="O188" t="n">
        <v>3</v>
      </c>
      <c r="Q188" t="n">
        <v>1434</v>
      </c>
      <c r="R188" t="n">
        <v>25</v>
      </c>
      <c r="S188" t="n">
        <v>15</v>
      </c>
      <c r="T188" t="n">
        <v>15.933</v>
      </c>
      <c r="U188" t="n">
        <v>57.4</v>
      </c>
      <c r="V188" t="n">
        <v>74</v>
      </c>
      <c r="W188" t="n">
        <v>4.644</v>
      </c>
      <c r="X188" t="n">
        <v>1</v>
      </c>
      <c r="Y188" t="n">
        <v>4</v>
      </c>
      <c r="Z188" t="n">
        <v>4</v>
      </c>
      <c r="AA188" t="n">
        <v>5</v>
      </c>
      <c r="AB188" t="n">
        <v>21</v>
      </c>
      <c r="AC188" t="n">
        <v>6</v>
      </c>
      <c r="AD188" t="n">
        <v>6</v>
      </c>
      <c r="AE188" t="n">
        <v>0</v>
      </c>
      <c r="AF188" t="n">
        <v>334</v>
      </c>
      <c r="AG188" t="n">
        <v>321</v>
      </c>
      <c r="AH188" t="n">
        <v>-13</v>
      </c>
      <c r="AI188" t="n">
        <v>74</v>
      </c>
      <c r="AJ188" t="n">
        <v>0.081</v>
      </c>
      <c r="AK188" t="n">
        <v>0.08799999999999999</v>
      </c>
      <c r="AL188" t="n">
        <v>183</v>
      </c>
      <c r="AM188" t="n">
        <v>11.485</v>
      </c>
      <c r="AN188" t="n">
        <v>7</v>
      </c>
      <c r="AO188" t="n">
        <v>14</v>
      </c>
      <c r="AP188" t="n">
        <v>0.467</v>
      </c>
      <c r="AQ188" t="n">
        <v>0.6</v>
      </c>
      <c r="AR188" t="n">
        <v>0.467</v>
      </c>
      <c r="AS188" t="n">
        <v>0.395</v>
      </c>
      <c r="AT188" t="n">
        <v>0.6</v>
      </c>
      <c r="AU188" t="n">
        <v>16</v>
      </c>
      <c r="AV188" t="n">
        <v>1</v>
      </c>
      <c r="AW188" t="n">
        <v>2.82</v>
      </c>
      <c r="AX188" t="n">
        <v>11</v>
      </c>
      <c r="AY188" t="n">
        <v>0.82</v>
      </c>
      <c r="AZ188" t="n">
        <v>0.75</v>
      </c>
      <c r="BA188" t="n">
        <v>0.785</v>
      </c>
      <c r="BB188" t="n">
        <v>0.75</v>
      </c>
      <c r="BC188" t="n">
        <v>0.051</v>
      </c>
      <c r="BD188" t="n">
        <v>0.047</v>
      </c>
      <c r="BE188" t="n">
        <v>0.049</v>
      </c>
      <c r="BF188" t="n">
        <v>1.2</v>
      </c>
      <c r="BG188" t="n">
        <v>0.075</v>
      </c>
      <c r="BH188" t="n">
        <v>1.014</v>
      </c>
      <c r="BI188" t="n">
        <v>5.8</v>
      </c>
      <c r="BJ188" t="n">
        <v>0.832</v>
      </c>
      <c r="BK188" t="n">
        <v>0.052</v>
      </c>
      <c r="BL188" t="n">
        <v>0.215</v>
      </c>
      <c r="BM188" t="n">
        <v>0.38</v>
      </c>
      <c r="BN188" t="n">
        <v>-0.2</v>
      </c>
      <c r="BO188" t="n">
        <v>0.07000000000000001</v>
      </c>
      <c r="BP188" t="n">
        <v>12</v>
      </c>
      <c r="BQ188" t="n">
        <v>3</v>
      </c>
      <c r="BR188" t="n">
        <v>1</v>
      </c>
      <c r="BS188" t="n">
        <v>22</v>
      </c>
      <c r="BT188" t="n">
        <v>1.381</v>
      </c>
      <c r="BV188" t="n">
        <v>1</v>
      </c>
      <c r="BW188" t="n">
        <v>2.27</v>
      </c>
      <c r="BX188" t="n">
        <v>3.811</v>
      </c>
      <c r="BY188" t="n">
        <v>3.041</v>
      </c>
      <c r="BZ188" t="n">
        <v>0.191</v>
      </c>
      <c r="CA188" t="n">
        <v>3.825</v>
      </c>
      <c r="CB188" t="n">
        <v>0.24</v>
      </c>
      <c r="CC188" t="n">
        <v>21</v>
      </c>
      <c r="CD188" t="n">
        <v>7</v>
      </c>
      <c r="CE188" t="n">
        <v>21</v>
      </c>
      <c r="CF188" t="n">
        <v>19</v>
      </c>
      <c r="CG188" t="n">
        <v>1</v>
      </c>
      <c r="CH188" t="n">
        <v>37</v>
      </c>
      <c r="CI188" t="n">
        <v>6.326</v>
      </c>
      <c r="CJ188" t="n">
        <v>3.633</v>
      </c>
      <c r="CK188" t="n">
        <v>71</v>
      </c>
      <c r="CL188" t="n">
        <v>85</v>
      </c>
      <c r="CM188" t="n">
        <v>27</v>
      </c>
      <c r="CN188" t="n">
        <v>16</v>
      </c>
      <c r="CO188" t="n">
        <v>30</v>
      </c>
      <c r="CP188" t="n">
        <v>34</v>
      </c>
      <c r="CQ188" t="n">
        <v>8</v>
      </c>
      <c r="CR188" t="n">
        <v>66</v>
      </c>
      <c r="CS188" t="n">
        <v>23</v>
      </c>
      <c r="CT188" t="n">
        <v>0.4</v>
      </c>
      <c r="CU188" t="n">
        <v>1</v>
      </c>
      <c r="CW188" t="n">
        <v>26.62</v>
      </c>
      <c r="CX188" t="n">
        <v>1.671</v>
      </c>
      <c r="CY188" t="n">
        <v>0</v>
      </c>
      <c r="DB188" t="n">
        <v>0</v>
      </c>
      <c r="DE188" t="n">
        <v>6.95</v>
      </c>
      <c r="DF188" t="n">
        <v>8</v>
      </c>
      <c r="DG188" t="n">
        <v>0</v>
      </c>
      <c r="DH188" t="n">
        <v>20</v>
      </c>
      <c r="DI188" t="n">
        <v>13</v>
      </c>
      <c r="DL188" t="n">
        <v>5</v>
      </c>
      <c r="DM188" t="n">
        <v>6</v>
      </c>
      <c r="DO188" t="n">
        <v>0.1</v>
      </c>
      <c r="DP188" t="n">
        <v>40.93</v>
      </c>
      <c r="DQ188" t="n">
        <v>20.83</v>
      </c>
      <c r="DR188" t="n">
        <v>41.66</v>
      </c>
      <c r="DS188" t="n">
        <v>-0.73</v>
      </c>
      <c r="DT188" t="n">
        <v>780</v>
      </c>
      <c r="DU188" t="n">
        <v>20.52</v>
      </c>
      <c r="DV188" t="inlineStr">
        <is>
          <t>fade (losing his place)</t>
        </is>
      </c>
      <c r="DW188" t="n">
        <v>108.27</v>
      </c>
      <c r="EB188" t="n">
        <v>13.11</v>
      </c>
      <c r="EC188" t="n">
        <v>99</v>
      </c>
      <c r="ED188" t="n">
        <v>117.54</v>
      </c>
      <c r="EE188" t="n">
        <v>2</v>
      </c>
      <c r="EF188" t="b">
        <v>0</v>
      </c>
      <c r="EG188" t="n">
        <v>0</v>
      </c>
      <c r="EH188" t="n">
        <v>0</v>
      </c>
      <c r="EI188" t="n">
        <v>260</v>
      </c>
      <c r="EJ188" t="n">
        <v>119.5</v>
      </c>
      <c r="EK188" t="n">
        <v>65.2</v>
      </c>
      <c r="EL188" t="n">
        <v>68.3</v>
      </c>
      <c r="EM188" t="n">
        <v>1826.9</v>
      </c>
      <c r="EN188" t="n">
        <v>471.6</v>
      </c>
      <c r="EO188" t="n">
        <v>374.9</v>
      </c>
      <c r="EP188" t="n">
        <v>19.4</v>
      </c>
    </row>
    <row r="189">
      <c r="A189" t="inlineStr">
        <is>
          <t>Joelinton</t>
        </is>
      </c>
      <c r="B189" t="inlineStr">
        <is>
          <t>NEW</t>
        </is>
      </c>
      <c r="C189" t="inlineStr">
        <is>
          <t>MID</t>
        </is>
      </c>
      <c r="D189" t="inlineStr">
        <is>
          <t>MID</t>
        </is>
      </c>
      <c r="E189" t="n">
        <v>5.5</v>
      </c>
      <c r="F189" t="b">
        <v>1</v>
      </c>
      <c r="G189" t="b">
        <v>1</v>
      </c>
      <c r="H189" t="n">
        <v>30</v>
      </c>
      <c r="I189" t="inlineStr">
        <is>
          <t>a</t>
        </is>
      </c>
      <c r="K189" t="n">
        <v>100</v>
      </c>
      <c r="L189" t="inlineStr">
        <is>
          <t>p180974</t>
        </is>
      </c>
      <c r="M189" t="n">
        <v>458</v>
      </c>
      <c r="Q189" t="n">
        <v>1950</v>
      </c>
      <c r="R189" t="n">
        <v>27</v>
      </c>
      <c r="S189" t="n">
        <v>23</v>
      </c>
      <c r="T189" t="n">
        <v>21.667</v>
      </c>
      <c r="U189" t="n">
        <v>72.2</v>
      </c>
      <c r="V189" t="n">
        <v>73</v>
      </c>
      <c r="W189" t="n">
        <v>3.369</v>
      </c>
      <c r="X189" t="n">
        <v>2</v>
      </c>
      <c r="Y189" t="n">
        <v>1</v>
      </c>
      <c r="Z189" t="n">
        <v>1</v>
      </c>
      <c r="AA189" t="n">
        <v>5</v>
      </c>
      <c r="AB189" t="n">
        <v>27</v>
      </c>
      <c r="AC189" t="n">
        <v>2</v>
      </c>
      <c r="AD189" t="n">
        <v>2</v>
      </c>
      <c r="AE189" t="n">
        <v>0</v>
      </c>
      <c r="AF189" t="n">
        <v>304</v>
      </c>
      <c r="AG189" t="n">
        <v>294</v>
      </c>
      <c r="AH189" t="n">
        <v>-10</v>
      </c>
      <c r="AI189" t="n">
        <v>73</v>
      </c>
      <c r="AJ189" t="n">
        <v>0.027</v>
      </c>
      <c r="AK189" t="n">
        <v>0.028</v>
      </c>
      <c r="AL189" t="n">
        <v>238</v>
      </c>
      <c r="AM189" t="n">
        <v>10.985</v>
      </c>
      <c r="AN189" t="n">
        <v>8</v>
      </c>
      <c r="AO189" t="n">
        <v>16</v>
      </c>
      <c r="AP189" t="n">
        <v>0.348</v>
      </c>
      <c r="AQ189" t="n">
        <v>0.5649999999999999</v>
      </c>
      <c r="AR189" t="n">
        <v>0.348</v>
      </c>
      <c r="AS189" t="n">
        <v>0.605</v>
      </c>
      <c r="AT189" t="n">
        <v>0.741</v>
      </c>
      <c r="AU189" t="n">
        <v>14</v>
      </c>
      <c r="AV189" t="n">
        <v>0</v>
      </c>
      <c r="AW189" t="n">
        <v>2.12</v>
      </c>
      <c r="AX189" t="n">
        <v>8</v>
      </c>
      <c r="AY189" t="n">
        <v>2.36</v>
      </c>
      <c r="AZ189" t="n">
        <v>2.179</v>
      </c>
      <c r="BA189" t="n">
        <v>2.269</v>
      </c>
      <c r="BB189" t="n">
        <v>2.179</v>
      </c>
      <c r="BC189" t="n">
        <v>0.109</v>
      </c>
      <c r="BD189" t="n">
        <v>0.101</v>
      </c>
      <c r="BE189" t="n">
        <v>0.105</v>
      </c>
      <c r="BF189" t="n">
        <v>4.2</v>
      </c>
      <c r="BG189" t="n">
        <v>0.194</v>
      </c>
      <c r="BH189" t="n">
        <v>0.986</v>
      </c>
      <c r="BI189" t="n">
        <v>16.03</v>
      </c>
      <c r="BJ189" t="n">
        <v>2.328</v>
      </c>
      <c r="BK189" t="n">
        <v>0.107</v>
      </c>
      <c r="BL189" t="n">
        <v>-0.269</v>
      </c>
      <c r="BM189" t="n">
        <v>1.84</v>
      </c>
      <c r="BN189" t="n">
        <v>-2.2</v>
      </c>
      <c r="BO189" t="n">
        <v>0.181</v>
      </c>
      <c r="BP189" t="n">
        <v>32</v>
      </c>
      <c r="BQ189" t="n">
        <v>11</v>
      </c>
      <c r="BR189" t="n">
        <v>1</v>
      </c>
      <c r="BS189" t="n">
        <v>55</v>
      </c>
      <c r="BT189" t="n">
        <v>2.538</v>
      </c>
      <c r="BV189" t="n">
        <v>1</v>
      </c>
      <c r="BW189" t="n">
        <v>1.35</v>
      </c>
      <c r="BX189" t="n">
        <v>1.861</v>
      </c>
      <c r="BY189" t="n">
        <v>1.606</v>
      </c>
      <c r="BZ189" t="n">
        <v>0.074</v>
      </c>
      <c r="CA189" t="n">
        <v>3.875</v>
      </c>
      <c r="CB189" t="n">
        <v>0.179</v>
      </c>
      <c r="CC189" t="n">
        <v>17</v>
      </c>
      <c r="CD189" t="n">
        <v>3</v>
      </c>
      <c r="CE189" t="n">
        <v>17</v>
      </c>
      <c r="CF189" t="n">
        <v>2</v>
      </c>
      <c r="CI189" t="n">
        <v>10.019</v>
      </c>
      <c r="CJ189" t="n">
        <v>7.25</v>
      </c>
      <c r="CK189" t="n">
        <v>73</v>
      </c>
      <c r="CL189" t="n">
        <v>122</v>
      </c>
      <c r="CM189" t="n">
        <v>43</v>
      </c>
      <c r="CN189" t="n">
        <v>24</v>
      </c>
      <c r="CO189" t="n">
        <v>30</v>
      </c>
      <c r="CP189" t="n">
        <v>40</v>
      </c>
      <c r="CQ189" t="n">
        <v>3</v>
      </c>
      <c r="CR189" t="n">
        <v>149</v>
      </c>
      <c r="CS189" t="n">
        <v>63</v>
      </c>
      <c r="CT189" t="n">
        <v>0.5</v>
      </c>
      <c r="CV189" t="n">
        <v>2</v>
      </c>
      <c r="CW189" t="n">
        <v>28.75</v>
      </c>
      <c r="CX189" t="n">
        <v>1.327</v>
      </c>
      <c r="CY189" t="n">
        <v>0</v>
      </c>
      <c r="DB189" t="n">
        <v>0</v>
      </c>
      <c r="DE189" t="n">
        <v>6.95</v>
      </c>
      <c r="DF189" t="n">
        <v>10</v>
      </c>
      <c r="DG189" t="n">
        <v>0</v>
      </c>
      <c r="DH189" t="n">
        <v>47</v>
      </c>
      <c r="DI189" t="n">
        <v>27</v>
      </c>
      <c r="DL189" t="n">
        <v>16</v>
      </c>
      <c r="DM189" t="n">
        <v>26</v>
      </c>
      <c r="DN189" t="n">
        <v>1</v>
      </c>
      <c r="DO189" t="n">
        <v>0.1</v>
      </c>
      <c r="DP189" t="n">
        <v>64.08</v>
      </c>
      <c r="DQ189" t="n">
        <v>32.09</v>
      </c>
      <c r="DR189" t="n">
        <v>64.18000000000001</v>
      </c>
      <c r="DS189" t="n">
        <v>-0.1</v>
      </c>
      <c r="DT189" t="n">
        <v>1448</v>
      </c>
      <c r="DU189" t="n">
        <v>38.1</v>
      </c>
      <c r="DV189" t="inlineStr">
        <is>
          <t>flat</t>
        </is>
      </c>
      <c r="DW189" t="n">
        <v>82.09</v>
      </c>
      <c r="DX189" t="n">
        <v>79.75</v>
      </c>
      <c r="DY189" t="n">
        <v>80.2</v>
      </c>
      <c r="DZ189" t="n">
        <v>-1.89</v>
      </c>
      <c r="EA189" t="n">
        <v>28</v>
      </c>
      <c r="EB189" t="n">
        <v>17.57</v>
      </c>
      <c r="EC189" t="n">
        <v>40.89</v>
      </c>
      <c r="ED189" t="n">
        <v>106</v>
      </c>
      <c r="EE189" t="n">
        <v>34</v>
      </c>
      <c r="EF189" t="b">
        <v>1</v>
      </c>
      <c r="EG189" t="n">
        <v>0.8</v>
      </c>
      <c r="EH189" t="n">
        <v>12.8</v>
      </c>
      <c r="EI189" t="n">
        <v>157</v>
      </c>
      <c r="EJ189" t="n">
        <v>60.9</v>
      </c>
      <c r="EK189" t="n">
        <v>35.5</v>
      </c>
      <c r="EL189" t="n">
        <v>114.7</v>
      </c>
      <c r="EM189" t="n">
        <v>859.3</v>
      </c>
      <c r="EN189" t="n">
        <v>1214.4</v>
      </c>
      <c r="EO189" t="n">
        <v>503.2</v>
      </c>
      <c r="EP189" t="n">
        <v>26.7</v>
      </c>
    </row>
    <row r="190">
      <c r="A190" t="inlineStr">
        <is>
          <t>Kobbie Mainoo</t>
        </is>
      </c>
      <c r="B190" t="inlineStr">
        <is>
          <t>MUN</t>
        </is>
      </c>
      <c r="C190" t="inlineStr">
        <is>
          <t>MID</t>
        </is>
      </c>
      <c r="D190" t="inlineStr">
        <is>
          <t>MID</t>
        </is>
      </c>
      <c r="E190" t="n">
        <v>5.5</v>
      </c>
      <c r="F190" t="b">
        <v>1</v>
      </c>
      <c r="G190" t="b">
        <v>1</v>
      </c>
      <c r="H190" t="n">
        <v>21.3</v>
      </c>
      <c r="I190" t="inlineStr">
        <is>
          <t>a</t>
        </is>
      </c>
      <c r="L190" t="inlineStr">
        <is>
          <t>p516895</t>
        </is>
      </c>
      <c r="M190" t="n">
        <v>432</v>
      </c>
      <c r="Q190" t="n">
        <v>1653</v>
      </c>
      <c r="R190" t="n">
        <v>28</v>
      </c>
      <c r="S190" t="n">
        <v>16</v>
      </c>
      <c r="T190" t="n">
        <v>18.367</v>
      </c>
      <c r="U190" t="n">
        <v>59</v>
      </c>
      <c r="V190" t="n">
        <v>73</v>
      </c>
      <c r="W190" t="n">
        <v>3.975</v>
      </c>
      <c r="X190" t="n">
        <v>1</v>
      </c>
      <c r="Y190" t="n">
        <v>2</v>
      </c>
      <c r="Z190" t="n">
        <v>2</v>
      </c>
      <c r="AA190" t="n">
        <v>6</v>
      </c>
      <c r="AB190" t="n">
        <v>22</v>
      </c>
      <c r="AC190" t="n">
        <v>2</v>
      </c>
      <c r="AD190" t="n">
        <v>2</v>
      </c>
      <c r="AE190" t="n">
        <v>0</v>
      </c>
      <c r="AF190" t="n">
        <v>340</v>
      </c>
      <c r="AG190" t="n">
        <v>328</v>
      </c>
      <c r="AH190" t="n">
        <v>-12</v>
      </c>
      <c r="AI190" t="n">
        <v>73</v>
      </c>
      <c r="AJ190" t="n">
        <v>0.027</v>
      </c>
      <c r="AK190" t="n">
        <v>0.028</v>
      </c>
      <c r="AL190" t="n">
        <v>187</v>
      </c>
      <c r="AM190" t="n">
        <v>10.181</v>
      </c>
      <c r="AN190" t="n">
        <v>6</v>
      </c>
      <c r="AO190" t="n">
        <v>12</v>
      </c>
      <c r="AP190" t="n">
        <v>0.375</v>
      </c>
      <c r="AQ190" t="n">
        <v>0.5620000000000001</v>
      </c>
      <c r="AR190" t="n">
        <v>0.375</v>
      </c>
      <c r="AS190" t="n">
        <v>0.421</v>
      </c>
      <c r="AT190" t="n">
        <v>0.571</v>
      </c>
      <c r="AU190" t="n">
        <v>17</v>
      </c>
      <c r="AV190" t="n">
        <v>0</v>
      </c>
      <c r="AW190" t="n">
        <v>2.06</v>
      </c>
      <c r="AX190" t="n">
        <v>9</v>
      </c>
      <c r="AY190" t="n">
        <v>0.48</v>
      </c>
      <c r="AZ190" t="n">
        <v>0.517</v>
      </c>
      <c r="BA190" t="n">
        <v>0.499</v>
      </c>
      <c r="BB190" t="n">
        <v>0.517</v>
      </c>
      <c r="BC190" t="n">
        <v>0.026</v>
      </c>
      <c r="BD190" t="n">
        <v>0.028</v>
      </c>
      <c r="BE190" t="n">
        <v>0.027</v>
      </c>
      <c r="BF190" t="n">
        <v>0.3</v>
      </c>
      <c r="BG190" t="n">
        <v>0.016</v>
      </c>
      <c r="BH190" t="n">
        <v>0.981</v>
      </c>
      <c r="BI190" t="n">
        <v>2.19</v>
      </c>
      <c r="BJ190" t="n">
        <v>0.471</v>
      </c>
      <c r="BK190" t="n">
        <v>0.026</v>
      </c>
      <c r="BL190" t="n">
        <v>0.501</v>
      </c>
      <c r="BM190" t="n">
        <v>-0.18</v>
      </c>
      <c r="BN190" t="n">
        <v>0.7</v>
      </c>
      <c r="BO190" t="n">
        <v>-0.037</v>
      </c>
      <c r="BP190" t="n">
        <v>13</v>
      </c>
      <c r="BQ190" t="n">
        <v>3</v>
      </c>
      <c r="BS190" t="n">
        <v>28</v>
      </c>
      <c r="BT190" t="n">
        <v>1.525</v>
      </c>
      <c r="BW190" t="n">
        <v>1.27</v>
      </c>
      <c r="BX190" t="n">
        <v>1.19</v>
      </c>
      <c r="BY190" t="n">
        <v>1.23</v>
      </c>
      <c r="BZ190" t="n">
        <v>0.067</v>
      </c>
      <c r="CA190" t="n">
        <v>1.729</v>
      </c>
      <c r="CB190" t="n">
        <v>0.094</v>
      </c>
      <c r="CC190" t="n">
        <v>22</v>
      </c>
      <c r="CD190" t="n">
        <v>1</v>
      </c>
      <c r="CE190" t="n">
        <v>22</v>
      </c>
      <c r="CF190" t="n">
        <v>4</v>
      </c>
      <c r="CG190" t="n">
        <v>1</v>
      </c>
      <c r="CH190" t="n">
        <v>1</v>
      </c>
      <c r="CI190" t="n">
        <v>10.353</v>
      </c>
      <c r="CJ190" t="n">
        <v>9.776999999999999</v>
      </c>
      <c r="CK190" t="n">
        <v>56</v>
      </c>
      <c r="CL190" t="n">
        <v>95</v>
      </c>
      <c r="CM190" t="n">
        <v>36</v>
      </c>
      <c r="CN190" t="n">
        <v>20</v>
      </c>
      <c r="CO190" t="n">
        <v>20</v>
      </c>
      <c r="CP190" t="n">
        <v>25</v>
      </c>
      <c r="CQ190" t="n">
        <v>10</v>
      </c>
      <c r="CR190" t="n">
        <v>92</v>
      </c>
      <c r="CS190" t="n">
        <v>15</v>
      </c>
      <c r="CT190" t="n">
        <v>0.4</v>
      </c>
      <c r="CV190" t="n">
        <v>1</v>
      </c>
      <c r="CW190" t="n">
        <v>22.88</v>
      </c>
      <c r="CX190" t="n">
        <v>1.246</v>
      </c>
      <c r="CY190" t="n">
        <v>0</v>
      </c>
      <c r="DB190" t="n">
        <v>0</v>
      </c>
      <c r="DE190" t="n">
        <v>7.01</v>
      </c>
      <c r="DF190" t="n">
        <v>2</v>
      </c>
      <c r="DG190" t="n">
        <v>0</v>
      </c>
      <c r="DH190" t="n">
        <v>13</v>
      </c>
      <c r="DI190" t="n">
        <v>22</v>
      </c>
      <c r="DL190" t="n">
        <v>19</v>
      </c>
      <c r="DM190" t="n">
        <v>31</v>
      </c>
      <c r="DN190" t="n">
        <v>1</v>
      </c>
      <c r="DO190" t="n">
        <v>1.2</v>
      </c>
      <c r="DP190" t="n">
        <v>40.12</v>
      </c>
      <c r="DQ190" t="n">
        <v>20.04</v>
      </c>
      <c r="DR190" t="n">
        <v>40.08</v>
      </c>
      <c r="DS190" t="n">
        <v>0.04</v>
      </c>
      <c r="DT190" t="n">
        <v>691</v>
      </c>
      <c r="DU190" t="n">
        <v>18.18</v>
      </c>
      <c r="DV190" t="inlineStr">
        <is>
          <t>flat</t>
        </is>
      </c>
      <c r="DW190" t="n">
        <v>71.58</v>
      </c>
      <c r="DX190" t="n">
        <v>75.09</v>
      </c>
      <c r="DY190" t="n">
        <v>72.33</v>
      </c>
      <c r="DZ190" t="n">
        <v>0.74</v>
      </c>
      <c r="EA190" t="n">
        <v>170</v>
      </c>
      <c r="EB190" t="n">
        <v>25.6</v>
      </c>
      <c r="EC190" t="n">
        <v>3.08</v>
      </c>
      <c r="ED190" t="n">
        <v>119.27</v>
      </c>
      <c r="EE190" t="n">
        <v>348</v>
      </c>
      <c r="EF190" t="b">
        <v>1</v>
      </c>
      <c r="EG190" t="n">
        <v>8.1</v>
      </c>
      <c r="EH190" t="n">
        <v>11.5</v>
      </c>
      <c r="EI190" t="n">
        <v>156</v>
      </c>
      <c r="EJ190" t="n">
        <v>127.2</v>
      </c>
      <c r="EK190" t="n">
        <v>59</v>
      </c>
      <c r="EL190" t="n">
        <v>75.09999999999999</v>
      </c>
      <c r="EM190" t="n">
        <v>3314.4</v>
      </c>
      <c r="EN190" t="n">
        <v>1343.9</v>
      </c>
      <c r="EO190" t="n">
        <v>956.2</v>
      </c>
      <c r="EP190" t="n">
        <v>22.6</v>
      </c>
    </row>
    <row r="191">
      <c r="A191" t="inlineStr">
        <is>
          <t>Lukas Nmecha</t>
        </is>
      </c>
      <c r="B191" t="inlineStr">
        <is>
          <t>LEE</t>
        </is>
      </c>
      <c r="C191" t="inlineStr">
        <is>
          <t>FWD</t>
        </is>
      </c>
      <c r="D191" t="inlineStr">
        <is>
          <t>FWD</t>
        </is>
      </c>
      <c r="E191" t="n">
        <v>5.5</v>
      </c>
      <c r="F191" t="b">
        <v>1</v>
      </c>
      <c r="G191" t="b">
        <v>1</v>
      </c>
      <c r="H191" t="n">
        <v>27.7</v>
      </c>
      <c r="I191" t="inlineStr">
        <is>
          <t>a</t>
        </is>
      </c>
      <c r="L191" t="inlineStr">
        <is>
          <t>p174594</t>
        </is>
      </c>
      <c r="M191" t="n">
        <v>347</v>
      </c>
      <c r="N191" t="n">
        <v>2</v>
      </c>
      <c r="Q191" t="n">
        <v>1065</v>
      </c>
      <c r="R191" t="n">
        <v>31</v>
      </c>
      <c r="S191" t="n">
        <v>10</v>
      </c>
      <c r="T191" t="n">
        <v>11.833</v>
      </c>
      <c r="U191" t="n">
        <v>34.4</v>
      </c>
      <c r="V191" t="n">
        <v>73</v>
      </c>
      <c r="W191" t="n">
        <v>6.169</v>
      </c>
      <c r="X191" t="n">
        <v>6</v>
      </c>
      <c r="Y191" t="n">
        <v>1</v>
      </c>
      <c r="Z191" t="n">
        <v>1</v>
      </c>
      <c r="AA191" t="n">
        <v>3</v>
      </c>
      <c r="AB191" t="n">
        <v>23</v>
      </c>
      <c r="AC191" t="n">
        <v>8</v>
      </c>
      <c r="AD191" t="n">
        <v>8</v>
      </c>
      <c r="AE191" t="n">
        <v>0</v>
      </c>
      <c r="AF191" t="n">
        <v>268</v>
      </c>
      <c r="AG191" t="n">
        <v>266</v>
      </c>
      <c r="AH191" t="n">
        <v>-2</v>
      </c>
      <c r="AI191" t="n">
        <v>73</v>
      </c>
      <c r="AJ191" t="n">
        <v>0.11</v>
      </c>
      <c r="AK191" t="n">
        <v>0.123</v>
      </c>
      <c r="AL191" t="n">
        <v>57</v>
      </c>
      <c r="AM191" t="n">
        <v>4.817</v>
      </c>
      <c r="AN191" t="n">
        <v>0</v>
      </c>
      <c r="AO191" t="n">
        <v>0</v>
      </c>
      <c r="AP191" t="n">
        <v>0</v>
      </c>
      <c r="AQ191" t="n">
        <v>0</v>
      </c>
      <c r="AR191" t="n">
        <v>0</v>
      </c>
      <c r="AS191" t="n">
        <v>0.263</v>
      </c>
      <c r="AT191" t="n">
        <v>0.29</v>
      </c>
      <c r="AU191" t="n">
        <v>25</v>
      </c>
      <c r="AV191" t="n">
        <v>1</v>
      </c>
      <c r="AW191" t="n">
        <v>2.54</v>
      </c>
      <c r="AX191" t="n">
        <v>11</v>
      </c>
      <c r="AY191" t="n">
        <v>7.25</v>
      </c>
      <c r="AZ191" t="n">
        <v>8.140000000000001</v>
      </c>
      <c r="BA191" t="n">
        <v>7.695</v>
      </c>
      <c r="BB191" t="n">
        <v>5.857</v>
      </c>
      <c r="BC191" t="n">
        <v>0.613</v>
      </c>
      <c r="BD191" t="n">
        <v>0.6879999999999999</v>
      </c>
      <c r="BE191" t="n">
        <v>0.65</v>
      </c>
      <c r="BF191" t="n">
        <v>8</v>
      </c>
      <c r="BG191" t="n">
        <v>0.676</v>
      </c>
      <c r="BH191" t="n">
        <v>1.049</v>
      </c>
      <c r="BI191" t="n">
        <v>7.25</v>
      </c>
      <c r="BJ191" t="n">
        <v>7.607</v>
      </c>
      <c r="BK191" t="n">
        <v>0.643</v>
      </c>
      <c r="BL191" t="n">
        <v>-1.695</v>
      </c>
      <c r="BM191" t="n">
        <v>0.75</v>
      </c>
      <c r="BN191" t="n">
        <v>-2</v>
      </c>
      <c r="BO191" t="n">
        <v>-0.89</v>
      </c>
      <c r="BP191" t="n">
        <v>30</v>
      </c>
      <c r="BQ191" t="n">
        <v>16</v>
      </c>
      <c r="BR191" t="n">
        <v>7</v>
      </c>
      <c r="BS191" t="n">
        <v>64</v>
      </c>
      <c r="BT191" t="n">
        <v>5.408</v>
      </c>
      <c r="BU191" t="n">
        <v>2</v>
      </c>
      <c r="BW191" t="n">
        <v>1.58</v>
      </c>
      <c r="BX191" t="n">
        <v>1.685</v>
      </c>
      <c r="BY191" t="n">
        <v>1.632</v>
      </c>
      <c r="BZ191" t="n">
        <v>0.138</v>
      </c>
      <c r="CA191" t="n">
        <v>9.327</v>
      </c>
      <c r="CB191" t="n">
        <v>0.788</v>
      </c>
      <c r="CC191" t="n">
        <v>11</v>
      </c>
      <c r="CD191" t="n">
        <v>2</v>
      </c>
      <c r="CE191" t="n">
        <v>11</v>
      </c>
      <c r="CI191" t="n">
        <v>6.961</v>
      </c>
      <c r="CJ191" t="n">
        <v>1.467</v>
      </c>
      <c r="CK191" t="n">
        <v>15</v>
      </c>
      <c r="CL191" t="n">
        <v>30</v>
      </c>
      <c r="CM191" t="n">
        <v>12</v>
      </c>
      <c r="CN191" t="n">
        <v>7</v>
      </c>
      <c r="CO191" t="n">
        <v>3</v>
      </c>
      <c r="CP191" t="n">
        <v>11</v>
      </c>
      <c r="CQ191" t="n">
        <v>1</v>
      </c>
      <c r="CR191" t="n">
        <v>67</v>
      </c>
      <c r="CS191" t="n">
        <v>32</v>
      </c>
      <c r="CT191" t="n">
        <v>0.6</v>
      </c>
      <c r="CW191" t="n">
        <v>21.84</v>
      </c>
      <c r="CX191" t="n">
        <v>1.846</v>
      </c>
      <c r="CY191" t="n">
        <v>0</v>
      </c>
      <c r="DB191" t="n">
        <v>0</v>
      </c>
      <c r="DE191" t="n">
        <v>6.42</v>
      </c>
      <c r="DF191" t="n">
        <v>0</v>
      </c>
      <c r="DG191" t="n">
        <v>0</v>
      </c>
      <c r="DH191" t="n">
        <v>18</v>
      </c>
      <c r="DI191" t="n">
        <v>18</v>
      </c>
      <c r="DL191" t="n">
        <v>7</v>
      </c>
      <c r="DM191" t="n">
        <v>18</v>
      </c>
      <c r="DN191" t="n">
        <v>3</v>
      </c>
      <c r="DO191" t="n">
        <v>0.6</v>
      </c>
      <c r="DP191" t="n">
        <v>40.77</v>
      </c>
      <c r="DQ191" t="n">
        <v>20.45</v>
      </c>
      <c r="DR191" t="n">
        <v>40.9</v>
      </c>
      <c r="DS191" t="n">
        <v>-0.13</v>
      </c>
      <c r="DT191" t="n">
        <v>268</v>
      </c>
      <c r="DU191" t="n">
        <v>7.06</v>
      </c>
      <c r="DV191" t="inlineStr">
        <is>
          <t>flat</t>
        </is>
      </c>
      <c r="DW191" t="n">
        <v>93.06</v>
      </c>
      <c r="DX191" t="n">
        <v>94.02</v>
      </c>
      <c r="DY191" t="n">
        <v>93.98999999999999</v>
      </c>
      <c r="DZ191" t="n">
        <v>0.93</v>
      </c>
      <c r="EA191" t="n">
        <v>317</v>
      </c>
      <c r="EB191" t="n">
        <v>19.14</v>
      </c>
      <c r="EC191" t="n">
        <v>20</v>
      </c>
      <c r="ED191" t="n">
        <v>120</v>
      </c>
      <c r="EE191" t="n">
        <v>560</v>
      </c>
      <c r="EF191" t="b">
        <v>1</v>
      </c>
      <c r="EG191" t="n">
        <v>13.7</v>
      </c>
      <c r="EH191" t="n">
        <v>15.9</v>
      </c>
      <c r="EI191" t="n">
        <v>155</v>
      </c>
      <c r="EJ191" t="n">
        <v>35.5</v>
      </c>
      <c r="EK191" t="n">
        <v>16.6</v>
      </c>
      <c r="EL191" t="n">
        <v>96.8</v>
      </c>
      <c r="EM191" t="n">
        <v>138.4</v>
      </c>
      <c r="EN191" t="n">
        <v>652.5</v>
      </c>
      <c r="EO191" t="n">
        <v>114.2</v>
      </c>
      <c r="EP191" t="n">
        <v>14.6</v>
      </c>
    </row>
    <row r="192">
      <c r="A192" t="inlineStr">
        <is>
          <t>Noni Madueke</t>
        </is>
      </c>
      <c r="B192" t="inlineStr">
        <is>
          <t>ARS</t>
        </is>
      </c>
      <c r="C192" t="inlineStr">
        <is>
          <t>MID</t>
        </is>
      </c>
      <c r="D192" t="inlineStr">
        <is>
          <t>MID</t>
        </is>
      </c>
      <c r="E192" t="n">
        <v>6.5</v>
      </c>
      <c r="F192" t="b">
        <v>1</v>
      </c>
      <c r="G192" t="b">
        <v>1</v>
      </c>
      <c r="H192" t="n">
        <v>24.4</v>
      </c>
      <c r="I192" t="inlineStr">
        <is>
          <t>a</t>
        </is>
      </c>
      <c r="L192" t="inlineStr">
        <is>
          <t>p248857</t>
        </is>
      </c>
      <c r="M192" t="n">
        <v>16</v>
      </c>
      <c r="O192" t="n">
        <v>5</v>
      </c>
      <c r="Q192" t="n">
        <v>1205</v>
      </c>
      <c r="R192" t="n">
        <v>26</v>
      </c>
      <c r="S192" t="n">
        <v>16</v>
      </c>
      <c r="T192" t="n">
        <v>13.389</v>
      </c>
      <c r="U192" t="n">
        <v>46.3</v>
      </c>
      <c r="V192" t="n">
        <v>72</v>
      </c>
      <c r="W192" t="n">
        <v>5.378</v>
      </c>
      <c r="X192" t="n">
        <v>3</v>
      </c>
      <c r="Y192" t="n">
        <v>1</v>
      </c>
      <c r="Z192" t="n">
        <v>1</v>
      </c>
      <c r="AA192" t="n">
        <v>8</v>
      </c>
      <c r="AB192" t="n">
        <v>9</v>
      </c>
      <c r="AC192" t="n">
        <v>9</v>
      </c>
      <c r="AD192" t="n">
        <v>9</v>
      </c>
      <c r="AE192" t="n">
        <v>0</v>
      </c>
      <c r="AF192" t="n">
        <v>254</v>
      </c>
      <c r="AG192" t="n">
        <v>250</v>
      </c>
      <c r="AH192" t="n">
        <v>-4</v>
      </c>
      <c r="AI192" t="n">
        <v>72</v>
      </c>
      <c r="AJ192" t="n">
        <v>0.125</v>
      </c>
      <c r="AK192" t="n">
        <v>0.143</v>
      </c>
      <c r="AL192" t="n">
        <v>70</v>
      </c>
      <c r="AM192" t="n">
        <v>5.228</v>
      </c>
      <c r="AN192" t="n">
        <v>0</v>
      </c>
      <c r="AO192" t="n">
        <v>0</v>
      </c>
      <c r="AP192" t="n">
        <v>0</v>
      </c>
      <c r="AQ192" t="n">
        <v>0</v>
      </c>
      <c r="AR192" t="n">
        <v>0</v>
      </c>
      <c r="AS192" t="n">
        <v>0.421</v>
      </c>
      <c r="AT192" t="n">
        <v>0.423</v>
      </c>
      <c r="AU192" t="n">
        <v>18</v>
      </c>
      <c r="AV192" t="n">
        <v>3</v>
      </c>
      <c r="AW192" t="n">
        <v>3.18</v>
      </c>
      <c r="AX192" t="n">
        <v>14</v>
      </c>
      <c r="AY192" t="n">
        <v>1.23</v>
      </c>
      <c r="AZ192" t="n">
        <v>1.996</v>
      </c>
      <c r="BA192" t="n">
        <v>1.613</v>
      </c>
      <c r="BB192" t="n">
        <v>1.996</v>
      </c>
      <c r="BC192" t="n">
        <v>0.092</v>
      </c>
      <c r="BD192" t="n">
        <v>0.149</v>
      </c>
      <c r="BE192" t="n">
        <v>0.12</v>
      </c>
      <c r="BF192" t="n">
        <v>2.1</v>
      </c>
      <c r="BG192" t="n">
        <v>0.157</v>
      </c>
      <c r="BH192" t="n">
        <v>1.069</v>
      </c>
      <c r="BI192" t="n">
        <v>14.26</v>
      </c>
      <c r="BJ192" t="n">
        <v>1.315</v>
      </c>
      <c r="BK192" t="n">
        <v>0.098</v>
      </c>
      <c r="BL192" t="n">
        <v>1.387</v>
      </c>
      <c r="BM192" t="n">
        <v>0.87</v>
      </c>
      <c r="BN192" t="n">
        <v>0.9</v>
      </c>
      <c r="BO192" t="n">
        <v>-0.766</v>
      </c>
      <c r="BP192" t="n">
        <v>26</v>
      </c>
      <c r="BQ192" t="n">
        <v>10</v>
      </c>
      <c r="BR192" t="n">
        <v>2</v>
      </c>
      <c r="BS192" t="n">
        <v>115</v>
      </c>
      <c r="BT192" t="n">
        <v>8.589</v>
      </c>
      <c r="BV192" t="n">
        <v>1</v>
      </c>
      <c r="BW192" t="n">
        <v>2.86</v>
      </c>
      <c r="BX192" t="n">
        <v>4.011</v>
      </c>
      <c r="BY192" t="n">
        <v>3.435</v>
      </c>
      <c r="BZ192" t="n">
        <v>0.257</v>
      </c>
      <c r="CA192" t="n">
        <v>5.049</v>
      </c>
      <c r="CB192" t="n">
        <v>0.377</v>
      </c>
      <c r="CC192" t="n">
        <v>22</v>
      </c>
      <c r="CD192" t="n">
        <v>7</v>
      </c>
      <c r="CE192" t="n">
        <v>22</v>
      </c>
      <c r="CF192" t="n">
        <v>16</v>
      </c>
      <c r="CG192" t="n">
        <v>1</v>
      </c>
      <c r="CH192" t="n">
        <v>38</v>
      </c>
      <c r="CI192" t="n">
        <v>6.728</v>
      </c>
      <c r="CJ192" t="n">
        <v>3.294</v>
      </c>
      <c r="CK192" t="n">
        <v>14</v>
      </c>
      <c r="CL192" t="n">
        <v>35</v>
      </c>
      <c r="CM192" t="n">
        <v>21</v>
      </c>
      <c r="CN192" t="n">
        <v>10</v>
      </c>
      <c r="CO192" t="n">
        <v>5</v>
      </c>
      <c r="CP192" t="n">
        <v>8</v>
      </c>
      <c r="CQ192" t="n">
        <v>1</v>
      </c>
      <c r="CR192" t="n">
        <v>75</v>
      </c>
      <c r="CS192" t="n">
        <v>10</v>
      </c>
      <c r="CT192" t="n">
        <v>0.7</v>
      </c>
      <c r="CW192" t="n">
        <v>12.77</v>
      </c>
      <c r="CX192" t="n">
        <v>0.954</v>
      </c>
      <c r="CY192" t="n">
        <v>0</v>
      </c>
      <c r="DB192" t="n">
        <v>0</v>
      </c>
      <c r="DE192" t="n">
        <v>6.72</v>
      </c>
      <c r="DF192" t="n">
        <v>0</v>
      </c>
      <c r="DG192" t="n">
        <v>0</v>
      </c>
      <c r="DH192" t="n">
        <v>15</v>
      </c>
      <c r="DI192" t="n">
        <v>15</v>
      </c>
      <c r="DL192" t="n">
        <v>29</v>
      </c>
      <c r="DM192" t="n">
        <v>17</v>
      </c>
      <c r="DN192" t="n">
        <v>4</v>
      </c>
      <c r="DO192" t="n">
        <v>0.3</v>
      </c>
      <c r="DP192" t="n">
        <v>39.07</v>
      </c>
      <c r="DQ192" t="n">
        <v>20.21</v>
      </c>
      <c r="DR192" t="n">
        <v>40.42</v>
      </c>
      <c r="DS192" t="n">
        <v>-1.35</v>
      </c>
      <c r="DT192" t="n">
        <v>600</v>
      </c>
      <c r="DU192" t="n">
        <v>15.78</v>
      </c>
      <c r="DV192" t="inlineStr">
        <is>
          <t>fade (losing his place)</t>
        </is>
      </c>
      <c r="DW192" t="n">
        <v>67.62</v>
      </c>
      <c r="DX192" t="n">
        <v>70.58</v>
      </c>
      <c r="DY192" t="n">
        <v>66.09999999999999</v>
      </c>
      <c r="DZ192" t="n">
        <v>-1.52</v>
      </c>
      <c r="EA192" t="n">
        <v>475</v>
      </c>
      <c r="EB192" t="n">
        <v>25.16</v>
      </c>
      <c r="EC192" t="n">
        <v>9</v>
      </c>
      <c r="ED192" t="n">
        <v>120</v>
      </c>
      <c r="EE192" t="n">
        <v>904</v>
      </c>
      <c r="EF192" t="b">
        <v>1</v>
      </c>
      <c r="EG192" t="n">
        <v>48.3</v>
      </c>
      <c r="EH192" t="n">
        <v>61.6</v>
      </c>
      <c r="EI192" t="n">
        <v>45</v>
      </c>
      <c r="EJ192" t="n">
        <v>46.3</v>
      </c>
      <c r="EK192" t="n">
        <v>10.5</v>
      </c>
      <c r="EL192" t="n">
        <v>54.8</v>
      </c>
      <c r="EM192" t="n">
        <v>747</v>
      </c>
      <c r="EN192" t="n">
        <v>350.8</v>
      </c>
      <c r="EO192" t="n">
        <v>238.7</v>
      </c>
      <c r="EP192" t="n">
        <v>16.7</v>
      </c>
    </row>
    <row r="193">
      <c r="A193" t="inlineStr">
        <is>
          <t>Jaydee Canvot</t>
        </is>
      </c>
      <c r="B193" t="inlineStr">
        <is>
          <t>CRY</t>
        </is>
      </c>
      <c r="C193" t="inlineStr">
        <is>
          <t>DEF</t>
        </is>
      </c>
      <c r="D193" t="inlineStr">
        <is>
          <t>DEF</t>
        </is>
      </c>
      <c r="E193" t="n">
        <v>5</v>
      </c>
      <c r="F193" t="b">
        <v>1</v>
      </c>
      <c r="G193" t="b">
        <v>1</v>
      </c>
      <c r="H193" t="n">
        <v>20.1</v>
      </c>
      <c r="I193" t="inlineStr">
        <is>
          <t>a</t>
        </is>
      </c>
      <c r="L193" t="inlineStr">
        <is>
          <t>p651426</t>
        </is>
      </c>
      <c r="M193" t="n">
        <v>203</v>
      </c>
      <c r="Q193" t="n">
        <v>1331</v>
      </c>
      <c r="R193" t="n">
        <v>20</v>
      </c>
      <c r="S193" t="n">
        <v>14</v>
      </c>
      <c r="T193" t="n">
        <v>14.789</v>
      </c>
      <c r="U193" t="n">
        <v>66.59999999999999</v>
      </c>
      <c r="V193" t="n">
        <v>72</v>
      </c>
      <c r="W193" t="n">
        <v>4.869</v>
      </c>
      <c r="X193" t="n">
        <v>0</v>
      </c>
      <c r="Y193" t="n">
        <v>0</v>
      </c>
      <c r="AA193" t="n">
        <v>5</v>
      </c>
      <c r="AB193" t="n">
        <v>23</v>
      </c>
      <c r="AC193" t="n">
        <v>9</v>
      </c>
      <c r="AD193" t="n">
        <v>7</v>
      </c>
      <c r="AE193" t="n">
        <v>-2</v>
      </c>
      <c r="AF193" t="n">
        <v>216</v>
      </c>
      <c r="AG193" t="n">
        <v>193</v>
      </c>
      <c r="AH193" t="n">
        <v>-23</v>
      </c>
      <c r="AI193" t="n">
        <v>70</v>
      </c>
      <c r="AJ193" t="n">
        <v>0.125</v>
      </c>
      <c r="AK193" t="n">
        <v>0.143</v>
      </c>
      <c r="AL193" t="n">
        <v>169</v>
      </c>
      <c r="AM193" t="n">
        <v>11.427</v>
      </c>
      <c r="AN193" t="n">
        <v>10</v>
      </c>
      <c r="AO193" t="n">
        <v>20</v>
      </c>
      <c r="AP193" t="n">
        <v>0.714</v>
      </c>
      <c r="AQ193" t="n">
        <v>0.714</v>
      </c>
      <c r="AR193" t="n">
        <v>0.5</v>
      </c>
      <c r="AS193" t="n">
        <v>0.368</v>
      </c>
      <c r="AT193" t="n">
        <v>0.7</v>
      </c>
      <c r="AU193" t="n">
        <v>10</v>
      </c>
      <c r="AV193" t="n">
        <v>4</v>
      </c>
      <c r="AW193" t="n">
        <v>3.27</v>
      </c>
      <c r="AX193" t="n">
        <v>11</v>
      </c>
      <c r="AY193" t="n">
        <v>1.48</v>
      </c>
      <c r="AZ193" t="n">
        <v>1.566</v>
      </c>
      <c r="BA193" t="n">
        <v>1.523</v>
      </c>
      <c r="BB193" t="n">
        <v>1.566</v>
      </c>
      <c r="BC193" t="n">
        <v>0.1</v>
      </c>
      <c r="BD193" t="n">
        <v>0.106</v>
      </c>
      <c r="BE193" t="n">
        <v>0.103</v>
      </c>
      <c r="BF193" t="n">
        <v>0.3</v>
      </c>
      <c r="BG193" t="n">
        <v>0.02</v>
      </c>
      <c r="BH193" t="n">
        <v>0.876</v>
      </c>
      <c r="BI193" t="n">
        <v>1.48</v>
      </c>
      <c r="BJ193" t="n">
        <v>1.296</v>
      </c>
      <c r="BK193" t="n">
        <v>0.08799999999999999</v>
      </c>
      <c r="BL193" t="n">
        <v>-1.523</v>
      </c>
      <c r="BM193" t="n">
        <v>-1.18</v>
      </c>
      <c r="BN193" t="n">
        <v>-0.3</v>
      </c>
      <c r="BO193" t="n">
        <v>-0.08599999999999999</v>
      </c>
      <c r="BP193" t="n">
        <v>7</v>
      </c>
      <c r="BQ193" t="n">
        <v>1</v>
      </c>
      <c r="BR193" t="n">
        <v>3</v>
      </c>
      <c r="BS193" t="n">
        <v>11</v>
      </c>
      <c r="BT193" t="n">
        <v>0.744</v>
      </c>
      <c r="BW193" t="n">
        <v>0.33</v>
      </c>
      <c r="BX193" t="n">
        <v>0.082</v>
      </c>
      <c r="BY193" t="n">
        <v>0.206</v>
      </c>
      <c r="BZ193" t="n">
        <v>0.014</v>
      </c>
      <c r="CA193" t="n">
        <v>1.729</v>
      </c>
      <c r="CB193" t="n">
        <v>0.117</v>
      </c>
      <c r="CC193" t="n">
        <v>3</v>
      </c>
      <c r="CE193" t="n">
        <v>3</v>
      </c>
      <c r="CG193" t="n">
        <v>1</v>
      </c>
      <c r="CI193" t="n">
        <v>3.846</v>
      </c>
      <c r="CJ193" t="n">
        <v>3.819</v>
      </c>
      <c r="CK193" t="n">
        <v>129</v>
      </c>
      <c r="CL193" t="n">
        <v>54</v>
      </c>
      <c r="CM193" t="n">
        <v>40</v>
      </c>
      <c r="CN193" t="n">
        <v>24</v>
      </c>
      <c r="CO193" t="n">
        <v>12</v>
      </c>
      <c r="CP193" t="n">
        <v>103</v>
      </c>
      <c r="CQ193" t="n">
        <v>13</v>
      </c>
      <c r="CR193" t="n">
        <v>85</v>
      </c>
      <c r="CS193" t="n">
        <v>37</v>
      </c>
      <c r="CT193" t="n">
        <v>0.2</v>
      </c>
      <c r="CU193" t="n">
        <v>1</v>
      </c>
      <c r="CV193" t="n">
        <v>2</v>
      </c>
      <c r="CW193" t="n">
        <v>23.84</v>
      </c>
      <c r="CX193" t="n">
        <v>1.612</v>
      </c>
      <c r="CY193" t="n">
        <v>0</v>
      </c>
      <c r="DB193" t="n">
        <v>0</v>
      </c>
      <c r="DF193" t="n">
        <v>3</v>
      </c>
      <c r="DG193" t="n">
        <v>0</v>
      </c>
      <c r="DH193" t="n">
        <v>12</v>
      </c>
      <c r="DI193" t="n">
        <v>7</v>
      </c>
      <c r="DK193" t="n">
        <v>1</v>
      </c>
      <c r="DL193" t="n">
        <v>2</v>
      </c>
      <c r="DM193" t="n">
        <v>5</v>
      </c>
      <c r="DO193" t="n">
        <v>0.6</v>
      </c>
      <c r="DP193" t="n">
        <v>143.24</v>
      </c>
      <c r="DQ193" t="n">
        <v>71.62</v>
      </c>
      <c r="DR193" t="n">
        <v>143.24</v>
      </c>
      <c r="DS193" t="n">
        <v>0</v>
      </c>
      <c r="DT193" t="n">
        <v>3249</v>
      </c>
      <c r="DU193" t="n">
        <v>85.5</v>
      </c>
      <c r="DV193" t="inlineStr">
        <is>
          <t>flat</t>
        </is>
      </c>
      <c r="DW193" t="n">
        <v>97.26000000000001</v>
      </c>
      <c r="DX193" t="n">
        <v>97.89</v>
      </c>
      <c r="DY193" t="n">
        <v>98.22</v>
      </c>
      <c r="DZ193" t="n">
        <v>0.96</v>
      </c>
      <c r="EA193" t="n">
        <v>228</v>
      </c>
      <c r="EB193" t="n">
        <v>17.69</v>
      </c>
      <c r="EC193" t="n">
        <v>14</v>
      </c>
      <c r="ED193" t="n">
        <v>120</v>
      </c>
      <c r="EE193" t="n">
        <v>398</v>
      </c>
      <c r="EF193" t="b">
        <v>1</v>
      </c>
      <c r="EG193" t="n">
        <v>9.6</v>
      </c>
      <c r="EH193" t="n">
        <v>15.3</v>
      </c>
      <c r="EI193" t="n">
        <v>261</v>
      </c>
      <c r="EJ193" t="n">
        <v>190.1</v>
      </c>
      <c r="EK193" t="n">
        <v>121</v>
      </c>
      <c r="EL193" t="n">
        <v>443.7</v>
      </c>
      <c r="EM193" t="n">
        <v>874</v>
      </c>
      <c r="EN193" t="n">
        <v>6455.5</v>
      </c>
      <c r="EO193" t="n">
        <v>769.8</v>
      </c>
      <c r="EP193" t="n">
        <v>18.5</v>
      </c>
    </row>
    <row r="194">
      <c r="A194" t="inlineStr">
        <is>
          <t>Lewis Miley</t>
        </is>
      </c>
      <c r="B194" t="inlineStr">
        <is>
          <t>NEW</t>
        </is>
      </c>
      <c r="C194" t="inlineStr">
        <is>
          <t>MID</t>
        </is>
      </c>
      <c r="D194" t="inlineStr">
        <is>
          <t>MID</t>
        </is>
      </c>
      <c r="E194" t="n">
        <v>5.5</v>
      </c>
      <c r="F194" t="b">
        <v>1</v>
      </c>
      <c r="G194" t="b">
        <v>1</v>
      </c>
      <c r="H194" t="n">
        <v>20.3</v>
      </c>
      <c r="I194" t="inlineStr">
        <is>
          <t>i</t>
        </is>
      </c>
      <c r="J194" t="inlineStr">
        <is>
          <t>Leg injury - Expected back 30 Aug</t>
        </is>
      </c>
      <c r="K194" t="n">
        <v>0</v>
      </c>
      <c r="L194" t="inlineStr">
        <is>
          <t>p547719</t>
        </is>
      </c>
      <c r="M194" t="n">
        <v>459</v>
      </c>
      <c r="O194" t="n">
        <v>4</v>
      </c>
      <c r="Q194" t="n">
        <v>1493</v>
      </c>
      <c r="R194" t="n">
        <v>23</v>
      </c>
      <c r="S194" t="n">
        <v>15</v>
      </c>
      <c r="T194" t="n">
        <v>16.589</v>
      </c>
      <c r="U194" t="n">
        <v>64.90000000000001</v>
      </c>
      <c r="V194" t="n">
        <v>72</v>
      </c>
      <c r="W194" t="n">
        <v>4.34</v>
      </c>
      <c r="X194" t="n">
        <v>1</v>
      </c>
      <c r="Y194" t="n">
        <v>4</v>
      </c>
      <c r="Z194" t="n">
        <v>4</v>
      </c>
      <c r="AA194" t="n">
        <v>2</v>
      </c>
      <c r="AB194" t="n">
        <v>22</v>
      </c>
      <c r="AC194" t="n">
        <v>5</v>
      </c>
      <c r="AD194" t="n">
        <v>5</v>
      </c>
      <c r="AE194" t="n">
        <v>0</v>
      </c>
      <c r="AF194" t="n">
        <v>334</v>
      </c>
      <c r="AG194" t="n">
        <v>321</v>
      </c>
      <c r="AH194" t="n">
        <v>-13</v>
      </c>
      <c r="AI194" t="n">
        <v>72</v>
      </c>
      <c r="AJ194" t="n">
        <v>0.06900000000000001</v>
      </c>
      <c r="AK194" t="n">
        <v>0.075</v>
      </c>
      <c r="AL194" t="n">
        <v>155</v>
      </c>
      <c r="AM194" t="n">
        <v>9.343999999999999</v>
      </c>
      <c r="AN194" t="n">
        <v>5</v>
      </c>
      <c r="AO194" t="n">
        <v>10</v>
      </c>
      <c r="AP194" t="n">
        <v>0.333</v>
      </c>
      <c r="AQ194" t="n">
        <v>0.4</v>
      </c>
      <c r="AR194" t="n">
        <v>0.333</v>
      </c>
      <c r="AS194" t="n">
        <v>0.395</v>
      </c>
      <c r="AT194" t="n">
        <v>0.652</v>
      </c>
      <c r="AU194" t="n">
        <v>14</v>
      </c>
      <c r="AV194" t="n">
        <v>1</v>
      </c>
      <c r="AW194" t="n">
        <v>2.84</v>
      </c>
      <c r="AX194" t="n">
        <v>15</v>
      </c>
      <c r="AY194" t="n">
        <v>1.36</v>
      </c>
      <c r="AZ194" t="n">
        <v>1.376</v>
      </c>
      <c r="BA194" t="n">
        <v>1.368</v>
      </c>
      <c r="BB194" t="n">
        <v>1.376</v>
      </c>
      <c r="BC194" t="n">
        <v>0.082</v>
      </c>
      <c r="BD194" t="n">
        <v>0.083</v>
      </c>
      <c r="BE194" t="n">
        <v>0.082</v>
      </c>
      <c r="BF194" t="n">
        <v>1.2</v>
      </c>
      <c r="BG194" t="n">
        <v>0.07199999999999999</v>
      </c>
      <c r="BH194" t="n">
        <v>0.962</v>
      </c>
      <c r="BI194" t="n">
        <v>3.23</v>
      </c>
      <c r="BJ194" t="n">
        <v>1.308</v>
      </c>
      <c r="BK194" t="n">
        <v>0.079</v>
      </c>
      <c r="BL194" t="n">
        <v>-0.368</v>
      </c>
      <c r="BM194" t="n">
        <v>-0.16</v>
      </c>
      <c r="BN194" t="n">
        <v>-0.2</v>
      </c>
      <c r="BO194" t="n">
        <v>-0.016</v>
      </c>
      <c r="BP194" t="n">
        <v>12</v>
      </c>
      <c r="BQ194" t="n">
        <v>4</v>
      </c>
      <c r="BR194" t="n">
        <v>2</v>
      </c>
      <c r="BS194" t="n">
        <v>25</v>
      </c>
      <c r="BT194" t="n">
        <v>1.507</v>
      </c>
      <c r="BW194" t="n">
        <v>2.1</v>
      </c>
      <c r="BX194" t="n">
        <v>2.321</v>
      </c>
      <c r="BY194" t="n">
        <v>2.211</v>
      </c>
      <c r="BZ194" t="n">
        <v>0.133</v>
      </c>
      <c r="CA194" t="n">
        <v>3.579</v>
      </c>
      <c r="CB194" t="n">
        <v>0.216</v>
      </c>
      <c r="CC194" t="n">
        <v>15</v>
      </c>
      <c r="CD194" t="n">
        <v>3</v>
      </c>
      <c r="CE194" t="n">
        <v>15</v>
      </c>
      <c r="CF194" t="n">
        <v>6</v>
      </c>
      <c r="CH194" t="n">
        <v>19</v>
      </c>
      <c r="CI194" t="n">
        <v>7.046</v>
      </c>
      <c r="CJ194" t="n">
        <v>5.918</v>
      </c>
      <c r="CK194" t="n">
        <v>57</v>
      </c>
      <c r="CL194" t="n">
        <v>69</v>
      </c>
      <c r="CM194" t="n">
        <v>29</v>
      </c>
      <c r="CN194" t="n">
        <v>18</v>
      </c>
      <c r="CO194" t="n">
        <v>20</v>
      </c>
      <c r="CP194" t="n">
        <v>34</v>
      </c>
      <c r="CQ194" t="n">
        <v>3</v>
      </c>
      <c r="CR194" t="n">
        <v>89</v>
      </c>
      <c r="CS194" t="n">
        <v>45</v>
      </c>
      <c r="CT194" t="n">
        <v>0.1</v>
      </c>
      <c r="CV194" t="n">
        <v>2</v>
      </c>
      <c r="CW194" t="n">
        <v>21.22</v>
      </c>
      <c r="CX194" t="n">
        <v>1.279</v>
      </c>
      <c r="CY194" t="n">
        <v>0</v>
      </c>
      <c r="DB194" t="n">
        <v>0</v>
      </c>
      <c r="DE194" t="n">
        <v>7.14</v>
      </c>
      <c r="DF194" t="n">
        <v>0</v>
      </c>
      <c r="DG194" t="n">
        <v>0</v>
      </c>
      <c r="DH194" t="n">
        <v>5</v>
      </c>
      <c r="DI194" t="n">
        <v>4</v>
      </c>
      <c r="DL194" t="n">
        <v>12</v>
      </c>
      <c r="DM194" t="n">
        <v>9</v>
      </c>
      <c r="DN194" t="n">
        <v>2</v>
      </c>
      <c r="DO194" t="n">
        <v>0</v>
      </c>
      <c r="DP194" t="n">
        <v>69.98999999999999</v>
      </c>
      <c r="DQ194" t="n">
        <v>35.08</v>
      </c>
      <c r="DR194" t="n">
        <v>70.16</v>
      </c>
      <c r="DS194" t="n">
        <v>-0.17</v>
      </c>
      <c r="DT194" t="n">
        <v>1790</v>
      </c>
      <c r="DU194" t="n">
        <v>47.1</v>
      </c>
      <c r="DV194" t="inlineStr">
        <is>
          <t>flat</t>
        </is>
      </c>
      <c r="DW194" t="n">
        <v>71.84</v>
      </c>
      <c r="DX194" t="n">
        <v>11</v>
      </c>
      <c r="DY194" t="n">
        <v>95.2</v>
      </c>
      <c r="DZ194" t="n">
        <v>23.36</v>
      </c>
      <c r="EA194" t="n">
        <v>1</v>
      </c>
      <c r="EB194" t="n">
        <v>53.16</v>
      </c>
      <c r="EC194" t="n">
        <v>11</v>
      </c>
      <c r="ED194" t="n">
        <v>109.33</v>
      </c>
      <c r="EE194" t="n">
        <v>3</v>
      </c>
      <c r="EF194" t="b">
        <v>0</v>
      </c>
      <c r="EG194" t="n">
        <v>0.1</v>
      </c>
      <c r="EH194" t="n">
        <v>40</v>
      </c>
      <c r="EI194" t="n">
        <v>158</v>
      </c>
      <c r="EJ194" t="n">
        <v>124.4</v>
      </c>
      <c r="EK194" t="n">
        <v>59.7</v>
      </c>
      <c r="EL194" t="n">
        <v>99.5</v>
      </c>
      <c r="EM194" t="n">
        <v>1091.4</v>
      </c>
      <c r="EN194" t="n">
        <v>675.4</v>
      </c>
      <c r="EO194" t="n">
        <v>417.2</v>
      </c>
      <c r="EP194" t="n">
        <v>20.7</v>
      </c>
    </row>
    <row r="195">
      <c r="A195" t="inlineStr">
        <is>
          <t>Karl Darlow</t>
        </is>
      </c>
      <c r="B195" t="inlineStr">
        <is>
          <t>MUN</t>
        </is>
      </c>
      <c r="C195" t="inlineStr">
        <is>
          <t>GKP</t>
        </is>
      </c>
      <c r="D195" t="inlineStr">
        <is>
          <t>GKP</t>
        </is>
      </c>
      <c r="E195" t="n">
        <v>4.5</v>
      </c>
      <c r="F195" t="b">
        <v>1</v>
      </c>
      <c r="G195" t="b">
        <v>1</v>
      </c>
      <c r="H195" t="n">
        <v>35.9</v>
      </c>
      <c r="I195" t="inlineStr">
        <is>
          <t>d</t>
        </is>
      </c>
      <c r="J195" t="inlineStr">
        <is>
          <t>Unspecified injury - 75% chance of playing</t>
        </is>
      </c>
      <c r="K195" t="n">
        <v>75</v>
      </c>
      <c r="L195" t="inlineStr">
        <is>
          <t>p59735</t>
        </is>
      </c>
      <c r="M195" t="n">
        <v>325</v>
      </c>
      <c r="Q195" t="n">
        <v>1980</v>
      </c>
      <c r="R195" t="n">
        <v>22</v>
      </c>
      <c r="S195" t="n">
        <v>22</v>
      </c>
      <c r="T195" t="n">
        <v>22</v>
      </c>
      <c r="U195" t="n">
        <v>90</v>
      </c>
      <c r="V195" t="n">
        <v>71</v>
      </c>
      <c r="W195" t="n">
        <v>3.227</v>
      </c>
      <c r="X195" t="n">
        <v>0</v>
      </c>
      <c r="Y195" t="n">
        <v>0</v>
      </c>
      <c r="AA195" t="n">
        <v>5</v>
      </c>
      <c r="AB195" t="n">
        <v>27</v>
      </c>
      <c r="AC195" t="n">
        <v>3</v>
      </c>
      <c r="AD195" t="n">
        <v>5</v>
      </c>
      <c r="AE195" t="n">
        <v>2</v>
      </c>
      <c r="AF195" t="n">
        <v>334</v>
      </c>
      <c r="AG195" t="n">
        <v>329</v>
      </c>
      <c r="AH195" t="n">
        <v>-5</v>
      </c>
      <c r="AI195" t="n">
        <v>73</v>
      </c>
      <c r="AJ195" t="n">
        <v>0.042</v>
      </c>
      <c r="AK195" t="n">
        <v>0.044</v>
      </c>
      <c r="AL195" t="n">
        <v>0</v>
      </c>
      <c r="AM195" t="n">
        <v>0</v>
      </c>
      <c r="AN195" t="n">
        <v>0</v>
      </c>
      <c r="AO195" t="n">
        <v>0</v>
      </c>
      <c r="AP195" t="n">
        <v>0</v>
      </c>
      <c r="AQ195" t="n">
        <v>0</v>
      </c>
      <c r="AR195" t="n">
        <v>0</v>
      </c>
      <c r="AS195" t="n">
        <v>0.579</v>
      </c>
      <c r="AT195" t="n">
        <v>1</v>
      </c>
      <c r="AU195" t="n">
        <v>12</v>
      </c>
      <c r="AV195" t="n">
        <v>1</v>
      </c>
      <c r="AW195" t="n">
        <v>2.44</v>
      </c>
      <c r="AX195" t="n">
        <v>11</v>
      </c>
      <c r="AY195" t="n">
        <v>0</v>
      </c>
      <c r="AZ195" t="n">
        <v>0</v>
      </c>
      <c r="BA195" t="n">
        <v>0</v>
      </c>
      <c r="BB195" t="n">
        <v>0</v>
      </c>
      <c r="BC195" t="n">
        <v>0</v>
      </c>
      <c r="BD195" t="n">
        <v>0</v>
      </c>
      <c r="BE195" t="n">
        <v>0</v>
      </c>
      <c r="BH195" t="n">
        <v>1</v>
      </c>
      <c r="BI195" t="n">
        <v>0</v>
      </c>
      <c r="BJ195" t="n">
        <v>0</v>
      </c>
      <c r="BK195" t="n">
        <v>0</v>
      </c>
      <c r="BL195" t="n">
        <v>0</v>
      </c>
      <c r="BO195" t="n">
        <v>0</v>
      </c>
      <c r="BW195" t="n">
        <v>0.05</v>
      </c>
      <c r="BX195" t="n">
        <v>0</v>
      </c>
      <c r="BY195" t="n">
        <v>0.025</v>
      </c>
      <c r="BZ195" t="n">
        <v>0.001</v>
      </c>
      <c r="CA195" t="n">
        <v>0.025</v>
      </c>
      <c r="CB195" t="n">
        <v>0.001</v>
      </c>
      <c r="CC195" t="n">
        <v>0</v>
      </c>
      <c r="CI195" t="n">
        <v>1.812</v>
      </c>
      <c r="CJ195" t="n">
        <v>1.812</v>
      </c>
      <c r="CK195" t="n">
        <v>30</v>
      </c>
      <c r="CL195" t="n">
        <v>202</v>
      </c>
      <c r="CM195" t="n">
        <v>1</v>
      </c>
      <c r="CP195" t="n">
        <v>29</v>
      </c>
      <c r="CQ195" t="n">
        <v>0</v>
      </c>
      <c r="CR195" t="n">
        <v>13</v>
      </c>
      <c r="CS195" t="n">
        <v>6</v>
      </c>
      <c r="CV195" t="n">
        <v>1</v>
      </c>
      <c r="CW195" t="n">
        <v>28.36</v>
      </c>
      <c r="CX195" t="n">
        <v>1.289</v>
      </c>
      <c r="CY195" t="n">
        <v>63</v>
      </c>
      <c r="CZ195" t="n">
        <v>70</v>
      </c>
      <c r="DA195" t="n">
        <v>-1.5</v>
      </c>
      <c r="DB195" t="n">
        <v>0</v>
      </c>
      <c r="DC195" t="n">
        <v>17</v>
      </c>
      <c r="DD195" t="n">
        <v>16</v>
      </c>
      <c r="DE195" t="n">
        <v>7.01</v>
      </c>
      <c r="DF195" t="n">
        <v>1</v>
      </c>
      <c r="DG195" t="n">
        <v>0</v>
      </c>
      <c r="DI195" t="n">
        <v>7</v>
      </c>
      <c r="DL195" t="n">
        <v>1</v>
      </c>
      <c r="DO195" t="n">
        <v>0</v>
      </c>
      <c r="DP195" t="n">
        <v>1.6</v>
      </c>
      <c r="DQ195" t="n">
        <v>0.8</v>
      </c>
      <c r="DR195" t="n">
        <v>1.6</v>
      </c>
      <c r="DS195" t="n">
        <v>0</v>
      </c>
      <c r="DT195" t="n">
        <v>35</v>
      </c>
      <c r="DU195" t="n">
        <v>0.91</v>
      </c>
      <c r="DV195" t="inlineStr">
        <is>
          <t>flat</t>
        </is>
      </c>
      <c r="DW195" t="n">
        <v>113.44</v>
      </c>
      <c r="DX195" t="n">
        <v>110</v>
      </c>
      <c r="DY195" t="n">
        <v>115.39</v>
      </c>
      <c r="DZ195" t="n">
        <v>1.96</v>
      </c>
      <c r="EA195" t="n">
        <v>61</v>
      </c>
      <c r="EB195" t="n">
        <v>11.21</v>
      </c>
      <c r="EC195" t="n">
        <v>46.86</v>
      </c>
      <c r="ED195" t="n">
        <v>120</v>
      </c>
      <c r="EE195" t="n">
        <v>87</v>
      </c>
      <c r="EF195" t="b">
        <v>1</v>
      </c>
      <c r="EG195" t="n">
        <v>3.1</v>
      </c>
      <c r="EH195" t="n">
        <v>41.6</v>
      </c>
      <c r="EI195" t="n">
        <v>414</v>
      </c>
      <c r="EN195" t="n">
        <v>79200</v>
      </c>
      <c r="EO195" t="n">
        <v>79200</v>
      </c>
      <c r="EP195" t="n">
        <v>27.9</v>
      </c>
    </row>
    <row r="196">
      <c r="A196" t="inlineStr">
        <is>
          <t>Pape Matar Sarr</t>
        </is>
      </c>
      <c r="B196" t="inlineStr">
        <is>
          <t>TOT</t>
        </is>
      </c>
      <c r="C196" t="inlineStr">
        <is>
          <t>MID</t>
        </is>
      </c>
      <c r="D196" t="inlineStr">
        <is>
          <t>MID</t>
        </is>
      </c>
      <c r="E196" t="n">
        <v>5</v>
      </c>
      <c r="F196" t="b">
        <v>1</v>
      </c>
      <c r="G196" t="b">
        <v>1</v>
      </c>
      <c r="H196" t="n">
        <v>23.9</v>
      </c>
      <c r="I196" t="inlineStr">
        <is>
          <t>a</t>
        </is>
      </c>
      <c r="L196" t="inlineStr">
        <is>
          <t>p482442</t>
        </is>
      </c>
      <c r="M196" t="n">
        <v>518</v>
      </c>
      <c r="Q196" t="n">
        <v>1388</v>
      </c>
      <c r="R196" t="n">
        <v>26</v>
      </c>
      <c r="S196" t="n">
        <v>13</v>
      </c>
      <c r="T196" t="n">
        <v>15.422</v>
      </c>
      <c r="U196" t="n">
        <v>53.4</v>
      </c>
      <c r="V196" t="n">
        <v>71</v>
      </c>
      <c r="W196" t="n">
        <v>4.604</v>
      </c>
      <c r="X196" t="n">
        <v>2</v>
      </c>
      <c r="Y196" t="n">
        <v>4</v>
      </c>
      <c r="Z196" t="n">
        <v>4</v>
      </c>
      <c r="AA196" t="n">
        <v>3</v>
      </c>
      <c r="AB196" t="n">
        <v>23</v>
      </c>
      <c r="AC196" t="n">
        <v>2</v>
      </c>
      <c r="AD196" t="n">
        <v>2</v>
      </c>
      <c r="AE196" t="n">
        <v>0</v>
      </c>
      <c r="AF196" t="n">
        <v>313</v>
      </c>
      <c r="AG196" t="n">
        <v>300</v>
      </c>
      <c r="AH196" t="n">
        <v>-13</v>
      </c>
      <c r="AI196" t="n">
        <v>71</v>
      </c>
      <c r="AJ196" t="n">
        <v>0.028</v>
      </c>
      <c r="AK196" t="n">
        <v>0.029</v>
      </c>
      <c r="AL196" t="n">
        <v>183</v>
      </c>
      <c r="AM196" t="n">
        <v>11.866</v>
      </c>
      <c r="AN196" t="n">
        <v>4</v>
      </c>
      <c r="AO196" t="n">
        <v>8</v>
      </c>
      <c r="AP196" t="n">
        <v>0.308</v>
      </c>
      <c r="AQ196" t="n">
        <v>0.615</v>
      </c>
      <c r="AR196" t="n">
        <v>0.308</v>
      </c>
      <c r="AS196" t="n">
        <v>0.342</v>
      </c>
      <c r="AT196" t="n">
        <v>0.5</v>
      </c>
      <c r="AU196" t="n">
        <v>16</v>
      </c>
      <c r="AV196" t="n">
        <v>0</v>
      </c>
      <c r="AW196" t="n">
        <v>2.24</v>
      </c>
      <c r="AX196" t="n">
        <v>8</v>
      </c>
      <c r="AY196" t="n">
        <v>1.63</v>
      </c>
      <c r="AZ196" t="n">
        <v>2.047</v>
      </c>
      <c r="BA196" t="n">
        <v>1.839</v>
      </c>
      <c r="BB196" t="n">
        <v>2.047</v>
      </c>
      <c r="BC196" t="n">
        <v>0.106</v>
      </c>
      <c r="BD196" t="n">
        <v>0.133</v>
      </c>
      <c r="BE196" t="n">
        <v>0.119</v>
      </c>
      <c r="BF196" t="n">
        <v>2</v>
      </c>
      <c r="BG196" t="n">
        <v>0.13</v>
      </c>
      <c r="BH196" t="n">
        <v>0.959</v>
      </c>
      <c r="BI196" t="n">
        <v>8.58</v>
      </c>
      <c r="BJ196" t="n">
        <v>1.563</v>
      </c>
      <c r="BK196" t="n">
        <v>0.101</v>
      </c>
      <c r="BL196" t="n">
        <v>0.161</v>
      </c>
      <c r="BM196" t="n">
        <v>0.37</v>
      </c>
      <c r="BN196" t="n">
        <v>0</v>
      </c>
      <c r="BO196" t="n">
        <v>-0.417</v>
      </c>
      <c r="BP196" t="n">
        <v>17</v>
      </c>
      <c r="BQ196" t="n">
        <v>6</v>
      </c>
      <c r="BR196" t="n">
        <v>1</v>
      </c>
      <c r="BS196" t="n">
        <v>27</v>
      </c>
      <c r="BT196" t="n">
        <v>1.751</v>
      </c>
      <c r="BV196" t="n">
        <v>2</v>
      </c>
      <c r="BW196" t="n">
        <v>1.11</v>
      </c>
      <c r="BX196" t="n">
        <v>2.434</v>
      </c>
      <c r="BY196" t="n">
        <v>1.772</v>
      </c>
      <c r="BZ196" t="n">
        <v>0.115</v>
      </c>
      <c r="CA196" t="n">
        <v>3.61</v>
      </c>
      <c r="CB196" t="n">
        <v>0.234</v>
      </c>
      <c r="CC196" t="n">
        <v>11</v>
      </c>
      <c r="CD196" t="n">
        <v>3</v>
      </c>
      <c r="CE196" t="n">
        <v>11</v>
      </c>
      <c r="CF196" t="n">
        <v>2</v>
      </c>
      <c r="CG196" t="n">
        <v>2</v>
      </c>
      <c r="CI196" t="n">
        <v>7.017</v>
      </c>
      <c r="CJ196" t="n">
        <v>4.959</v>
      </c>
      <c r="CK196" t="n">
        <v>74</v>
      </c>
      <c r="CL196" t="n">
        <v>77</v>
      </c>
      <c r="CM196" t="n">
        <v>32</v>
      </c>
      <c r="CN196" t="n">
        <v>21</v>
      </c>
      <c r="CO196" t="n">
        <v>18</v>
      </c>
      <c r="CP196" t="n">
        <v>47</v>
      </c>
      <c r="CQ196" t="n">
        <v>10</v>
      </c>
      <c r="CR196" t="n">
        <v>86</v>
      </c>
      <c r="CS196" t="n">
        <v>27</v>
      </c>
      <c r="CT196" t="n">
        <v>0.3</v>
      </c>
      <c r="CV196" t="n">
        <v>2</v>
      </c>
      <c r="CW196" t="n">
        <v>26.67</v>
      </c>
      <c r="CX196" t="n">
        <v>1.729</v>
      </c>
      <c r="CY196" t="n">
        <v>0</v>
      </c>
      <c r="DB196" t="n">
        <v>0</v>
      </c>
      <c r="DE196" t="n">
        <v>6.79</v>
      </c>
      <c r="DF196" t="n">
        <v>3</v>
      </c>
      <c r="DG196" t="n">
        <v>0</v>
      </c>
      <c r="DH196" t="n">
        <v>29</v>
      </c>
      <c r="DI196" t="n">
        <v>13</v>
      </c>
      <c r="DL196" t="n">
        <v>13</v>
      </c>
      <c r="DM196" t="n">
        <v>18</v>
      </c>
      <c r="DN196" t="n">
        <v>3</v>
      </c>
      <c r="DO196" t="n">
        <v>0.4</v>
      </c>
      <c r="DP196" t="n">
        <v>31.83</v>
      </c>
      <c r="DQ196" t="n">
        <v>17.57</v>
      </c>
      <c r="DR196" t="n">
        <v>35.14</v>
      </c>
      <c r="DS196" t="n">
        <v>-3.31</v>
      </c>
      <c r="DT196" t="n">
        <v>174</v>
      </c>
      <c r="DU196" t="n">
        <v>4.57</v>
      </c>
      <c r="DV196" t="inlineStr">
        <is>
          <t>flat</t>
        </is>
      </c>
      <c r="DW196" t="n">
        <v>81.84</v>
      </c>
      <c r="DX196" t="n">
        <v>78.7</v>
      </c>
      <c r="DY196" t="n">
        <v>78.65000000000001</v>
      </c>
      <c r="DZ196" t="n">
        <v>-3.2</v>
      </c>
      <c r="EA196" t="n">
        <v>13</v>
      </c>
      <c r="EB196" t="n">
        <v>18.53</v>
      </c>
      <c r="EC196" t="n">
        <v>41.6</v>
      </c>
      <c r="ED196" t="n">
        <v>110.4</v>
      </c>
      <c r="EE196" t="n">
        <v>25</v>
      </c>
      <c r="EF196" t="b">
        <v>1</v>
      </c>
      <c r="EG196" t="n">
        <v>0.6</v>
      </c>
      <c r="EH196" t="n">
        <v>16.7</v>
      </c>
      <c r="EI196" t="n">
        <v>262</v>
      </c>
      <c r="EJ196" t="n">
        <v>81.59999999999999</v>
      </c>
      <c r="EK196" t="n">
        <v>51.4</v>
      </c>
      <c r="EL196" t="n">
        <v>126.2</v>
      </c>
      <c r="EM196" t="n">
        <v>754.9</v>
      </c>
      <c r="EN196" t="n">
        <v>783.4</v>
      </c>
      <c r="EO196" t="n">
        <v>384.4</v>
      </c>
      <c r="EP196" t="n">
        <v>19.5</v>
      </c>
    </row>
    <row r="197">
      <c r="A197" t="inlineStr">
        <is>
          <t>Jefferson Lerma</t>
        </is>
      </c>
      <c r="B197" t="inlineStr">
        <is>
          <t>CRY</t>
        </is>
      </c>
      <c r="C197" t="inlineStr">
        <is>
          <t>MID</t>
        </is>
      </c>
      <c r="D197" t="inlineStr">
        <is>
          <t>MID</t>
        </is>
      </c>
      <c r="E197" t="n">
        <v>5</v>
      </c>
      <c r="F197" t="b">
        <v>1</v>
      </c>
      <c r="G197" t="b">
        <v>1</v>
      </c>
      <c r="H197" t="n">
        <v>31.8</v>
      </c>
      <c r="I197" t="inlineStr">
        <is>
          <t>a</t>
        </is>
      </c>
      <c r="L197" t="inlineStr">
        <is>
          <t>p152551</t>
        </is>
      </c>
      <c r="M197" t="n">
        <v>213</v>
      </c>
      <c r="Q197" t="n">
        <v>1722</v>
      </c>
      <c r="R197" t="n">
        <v>31</v>
      </c>
      <c r="S197" t="n">
        <v>18</v>
      </c>
      <c r="T197" t="n">
        <v>19.133</v>
      </c>
      <c r="U197" t="n">
        <v>55.5</v>
      </c>
      <c r="V197" t="n">
        <v>69</v>
      </c>
      <c r="W197" t="n">
        <v>3.606</v>
      </c>
      <c r="X197" t="n">
        <v>0</v>
      </c>
      <c r="Y197" t="n">
        <v>5</v>
      </c>
      <c r="Z197" t="n">
        <v>2</v>
      </c>
      <c r="AA197" t="n">
        <v>7</v>
      </c>
      <c r="AB197" t="n">
        <v>25</v>
      </c>
      <c r="AC197" t="n">
        <v>3</v>
      </c>
      <c r="AD197" t="n">
        <v>3</v>
      </c>
      <c r="AE197" t="n">
        <v>0</v>
      </c>
      <c r="AF197" t="n">
        <v>296</v>
      </c>
      <c r="AG197" t="n">
        <v>280</v>
      </c>
      <c r="AH197" t="n">
        <v>-16</v>
      </c>
      <c r="AI197" t="n">
        <v>69</v>
      </c>
      <c r="AJ197" t="n">
        <v>0.043</v>
      </c>
      <c r="AK197" t="n">
        <v>0.045</v>
      </c>
      <c r="AL197" t="n">
        <v>220</v>
      </c>
      <c r="AM197" t="n">
        <v>11.498</v>
      </c>
      <c r="AN197" t="n">
        <v>4</v>
      </c>
      <c r="AO197" t="n">
        <v>8</v>
      </c>
      <c r="AP197" t="n">
        <v>0.222</v>
      </c>
      <c r="AQ197" t="n">
        <v>0.556</v>
      </c>
      <c r="AR197" t="n">
        <v>0.222</v>
      </c>
      <c r="AS197" t="n">
        <v>0.474</v>
      </c>
      <c r="AT197" t="n">
        <v>0.516</v>
      </c>
      <c r="AU197" t="n">
        <v>22</v>
      </c>
      <c r="AV197" t="n">
        <v>1</v>
      </c>
      <c r="AW197" t="n">
        <v>2.35</v>
      </c>
      <c r="AX197" t="n">
        <v>10</v>
      </c>
      <c r="AY197" t="n">
        <v>1.84</v>
      </c>
      <c r="AZ197" t="n">
        <v>2.209</v>
      </c>
      <c r="BA197" t="n">
        <v>2.024</v>
      </c>
      <c r="BB197" t="n">
        <v>2.209</v>
      </c>
      <c r="BC197" t="n">
        <v>0.096</v>
      </c>
      <c r="BD197" t="n">
        <v>0.115</v>
      </c>
      <c r="BE197" t="n">
        <v>0.106</v>
      </c>
      <c r="BF197" t="n">
        <v>1.1</v>
      </c>
      <c r="BG197" t="n">
        <v>0.057</v>
      </c>
      <c r="BH197" t="n">
        <v>0.863</v>
      </c>
      <c r="BI197" t="n">
        <v>8.1</v>
      </c>
      <c r="BJ197" t="n">
        <v>1.589</v>
      </c>
      <c r="BK197" t="n">
        <v>0.083</v>
      </c>
      <c r="BL197" t="n">
        <v>-2.024</v>
      </c>
      <c r="BM197" t="n">
        <v>-0.74</v>
      </c>
      <c r="BN197" t="n">
        <v>-1.1</v>
      </c>
      <c r="BO197" t="n">
        <v>-0.369</v>
      </c>
      <c r="BP197" t="n">
        <v>19</v>
      </c>
      <c r="BQ197" t="n">
        <v>7</v>
      </c>
      <c r="BR197" t="n">
        <v>3</v>
      </c>
      <c r="BS197" t="n">
        <v>51</v>
      </c>
      <c r="BT197" t="n">
        <v>2.666</v>
      </c>
      <c r="BW197" t="n">
        <v>1.48</v>
      </c>
      <c r="BX197" t="n">
        <v>1.784</v>
      </c>
      <c r="BY197" t="n">
        <v>1.632</v>
      </c>
      <c r="BZ197" t="n">
        <v>0.08500000000000001</v>
      </c>
      <c r="CA197" t="n">
        <v>3.656</v>
      </c>
      <c r="CB197" t="n">
        <v>0.191</v>
      </c>
      <c r="CC197" t="n">
        <v>13</v>
      </c>
      <c r="CD197" t="n">
        <v>3</v>
      </c>
      <c r="CE197" t="n">
        <v>13</v>
      </c>
      <c r="CF197" t="n">
        <v>5</v>
      </c>
      <c r="CI197" t="n">
        <v>7.616</v>
      </c>
      <c r="CJ197" t="n">
        <v>6.043</v>
      </c>
      <c r="CK197" t="n">
        <v>90</v>
      </c>
      <c r="CL197" t="n">
        <v>102</v>
      </c>
      <c r="CM197" t="n">
        <v>28</v>
      </c>
      <c r="CN197" t="n">
        <v>16</v>
      </c>
      <c r="CO197" t="n">
        <v>25</v>
      </c>
      <c r="CP197" t="n">
        <v>61</v>
      </c>
      <c r="CQ197" t="n">
        <v>4</v>
      </c>
      <c r="CR197" t="n">
        <v>122</v>
      </c>
      <c r="CS197" t="n">
        <v>65</v>
      </c>
      <c r="CT197" t="n">
        <v>0.3</v>
      </c>
      <c r="CU197" t="n">
        <v>1</v>
      </c>
      <c r="CV197" t="n">
        <v>2</v>
      </c>
      <c r="CW197" t="n">
        <v>25.11</v>
      </c>
      <c r="CX197" t="n">
        <v>1.312</v>
      </c>
      <c r="CY197" t="n">
        <v>0</v>
      </c>
      <c r="DB197" t="n">
        <v>0</v>
      </c>
      <c r="DE197" t="n">
        <v>6.73</v>
      </c>
      <c r="DF197" t="n">
        <v>7</v>
      </c>
      <c r="DG197" t="n">
        <v>0</v>
      </c>
      <c r="DH197" t="n">
        <v>25</v>
      </c>
      <c r="DI197" t="n">
        <v>25</v>
      </c>
      <c r="DJ197" t="n">
        <v>1</v>
      </c>
      <c r="DL197" t="n">
        <v>3</v>
      </c>
      <c r="DM197" t="n">
        <v>9</v>
      </c>
      <c r="DO197" t="n">
        <v>0.1</v>
      </c>
      <c r="DP197" t="n">
        <v>26.18</v>
      </c>
      <c r="DQ197" t="n">
        <v>13.09</v>
      </c>
      <c r="DR197" t="n">
        <v>26.18</v>
      </c>
      <c r="DS197" t="n">
        <v>0</v>
      </c>
      <c r="DT197" t="n">
        <v>528</v>
      </c>
      <c r="DU197" t="n">
        <v>13.9</v>
      </c>
      <c r="DV197" t="inlineStr">
        <is>
          <t>flat</t>
        </is>
      </c>
      <c r="DW197" t="n">
        <v>75.56999999999999</v>
      </c>
      <c r="DY197" t="n">
        <v>75.58</v>
      </c>
      <c r="DZ197" t="n">
        <v>0.01</v>
      </c>
      <c r="EA197" t="n">
        <v>3</v>
      </c>
      <c r="EB197" t="n">
        <v>27.68</v>
      </c>
      <c r="EC197" t="n">
        <v>41.78</v>
      </c>
      <c r="ED197" t="n">
        <v>111.38</v>
      </c>
      <c r="EE197" t="n">
        <v>7</v>
      </c>
      <c r="EF197" t="b">
        <v>0</v>
      </c>
      <c r="EG197" t="n">
        <v>0.2</v>
      </c>
      <c r="EH197" t="n">
        <v>12.5</v>
      </c>
      <c r="EI197" t="n">
        <v>263</v>
      </c>
      <c r="EJ197" t="n">
        <v>90.59999999999999</v>
      </c>
      <c r="EK197" t="n">
        <v>33.8</v>
      </c>
      <c r="EL197" t="n">
        <v>132.5</v>
      </c>
      <c r="EM197" t="n">
        <v>850.7</v>
      </c>
      <c r="EN197" t="n">
        <v>1055.1</v>
      </c>
      <c r="EO197" t="n">
        <v>470.9</v>
      </c>
      <c r="EP197" t="n">
        <v>25</v>
      </c>
    </row>
    <row r="198">
      <c r="A198" t="inlineStr">
        <is>
          <t>Rodri</t>
        </is>
      </c>
      <c r="B198" t="inlineStr">
        <is>
          <t>MCI</t>
        </is>
      </c>
      <c r="C198" t="inlineStr">
        <is>
          <t>MID</t>
        </is>
      </c>
      <c r="D198" t="inlineStr">
        <is>
          <t>MID</t>
        </is>
      </c>
      <c r="E198" t="n">
        <v>6.5</v>
      </c>
      <c r="F198" t="b">
        <v>1</v>
      </c>
      <c r="G198" t="b">
        <v>1</v>
      </c>
      <c r="H198" t="n">
        <v>30.2</v>
      </c>
      <c r="I198" t="inlineStr">
        <is>
          <t>i</t>
        </is>
      </c>
      <c r="J198" t="inlineStr">
        <is>
          <t>Back injury - Unknown return date</t>
        </is>
      </c>
      <c r="K198" t="n">
        <v>0</v>
      </c>
      <c r="L198" t="inlineStr">
        <is>
          <t>p220566</t>
        </is>
      </c>
      <c r="M198" t="n">
        <v>402</v>
      </c>
      <c r="Q198" t="n">
        <v>1510</v>
      </c>
      <c r="R198" t="n">
        <v>21</v>
      </c>
      <c r="S198" t="n">
        <v>17</v>
      </c>
      <c r="T198" t="n">
        <v>16.778</v>
      </c>
      <c r="U198" t="n">
        <v>71.90000000000001</v>
      </c>
      <c r="V198" t="n">
        <v>69</v>
      </c>
      <c r="W198" t="n">
        <v>4.113</v>
      </c>
      <c r="X198" t="n">
        <v>1</v>
      </c>
      <c r="Y198" t="n">
        <v>1</v>
      </c>
      <c r="AA198" t="n">
        <v>5</v>
      </c>
      <c r="AB198" t="n">
        <v>15</v>
      </c>
      <c r="AC198" t="n">
        <v>6</v>
      </c>
      <c r="AD198" t="n">
        <v>6</v>
      </c>
      <c r="AE198" t="n">
        <v>0</v>
      </c>
      <c r="AF198" t="n">
        <v>350</v>
      </c>
      <c r="AG198" t="n">
        <v>338</v>
      </c>
      <c r="AH198" t="n">
        <v>-12</v>
      </c>
      <c r="AI198" t="n">
        <v>69</v>
      </c>
      <c r="AJ198" t="n">
        <v>0.08699999999999999</v>
      </c>
      <c r="AK198" t="n">
        <v>0.095</v>
      </c>
      <c r="AL198" t="n">
        <v>206</v>
      </c>
      <c r="AM198" t="n">
        <v>12.278</v>
      </c>
      <c r="AN198" t="n">
        <v>8</v>
      </c>
      <c r="AO198" t="n">
        <v>16</v>
      </c>
      <c r="AP198" t="n">
        <v>0.471</v>
      </c>
      <c r="AQ198" t="n">
        <v>0.706</v>
      </c>
      <c r="AR198" t="n">
        <v>0.471</v>
      </c>
      <c r="AS198" t="n">
        <v>0.447</v>
      </c>
      <c r="AT198" t="n">
        <v>0.762</v>
      </c>
      <c r="AU198" t="n">
        <v>7</v>
      </c>
      <c r="AV198" t="n">
        <v>0</v>
      </c>
      <c r="AW198" t="n">
        <v>2.26</v>
      </c>
      <c r="AX198" t="n">
        <v>9</v>
      </c>
      <c r="AY198" t="n">
        <v>1.15</v>
      </c>
      <c r="AZ198" t="n">
        <v>1.188</v>
      </c>
      <c r="BA198" t="n">
        <v>1.169</v>
      </c>
      <c r="BB198" t="n">
        <v>1.188</v>
      </c>
      <c r="BC198" t="n">
        <v>0.06900000000000001</v>
      </c>
      <c r="BD198" t="n">
        <v>0.07099999999999999</v>
      </c>
      <c r="BE198" t="n">
        <v>0.07000000000000001</v>
      </c>
      <c r="BF198" t="n">
        <v>0.6</v>
      </c>
      <c r="BG198" t="n">
        <v>0.036</v>
      </c>
      <c r="BH198" t="n">
        <v>0.962</v>
      </c>
      <c r="BI198" t="n">
        <v>9.67</v>
      </c>
      <c r="BJ198" t="n">
        <v>1.106</v>
      </c>
      <c r="BK198" t="n">
        <v>0.066</v>
      </c>
      <c r="BL198" t="n">
        <v>-0.169</v>
      </c>
      <c r="BM198" t="n">
        <v>-0.55</v>
      </c>
      <c r="BN198" t="n">
        <v>0.4</v>
      </c>
      <c r="BO198" t="n">
        <v>-0.038</v>
      </c>
      <c r="BP198" t="n">
        <v>16</v>
      </c>
      <c r="BQ198" t="n">
        <v>3</v>
      </c>
      <c r="BS198" t="n">
        <v>26</v>
      </c>
      <c r="BT198" t="n">
        <v>1.55</v>
      </c>
      <c r="BV198" t="n">
        <v>1</v>
      </c>
      <c r="BW198" t="n">
        <v>2.45</v>
      </c>
      <c r="BX198" t="n">
        <v>2.276</v>
      </c>
      <c r="BY198" t="n">
        <v>2.363</v>
      </c>
      <c r="BZ198" t="n">
        <v>0.141</v>
      </c>
      <c r="CA198" t="n">
        <v>3.532</v>
      </c>
      <c r="CB198" t="n">
        <v>0.211</v>
      </c>
      <c r="CC198" t="n">
        <v>26</v>
      </c>
      <c r="CD198" t="n">
        <v>2</v>
      </c>
      <c r="CE198" t="n">
        <v>25</v>
      </c>
      <c r="CF198" t="n">
        <v>1</v>
      </c>
      <c r="CG198" t="n">
        <v>4</v>
      </c>
      <c r="CI198" t="n">
        <v>12.138</v>
      </c>
      <c r="CJ198" t="n">
        <v>10.706</v>
      </c>
      <c r="CK198" t="n">
        <v>57</v>
      </c>
      <c r="CL198" t="n">
        <v>107</v>
      </c>
      <c r="CM198" t="n">
        <v>42</v>
      </c>
      <c r="CN198" t="n">
        <v>22</v>
      </c>
      <c r="CO198" t="n">
        <v>14</v>
      </c>
      <c r="CP198" t="n">
        <v>41</v>
      </c>
      <c r="CQ198" t="n">
        <v>3</v>
      </c>
      <c r="CR198" t="n">
        <v>118</v>
      </c>
      <c r="CS198" t="n">
        <v>39</v>
      </c>
      <c r="CT198" t="n">
        <v>0.6</v>
      </c>
      <c r="CV198" t="n">
        <v>3</v>
      </c>
      <c r="CW198" t="n">
        <v>20.74</v>
      </c>
      <c r="CX198" t="n">
        <v>1.236</v>
      </c>
      <c r="CY198" t="n">
        <v>0</v>
      </c>
      <c r="DB198" t="n">
        <v>0</v>
      </c>
      <c r="DE198" t="n">
        <v>7.51</v>
      </c>
      <c r="DF198" t="n">
        <v>3</v>
      </c>
      <c r="DG198" t="n">
        <v>0</v>
      </c>
      <c r="DH198" t="n">
        <v>14</v>
      </c>
      <c r="DI198" t="n">
        <v>31</v>
      </c>
      <c r="DL198" t="n">
        <v>7</v>
      </c>
      <c r="DM198" t="n">
        <v>11</v>
      </c>
      <c r="DO198" t="n">
        <v>0.1</v>
      </c>
      <c r="DP198" t="n">
        <v>111.24</v>
      </c>
      <c r="DQ198" t="n">
        <v>43.01</v>
      </c>
      <c r="DR198" t="n">
        <v>86.02</v>
      </c>
      <c r="DS198" t="n">
        <v>25.22</v>
      </c>
      <c r="DT198" t="n">
        <v>2804</v>
      </c>
      <c r="DU198" t="n">
        <v>73.8</v>
      </c>
      <c r="DV198" t="inlineStr">
        <is>
          <t>ramp-up (injury / late WC return)</t>
        </is>
      </c>
      <c r="DW198" t="n">
        <v>64.34</v>
      </c>
      <c r="DX198" t="n">
        <v>66.81</v>
      </c>
      <c r="DY198" t="n">
        <v>66.39</v>
      </c>
      <c r="DZ198" t="n">
        <v>2.05</v>
      </c>
      <c r="EA198" t="n">
        <v>75</v>
      </c>
      <c r="EB198" t="n">
        <v>26.86</v>
      </c>
      <c r="EC198" t="n">
        <v>2.29</v>
      </c>
      <c r="ED198" t="n">
        <v>117</v>
      </c>
      <c r="EE198" t="n">
        <v>220</v>
      </c>
      <c r="EF198" t="b">
        <v>1</v>
      </c>
      <c r="EG198" t="n">
        <v>29.6</v>
      </c>
      <c r="EH198" t="n">
        <v>84.7</v>
      </c>
      <c r="EI198" t="n">
        <v>46</v>
      </c>
      <c r="EJ198" t="n">
        <v>94.40000000000001</v>
      </c>
      <c r="EK198" t="n">
        <v>58.1</v>
      </c>
      <c r="EL198" t="n">
        <v>60.4</v>
      </c>
      <c r="EM198" t="n">
        <v>1291.4</v>
      </c>
      <c r="EN198" t="n">
        <v>639</v>
      </c>
      <c r="EO198" t="n">
        <v>427.5</v>
      </c>
      <c r="EP198" t="n">
        <v>21.9</v>
      </c>
    </row>
    <row r="199">
      <c r="A199" t="inlineStr">
        <is>
          <t>Gabriel Gudmundsson</t>
        </is>
      </c>
      <c r="B199" t="inlineStr">
        <is>
          <t>LEE</t>
        </is>
      </c>
      <c r="C199" t="inlineStr">
        <is>
          <t>DEF</t>
        </is>
      </c>
      <c r="D199" t="inlineStr">
        <is>
          <t>DEF</t>
        </is>
      </c>
      <c r="E199" t="n">
        <v>4.5</v>
      </c>
      <c r="F199" t="b">
        <v>1</v>
      </c>
      <c r="G199" t="b">
        <v>1</v>
      </c>
      <c r="H199" t="n">
        <v>27.3</v>
      </c>
      <c r="I199" t="inlineStr">
        <is>
          <t>i</t>
        </is>
      </c>
      <c r="J199" t="inlineStr">
        <is>
          <t>Hamstring injury - Expected back 30 Aug</t>
        </is>
      </c>
      <c r="K199" t="n">
        <v>0</v>
      </c>
      <c r="L199" t="inlineStr">
        <is>
          <t>p243526</t>
        </is>
      </c>
      <c r="M199" t="n">
        <v>331</v>
      </c>
      <c r="Q199" t="n">
        <v>2637</v>
      </c>
      <c r="R199" t="n">
        <v>32</v>
      </c>
      <c r="S199" t="n">
        <v>31</v>
      </c>
      <c r="T199" t="n">
        <v>29.3</v>
      </c>
      <c r="U199" t="n">
        <v>82.40000000000001</v>
      </c>
      <c r="V199" t="n">
        <v>68</v>
      </c>
      <c r="W199" t="n">
        <v>2.321</v>
      </c>
      <c r="X199" t="n">
        <v>0</v>
      </c>
      <c r="Y199" t="n">
        <v>0</v>
      </c>
      <c r="AA199" t="n">
        <v>5</v>
      </c>
      <c r="AB199" t="n">
        <v>45</v>
      </c>
      <c r="AC199" t="n">
        <v>8</v>
      </c>
      <c r="AD199" t="n">
        <v>8</v>
      </c>
      <c r="AE199" t="n">
        <v>0</v>
      </c>
      <c r="AF199" t="n">
        <v>286</v>
      </c>
      <c r="AG199" t="n">
        <v>263</v>
      </c>
      <c r="AH199" t="n">
        <v>-23</v>
      </c>
      <c r="AI199" t="n">
        <v>68</v>
      </c>
      <c r="AJ199" t="n">
        <v>0.118</v>
      </c>
      <c r="AK199" t="n">
        <v>0.133</v>
      </c>
      <c r="AL199" t="n">
        <v>184</v>
      </c>
      <c r="AM199" t="n">
        <v>6.28</v>
      </c>
      <c r="AN199" t="n">
        <v>2</v>
      </c>
      <c r="AO199" t="n">
        <v>4</v>
      </c>
      <c r="AP199" t="n">
        <v>0.065</v>
      </c>
      <c r="AQ199" t="n">
        <v>0.065</v>
      </c>
      <c r="AR199" t="n">
        <v>0.032</v>
      </c>
      <c r="AS199" t="n">
        <v>0.8159999999999999</v>
      </c>
      <c r="AT199" t="n">
        <v>0.875</v>
      </c>
      <c r="AU199" t="n">
        <v>25</v>
      </c>
      <c r="AV199" t="n">
        <v>0</v>
      </c>
      <c r="AW199" t="n">
        <v>2.63</v>
      </c>
      <c r="AX199" t="n">
        <v>9</v>
      </c>
      <c r="AY199" t="n">
        <v>1.1</v>
      </c>
      <c r="AZ199" t="n">
        <v>0.878</v>
      </c>
      <c r="BA199" t="n">
        <v>0.989</v>
      </c>
      <c r="BB199" t="n">
        <v>0.878</v>
      </c>
      <c r="BC199" t="n">
        <v>0.038</v>
      </c>
      <c r="BD199" t="n">
        <v>0.03</v>
      </c>
      <c r="BE199" t="n">
        <v>0.034</v>
      </c>
      <c r="BF199" t="n">
        <v>0.1</v>
      </c>
      <c r="BG199" t="n">
        <v>0.003</v>
      </c>
      <c r="BH199" t="n">
        <v>0.89</v>
      </c>
      <c r="BI199" t="n">
        <v>1.1</v>
      </c>
      <c r="BJ199" t="n">
        <v>0.979</v>
      </c>
      <c r="BK199" t="n">
        <v>0.033</v>
      </c>
      <c r="BL199" t="n">
        <v>-0.989</v>
      </c>
      <c r="BM199" t="n">
        <v>-1</v>
      </c>
      <c r="BN199" t="n">
        <v>-0.1</v>
      </c>
      <c r="BO199" t="n">
        <v>0.222</v>
      </c>
      <c r="BP199" t="n">
        <v>18</v>
      </c>
      <c r="BQ199" t="n">
        <v>3</v>
      </c>
      <c r="BS199" t="n">
        <v>51</v>
      </c>
      <c r="BT199" t="n">
        <v>1.741</v>
      </c>
      <c r="BW199" t="n">
        <v>2.89</v>
      </c>
      <c r="BX199" t="n">
        <v>3.101</v>
      </c>
      <c r="BY199" t="n">
        <v>2.996</v>
      </c>
      <c r="BZ199" t="n">
        <v>0.102</v>
      </c>
      <c r="CA199" t="n">
        <v>3.985</v>
      </c>
      <c r="CB199" t="n">
        <v>0.136</v>
      </c>
      <c r="CC199" t="n">
        <v>21</v>
      </c>
      <c r="CD199" t="n">
        <v>4</v>
      </c>
      <c r="CE199" t="n">
        <v>21</v>
      </c>
      <c r="CF199" t="n">
        <v>24</v>
      </c>
      <c r="CG199" t="n">
        <v>1</v>
      </c>
      <c r="CH199" t="n">
        <v>3</v>
      </c>
      <c r="CI199" t="n">
        <v>6.766</v>
      </c>
      <c r="CJ199" t="n">
        <v>4.271</v>
      </c>
      <c r="CK199" t="n">
        <v>119</v>
      </c>
      <c r="CL199" t="n">
        <v>112</v>
      </c>
      <c r="CM199" t="n">
        <v>65</v>
      </c>
      <c r="CN199" t="n">
        <v>44</v>
      </c>
      <c r="CO199" t="n">
        <v>27</v>
      </c>
      <c r="CP199" t="n">
        <v>83</v>
      </c>
      <c r="CQ199" t="n">
        <v>7</v>
      </c>
      <c r="CR199" t="n">
        <v>178</v>
      </c>
      <c r="CS199" t="n">
        <v>18</v>
      </c>
      <c r="CT199" t="n">
        <v>0.3</v>
      </c>
      <c r="CU199" t="n">
        <v>1</v>
      </c>
      <c r="CW199" t="n">
        <v>41.06</v>
      </c>
      <c r="CX199" t="n">
        <v>1.401</v>
      </c>
      <c r="CY199" t="n">
        <v>0</v>
      </c>
      <c r="DB199" t="n">
        <v>0</v>
      </c>
      <c r="DE199" t="n">
        <v>6.78</v>
      </c>
      <c r="DF199" t="n">
        <v>4</v>
      </c>
      <c r="DG199" t="n">
        <v>1</v>
      </c>
      <c r="DH199" t="n">
        <v>31</v>
      </c>
      <c r="DI199" t="n">
        <v>56</v>
      </c>
      <c r="DK199" t="n">
        <v>0</v>
      </c>
      <c r="DL199" t="n">
        <v>39</v>
      </c>
      <c r="DM199" t="n">
        <v>26</v>
      </c>
      <c r="DN199" t="n">
        <v>3</v>
      </c>
      <c r="DO199" t="n">
        <v>0.2</v>
      </c>
      <c r="DP199" t="n">
        <v>103.92</v>
      </c>
      <c r="DQ199" t="n">
        <v>50.84</v>
      </c>
      <c r="DR199" t="n">
        <v>101.68</v>
      </c>
      <c r="DS199" t="n">
        <v>2.24</v>
      </c>
      <c r="DT199" t="n">
        <v>2770</v>
      </c>
      <c r="DU199" t="n">
        <v>72.90000000000001</v>
      </c>
      <c r="DV199" t="inlineStr">
        <is>
          <t>flat</t>
        </is>
      </c>
      <c r="DW199" t="n">
        <v>100.84</v>
      </c>
      <c r="DX199" t="n">
        <v>98.88</v>
      </c>
      <c r="DY199" t="n">
        <v>113</v>
      </c>
      <c r="DZ199" t="n">
        <v>12.17</v>
      </c>
      <c r="EA199" t="n">
        <v>7</v>
      </c>
      <c r="EB199" t="n">
        <v>17.53</v>
      </c>
      <c r="EC199" t="n">
        <v>45.33</v>
      </c>
      <c r="ED199" t="n">
        <v>120</v>
      </c>
      <c r="EE199" t="n">
        <v>34</v>
      </c>
      <c r="EF199" t="b">
        <v>1</v>
      </c>
      <c r="EG199" t="n">
        <v>0.8</v>
      </c>
      <c r="EH199" t="n">
        <v>8.1</v>
      </c>
      <c r="EI199" t="n">
        <v>415</v>
      </c>
      <c r="EJ199" t="n">
        <v>146.5</v>
      </c>
      <c r="EK199" t="n">
        <v>51.7</v>
      </c>
      <c r="EL199" t="n">
        <v>125.6</v>
      </c>
      <c r="EM199" t="n">
        <v>2666.7</v>
      </c>
      <c r="EN199" t="n">
        <v>880.3</v>
      </c>
      <c r="EO199" t="n">
        <v>661.8</v>
      </c>
      <c r="EP199" t="n">
        <v>38.8</v>
      </c>
    </row>
    <row r="200">
      <c r="A200" t="inlineStr">
        <is>
          <t>Tim Iroegbunam</t>
        </is>
      </c>
      <c r="B200" t="inlineStr">
        <is>
          <t>EVE</t>
        </is>
      </c>
      <c r="C200" t="inlineStr">
        <is>
          <t>MID</t>
        </is>
      </c>
      <c r="D200" t="inlineStr">
        <is>
          <t>MID</t>
        </is>
      </c>
      <c r="E200" t="n">
        <v>5</v>
      </c>
      <c r="F200" t="b">
        <v>1</v>
      </c>
      <c r="G200" t="b">
        <v>1</v>
      </c>
      <c r="H200" t="n">
        <v>23.1</v>
      </c>
      <c r="I200" t="inlineStr">
        <is>
          <t>a</t>
        </is>
      </c>
      <c r="L200" t="inlineStr">
        <is>
          <t>p490094</t>
        </is>
      </c>
      <c r="M200" t="n">
        <v>240</v>
      </c>
      <c r="Q200" t="n">
        <v>1477</v>
      </c>
      <c r="R200" t="n">
        <v>29</v>
      </c>
      <c r="S200" t="n">
        <v>17</v>
      </c>
      <c r="T200" t="n">
        <v>16.411</v>
      </c>
      <c r="U200" t="n">
        <v>50.9</v>
      </c>
      <c r="V200" t="n">
        <v>68</v>
      </c>
      <c r="W200" t="n">
        <v>4.144</v>
      </c>
      <c r="X200" t="n">
        <v>0</v>
      </c>
      <c r="Y200" t="n">
        <v>3</v>
      </c>
      <c r="Z200" t="n">
        <v>2</v>
      </c>
      <c r="AA200" t="n">
        <v>8</v>
      </c>
      <c r="AB200" t="n">
        <v>18</v>
      </c>
      <c r="AC200" t="n">
        <v>1</v>
      </c>
      <c r="AD200" t="n">
        <v>1</v>
      </c>
      <c r="AE200" t="n">
        <v>0</v>
      </c>
      <c r="AF200" t="n">
        <v>225</v>
      </c>
      <c r="AG200" t="n">
        <v>218</v>
      </c>
      <c r="AH200" t="n">
        <v>-7</v>
      </c>
      <c r="AI200" t="n">
        <v>68</v>
      </c>
      <c r="AJ200" t="n">
        <v>0.015</v>
      </c>
      <c r="AK200" t="n">
        <v>0.015</v>
      </c>
      <c r="AL200" t="n">
        <v>189</v>
      </c>
      <c r="AM200" t="n">
        <v>11.517</v>
      </c>
      <c r="AN200" t="n">
        <v>7</v>
      </c>
      <c r="AO200" t="n">
        <v>14</v>
      </c>
      <c r="AP200" t="n">
        <v>0.412</v>
      </c>
      <c r="AQ200" t="n">
        <v>0.588</v>
      </c>
      <c r="AR200" t="n">
        <v>0.412</v>
      </c>
      <c r="AS200" t="n">
        <v>0.447</v>
      </c>
      <c r="AT200" t="n">
        <v>0.552</v>
      </c>
      <c r="AU200" t="n">
        <v>19</v>
      </c>
      <c r="AV200" t="n">
        <v>0</v>
      </c>
      <c r="AW200" t="n">
        <v>1.79</v>
      </c>
      <c r="AX200" t="n">
        <v>7</v>
      </c>
      <c r="AY200" t="n">
        <v>0.54</v>
      </c>
      <c r="AZ200" t="n">
        <v>0.511</v>
      </c>
      <c r="BA200" t="n">
        <v>0.525</v>
      </c>
      <c r="BB200" t="n">
        <v>0.511</v>
      </c>
      <c r="BC200" t="n">
        <v>0.033</v>
      </c>
      <c r="BD200" t="n">
        <v>0.031</v>
      </c>
      <c r="BE200" t="n">
        <v>0.032</v>
      </c>
      <c r="BF200" t="n">
        <v>0.1</v>
      </c>
      <c r="BG200" t="n">
        <v>0.006</v>
      </c>
      <c r="BH200" t="n">
        <v>0.924</v>
      </c>
      <c r="BI200" t="n">
        <v>0.77</v>
      </c>
      <c r="BJ200" t="n">
        <v>0.499</v>
      </c>
      <c r="BK200" t="n">
        <v>0.03</v>
      </c>
      <c r="BL200" t="n">
        <v>-0.525</v>
      </c>
      <c r="BM200" t="n">
        <v>-0.44</v>
      </c>
      <c r="BN200" t="n">
        <v>-0.1</v>
      </c>
      <c r="BO200" t="n">
        <v>0.029</v>
      </c>
      <c r="BP200" t="n">
        <v>12</v>
      </c>
      <c r="BQ200" t="n">
        <v>1</v>
      </c>
      <c r="BS200" t="n">
        <v>24</v>
      </c>
      <c r="BT200" t="n">
        <v>1.462</v>
      </c>
      <c r="BW200" t="n">
        <v>0.71</v>
      </c>
      <c r="BX200" t="n">
        <v>1.848</v>
      </c>
      <c r="BY200" t="n">
        <v>1.279</v>
      </c>
      <c r="BZ200" t="n">
        <v>0.078</v>
      </c>
      <c r="CA200" t="n">
        <v>1.804</v>
      </c>
      <c r="CB200" t="n">
        <v>0.11</v>
      </c>
      <c r="CC200" t="n">
        <v>8</v>
      </c>
      <c r="CD200" t="n">
        <v>3</v>
      </c>
      <c r="CE200" t="n">
        <v>8</v>
      </c>
      <c r="CF200" t="n">
        <v>0</v>
      </c>
      <c r="CI200" t="n">
        <v>4.415</v>
      </c>
      <c r="CJ200" t="n">
        <v>2.845</v>
      </c>
      <c r="CK200" t="n">
        <v>43</v>
      </c>
      <c r="CL200" t="n">
        <v>78</v>
      </c>
      <c r="CM200" t="n">
        <v>68</v>
      </c>
      <c r="CN200" t="n">
        <v>45</v>
      </c>
      <c r="CO200" t="n">
        <v>22</v>
      </c>
      <c r="CP200" t="n">
        <v>9</v>
      </c>
      <c r="CQ200" t="n">
        <v>12</v>
      </c>
      <c r="CR200" t="n">
        <v>125</v>
      </c>
      <c r="CS200" t="n">
        <v>22</v>
      </c>
      <c r="CT200" t="n">
        <v>0.2</v>
      </c>
      <c r="CU200" t="n">
        <v>1</v>
      </c>
      <c r="CV200" t="n">
        <v>2</v>
      </c>
      <c r="CW200" t="n">
        <v>24.64</v>
      </c>
      <c r="CX200" t="n">
        <v>1.501</v>
      </c>
      <c r="CY200" t="n">
        <v>0</v>
      </c>
      <c r="DB200" t="n">
        <v>0</v>
      </c>
      <c r="DE200" t="n">
        <v>6.72</v>
      </c>
      <c r="DF200" t="n">
        <v>9</v>
      </c>
      <c r="DG200" t="n">
        <v>0</v>
      </c>
      <c r="DH200" t="n">
        <v>29</v>
      </c>
      <c r="DI200" t="n">
        <v>20</v>
      </c>
      <c r="DJ200" t="n">
        <v>1</v>
      </c>
      <c r="DL200" t="n">
        <v>15</v>
      </c>
      <c r="DM200" t="n">
        <v>28</v>
      </c>
      <c r="DO200" t="n">
        <v>0.1</v>
      </c>
      <c r="DP200" t="n">
        <v>32.64</v>
      </c>
      <c r="DQ200" t="n">
        <v>19.42</v>
      </c>
      <c r="DR200" t="n">
        <v>38.84</v>
      </c>
      <c r="DS200" t="n">
        <v>-6.2</v>
      </c>
      <c r="DT200" t="n">
        <v>328</v>
      </c>
      <c r="DU200" t="n">
        <v>8.630000000000001</v>
      </c>
      <c r="DV200" t="inlineStr">
        <is>
          <t>fade (losing his place)</t>
        </is>
      </c>
      <c r="DW200" t="n">
        <v>55</v>
      </c>
      <c r="DX200" t="n">
        <v>55</v>
      </c>
      <c r="EC200" t="n">
        <v>55</v>
      </c>
      <c r="ED200" t="n">
        <v>55</v>
      </c>
      <c r="EE200" t="n">
        <v>1</v>
      </c>
      <c r="EF200" t="b">
        <v>0</v>
      </c>
      <c r="EG200" t="n">
        <v>0</v>
      </c>
      <c r="EH200" t="n">
        <v>50</v>
      </c>
      <c r="EI200" t="n">
        <v>264</v>
      </c>
      <c r="EJ200" t="n">
        <v>123.1</v>
      </c>
      <c r="EK200" t="n">
        <v>61.5</v>
      </c>
      <c r="EL200" t="n">
        <v>184.6</v>
      </c>
      <c r="EM200" t="n">
        <v>2810.9</v>
      </c>
      <c r="EN200" t="n">
        <v>1154.9</v>
      </c>
      <c r="EO200" t="n">
        <v>818.6</v>
      </c>
      <c r="EP200" t="n">
        <v>21.7</v>
      </c>
    </row>
    <row r="201">
      <c r="A201" t="inlineStr">
        <is>
          <t>Youri Tielemans</t>
        </is>
      </c>
      <c r="B201" t="inlineStr">
        <is>
          <t>MUN</t>
        </is>
      </c>
      <c r="C201" t="inlineStr">
        <is>
          <t>MID</t>
        </is>
      </c>
      <c r="D201" t="inlineStr">
        <is>
          <t>MID</t>
        </is>
      </c>
      <c r="E201" t="n">
        <v>6</v>
      </c>
      <c r="F201" t="b">
        <v>1</v>
      </c>
      <c r="G201" t="b">
        <v>1</v>
      </c>
      <c r="H201" t="n">
        <v>29.3</v>
      </c>
      <c r="I201" t="inlineStr">
        <is>
          <t>a</t>
        </is>
      </c>
      <c r="K201" t="n">
        <v>100</v>
      </c>
      <c r="L201" t="inlineStr">
        <is>
          <t>p166989</t>
        </is>
      </c>
      <c r="M201" t="n">
        <v>43</v>
      </c>
      <c r="N201" t="n">
        <v>3</v>
      </c>
      <c r="Q201" t="n">
        <v>1857</v>
      </c>
      <c r="R201" t="n">
        <v>25</v>
      </c>
      <c r="S201" t="n">
        <v>21</v>
      </c>
      <c r="T201" t="n">
        <v>20.633</v>
      </c>
      <c r="U201" t="n">
        <v>74.3</v>
      </c>
      <c r="V201" t="n">
        <v>68</v>
      </c>
      <c r="W201" t="n">
        <v>3.296</v>
      </c>
      <c r="X201" t="n">
        <v>0</v>
      </c>
      <c r="Y201" t="n">
        <v>4</v>
      </c>
      <c r="Z201" t="n">
        <v>4</v>
      </c>
      <c r="AA201" t="n">
        <v>4</v>
      </c>
      <c r="AB201" t="n">
        <v>27</v>
      </c>
      <c r="AC201" t="n">
        <v>3</v>
      </c>
      <c r="AD201" t="n">
        <v>3</v>
      </c>
      <c r="AE201" t="n">
        <v>0</v>
      </c>
      <c r="AF201" t="n">
        <v>417</v>
      </c>
      <c r="AG201" t="n">
        <v>409</v>
      </c>
      <c r="AH201" t="n">
        <v>-8</v>
      </c>
      <c r="AI201" t="n">
        <v>68</v>
      </c>
      <c r="AJ201" t="n">
        <v>0.044</v>
      </c>
      <c r="AK201" t="n">
        <v>0.046</v>
      </c>
      <c r="AL201" t="n">
        <v>203</v>
      </c>
      <c r="AM201" t="n">
        <v>9.837999999999999</v>
      </c>
      <c r="AN201" t="n">
        <v>2</v>
      </c>
      <c r="AO201" t="n">
        <v>4</v>
      </c>
      <c r="AP201" t="n">
        <v>0.095</v>
      </c>
      <c r="AQ201" t="n">
        <v>0.476</v>
      </c>
      <c r="AR201" t="n">
        <v>0.095</v>
      </c>
      <c r="AS201" t="n">
        <v>0.553</v>
      </c>
      <c r="AT201" t="n">
        <v>0.8</v>
      </c>
      <c r="AU201" t="n">
        <v>16</v>
      </c>
      <c r="AV201" t="n">
        <v>0</v>
      </c>
      <c r="AW201" t="n">
        <v>1.89</v>
      </c>
      <c r="AX201" t="n">
        <v>7</v>
      </c>
      <c r="AY201" t="n">
        <v>1.14</v>
      </c>
      <c r="AZ201" t="n">
        <v>1.84</v>
      </c>
      <c r="BA201" t="n">
        <v>1.49</v>
      </c>
      <c r="BB201" t="n">
        <v>1.84</v>
      </c>
      <c r="BC201" t="n">
        <v>0.055</v>
      </c>
      <c r="BD201" t="n">
        <v>0.089</v>
      </c>
      <c r="BE201" t="n">
        <v>0.07199999999999999</v>
      </c>
      <c r="BF201" t="n">
        <v>0.8</v>
      </c>
      <c r="BG201" t="n">
        <v>0.039</v>
      </c>
      <c r="BH201" t="n">
        <v>1.075</v>
      </c>
      <c r="BI201" t="n">
        <v>8.19</v>
      </c>
      <c r="BJ201" t="n">
        <v>1.225</v>
      </c>
      <c r="BK201" t="n">
        <v>0.059</v>
      </c>
      <c r="BL201" t="n">
        <v>-1.49</v>
      </c>
      <c r="BM201" t="n">
        <v>-0.34</v>
      </c>
      <c r="BN201" t="n">
        <v>-0.8</v>
      </c>
      <c r="BO201" t="n">
        <v>-0.7</v>
      </c>
      <c r="BP201" t="n">
        <v>24</v>
      </c>
      <c r="BQ201" t="n">
        <v>7</v>
      </c>
      <c r="BR201" t="n">
        <v>2</v>
      </c>
      <c r="BS201" t="n">
        <v>34</v>
      </c>
      <c r="BT201" t="n">
        <v>1.648</v>
      </c>
      <c r="BW201" t="n">
        <v>3.26</v>
      </c>
      <c r="BX201" t="n">
        <v>2.982</v>
      </c>
      <c r="BY201" t="n">
        <v>3.121</v>
      </c>
      <c r="BZ201" t="n">
        <v>0.151</v>
      </c>
      <c r="CA201" t="n">
        <v>4.611</v>
      </c>
      <c r="CB201" t="n">
        <v>0.223</v>
      </c>
      <c r="CC201" t="n">
        <v>32</v>
      </c>
      <c r="CD201" t="n">
        <v>5</v>
      </c>
      <c r="CE201" t="n">
        <v>32</v>
      </c>
      <c r="CF201" t="n">
        <v>14</v>
      </c>
      <c r="CG201" t="n">
        <v>4</v>
      </c>
      <c r="CH201" t="n">
        <v>25</v>
      </c>
      <c r="CI201" t="n">
        <v>9.827</v>
      </c>
      <c r="CJ201" t="n">
        <v>7.487</v>
      </c>
      <c r="CK201" t="n">
        <v>51</v>
      </c>
      <c r="CL201" t="n">
        <v>94</v>
      </c>
      <c r="CM201" t="n">
        <v>58</v>
      </c>
      <c r="CN201" t="n">
        <v>36</v>
      </c>
      <c r="CO201" t="n">
        <v>18</v>
      </c>
      <c r="CP201" t="n">
        <v>19</v>
      </c>
      <c r="CQ201" t="n">
        <v>14</v>
      </c>
      <c r="CR201" t="n">
        <v>129</v>
      </c>
      <c r="CS201" t="n">
        <v>22</v>
      </c>
      <c r="CT201" t="n">
        <v>0.4</v>
      </c>
      <c r="CV201" t="n">
        <v>1</v>
      </c>
      <c r="CW201" t="n">
        <v>31.34</v>
      </c>
      <c r="CX201" t="n">
        <v>1.519</v>
      </c>
      <c r="CY201" t="n">
        <v>0</v>
      </c>
      <c r="DB201" t="n">
        <v>0</v>
      </c>
      <c r="DE201" t="n">
        <v>7.15</v>
      </c>
      <c r="DF201" t="n">
        <v>0</v>
      </c>
      <c r="DG201" t="n">
        <v>0</v>
      </c>
      <c r="DH201" t="n">
        <v>25</v>
      </c>
      <c r="DI201" t="n">
        <v>41</v>
      </c>
      <c r="DL201" t="n">
        <v>9</v>
      </c>
      <c r="DM201" t="n">
        <v>13</v>
      </c>
      <c r="DN201" t="n">
        <v>1</v>
      </c>
      <c r="DO201" t="n">
        <v>1.7</v>
      </c>
      <c r="DP201" t="n">
        <v>125.52</v>
      </c>
      <c r="DQ201" t="n">
        <v>62.7</v>
      </c>
      <c r="DR201" t="n">
        <v>125.4</v>
      </c>
      <c r="DS201" t="n">
        <v>0.12</v>
      </c>
      <c r="DT201" t="n">
        <v>2764</v>
      </c>
      <c r="DU201" t="n">
        <v>72.75</v>
      </c>
      <c r="DV201" t="inlineStr">
        <is>
          <t>flat</t>
        </is>
      </c>
      <c r="DW201" t="n">
        <v>67.90000000000001</v>
      </c>
      <c r="DX201" t="n">
        <v>73.56999999999999</v>
      </c>
      <c r="DY201" t="n">
        <v>65.03</v>
      </c>
      <c r="DZ201" t="n">
        <v>-2.87</v>
      </c>
      <c r="EA201" t="n">
        <v>936</v>
      </c>
      <c r="EB201" t="n">
        <v>23.68</v>
      </c>
      <c r="EC201" t="n">
        <v>1.78</v>
      </c>
      <c r="ED201" t="n">
        <v>120</v>
      </c>
      <c r="EE201" t="n">
        <v>1384</v>
      </c>
      <c r="EF201" t="b">
        <v>1</v>
      </c>
      <c r="EG201" t="n">
        <v>30.7</v>
      </c>
      <c r="EH201" t="n">
        <v>7.4</v>
      </c>
      <c r="EI201" t="n">
        <v>93</v>
      </c>
      <c r="EJ201" t="n">
        <v>77.40000000000001</v>
      </c>
      <c r="EK201" t="n">
        <v>54.6</v>
      </c>
      <c r="EL201" t="n">
        <v>58</v>
      </c>
      <c r="EM201" t="n">
        <v>1246.3</v>
      </c>
      <c r="EN201" t="n">
        <v>595</v>
      </c>
      <c r="EO201" t="n">
        <v>402.7</v>
      </c>
      <c r="EP201" t="n">
        <v>27.3</v>
      </c>
    </row>
    <row r="202">
      <c r="A202" t="inlineStr">
        <is>
          <t>Amine Adli</t>
        </is>
      </c>
      <c r="B202" t="inlineStr">
        <is>
          <t>BOU</t>
        </is>
      </c>
      <c r="C202" t="inlineStr">
        <is>
          <t>MID</t>
        </is>
      </c>
      <c r="D202" t="inlineStr">
        <is>
          <t>MID</t>
        </is>
      </c>
      <c r="E202" t="n">
        <v>5</v>
      </c>
      <c r="F202" t="b">
        <v>1</v>
      </c>
      <c r="G202" t="b">
        <v>1</v>
      </c>
      <c r="H202" t="n">
        <v>26.3</v>
      </c>
      <c r="I202" t="inlineStr">
        <is>
          <t>a</t>
        </is>
      </c>
      <c r="L202" t="inlineStr">
        <is>
          <t>p489888</t>
        </is>
      </c>
      <c r="M202" t="n">
        <v>77</v>
      </c>
      <c r="Q202" t="n">
        <v>1074</v>
      </c>
      <c r="R202" t="n">
        <v>31</v>
      </c>
      <c r="S202" t="n">
        <v>10</v>
      </c>
      <c r="T202" t="n">
        <v>11.933</v>
      </c>
      <c r="U202" t="n">
        <v>34.6</v>
      </c>
      <c r="V202" t="n">
        <v>67</v>
      </c>
      <c r="W202" t="n">
        <v>5.615</v>
      </c>
      <c r="X202" t="n">
        <v>3</v>
      </c>
      <c r="Y202" t="n">
        <v>2</v>
      </c>
      <c r="Z202" t="n">
        <v>1</v>
      </c>
      <c r="AA202" t="n">
        <v>3</v>
      </c>
      <c r="AB202" t="n">
        <v>17</v>
      </c>
      <c r="AC202" t="n">
        <v>4</v>
      </c>
      <c r="AD202" t="n">
        <v>4</v>
      </c>
      <c r="AE202" t="n">
        <v>0</v>
      </c>
      <c r="AF202" t="n">
        <v>241</v>
      </c>
      <c r="AG202" t="n">
        <v>235</v>
      </c>
      <c r="AH202" t="n">
        <v>-6</v>
      </c>
      <c r="AI202" t="n">
        <v>67</v>
      </c>
      <c r="AJ202" t="n">
        <v>0.06</v>
      </c>
      <c r="AK202" t="n">
        <v>0.063</v>
      </c>
      <c r="AL202" t="n">
        <v>123</v>
      </c>
      <c r="AM202" t="n">
        <v>10.307</v>
      </c>
      <c r="AN202" t="n">
        <v>1</v>
      </c>
      <c r="AO202" t="n">
        <v>2</v>
      </c>
      <c r="AP202" t="n">
        <v>0.1</v>
      </c>
      <c r="AQ202" t="n">
        <v>0.2</v>
      </c>
      <c r="AR202" t="n">
        <v>0.1</v>
      </c>
      <c r="AS202" t="n">
        <v>0.263</v>
      </c>
      <c r="AT202" t="n">
        <v>0.258</v>
      </c>
      <c r="AU202" t="n">
        <v>25</v>
      </c>
      <c r="AV202" t="n">
        <v>2</v>
      </c>
      <c r="AW202" t="n">
        <v>2.51</v>
      </c>
      <c r="AX202" t="n">
        <v>10</v>
      </c>
      <c r="AY202" t="n">
        <v>2.6</v>
      </c>
      <c r="AZ202" t="n">
        <v>3.574</v>
      </c>
      <c r="BA202" t="n">
        <v>3.087</v>
      </c>
      <c r="BB202" t="n">
        <v>3.574</v>
      </c>
      <c r="BC202" t="n">
        <v>0.218</v>
      </c>
      <c r="BD202" t="n">
        <v>0.3</v>
      </c>
      <c r="BE202" t="n">
        <v>0.259</v>
      </c>
      <c r="BF202" t="n">
        <v>3.2</v>
      </c>
      <c r="BG202" t="n">
        <v>0.268</v>
      </c>
      <c r="BH202" t="n">
        <v>1.057</v>
      </c>
      <c r="BI202" t="n">
        <v>2.6</v>
      </c>
      <c r="BJ202" t="n">
        <v>2.747</v>
      </c>
      <c r="BK202" t="n">
        <v>0.23</v>
      </c>
      <c r="BL202" t="n">
        <v>-0.08699999999999999</v>
      </c>
      <c r="BM202" t="n">
        <v>0.6</v>
      </c>
      <c r="BN202" t="n">
        <v>-0.2</v>
      </c>
      <c r="BO202" t="n">
        <v>-0.974</v>
      </c>
      <c r="BP202" t="n">
        <v>20</v>
      </c>
      <c r="BQ202" t="n">
        <v>9</v>
      </c>
      <c r="BR202" t="n">
        <v>4</v>
      </c>
      <c r="BS202" t="n">
        <v>46</v>
      </c>
      <c r="BT202" t="n">
        <v>3.855</v>
      </c>
      <c r="BV202" t="n">
        <v>1</v>
      </c>
      <c r="BW202" t="n">
        <v>1.62</v>
      </c>
      <c r="BX202" t="n">
        <v>1.278</v>
      </c>
      <c r="BY202" t="n">
        <v>1.449</v>
      </c>
      <c r="BZ202" t="n">
        <v>0.121</v>
      </c>
      <c r="CA202" t="n">
        <v>4.536</v>
      </c>
      <c r="CB202" t="n">
        <v>0.38</v>
      </c>
      <c r="CC202" t="n">
        <v>17</v>
      </c>
      <c r="CD202" t="n">
        <v>1</v>
      </c>
      <c r="CE202" t="n">
        <v>16</v>
      </c>
      <c r="CF202" t="n">
        <v>2</v>
      </c>
      <c r="CH202" t="n">
        <v>15</v>
      </c>
      <c r="CI202" t="n">
        <v>6.135</v>
      </c>
      <c r="CJ202" t="n">
        <v>2.169</v>
      </c>
      <c r="CK202" t="n">
        <v>26</v>
      </c>
      <c r="CL202" t="n">
        <v>61</v>
      </c>
      <c r="CM202" t="n">
        <v>36</v>
      </c>
      <c r="CN202" t="n">
        <v>16</v>
      </c>
      <c r="CO202" t="n">
        <v>7</v>
      </c>
      <c r="CP202" t="n">
        <v>17</v>
      </c>
      <c r="CQ202" t="n">
        <v>2</v>
      </c>
      <c r="CR202" t="n">
        <v>96</v>
      </c>
      <c r="CS202" t="n">
        <v>30</v>
      </c>
      <c r="CT202" t="n">
        <v>0.4</v>
      </c>
      <c r="CW202" t="n">
        <v>18.22</v>
      </c>
      <c r="CX202" t="n">
        <v>1.527</v>
      </c>
      <c r="CY202" t="n">
        <v>0</v>
      </c>
      <c r="DB202" t="n">
        <v>0</v>
      </c>
      <c r="DE202" t="n">
        <v>6.69</v>
      </c>
      <c r="DF202" t="n">
        <v>2</v>
      </c>
      <c r="DG202" t="n">
        <v>0</v>
      </c>
      <c r="DH202" t="n">
        <v>29</v>
      </c>
      <c r="DI202" t="n">
        <v>22</v>
      </c>
      <c r="DJ202" t="n">
        <v>1</v>
      </c>
      <c r="DL202" t="n">
        <v>8</v>
      </c>
      <c r="DM202" t="n">
        <v>9</v>
      </c>
      <c r="DN202" t="n">
        <v>5</v>
      </c>
      <c r="DO202" t="n">
        <v>0.2</v>
      </c>
      <c r="DP202" t="n">
        <v>34.75</v>
      </c>
      <c r="DQ202" t="n">
        <v>19.09</v>
      </c>
      <c r="DR202" t="n">
        <v>38.18</v>
      </c>
      <c r="DS202" t="n">
        <v>-3.43</v>
      </c>
      <c r="DT202" t="n">
        <v>390</v>
      </c>
      <c r="DU202" t="n">
        <v>10.26</v>
      </c>
      <c r="DV202" t="inlineStr">
        <is>
          <t>flat</t>
        </is>
      </c>
      <c r="DW202" t="n">
        <v>83.03</v>
      </c>
      <c r="DX202" t="n">
        <v>83</v>
      </c>
      <c r="DY202" t="n">
        <v>73.59999999999999</v>
      </c>
      <c r="DZ202" t="n">
        <v>-9.43</v>
      </c>
      <c r="EA202" t="n">
        <v>2</v>
      </c>
      <c r="EB202" t="n">
        <v>13.15</v>
      </c>
      <c r="EC202" t="n">
        <v>57.6</v>
      </c>
      <c r="ED202" t="n">
        <v>92.5</v>
      </c>
      <c r="EE202" t="n">
        <v>6</v>
      </c>
      <c r="EF202" t="b">
        <v>0</v>
      </c>
      <c r="EG202" t="n">
        <v>0.1</v>
      </c>
      <c r="EH202" t="n">
        <v>0</v>
      </c>
      <c r="EI202" t="n">
        <v>265</v>
      </c>
      <c r="EJ202" t="n">
        <v>53.7</v>
      </c>
      <c r="EK202" t="n">
        <v>23.3</v>
      </c>
      <c r="EL202" t="n">
        <v>67.09999999999999</v>
      </c>
      <c r="EM202" t="n">
        <v>347.9</v>
      </c>
      <c r="EN202" t="n">
        <v>741.2</v>
      </c>
      <c r="EO202" t="n">
        <v>236.8</v>
      </c>
      <c r="EP202" t="n">
        <v>16</v>
      </c>
    </row>
    <row r="203">
      <c r="A203" t="inlineStr">
        <is>
          <t>Abdukodir Khusanov</t>
        </is>
      </c>
      <c r="B203" t="inlineStr">
        <is>
          <t>MCI</t>
        </is>
      </c>
      <c r="C203" t="inlineStr">
        <is>
          <t>DEF</t>
        </is>
      </c>
      <c r="D203" t="inlineStr">
        <is>
          <t>DEF</t>
        </is>
      </c>
      <c r="E203" t="n">
        <v>5.5</v>
      </c>
      <c r="F203" t="b">
        <v>1</v>
      </c>
      <c r="G203" t="b">
        <v>1</v>
      </c>
      <c r="H203" t="n">
        <v>22.5</v>
      </c>
      <c r="I203" t="inlineStr">
        <is>
          <t>a</t>
        </is>
      </c>
      <c r="L203" t="inlineStr">
        <is>
          <t>p578153</t>
        </is>
      </c>
      <c r="M203" t="n">
        <v>393</v>
      </c>
      <c r="Q203" t="n">
        <v>1427</v>
      </c>
      <c r="R203" t="n">
        <v>21</v>
      </c>
      <c r="S203" t="n">
        <v>15</v>
      </c>
      <c r="T203" t="n">
        <v>15.856</v>
      </c>
      <c r="U203" t="n">
        <v>68</v>
      </c>
      <c r="V203" t="n">
        <v>67</v>
      </c>
      <c r="W203" t="n">
        <v>4.226</v>
      </c>
      <c r="X203" t="n">
        <v>0</v>
      </c>
      <c r="Y203" t="n">
        <v>0</v>
      </c>
      <c r="AA203" t="n">
        <v>6</v>
      </c>
      <c r="AB203" t="n">
        <v>13</v>
      </c>
      <c r="AC203" t="n">
        <v>3</v>
      </c>
      <c r="AD203" t="n">
        <v>3</v>
      </c>
      <c r="AE203" t="n">
        <v>0</v>
      </c>
      <c r="AF203" t="n">
        <v>293</v>
      </c>
      <c r="AG203" t="n">
        <v>275</v>
      </c>
      <c r="AH203" t="n">
        <v>-18</v>
      </c>
      <c r="AI203" t="n">
        <v>67</v>
      </c>
      <c r="AJ203" t="n">
        <v>0.045</v>
      </c>
      <c r="AK203" t="n">
        <v>0.047</v>
      </c>
      <c r="AL203" t="n">
        <v>123</v>
      </c>
      <c r="AM203" t="n">
        <v>7.758</v>
      </c>
      <c r="AN203" t="n">
        <v>5</v>
      </c>
      <c r="AO203" t="n">
        <v>10</v>
      </c>
      <c r="AP203" t="n">
        <v>0.333</v>
      </c>
      <c r="AQ203" t="n">
        <v>0.333</v>
      </c>
      <c r="AR203" t="n">
        <v>0.133</v>
      </c>
      <c r="AS203" t="n">
        <v>0.395</v>
      </c>
      <c r="AT203" t="n">
        <v>0.667</v>
      </c>
      <c r="AU203" t="n">
        <v>12</v>
      </c>
      <c r="AV203" t="n">
        <v>1</v>
      </c>
      <c r="AW203" t="n">
        <v>2.68</v>
      </c>
      <c r="AX203" t="n">
        <v>11</v>
      </c>
      <c r="AY203" t="n">
        <v>0.65</v>
      </c>
      <c r="AZ203" t="n">
        <v>0.673</v>
      </c>
      <c r="BA203" t="n">
        <v>0.661</v>
      </c>
      <c r="BB203" t="n">
        <v>0.673</v>
      </c>
      <c r="BC203" t="n">
        <v>0.041</v>
      </c>
      <c r="BD203" t="n">
        <v>0.042</v>
      </c>
      <c r="BE203" t="n">
        <v>0.042</v>
      </c>
      <c r="BH203" t="n">
        <v>0.923</v>
      </c>
      <c r="BI203" t="n">
        <v>0.67</v>
      </c>
      <c r="BJ203" t="n">
        <v>0.6</v>
      </c>
      <c r="BK203" t="n">
        <v>0.038</v>
      </c>
      <c r="BL203" t="n">
        <v>-0.661</v>
      </c>
      <c r="BO203" t="n">
        <v>-0.023</v>
      </c>
      <c r="BP203" t="n">
        <v>7</v>
      </c>
      <c r="BQ203" t="n">
        <v>1</v>
      </c>
      <c r="BR203" t="n">
        <v>1</v>
      </c>
      <c r="BS203" t="n">
        <v>8</v>
      </c>
      <c r="BT203" t="n">
        <v>0.505</v>
      </c>
      <c r="BW203" t="n">
        <v>1.21</v>
      </c>
      <c r="BX203" t="n">
        <v>0.572</v>
      </c>
      <c r="BY203" t="n">
        <v>0.891</v>
      </c>
      <c r="BZ203" t="n">
        <v>0.056</v>
      </c>
      <c r="CA203" t="n">
        <v>1.552</v>
      </c>
      <c r="CB203" t="n">
        <v>0.098</v>
      </c>
      <c r="CC203" t="n">
        <v>6</v>
      </c>
      <c r="CE203" t="n">
        <v>6</v>
      </c>
      <c r="CF203" t="n">
        <v>1</v>
      </c>
      <c r="CI203" t="n">
        <v>7.634</v>
      </c>
      <c r="CJ203" t="n">
        <v>7.127</v>
      </c>
      <c r="CK203" t="n">
        <v>96</v>
      </c>
      <c r="CL203" t="n">
        <v>75</v>
      </c>
      <c r="CM203" t="n">
        <v>27</v>
      </c>
      <c r="CN203" t="n">
        <v>20</v>
      </c>
      <c r="CO203" t="n">
        <v>33</v>
      </c>
      <c r="CP203" t="n">
        <v>56</v>
      </c>
      <c r="CQ203" t="n">
        <v>9</v>
      </c>
      <c r="CR203" t="n">
        <v>55</v>
      </c>
      <c r="CS203" t="n">
        <v>15</v>
      </c>
      <c r="CT203" t="n">
        <v>0.1</v>
      </c>
      <c r="CV203" t="n">
        <v>1</v>
      </c>
      <c r="CW203" t="n">
        <v>20.89</v>
      </c>
      <c r="CX203" t="n">
        <v>1.318</v>
      </c>
      <c r="CY203" t="n">
        <v>0</v>
      </c>
      <c r="DB203" t="n">
        <v>0</v>
      </c>
      <c r="DE203" t="n">
        <v>7.12</v>
      </c>
      <c r="DF203" t="n">
        <v>2</v>
      </c>
      <c r="DG203" t="n">
        <v>0</v>
      </c>
      <c r="DH203" t="n">
        <v>14</v>
      </c>
      <c r="DI203" t="n">
        <v>6</v>
      </c>
      <c r="DL203" t="n">
        <v>7</v>
      </c>
      <c r="DM203" t="n">
        <v>2</v>
      </c>
      <c r="DO203" t="n">
        <v>2</v>
      </c>
      <c r="DP203" t="n">
        <v>34.61</v>
      </c>
      <c r="DQ203" t="n">
        <v>17.31</v>
      </c>
      <c r="DR203" t="n">
        <v>34.62</v>
      </c>
      <c r="DS203" t="n">
        <v>-0.01</v>
      </c>
      <c r="DT203" t="n">
        <v>690</v>
      </c>
      <c r="DU203" t="n">
        <v>18.16</v>
      </c>
      <c r="DV203" t="inlineStr">
        <is>
          <t>flat</t>
        </is>
      </c>
      <c r="DW203" t="n">
        <v>81.90000000000001</v>
      </c>
      <c r="DX203" t="n">
        <v>85.14</v>
      </c>
      <c r="DY203" t="n">
        <v>81.68000000000001</v>
      </c>
      <c r="DZ203" t="n">
        <v>-0.22</v>
      </c>
      <c r="EA203" t="n">
        <v>973</v>
      </c>
      <c r="EB203" t="n">
        <v>20.24</v>
      </c>
      <c r="EC203" t="n">
        <v>5.33</v>
      </c>
      <c r="ED203" t="n">
        <v>120</v>
      </c>
      <c r="EE203" t="n">
        <v>1674</v>
      </c>
      <c r="EF203" t="b">
        <v>1</v>
      </c>
      <c r="EG203" t="n">
        <v>79.40000000000001</v>
      </c>
      <c r="EH203" t="n">
        <v>56.8</v>
      </c>
      <c r="EI203" t="n">
        <v>159</v>
      </c>
      <c r="EJ203" t="n">
        <v>203.9</v>
      </c>
      <c r="EK203" t="n">
        <v>178.4</v>
      </c>
      <c r="EL203" t="n">
        <v>237.8</v>
      </c>
      <c r="EM203" t="n">
        <v>2157.5</v>
      </c>
      <c r="EN203" t="n">
        <v>1602</v>
      </c>
      <c r="EO203" t="n">
        <v>919.4</v>
      </c>
      <c r="EP203" t="n">
        <v>21.3</v>
      </c>
    </row>
    <row r="204">
      <c r="A204" t="inlineStr">
        <is>
          <t>Ao Tanaka</t>
        </is>
      </c>
      <c r="B204" t="inlineStr">
        <is>
          <t>LEE</t>
        </is>
      </c>
      <c r="C204" t="inlineStr">
        <is>
          <t>MID</t>
        </is>
      </c>
      <c r="D204" t="inlineStr">
        <is>
          <t>MID</t>
        </is>
      </c>
      <c r="E204" t="n">
        <v>5</v>
      </c>
      <c r="F204" t="b">
        <v>1</v>
      </c>
      <c r="G204" t="b">
        <v>1</v>
      </c>
      <c r="H204" t="n">
        <v>27.9</v>
      </c>
      <c r="I204" t="inlineStr">
        <is>
          <t>a</t>
        </is>
      </c>
      <c r="L204" t="inlineStr">
        <is>
          <t>p248056</t>
        </is>
      </c>
      <c r="M204" t="n">
        <v>345</v>
      </c>
      <c r="O204" t="n">
        <v>4</v>
      </c>
      <c r="Q204" t="n">
        <v>1307</v>
      </c>
      <c r="R204" t="n">
        <v>28</v>
      </c>
      <c r="S204" t="n">
        <v>14</v>
      </c>
      <c r="T204" t="n">
        <v>14.522</v>
      </c>
      <c r="U204" t="n">
        <v>46.7</v>
      </c>
      <c r="V204" t="n">
        <v>67</v>
      </c>
      <c r="W204" t="n">
        <v>4.614</v>
      </c>
      <c r="X204" t="n">
        <v>2</v>
      </c>
      <c r="Y204" t="n">
        <v>1</v>
      </c>
      <c r="AA204" t="n">
        <v>3</v>
      </c>
      <c r="AB204" t="n">
        <v>22</v>
      </c>
      <c r="AC204" t="n">
        <v>4</v>
      </c>
      <c r="AD204" t="n">
        <v>3</v>
      </c>
      <c r="AE204" t="n">
        <v>-1</v>
      </c>
      <c r="AF204" t="n">
        <v>288</v>
      </c>
      <c r="AG204" t="n">
        <v>279</v>
      </c>
      <c r="AH204" t="n">
        <v>-9</v>
      </c>
      <c r="AI204" t="n">
        <v>66</v>
      </c>
      <c r="AJ204" t="n">
        <v>0.06</v>
      </c>
      <c r="AK204" t="n">
        <v>0.063</v>
      </c>
      <c r="AL204" t="n">
        <v>147</v>
      </c>
      <c r="AM204" t="n">
        <v>10.122</v>
      </c>
      <c r="AN204" t="n">
        <v>4</v>
      </c>
      <c r="AO204" t="n">
        <v>8</v>
      </c>
      <c r="AP204" t="n">
        <v>0.286</v>
      </c>
      <c r="AQ204" t="n">
        <v>0.357</v>
      </c>
      <c r="AR204" t="n">
        <v>0.286</v>
      </c>
      <c r="AS204" t="n">
        <v>0.368</v>
      </c>
      <c r="AT204" t="n">
        <v>0.429</v>
      </c>
      <c r="AU204" t="n">
        <v>19</v>
      </c>
      <c r="AV204" t="n">
        <v>0</v>
      </c>
      <c r="AW204" t="n">
        <v>2.03</v>
      </c>
      <c r="AX204" t="n">
        <v>9</v>
      </c>
      <c r="AY204" t="n">
        <v>1.44</v>
      </c>
      <c r="AZ204" t="n">
        <v>2.198</v>
      </c>
      <c r="BA204" t="n">
        <v>1.819</v>
      </c>
      <c r="BB204" t="n">
        <v>2.198</v>
      </c>
      <c r="BC204" t="n">
        <v>0.099</v>
      </c>
      <c r="BD204" t="n">
        <v>0.151</v>
      </c>
      <c r="BE204" t="n">
        <v>0.125</v>
      </c>
      <c r="BF204" t="n">
        <v>1.3</v>
      </c>
      <c r="BG204" t="n">
        <v>0.09</v>
      </c>
      <c r="BH204" t="n">
        <v>0.985</v>
      </c>
      <c r="BI204" t="n">
        <v>1.44</v>
      </c>
      <c r="BJ204" t="n">
        <v>1.419</v>
      </c>
      <c r="BK204" t="n">
        <v>0.098</v>
      </c>
      <c r="BL204" t="n">
        <v>0.181</v>
      </c>
      <c r="BM204" t="n">
        <v>-0.14</v>
      </c>
      <c r="BN204" t="n">
        <v>0.7</v>
      </c>
      <c r="BO204" t="n">
        <v>-0.758</v>
      </c>
      <c r="BP204" t="n">
        <v>17</v>
      </c>
      <c r="BQ204" t="n">
        <v>5</v>
      </c>
      <c r="BR204" t="n">
        <v>1</v>
      </c>
      <c r="BS204" t="n">
        <v>14</v>
      </c>
      <c r="BT204" t="n">
        <v>0.964</v>
      </c>
      <c r="BW204" t="n">
        <v>1.39</v>
      </c>
      <c r="BX204" t="n">
        <v>1.358</v>
      </c>
      <c r="BY204" t="n">
        <v>1.374</v>
      </c>
      <c r="BZ204" t="n">
        <v>0.095</v>
      </c>
      <c r="CA204" t="n">
        <v>3.193</v>
      </c>
      <c r="CB204" t="n">
        <v>0.22</v>
      </c>
      <c r="CC204" t="n">
        <v>18</v>
      </c>
      <c r="CD204" t="n">
        <v>1</v>
      </c>
      <c r="CE204" t="n">
        <v>18</v>
      </c>
      <c r="CF204" t="n">
        <v>14</v>
      </c>
      <c r="CG204" t="n">
        <v>1</v>
      </c>
      <c r="CH204" t="n">
        <v>12</v>
      </c>
      <c r="CI204" t="n">
        <v>6.806</v>
      </c>
      <c r="CJ204" t="n">
        <v>4.313</v>
      </c>
      <c r="CK204" t="n">
        <v>38</v>
      </c>
      <c r="CL204" t="n">
        <v>82</v>
      </c>
      <c r="CM204" t="n">
        <v>27</v>
      </c>
      <c r="CN204" t="n">
        <v>14</v>
      </c>
      <c r="CO204" t="n">
        <v>21</v>
      </c>
      <c r="CP204" t="n">
        <v>15</v>
      </c>
      <c r="CQ204" t="n">
        <v>2</v>
      </c>
      <c r="CR204" t="n">
        <v>52</v>
      </c>
      <c r="CS204" t="n">
        <v>12</v>
      </c>
      <c r="CT204" t="n">
        <v>0.7</v>
      </c>
      <c r="CV204" t="n">
        <v>1</v>
      </c>
      <c r="CW204" t="n">
        <v>21.49</v>
      </c>
      <c r="CX204" t="n">
        <v>1.48</v>
      </c>
      <c r="CY204" t="n">
        <v>0</v>
      </c>
      <c r="DB204" t="n">
        <v>0</v>
      </c>
      <c r="DE204" t="n">
        <v>6.85</v>
      </c>
      <c r="DF204" t="n">
        <v>1</v>
      </c>
      <c r="DG204" t="n">
        <v>0</v>
      </c>
      <c r="DH204" t="n">
        <v>13</v>
      </c>
      <c r="DI204" t="n">
        <v>9</v>
      </c>
      <c r="DL204" t="n">
        <v>4</v>
      </c>
      <c r="DM204" t="n">
        <v>8</v>
      </c>
      <c r="DO204" t="n">
        <v>0.3</v>
      </c>
      <c r="DP204" t="n">
        <v>33.82</v>
      </c>
      <c r="DQ204" t="n">
        <v>16.91</v>
      </c>
      <c r="DR204" t="n">
        <v>33.82</v>
      </c>
      <c r="DS204" t="n">
        <v>0</v>
      </c>
      <c r="DT204" t="n">
        <v>662</v>
      </c>
      <c r="DU204" t="n">
        <v>17.41</v>
      </c>
      <c r="DV204" t="inlineStr">
        <is>
          <t>flat</t>
        </is>
      </c>
      <c r="DW204" t="n">
        <v>60.58</v>
      </c>
      <c r="DX204" t="n">
        <v>80</v>
      </c>
      <c r="DY204" t="n">
        <v>45.27</v>
      </c>
      <c r="DZ204" t="n">
        <v>-15.31</v>
      </c>
      <c r="EA204" t="n">
        <v>5</v>
      </c>
      <c r="EB204" t="n">
        <v>36.35</v>
      </c>
      <c r="EC204" t="n">
        <v>8</v>
      </c>
      <c r="ED204" t="n">
        <v>112</v>
      </c>
      <c r="EE204" t="n">
        <v>7</v>
      </c>
      <c r="EF204" t="b">
        <v>0</v>
      </c>
      <c r="EG204" t="n">
        <v>0.2</v>
      </c>
      <c r="EH204" t="n">
        <v>30</v>
      </c>
      <c r="EI204" t="n">
        <v>268</v>
      </c>
      <c r="EJ204" t="n">
        <v>76.90000000000001</v>
      </c>
      <c r="EK204" t="n">
        <v>93.40000000000001</v>
      </c>
      <c r="EL204" t="n">
        <v>72.59999999999999</v>
      </c>
      <c r="EM204" t="n">
        <v>718.5</v>
      </c>
      <c r="EN204" t="n">
        <v>951.3</v>
      </c>
      <c r="EO204" t="n">
        <v>409.3</v>
      </c>
      <c r="EP204" t="n">
        <v>19.5</v>
      </c>
    </row>
    <row r="205">
      <c r="A205" t="inlineStr">
        <is>
          <t>Rayan</t>
        </is>
      </c>
      <c r="B205" t="inlineStr">
        <is>
          <t>BOU</t>
        </is>
      </c>
      <c r="C205" t="inlineStr">
        <is>
          <t>MID</t>
        </is>
      </c>
      <c r="D205" t="inlineStr">
        <is>
          <t>MID</t>
        </is>
      </c>
      <c r="E205" t="n">
        <v>6.5</v>
      </c>
      <c r="F205" t="b">
        <v>1</v>
      </c>
      <c r="G205" t="b">
        <v>1</v>
      </c>
      <c r="H205" t="n">
        <v>20</v>
      </c>
      <c r="I205" t="inlineStr">
        <is>
          <t>a</t>
        </is>
      </c>
      <c r="L205" t="inlineStr">
        <is>
          <t>p499604</t>
        </is>
      </c>
      <c r="M205" t="n">
        <v>67</v>
      </c>
      <c r="Q205" t="n">
        <v>1110</v>
      </c>
      <c r="R205" t="n">
        <v>15</v>
      </c>
      <c r="S205" t="n">
        <v>13</v>
      </c>
      <c r="T205" t="n">
        <v>12.333</v>
      </c>
      <c r="U205" t="n">
        <v>74</v>
      </c>
      <c r="V205" t="n">
        <v>67</v>
      </c>
      <c r="W205" t="n">
        <v>5.432</v>
      </c>
      <c r="X205" t="n">
        <v>5</v>
      </c>
      <c r="Y205" t="n">
        <v>2</v>
      </c>
      <c r="Z205" t="n">
        <v>2</v>
      </c>
      <c r="AA205" t="n">
        <v>6</v>
      </c>
      <c r="AB205" t="n">
        <v>10</v>
      </c>
      <c r="AC205" t="n">
        <v>3</v>
      </c>
      <c r="AD205" t="n">
        <v>3</v>
      </c>
      <c r="AE205" t="n">
        <v>0</v>
      </c>
      <c r="AF205" t="n">
        <v>238</v>
      </c>
      <c r="AG205" t="n">
        <v>232</v>
      </c>
      <c r="AH205" t="n">
        <v>-6</v>
      </c>
      <c r="AI205" t="n">
        <v>67</v>
      </c>
      <c r="AJ205" t="n">
        <v>0.045</v>
      </c>
      <c r="AK205" t="n">
        <v>0.047</v>
      </c>
      <c r="AL205" t="n">
        <v>82</v>
      </c>
      <c r="AM205" t="n">
        <v>6.649</v>
      </c>
      <c r="AN205" t="n">
        <v>0</v>
      </c>
      <c r="AO205" t="n">
        <v>0</v>
      </c>
      <c r="AP205" t="n">
        <v>0</v>
      </c>
      <c r="AQ205" t="n">
        <v>0</v>
      </c>
      <c r="AR205" t="n">
        <v>0</v>
      </c>
      <c r="AS205" t="n">
        <v>0.342</v>
      </c>
      <c r="AT205" t="n">
        <v>0.867</v>
      </c>
      <c r="AU205" t="n">
        <v>4</v>
      </c>
      <c r="AV205" t="n">
        <v>0</v>
      </c>
      <c r="AW205" t="n">
        <v>2.56</v>
      </c>
      <c r="AX205" t="n">
        <v>9</v>
      </c>
      <c r="AY205" t="n">
        <v>2.67</v>
      </c>
      <c r="AZ205" t="n">
        <v>2.668</v>
      </c>
      <c r="BA205" t="n">
        <v>2.669</v>
      </c>
      <c r="BB205" t="n">
        <v>2.668</v>
      </c>
      <c r="BC205" t="n">
        <v>0.216</v>
      </c>
      <c r="BD205" t="n">
        <v>0.216</v>
      </c>
      <c r="BE205" t="n">
        <v>0.216</v>
      </c>
      <c r="BF205" t="n">
        <v>3.4</v>
      </c>
      <c r="BG205" t="n">
        <v>0.276</v>
      </c>
      <c r="BH205" t="n">
        <v>1.068</v>
      </c>
      <c r="BI205" t="n">
        <v>2.67</v>
      </c>
      <c r="BJ205" t="n">
        <v>2.853</v>
      </c>
      <c r="BK205" t="n">
        <v>0.231</v>
      </c>
      <c r="BL205" t="n">
        <v>2.331</v>
      </c>
      <c r="BM205" t="n">
        <v>0.73</v>
      </c>
      <c r="BN205" t="n">
        <v>1.6</v>
      </c>
      <c r="BO205" t="n">
        <v>0.002</v>
      </c>
      <c r="BP205" t="n">
        <v>28</v>
      </c>
      <c r="BQ205" t="n">
        <v>8</v>
      </c>
      <c r="BS205" t="n">
        <v>51</v>
      </c>
      <c r="BT205" t="n">
        <v>4.135</v>
      </c>
      <c r="BV205" t="n">
        <v>1</v>
      </c>
      <c r="BW205" t="n">
        <v>1.84</v>
      </c>
      <c r="BX205" t="n">
        <v>2.779</v>
      </c>
      <c r="BY205" t="n">
        <v>2.309</v>
      </c>
      <c r="BZ205" t="n">
        <v>0.187</v>
      </c>
      <c r="CA205" t="n">
        <v>4.979</v>
      </c>
      <c r="CB205" t="n">
        <v>0.404</v>
      </c>
      <c r="CC205" t="n">
        <v>14</v>
      </c>
      <c r="CD205" t="n">
        <v>3</v>
      </c>
      <c r="CE205" t="n">
        <v>14</v>
      </c>
      <c r="CF205" t="n">
        <v>4</v>
      </c>
      <c r="CG205" t="n">
        <v>1</v>
      </c>
      <c r="CH205" t="n">
        <v>1</v>
      </c>
      <c r="CI205" t="n">
        <v>6.338</v>
      </c>
      <c r="CJ205" t="n">
        <v>2.823</v>
      </c>
      <c r="CK205" t="n">
        <v>28</v>
      </c>
      <c r="CL205" t="n">
        <v>43</v>
      </c>
      <c r="CM205" t="n">
        <v>11</v>
      </c>
      <c r="CN205" t="n">
        <v>7</v>
      </c>
      <c r="CO205" t="n">
        <v>8</v>
      </c>
      <c r="CP205" t="n">
        <v>20</v>
      </c>
      <c r="CR205" t="n">
        <v>55</v>
      </c>
      <c r="CS205" t="n">
        <v>25</v>
      </c>
      <c r="CW205" t="n">
        <v>19.14</v>
      </c>
      <c r="CX205" t="n">
        <v>1.552</v>
      </c>
      <c r="CY205" t="n">
        <v>0</v>
      </c>
      <c r="DB205" t="n">
        <v>0</v>
      </c>
      <c r="DF205" t="n">
        <v>1</v>
      </c>
      <c r="DG205" t="n">
        <v>0</v>
      </c>
      <c r="DH205" t="n">
        <v>9</v>
      </c>
      <c r="DI205" t="n">
        <v>6</v>
      </c>
      <c r="DK205" t="n">
        <v>1</v>
      </c>
      <c r="DL205" t="n">
        <v>13</v>
      </c>
      <c r="DM205" t="n">
        <v>10</v>
      </c>
      <c r="DN205" t="n">
        <v>1</v>
      </c>
      <c r="DO205" t="n">
        <v>3.3</v>
      </c>
      <c r="DP205" t="n">
        <v>131.9</v>
      </c>
      <c r="DQ205" t="n">
        <v>66.31</v>
      </c>
      <c r="DR205" t="n">
        <v>132.62</v>
      </c>
      <c r="DS205" t="n">
        <v>-0.72</v>
      </c>
      <c r="DT205" t="n">
        <v>2861</v>
      </c>
      <c r="DU205" t="n">
        <v>75.3</v>
      </c>
      <c r="DV205" t="inlineStr">
        <is>
          <t>flat</t>
        </is>
      </c>
      <c r="DW205" t="n">
        <v>52.33</v>
      </c>
      <c r="DX205" t="n">
        <v>54.93</v>
      </c>
      <c r="DY205" t="n">
        <v>48.21</v>
      </c>
      <c r="DZ205" t="n">
        <v>-4.12</v>
      </c>
      <c r="EA205" t="n">
        <v>1390</v>
      </c>
      <c r="EB205" t="n">
        <v>21.85</v>
      </c>
      <c r="EC205" t="n">
        <v>1</v>
      </c>
      <c r="ED205" t="n">
        <v>120</v>
      </c>
      <c r="EE205" t="n">
        <v>3192</v>
      </c>
      <c r="EF205" t="b">
        <v>1</v>
      </c>
      <c r="EG205" t="n">
        <v>83.90000000000001</v>
      </c>
      <c r="EH205" t="n">
        <v>21.9</v>
      </c>
      <c r="EI205" t="n">
        <v>47</v>
      </c>
      <c r="EJ205" t="n">
        <v>39.6</v>
      </c>
      <c r="EK205" t="n">
        <v>21.8</v>
      </c>
      <c r="EL205" t="n">
        <v>79.3</v>
      </c>
      <c r="EM205" t="n">
        <v>415.9</v>
      </c>
      <c r="EN205" t="n">
        <v>480.6</v>
      </c>
      <c r="EO205" t="n">
        <v>223</v>
      </c>
      <c r="EP205" t="n">
        <v>16.6</v>
      </c>
    </row>
    <row r="206">
      <c r="A206" t="inlineStr">
        <is>
          <t>Mikel Merino</t>
        </is>
      </c>
      <c r="B206" t="inlineStr">
        <is>
          <t>ARS</t>
        </is>
      </c>
      <c r="C206" t="inlineStr">
        <is>
          <t>MID</t>
        </is>
      </c>
      <c r="D206" t="inlineStr">
        <is>
          <t>MID</t>
        </is>
      </c>
      <c r="E206" t="n">
        <v>6</v>
      </c>
      <c r="F206" t="b">
        <v>1</v>
      </c>
      <c r="G206" t="b">
        <v>1</v>
      </c>
      <c r="H206" t="n">
        <v>30.2</v>
      </c>
      <c r="I206" t="inlineStr">
        <is>
          <t>a</t>
        </is>
      </c>
      <c r="L206" t="inlineStr">
        <is>
          <t>p195384</t>
        </is>
      </c>
      <c r="M206" t="n">
        <v>17</v>
      </c>
      <c r="Q206" t="n">
        <v>1024</v>
      </c>
      <c r="R206" t="n">
        <v>22</v>
      </c>
      <c r="S206" t="n">
        <v>10</v>
      </c>
      <c r="T206" t="n">
        <v>11.378</v>
      </c>
      <c r="U206" t="n">
        <v>46.5</v>
      </c>
      <c r="V206" t="n">
        <v>67</v>
      </c>
      <c r="W206" t="n">
        <v>5.889</v>
      </c>
      <c r="X206" t="n">
        <v>4</v>
      </c>
      <c r="Y206" t="n">
        <v>3</v>
      </c>
      <c r="Z206" t="n">
        <v>3</v>
      </c>
      <c r="AA206" t="n">
        <v>4</v>
      </c>
      <c r="AB206" t="n">
        <v>10</v>
      </c>
      <c r="AC206" t="n">
        <v>5</v>
      </c>
      <c r="AD206" t="n">
        <v>5</v>
      </c>
      <c r="AE206" t="n">
        <v>0</v>
      </c>
      <c r="AF206" t="n">
        <v>236</v>
      </c>
      <c r="AG206" t="n">
        <v>229</v>
      </c>
      <c r="AH206" t="n">
        <v>-7</v>
      </c>
      <c r="AI206" t="n">
        <v>67</v>
      </c>
      <c r="AJ206" t="n">
        <v>0.075</v>
      </c>
      <c r="AK206" t="n">
        <v>0.081</v>
      </c>
      <c r="AL206" t="n">
        <v>113</v>
      </c>
      <c r="AM206" t="n">
        <v>9.932</v>
      </c>
      <c r="AN206" t="n">
        <v>0</v>
      </c>
      <c r="AO206" t="n">
        <v>0</v>
      </c>
      <c r="AP206" t="n">
        <v>0</v>
      </c>
      <c r="AQ206" t="n">
        <v>0.3</v>
      </c>
      <c r="AR206" t="n">
        <v>0</v>
      </c>
      <c r="AS206" t="n">
        <v>0.263</v>
      </c>
      <c r="AT206" t="n">
        <v>0.364</v>
      </c>
      <c r="AU206" t="n">
        <v>14</v>
      </c>
      <c r="AV206" t="n">
        <v>1</v>
      </c>
      <c r="AW206" t="n">
        <v>2.87</v>
      </c>
      <c r="AX206" t="n">
        <v>13</v>
      </c>
      <c r="AY206" t="n">
        <v>3.36</v>
      </c>
      <c r="AZ206" t="n">
        <v>5.218</v>
      </c>
      <c r="BA206" t="n">
        <v>4.289</v>
      </c>
      <c r="BB206" t="n">
        <v>5.218</v>
      </c>
      <c r="BC206" t="n">
        <v>0.295</v>
      </c>
      <c r="BD206" t="n">
        <v>0.459</v>
      </c>
      <c r="BE206" t="n">
        <v>0.377</v>
      </c>
      <c r="BF206" t="n">
        <v>3.7</v>
      </c>
      <c r="BG206" t="n">
        <v>0.325</v>
      </c>
      <c r="BH206" t="n">
        <v>1.093</v>
      </c>
      <c r="BI206" t="n">
        <v>9.109999999999999</v>
      </c>
      <c r="BJ206" t="n">
        <v>3.672</v>
      </c>
      <c r="BK206" t="n">
        <v>0.323</v>
      </c>
      <c r="BL206" t="n">
        <v>-0.289</v>
      </c>
      <c r="BM206" t="n">
        <v>0.34</v>
      </c>
      <c r="BN206" t="n">
        <v>0.3</v>
      </c>
      <c r="BO206" t="n">
        <v>-1.858</v>
      </c>
      <c r="BP206" t="n">
        <v>22</v>
      </c>
      <c r="BQ206" t="n">
        <v>8</v>
      </c>
      <c r="BR206" t="n">
        <v>5</v>
      </c>
      <c r="BS206" t="n">
        <v>34</v>
      </c>
      <c r="BT206" t="n">
        <v>2.988</v>
      </c>
      <c r="BV206" t="n">
        <v>3</v>
      </c>
      <c r="BW206" t="n">
        <v>1.45</v>
      </c>
      <c r="BX206" t="n">
        <v>2.29</v>
      </c>
      <c r="BY206" t="n">
        <v>1.87</v>
      </c>
      <c r="BZ206" t="n">
        <v>0.164</v>
      </c>
      <c r="CA206" t="n">
        <v>6.159</v>
      </c>
      <c r="CB206" t="n">
        <v>0.541</v>
      </c>
      <c r="CC206" t="n">
        <v>12</v>
      </c>
      <c r="CD206" t="n">
        <v>4</v>
      </c>
      <c r="CE206" t="n">
        <v>12</v>
      </c>
      <c r="CG206" t="n">
        <v>2</v>
      </c>
      <c r="CI206" t="n">
        <v>8.369</v>
      </c>
      <c r="CJ206" t="n">
        <v>3.812</v>
      </c>
      <c r="CK206" t="n">
        <v>30</v>
      </c>
      <c r="CL206" t="n">
        <v>57</v>
      </c>
      <c r="CM206" t="n">
        <v>26</v>
      </c>
      <c r="CN206" t="n">
        <v>13</v>
      </c>
      <c r="CO206" t="n">
        <v>10</v>
      </c>
      <c r="CP206" t="n">
        <v>19</v>
      </c>
      <c r="CQ206" t="n">
        <v>2</v>
      </c>
      <c r="CR206" t="n">
        <v>79</v>
      </c>
      <c r="CS206" t="n">
        <v>28</v>
      </c>
      <c r="CT206" t="n">
        <v>0.7</v>
      </c>
      <c r="CW206" t="n">
        <v>7.36</v>
      </c>
      <c r="CX206" t="n">
        <v>0.647</v>
      </c>
      <c r="CY206" t="n">
        <v>0</v>
      </c>
      <c r="DB206" t="n">
        <v>0</v>
      </c>
      <c r="DE206" t="n">
        <v>6.93</v>
      </c>
      <c r="DF206" t="n">
        <v>1</v>
      </c>
      <c r="DG206" t="n">
        <v>0</v>
      </c>
      <c r="DH206" t="n">
        <v>22</v>
      </c>
      <c r="DI206" t="n">
        <v>20</v>
      </c>
      <c r="DL206" t="n">
        <v>5</v>
      </c>
      <c r="DM206" t="n">
        <v>17</v>
      </c>
      <c r="DN206" t="n">
        <v>3</v>
      </c>
      <c r="DO206" t="n">
        <v>1</v>
      </c>
      <c r="DP206" t="n">
        <v>34.52</v>
      </c>
      <c r="DQ206" t="n">
        <v>17.34</v>
      </c>
      <c r="DR206" t="n">
        <v>34.68</v>
      </c>
      <c r="DS206" t="n">
        <v>-0.16</v>
      </c>
      <c r="DT206" t="n">
        <v>173</v>
      </c>
      <c r="DU206" t="n">
        <v>4.54</v>
      </c>
      <c r="DV206" t="inlineStr">
        <is>
          <t>flat</t>
        </is>
      </c>
      <c r="DW206" t="n">
        <v>71.01000000000001</v>
      </c>
      <c r="DX206" t="n">
        <v>76.94</v>
      </c>
      <c r="DY206" t="n">
        <v>69.38</v>
      </c>
      <c r="DZ206" t="n">
        <v>-1.63</v>
      </c>
      <c r="EA206" t="n">
        <v>246</v>
      </c>
      <c r="EB206" t="n">
        <v>25.48</v>
      </c>
      <c r="EC206" t="n">
        <v>4.36</v>
      </c>
      <c r="ED206" t="n">
        <v>120</v>
      </c>
      <c r="EE206" t="n">
        <v>443</v>
      </c>
      <c r="EF206" t="b">
        <v>1</v>
      </c>
      <c r="EG206" t="n">
        <v>10.6</v>
      </c>
      <c r="EH206" t="n">
        <v>14.3</v>
      </c>
      <c r="EI206" t="n">
        <v>94</v>
      </c>
      <c r="EJ206" t="n">
        <v>46.5</v>
      </c>
      <c r="EK206" t="n">
        <v>30.1</v>
      </c>
      <c r="EL206" t="n">
        <v>85.3</v>
      </c>
      <c r="EM206" t="n">
        <v>238.8</v>
      </c>
      <c r="EN206" t="n">
        <v>547.6</v>
      </c>
      <c r="EO206" t="n">
        <v>166.3</v>
      </c>
      <c r="EP206" t="n">
        <v>15.3</v>
      </c>
    </row>
    <row r="207">
      <c r="A207" t="inlineStr">
        <is>
          <t>Daichi Kamada</t>
        </is>
      </c>
      <c r="B207" t="inlineStr">
        <is>
          <t>CRY</t>
        </is>
      </c>
      <c r="C207" t="inlineStr">
        <is>
          <t>MID</t>
        </is>
      </c>
      <c r="D207" t="inlineStr">
        <is>
          <t>MID</t>
        </is>
      </c>
      <c r="E207" t="n">
        <v>5</v>
      </c>
      <c r="F207" t="b">
        <v>1</v>
      </c>
      <c r="G207" t="b">
        <v>1</v>
      </c>
      <c r="H207" t="n">
        <v>30</v>
      </c>
      <c r="I207" t="inlineStr">
        <is>
          <t>a</t>
        </is>
      </c>
      <c r="L207" t="inlineStr">
        <is>
          <t>p209400</t>
        </is>
      </c>
      <c r="M207" t="n">
        <v>214</v>
      </c>
      <c r="O207" t="n">
        <v>4</v>
      </c>
      <c r="Q207" t="n">
        <v>1899</v>
      </c>
      <c r="R207" t="n">
        <v>28</v>
      </c>
      <c r="S207" t="n">
        <v>22</v>
      </c>
      <c r="T207" t="n">
        <v>21.1</v>
      </c>
      <c r="U207" t="n">
        <v>67.8</v>
      </c>
      <c r="V207" t="n">
        <v>67</v>
      </c>
      <c r="W207" t="n">
        <v>3.175</v>
      </c>
      <c r="X207" t="n">
        <v>0</v>
      </c>
      <c r="Y207" t="n">
        <v>2</v>
      </c>
      <c r="AA207" t="n">
        <v>6</v>
      </c>
      <c r="AB207" t="n">
        <v>28</v>
      </c>
      <c r="AC207" t="n">
        <v>0</v>
      </c>
      <c r="AD207" t="n">
        <v>0</v>
      </c>
      <c r="AE207" t="n">
        <v>0</v>
      </c>
      <c r="AF207" t="n">
        <v>331</v>
      </c>
      <c r="AG207" t="n">
        <v>322</v>
      </c>
      <c r="AH207" t="n">
        <v>-9</v>
      </c>
      <c r="AI207" t="n">
        <v>67</v>
      </c>
      <c r="AJ207" t="n">
        <v>0</v>
      </c>
      <c r="AK207" t="n">
        <v>0</v>
      </c>
      <c r="AL207" t="n">
        <v>208</v>
      </c>
      <c r="AM207" t="n">
        <v>9.858000000000001</v>
      </c>
      <c r="AN207" t="n">
        <v>5</v>
      </c>
      <c r="AO207" t="n">
        <v>10</v>
      </c>
      <c r="AP207" t="n">
        <v>0.227</v>
      </c>
      <c r="AQ207" t="n">
        <v>0.455</v>
      </c>
      <c r="AR207" t="n">
        <v>0.227</v>
      </c>
      <c r="AS207" t="n">
        <v>0.579</v>
      </c>
      <c r="AT207" t="n">
        <v>0.714</v>
      </c>
      <c r="AU207" t="n">
        <v>17</v>
      </c>
      <c r="AV207" t="n">
        <v>0</v>
      </c>
      <c r="AW207" t="n">
        <v>1.68</v>
      </c>
      <c r="AX207" t="n">
        <v>6</v>
      </c>
      <c r="AY207" t="n">
        <v>1.64</v>
      </c>
      <c r="AZ207" t="n">
        <v>1.487</v>
      </c>
      <c r="BA207" t="n">
        <v>1.564</v>
      </c>
      <c r="BB207" t="n">
        <v>1.487</v>
      </c>
      <c r="BC207" t="n">
        <v>0.078</v>
      </c>
      <c r="BD207" t="n">
        <v>0.07000000000000001</v>
      </c>
      <c r="BE207" t="n">
        <v>0.074</v>
      </c>
      <c r="BF207" t="n">
        <v>1.1</v>
      </c>
      <c r="BG207" t="n">
        <v>0.052</v>
      </c>
      <c r="BH207" t="n">
        <v>0.911</v>
      </c>
      <c r="BI207" t="n">
        <v>2.76</v>
      </c>
      <c r="BJ207" t="n">
        <v>1.494</v>
      </c>
      <c r="BK207" t="n">
        <v>0.07099999999999999</v>
      </c>
      <c r="BL207" t="n">
        <v>-1.564</v>
      </c>
      <c r="BM207" t="n">
        <v>-0.54</v>
      </c>
      <c r="BN207" t="n">
        <v>-1.1</v>
      </c>
      <c r="BO207" t="n">
        <v>0.153</v>
      </c>
      <c r="BP207" t="n">
        <v>19</v>
      </c>
      <c r="BQ207" t="n">
        <v>4</v>
      </c>
      <c r="BR207" t="n">
        <v>1</v>
      </c>
      <c r="BS207" t="n">
        <v>37</v>
      </c>
      <c r="BT207" t="n">
        <v>1.754</v>
      </c>
      <c r="BW207" t="n">
        <v>3.24</v>
      </c>
      <c r="BX207" t="n">
        <v>2.586</v>
      </c>
      <c r="BY207" t="n">
        <v>2.913</v>
      </c>
      <c r="BZ207" t="n">
        <v>0.138</v>
      </c>
      <c r="CA207" t="n">
        <v>4.476</v>
      </c>
      <c r="CB207" t="n">
        <v>0.212</v>
      </c>
      <c r="CC207" t="n">
        <v>20</v>
      </c>
      <c r="CD207" t="n">
        <v>5</v>
      </c>
      <c r="CE207" t="n">
        <v>20</v>
      </c>
      <c r="CF207" t="n">
        <v>11</v>
      </c>
      <c r="CG207" t="n">
        <v>4</v>
      </c>
      <c r="CH207" t="n">
        <v>22</v>
      </c>
      <c r="CI207" t="n">
        <v>9.884</v>
      </c>
      <c r="CJ207" t="n">
        <v>7.306</v>
      </c>
      <c r="CK207" t="n">
        <v>38</v>
      </c>
      <c r="CL207" t="n">
        <v>108</v>
      </c>
      <c r="CM207" t="n">
        <v>62</v>
      </c>
      <c r="CN207" t="n">
        <v>37</v>
      </c>
      <c r="CO207" t="n">
        <v>14</v>
      </c>
      <c r="CP207" t="n">
        <v>23</v>
      </c>
      <c r="CQ207" t="n">
        <v>1</v>
      </c>
      <c r="CR207" t="n">
        <v>116</v>
      </c>
      <c r="CS207" t="n">
        <v>14</v>
      </c>
      <c r="CT207" t="n">
        <v>0.6</v>
      </c>
      <c r="CV207" t="n">
        <v>3</v>
      </c>
      <c r="CW207" t="n">
        <v>26.04</v>
      </c>
      <c r="CX207" t="n">
        <v>1.234</v>
      </c>
      <c r="CY207" t="n">
        <v>0</v>
      </c>
      <c r="DB207" t="n">
        <v>0</v>
      </c>
      <c r="DE207" t="n">
        <v>6.84</v>
      </c>
      <c r="DF207" t="n">
        <v>3</v>
      </c>
      <c r="DG207" t="n">
        <v>0</v>
      </c>
      <c r="DH207" t="n">
        <v>30</v>
      </c>
      <c r="DI207" t="n">
        <v>28</v>
      </c>
      <c r="DJ207" t="n">
        <v>1</v>
      </c>
      <c r="DL207" t="n">
        <v>12</v>
      </c>
      <c r="DM207" t="n">
        <v>16</v>
      </c>
      <c r="DN207" t="n">
        <v>1</v>
      </c>
      <c r="DO207" t="n">
        <v>0.3</v>
      </c>
      <c r="DP207" t="n">
        <v>74.98</v>
      </c>
      <c r="DQ207" t="n">
        <v>37.49</v>
      </c>
      <c r="DR207" t="n">
        <v>74.98</v>
      </c>
      <c r="DS207" t="n">
        <v>0</v>
      </c>
      <c r="DT207" t="n">
        <v>1932</v>
      </c>
      <c r="DU207" t="n">
        <v>50.85</v>
      </c>
      <c r="DV207" t="inlineStr">
        <is>
          <t>flat</t>
        </is>
      </c>
      <c r="DW207" t="n">
        <v>58.92</v>
      </c>
      <c r="DX207" t="n">
        <v>80</v>
      </c>
      <c r="DY207" t="n">
        <v>44.74</v>
      </c>
      <c r="DZ207" t="n">
        <v>-14.18</v>
      </c>
      <c r="EA207" t="n">
        <v>4</v>
      </c>
      <c r="EB207" t="n">
        <v>34.88</v>
      </c>
      <c r="EC207" t="n">
        <v>6.5</v>
      </c>
      <c r="ED207" t="n">
        <v>107</v>
      </c>
      <c r="EE207" t="n">
        <v>10</v>
      </c>
      <c r="EF207" t="b">
        <v>1</v>
      </c>
      <c r="EG207" t="n">
        <v>0.3</v>
      </c>
      <c r="EH207" t="n">
        <v>28.6</v>
      </c>
      <c r="EI207" t="n">
        <v>266</v>
      </c>
      <c r="EJ207" t="n">
        <v>99.90000000000001</v>
      </c>
      <c r="EK207" t="n">
        <v>51.3</v>
      </c>
      <c r="EL207" t="n">
        <v>95</v>
      </c>
      <c r="EM207" t="n">
        <v>1214.5</v>
      </c>
      <c r="EN207" t="n">
        <v>651.9</v>
      </c>
      <c r="EO207" t="n">
        <v>424.2</v>
      </c>
      <c r="EP207" t="n">
        <v>28.3</v>
      </c>
    </row>
    <row r="208">
      <c r="A208" t="inlineStr">
        <is>
          <t>Sasa Lukic</t>
        </is>
      </c>
      <c r="B208" t="inlineStr">
        <is>
          <t>IPS</t>
        </is>
      </c>
      <c r="C208" t="inlineStr">
        <is>
          <t>MID</t>
        </is>
      </c>
      <c r="D208" t="inlineStr">
        <is>
          <t>MID</t>
        </is>
      </c>
      <c r="E208" t="n">
        <v>5</v>
      </c>
      <c r="F208" t="b">
        <v>1</v>
      </c>
      <c r="G208" t="b">
        <v>1</v>
      </c>
      <c r="H208" t="n">
        <v>30</v>
      </c>
      <c r="I208" t="inlineStr">
        <is>
          <t>a</t>
        </is>
      </c>
      <c r="L208" t="inlineStr">
        <is>
          <t>p212314</t>
        </is>
      </c>
      <c r="M208" t="n">
        <v>267</v>
      </c>
      <c r="Q208" t="n">
        <v>1730</v>
      </c>
      <c r="R208" t="n">
        <v>26</v>
      </c>
      <c r="S208" t="n">
        <v>20</v>
      </c>
      <c r="T208" t="n">
        <v>19.222</v>
      </c>
      <c r="U208" t="n">
        <v>66.5</v>
      </c>
      <c r="V208" t="n">
        <v>67</v>
      </c>
      <c r="W208" t="n">
        <v>3.486</v>
      </c>
      <c r="X208" t="n">
        <v>1</v>
      </c>
      <c r="Y208" t="n">
        <v>4</v>
      </c>
      <c r="Z208" t="n">
        <v>2</v>
      </c>
      <c r="AA208" t="n">
        <v>6</v>
      </c>
      <c r="AB208" t="n">
        <v>22</v>
      </c>
      <c r="AC208" t="n">
        <v>4</v>
      </c>
      <c r="AD208" t="n">
        <v>4</v>
      </c>
      <c r="AE208" t="n">
        <v>0</v>
      </c>
      <c r="AF208" t="n">
        <v>314</v>
      </c>
      <c r="AG208" t="n">
        <v>302</v>
      </c>
      <c r="AH208" t="n">
        <v>-12</v>
      </c>
      <c r="AI208" t="n">
        <v>67</v>
      </c>
      <c r="AJ208" t="n">
        <v>0.06</v>
      </c>
      <c r="AK208" t="n">
        <v>0.063</v>
      </c>
      <c r="AL208" t="n">
        <v>183</v>
      </c>
      <c r="AM208" t="n">
        <v>9.52</v>
      </c>
      <c r="AN208" t="n">
        <v>3</v>
      </c>
      <c r="AO208" t="n">
        <v>6</v>
      </c>
      <c r="AP208" t="n">
        <v>0.15</v>
      </c>
      <c r="AQ208" t="n">
        <v>0.3</v>
      </c>
      <c r="AR208" t="n">
        <v>0.15</v>
      </c>
      <c r="AS208" t="n">
        <v>0.526</v>
      </c>
      <c r="AT208" t="n">
        <v>0.654</v>
      </c>
      <c r="AU208" t="n">
        <v>17</v>
      </c>
      <c r="AV208" t="n">
        <v>0</v>
      </c>
      <c r="AW208" t="n">
        <v>2.22</v>
      </c>
      <c r="AX208" t="n">
        <v>9</v>
      </c>
      <c r="AY208" t="n">
        <v>2.23</v>
      </c>
      <c r="AZ208" t="n">
        <v>2.339</v>
      </c>
      <c r="BA208" t="n">
        <v>2.285</v>
      </c>
      <c r="BB208" t="n">
        <v>2.339</v>
      </c>
      <c r="BC208" t="n">
        <v>0.116</v>
      </c>
      <c r="BD208" t="n">
        <v>0.122</v>
      </c>
      <c r="BE208" t="n">
        <v>0.119</v>
      </c>
      <c r="BF208" t="n">
        <v>1.4</v>
      </c>
      <c r="BG208" t="n">
        <v>0.073</v>
      </c>
      <c r="BH208" t="n">
        <v>0.892</v>
      </c>
      <c r="BI208" t="n">
        <v>5.01</v>
      </c>
      <c r="BJ208" t="n">
        <v>1.988</v>
      </c>
      <c r="BK208" t="n">
        <v>0.103</v>
      </c>
      <c r="BL208" t="n">
        <v>-1.285</v>
      </c>
      <c r="BM208" t="n">
        <v>-0.83</v>
      </c>
      <c r="BN208" t="n">
        <v>-0.4</v>
      </c>
      <c r="BO208" t="n">
        <v>-0.109</v>
      </c>
      <c r="BP208" t="n">
        <v>18</v>
      </c>
      <c r="BQ208" t="n">
        <v>6</v>
      </c>
      <c r="BR208" t="n">
        <v>3</v>
      </c>
      <c r="BS208" t="n">
        <v>35</v>
      </c>
      <c r="BT208" t="n">
        <v>1.821</v>
      </c>
      <c r="BV208" t="n">
        <v>1</v>
      </c>
      <c r="BW208" t="n">
        <v>1.91</v>
      </c>
      <c r="BX208" t="n">
        <v>2.163</v>
      </c>
      <c r="BY208" t="n">
        <v>2.037</v>
      </c>
      <c r="BZ208" t="n">
        <v>0.106</v>
      </c>
      <c r="CA208" t="n">
        <v>4.321</v>
      </c>
      <c r="CB208" t="n">
        <v>0.225</v>
      </c>
      <c r="CC208" t="n">
        <v>27</v>
      </c>
      <c r="CD208" t="n">
        <v>3</v>
      </c>
      <c r="CE208" t="n">
        <v>28</v>
      </c>
      <c r="CF208" t="n">
        <v>19</v>
      </c>
      <c r="CG208" t="n">
        <v>1</v>
      </c>
      <c r="CH208" t="n">
        <v>52</v>
      </c>
      <c r="CI208" t="n">
        <v>6.226</v>
      </c>
      <c r="CJ208" t="n">
        <v>3.358</v>
      </c>
      <c r="CK208" t="n">
        <v>63</v>
      </c>
      <c r="CL208" t="n">
        <v>71</v>
      </c>
      <c r="CM208" t="n">
        <v>49</v>
      </c>
      <c r="CN208" t="n">
        <v>27</v>
      </c>
      <c r="CO208" t="n">
        <v>18</v>
      </c>
      <c r="CP208" t="n">
        <v>36</v>
      </c>
      <c r="CQ208" t="n">
        <v>9</v>
      </c>
      <c r="CR208" t="n">
        <v>103</v>
      </c>
      <c r="CS208" t="n">
        <v>23</v>
      </c>
      <c r="CT208" t="n">
        <v>0.3</v>
      </c>
      <c r="CV208" t="n">
        <v>2</v>
      </c>
      <c r="CW208" t="n">
        <v>27.64</v>
      </c>
      <c r="CX208" t="n">
        <v>1.438</v>
      </c>
      <c r="CY208" t="n">
        <v>0</v>
      </c>
      <c r="DB208" t="n">
        <v>0</v>
      </c>
      <c r="DE208" t="n">
        <v>6.84</v>
      </c>
      <c r="DF208" t="n">
        <v>9</v>
      </c>
      <c r="DG208" t="n">
        <v>0</v>
      </c>
      <c r="DH208" t="n">
        <v>53</v>
      </c>
      <c r="DI208" t="n">
        <v>25</v>
      </c>
      <c r="DL208" t="n">
        <v>6</v>
      </c>
      <c r="DM208" t="n">
        <v>9</v>
      </c>
      <c r="DN208" t="n">
        <v>2</v>
      </c>
      <c r="DO208" t="n">
        <v>0.1</v>
      </c>
      <c r="DP208" t="n">
        <v>85</v>
      </c>
      <c r="DQ208" t="n">
        <v>42.69</v>
      </c>
      <c r="DR208" t="n">
        <v>85.38</v>
      </c>
      <c r="DS208" t="n">
        <v>-0.38</v>
      </c>
      <c r="DT208" t="n">
        <v>2217</v>
      </c>
      <c r="DU208" t="n">
        <v>58.35</v>
      </c>
      <c r="DV208" t="inlineStr">
        <is>
          <t>flat</t>
        </is>
      </c>
      <c r="DW208" t="n">
        <v>57.03</v>
      </c>
      <c r="DX208" t="n">
        <v>30</v>
      </c>
      <c r="DY208" t="n">
        <v>30</v>
      </c>
      <c r="DZ208" t="n">
        <v>-27.03</v>
      </c>
      <c r="EA208" t="n">
        <v>1</v>
      </c>
      <c r="EB208" t="n">
        <v>33.3</v>
      </c>
      <c r="EC208" t="n">
        <v>30</v>
      </c>
      <c r="ED208" t="n">
        <v>94.22</v>
      </c>
      <c r="EE208" t="n">
        <v>3</v>
      </c>
      <c r="EF208" t="b">
        <v>0</v>
      </c>
      <c r="EG208" t="n">
        <v>0.1</v>
      </c>
      <c r="EH208" t="n">
        <v>50</v>
      </c>
      <c r="EI208" t="n">
        <v>267</v>
      </c>
      <c r="EJ208" t="n">
        <v>96.09999999999999</v>
      </c>
      <c r="EK208" t="n">
        <v>49.4</v>
      </c>
      <c r="EL208" t="n">
        <v>61.8</v>
      </c>
      <c r="EM208" t="n">
        <v>757.2</v>
      </c>
      <c r="EN208" t="n">
        <v>849.4</v>
      </c>
      <c r="EO208" t="n">
        <v>400.3</v>
      </c>
      <c r="EP208" t="n">
        <v>25.8</v>
      </c>
    </row>
    <row r="209">
      <c r="A209" t="inlineStr">
        <is>
          <t>Ola Aina</t>
        </is>
      </c>
      <c r="B209" t="inlineStr">
        <is>
          <t>NFO</t>
        </is>
      </c>
      <c r="C209" t="inlineStr">
        <is>
          <t>DEF</t>
        </is>
      </c>
      <c r="D209" t="inlineStr">
        <is>
          <t>DEF</t>
        </is>
      </c>
      <c r="E209" t="n">
        <v>4.5</v>
      </c>
      <c r="F209" t="b">
        <v>1</v>
      </c>
      <c r="G209" t="b">
        <v>1</v>
      </c>
      <c r="H209" t="n">
        <v>29.9</v>
      </c>
      <c r="I209" t="inlineStr">
        <is>
          <t>a</t>
        </is>
      </c>
      <c r="L209" t="inlineStr">
        <is>
          <t>p159506</t>
        </is>
      </c>
      <c r="M209" t="n">
        <v>473</v>
      </c>
      <c r="Q209" t="n">
        <v>1587</v>
      </c>
      <c r="R209" t="n">
        <v>18</v>
      </c>
      <c r="S209" t="n">
        <v>18</v>
      </c>
      <c r="T209" t="n">
        <v>17.633</v>
      </c>
      <c r="U209" t="n">
        <v>88.2</v>
      </c>
      <c r="V209" t="n">
        <v>67</v>
      </c>
      <c r="W209" t="n">
        <v>3.8</v>
      </c>
      <c r="X209" t="n">
        <v>0</v>
      </c>
      <c r="Y209" t="n">
        <v>2</v>
      </c>
      <c r="AA209" t="n">
        <v>6</v>
      </c>
      <c r="AB209" t="n">
        <v>19</v>
      </c>
      <c r="AC209" t="n">
        <v>5</v>
      </c>
      <c r="AD209" t="n">
        <v>5</v>
      </c>
      <c r="AE209" t="n">
        <v>0</v>
      </c>
      <c r="AF209" t="n">
        <v>264</v>
      </c>
      <c r="AG209" t="n">
        <v>246</v>
      </c>
      <c r="AH209" t="n">
        <v>-18</v>
      </c>
      <c r="AI209" t="n">
        <v>67</v>
      </c>
      <c r="AJ209" t="n">
        <v>0.075</v>
      </c>
      <c r="AK209" t="n">
        <v>0.081</v>
      </c>
      <c r="AL209" t="n">
        <v>130</v>
      </c>
      <c r="AM209" t="n">
        <v>7.372</v>
      </c>
      <c r="AN209" t="n">
        <v>2</v>
      </c>
      <c r="AO209" t="n">
        <v>4</v>
      </c>
      <c r="AP209" t="n">
        <v>0.111</v>
      </c>
      <c r="AQ209" t="n">
        <v>0.111</v>
      </c>
      <c r="AR209" t="n">
        <v>0.111</v>
      </c>
      <c r="AS209" t="n">
        <v>0.474</v>
      </c>
      <c r="AT209" t="n">
        <v>1</v>
      </c>
      <c r="AU209" t="n">
        <v>11</v>
      </c>
      <c r="AV209" t="n">
        <v>2</v>
      </c>
      <c r="AW209" t="n">
        <v>3</v>
      </c>
      <c r="AX209" t="n">
        <v>11</v>
      </c>
      <c r="AY209" t="n">
        <v>0.41</v>
      </c>
      <c r="AZ209" t="n">
        <v>0.41</v>
      </c>
      <c r="BA209" t="n">
        <v>0.41</v>
      </c>
      <c r="BB209" t="n">
        <v>0.41</v>
      </c>
      <c r="BC209" t="n">
        <v>0.023</v>
      </c>
      <c r="BD209" t="n">
        <v>0.023</v>
      </c>
      <c r="BE209" t="n">
        <v>0.023</v>
      </c>
      <c r="BF209" t="n">
        <v>0</v>
      </c>
      <c r="BG209" t="n">
        <v>0</v>
      </c>
      <c r="BH209" t="n">
        <v>0.97</v>
      </c>
      <c r="BI209" t="n">
        <v>1.38</v>
      </c>
      <c r="BJ209" t="n">
        <v>0.398</v>
      </c>
      <c r="BK209" t="n">
        <v>0.023</v>
      </c>
      <c r="BL209" t="n">
        <v>-0.41</v>
      </c>
      <c r="BM209" t="n">
        <v>-0.41</v>
      </c>
      <c r="BN209" t="n">
        <v>0</v>
      </c>
      <c r="BO209" t="n">
        <v>0</v>
      </c>
      <c r="BP209" t="n">
        <v>12</v>
      </c>
      <c r="BQ209" t="n">
        <v>1</v>
      </c>
      <c r="BS209" t="n">
        <v>10</v>
      </c>
      <c r="BT209" t="n">
        <v>0.5669999999999999</v>
      </c>
      <c r="BW209" t="n">
        <v>0.84</v>
      </c>
      <c r="BX209" t="n">
        <v>0.341</v>
      </c>
      <c r="BY209" t="n">
        <v>0.591</v>
      </c>
      <c r="BZ209" t="n">
        <v>0.033</v>
      </c>
      <c r="CA209" t="n">
        <v>1</v>
      </c>
      <c r="CB209" t="n">
        <v>0.057</v>
      </c>
      <c r="CC209" t="n">
        <v>9</v>
      </c>
      <c r="CE209" t="n">
        <v>9</v>
      </c>
      <c r="CF209" t="n">
        <v>7</v>
      </c>
      <c r="CH209" t="n">
        <v>1</v>
      </c>
      <c r="CI209" t="n">
        <v>3.951</v>
      </c>
      <c r="CJ209" t="n">
        <v>3.527</v>
      </c>
      <c r="CK209" t="n">
        <v>99</v>
      </c>
      <c r="CL209" t="n">
        <v>81</v>
      </c>
      <c r="CM209" t="n">
        <v>31</v>
      </c>
      <c r="CN209" t="n">
        <v>21</v>
      </c>
      <c r="CO209" t="n">
        <v>25</v>
      </c>
      <c r="CP209" t="n">
        <v>71</v>
      </c>
      <c r="CQ209" t="n">
        <v>3</v>
      </c>
      <c r="CR209" t="n">
        <v>85</v>
      </c>
      <c r="CS209" t="n">
        <v>25</v>
      </c>
      <c r="CV209" t="n">
        <v>2</v>
      </c>
      <c r="CW209" t="n">
        <v>25.31</v>
      </c>
      <c r="CX209" t="n">
        <v>1.435</v>
      </c>
      <c r="CY209" t="n">
        <v>0</v>
      </c>
      <c r="DB209" t="n">
        <v>0</v>
      </c>
      <c r="DF209" t="n">
        <v>3</v>
      </c>
      <c r="DG209" t="n">
        <v>0</v>
      </c>
      <c r="DH209" t="n">
        <v>13</v>
      </c>
      <c r="DI209" t="n">
        <v>15</v>
      </c>
      <c r="DL209" t="n">
        <v>15</v>
      </c>
      <c r="DM209" t="n">
        <v>15</v>
      </c>
      <c r="DO209" t="n">
        <v>4.3</v>
      </c>
      <c r="DP209" t="n">
        <v>117.2</v>
      </c>
      <c r="DQ209" t="n">
        <v>58.71</v>
      </c>
      <c r="DR209" t="n">
        <v>117.42</v>
      </c>
      <c r="DS209" t="n">
        <v>-0.22</v>
      </c>
      <c r="DT209" t="n">
        <v>2953</v>
      </c>
      <c r="DU209" t="n">
        <v>77.7</v>
      </c>
      <c r="DV209" t="inlineStr">
        <is>
          <t>flat</t>
        </is>
      </c>
      <c r="DW209" t="n">
        <v>92.12</v>
      </c>
      <c r="DX209" t="n">
        <v>95.31999999999999</v>
      </c>
      <c r="DY209" t="n">
        <v>92.43000000000001</v>
      </c>
      <c r="DZ209" t="n">
        <v>0.31</v>
      </c>
      <c r="EA209" t="n">
        <v>357</v>
      </c>
      <c r="EB209" t="n">
        <v>18.47</v>
      </c>
      <c r="EC209" t="n">
        <v>24</v>
      </c>
      <c r="ED209" t="n">
        <v>120</v>
      </c>
      <c r="EE209" t="n">
        <v>530</v>
      </c>
      <c r="EF209" t="b">
        <v>1</v>
      </c>
      <c r="EG209" t="n">
        <v>12.1</v>
      </c>
      <c r="EH209" t="n">
        <v>10</v>
      </c>
      <c r="EI209" t="n">
        <v>416</v>
      </c>
      <c r="EJ209" t="n">
        <v>132.2</v>
      </c>
      <c r="EK209" t="n">
        <v>158.7</v>
      </c>
      <c r="EL209" t="n">
        <v>176.3</v>
      </c>
      <c r="EM209" t="n">
        <v>3872.6</v>
      </c>
      <c r="EN209" t="n">
        <v>2686.8</v>
      </c>
      <c r="EO209" t="n">
        <v>1586.2</v>
      </c>
      <c r="EP209" t="n">
        <v>23.7</v>
      </c>
    </row>
    <row r="210">
      <c r="A210" t="inlineStr">
        <is>
          <t>Habib Diarra</t>
        </is>
      </c>
      <c r="B210" t="inlineStr">
        <is>
          <t>SUN</t>
        </is>
      </c>
      <c r="C210" t="inlineStr">
        <is>
          <t>MID</t>
        </is>
      </c>
      <c r="D210" t="inlineStr">
        <is>
          <t>MID</t>
        </is>
      </c>
      <c r="E210" t="n">
        <v>5.5</v>
      </c>
      <c r="F210" t="b">
        <v>1</v>
      </c>
      <c r="G210" t="b">
        <v>1</v>
      </c>
      <c r="H210" t="n">
        <v>22.6</v>
      </c>
      <c r="I210" t="inlineStr">
        <is>
          <t>a</t>
        </is>
      </c>
      <c r="L210" t="inlineStr">
        <is>
          <t>p547027</t>
        </is>
      </c>
      <c r="M210" t="n">
        <v>543</v>
      </c>
      <c r="N210" t="n">
        <v>1</v>
      </c>
      <c r="Q210" t="n">
        <v>1403</v>
      </c>
      <c r="R210" t="n">
        <v>20</v>
      </c>
      <c r="S210" t="n">
        <v>15</v>
      </c>
      <c r="T210" t="n">
        <v>15.589</v>
      </c>
      <c r="U210" t="n">
        <v>70.2</v>
      </c>
      <c r="V210" t="n">
        <v>65</v>
      </c>
      <c r="W210" t="n">
        <v>4.17</v>
      </c>
      <c r="X210" t="n">
        <v>2</v>
      </c>
      <c r="Y210" t="n">
        <v>6</v>
      </c>
      <c r="Z210" t="n">
        <v>2</v>
      </c>
      <c r="AA210" t="n">
        <v>5</v>
      </c>
      <c r="AB210" t="n">
        <v>19</v>
      </c>
      <c r="AC210" t="n">
        <v>3</v>
      </c>
      <c r="AD210" t="n">
        <v>4</v>
      </c>
      <c r="AE210" t="n">
        <v>1</v>
      </c>
      <c r="AF210" t="n">
        <v>209</v>
      </c>
      <c r="AG210" t="n">
        <v>203</v>
      </c>
      <c r="AH210" t="n">
        <v>-6</v>
      </c>
      <c r="AI210" t="n">
        <v>66</v>
      </c>
      <c r="AJ210" t="n">
        <v>0.046</v>
      </c>
      <c r="AK210" t="n">
        <v>0.048</v>
      </c>
      <c r="AL210" t="n">
        <v>79</v>
      </c>
      <c r="AM210" t="n">
        <v>5.068</v>
      </c>
      <c r="AN210" t="n">
        <v>0</v>
      </c>
      <c r="AO210" t="n">
        <v>0</v>
      </c>
      <c r="AP210" t="n">
        <v>0</v>
      </c>
      <c r="AQ210" t="n">
        <v>0</v>
      </c>
      <c r="AR210" t="n">
        <v>0</v>
      </c>
      <c r="AS210" t="n">
        <v>0.395</v>
      </c>
      <c r="AT210" t="n">
        <v>0.75</v>
      </c>
      <c r="AU210" t="n">
        <v>11</v>
      </c>
      <c r="AV210" t="n">
        <v>1</v>
      </c>
      <c r="AW210" t="n">
        <v>2.82</v>
      </c>
      <c r="AX210" t="n">
        <v>14</v>
      </c>
      <c r="AY210" t="n">
        <v>3.27</v>
      </c>
      <c r="AZ210" t="n">
        <v>3.253</v>
      </c>
      <c r="BA210" t="n">
        <v>3.261</v>
      </c>
      <c r="BB210" t="n">
        <v>2.492</v>
      </c>
      <c r="BC210" t="n">
        <v>0.21</v>
      </c>
      <c r="BD210" t="n">
        <v>0.209</v>
      </c>
      <c r="BE210" t="n">
        <v>0.209</v>
      </c>
      <c r="BF210" t="n">
        <v>2.5</v>
      </c>
      <c r="BG210" t="n">
        <v>0.16</v>
      </c>
      <c r="BH210" t="n">
        <v>0.9320000000000001</v>
      </c>
      <c r="BI210" t="n">
        <v>3.27</v>
      </c>
      <c r="BJ210" t="n">
        <v>3.047</v>
      </c>
      <c r="BK210" t="n">
        <v>0.195</v>
      </c>
      <c r="BL210" t="n">
        <v>-1.261</v>
      </c>
      <c r="BM210" t="n">
        <v>-0.77</v>
      </c>
      <c r="BN210" t="n">
        <v>-0.5</v>
      </c>
      <c r="BO210" t="n">
        <v>0.017</v>
      </c>
      <c r="BP210" t="n">
        <v>26</v>
      </c>
      <c r="BQ210" t="n">
        <v>8</v>
      </c>
      <c r="BR210" t="n">
        <v>2</v>
      </c>
      <c r="BS210" t="n">
        <v>46</v>
      </c>
      <c r="BT210" t="n">
        <v>2.951</v>
      </c>
      <c r="BU210" t="n">
        <v>1</v>
      </c>
      <c r="BW210" t="n">
        <v>0.85</v>
      </c>
      <c r="BX210" t="n">
        <v>0.645</v>
      </c>
      <c r="BY210" t="n">
        <v>0.747</v>
      </c>
      <c r="BZ210" t="n">
        <v>0.048</v>
      </c>
      <c r="CA210" t="n">
        <v>4.009</v>
      </c>
      <c r="CB210" t="n">
        <v>0.257</v>
      </c>
      <c r="CC210" t="n">
        <v>7</v>
      </c>
      <c r="CD210" t="n">
        <v>1</v>
      </c>
      <c r="CE210" t="n">
        <v>7</v>
      </c>
      <c r="CF210" t="n">
        <v>4</v>
      </c>
      <c r="CG210" t="n">
        <v>2</v>
      </c>
      <c r="CI210" t="n">
        <v>4.116</v>
      </c>
      <c r="CJ210" t="n">
        <v>1.881</v>
      </c>
      <c r="CK210" t="n">
        <v>17</v>
      </c>
      <c r="CL210" t="n">
        <v>48</v>
      </c>
      <c r="CM210" t="n">
        <v>14</v>
      </c>
      <c r="CN210" t="n">
        <v>7</v>
      </c>
      <c r="CO210" t="n">
        <v>4</v>
      </c>
      <c r="CP210" t="n">
        <v>13</v>
      </c>
      <c r="CR210" t="n">
        <v>58</v>
      </c>
      <c r="CS210" t="n">
        <v>11</v>
      </c>
      <c r="CT210" t="n">
        <v>0.6</v>
      </c>
      <c r="CV210" t="n">
        <v>1</v>
      </c>
      <c r="CW210" t="n">
        <v>21.52</v>
      </c>
      <c r="CX210" t="n">
        <v>1.38</v>
      </c>
      <c r="CY210" t="n">
        <v>0</v>
      </c>
      <c r="DB210" t="n">
        <v>0</v>
      </c>
      <c r="DE210" t="n">
        <v>6.65</v>
      </c>
      <c r="DF210" t="n">
        <v>6</v>
      </c>
      <c r="DG210" t="n">
        <v>0</v>
      </c>
      <c r="DH210" t="n">
        <v>20</v>
      </c>
      <c r="DI210" t="n">
        <v>27</v>
      </c>
      <c r="DJ210" t="n">
        <v>1</v>
      </c>
      <c r="DL210" t="n">
        <v>6</v>
      </c>
      <c r="DM210" t="n">
        <v>14</v>
      </c>
      <c r="DN210" t="n">
        <v>3</v>
      </c>
      <c r="DO210" t="n">
        <v>0.1</v>
      </c>
      <c r="DP210" t="n">
        <v>70.40000000000001</v>
      </c>
      <c r="DQ210" t="n">
        <v>35.2</v>
      </c>
      <c r="DR210" t="n">
        <v>70.40000000000001</v>
      </c>
      <c r="DS210" t="n">
        <v>0</v>
      </c>
      <c r="DT210" t="n">
        <v>1602</v>
      </c>
      <c r="DU210" t="n">
        <v>42.15</v>
      </c>
      <c r="DV210" t="inlineStr">
        <is>
          <t>flat</t>
        </is>
      </c>
      <c r="DW210" t="n">
        <v>84.55</v>
      </c>
      <c r="DX210" t="n">
        <v>103.5</v>
      </c>
      <c r="DY210" t="n">
        <v>85.51000000000001</v>
      </c>
      <c r="DZ210" t="n">
        <v>0.96</v>
      </c>
      <c r="EA210" t="n">
        <v>11</v>
      </c>
      <c r="EB210" t="n">
        <v>23.78</v>
      </c>
      <c r="EC210" t="n">
        <v>29.33</v>
      </c>
      <c r="ED210" t="n">
        <v>118</v>
      </c>
      <c r="EE210" t="n">
        <v>17</v>
      </c>
      <c r="EF210" t="b">
        <v>1</v>
      </c>
      <c r="EG210" t="n">
        <v>0.4</v>
      </c>
      <c r="EH210" t="n">
        <v>15</v>
      </c>
      <c r="EI210" t="n">
        <v>160</v>
      </c>
      <c r="EJ210" t="n">
        <v>54</v>
      </c>
      <c r="EK210" t="n">
        <v>30.5</v>
      </c>
      <c r="EL210" t="n">
        <v>200.4</v>
      </c>
      <c r="EM210" t="n">
        <v>430.2</v>
      </c>
      <c r="EN210" t="n">
        <v>1877.2</v>
      </c>
      <c r="EO210" t="n">
        <v>350</v>
      </c>
      <c r="EP210" t="n">
        <v>21.6</v>
      </c>
    </row>
    <row r="211">
      <c r="A211" t="inlineStr">
        <is>
          <t>Brennan Johnson</t>
        </is>
      </c>
      <c r="B211" t="inlineStr">
        <is>
          <t>EVE</t>
        </is>
      </c>
      <c r="C211" t="inlineStr">
        <is>
          <t>MID</t>
        </is>
      </c>
      <c r="D211" t="inlineStr">
        <is>
          <t>MID</t>
        </is>
      </c>
      <c r="E211" t="n">
        <v>6</v>
      </c>
      <c r="F211" t="b">
        <v>1</v>
      </c>
      <c r="G211" t="b">
        <v>1</v>
      </c>
      <c r="H211" t="n">
        <v>25.2</v>
      </c>
      <c r="I211" t="inlineStr">
        <is>
          <t>a</t>
        </is>
      </c>
      <c r="L211" t="inlineStr">
        <is>
          <t>p242898</t>
        </is>
      </c>
      <c r="M211" t="n">
        <v>209</v>
      </c>
      <c r="Q211" t="n">
        <v>1710</v>
      </c>
      <c r="R211" t="n">
        <v>34</v>
      </c>
      <c r="S211" t="n">
        <v>19</v>
      </c>
      <c r="T211" t="n">
        <v>19</v>
      </c>
      <c r="U211" t="n">
        <v>50.3</v>
      </c>
      <c r="V211" t="n">
        <v>65</v>
      </c>
      <c r="W211" t="n">
        <v>3.421</v>
      </c>
      <c r="X211" t="n">
        <v>2</v>
      </c>
      <c r="Y211" t="n">
        <v>1</v>
      </c>
      <c r="Z211" t="n">
        <v>1</v>
      </c>
      <c r="AA211" t="n">
        <v>6</v>
      </c>
      <c r="AB211" t="n">
        <v>24</v>
      </c>
      <c r="AC211" t="n">
        <v>2</v>
      </c>
      <c r="AD211" t="n">
        <v>2</v>
      </c>
      <c r="AE211" t="n">
        <v>0</v>
      </c>
      <c r="AF211" t="n">
        <v>217</v>
      </c>
      <c r="AG211" t="n">
        <v>210</v>
      </c>
      <c r="AH211" t="n">
        <v>-7</v>
      </c>
      <c r="AI211" t="n">
        <v>65</v>
      </c>
      <c r="AJ211" t="n">
        <v>0.031</v>
      </c>
      <c r="AK211" t="n">
        <v>0.032</v>
      </c>
      <c r="AL211" t="n">
        <v>121</v>
      </c>
      <c r="AM211" t="n">
        <v>6.368</v>
      </c>
      <c r="AN211" t="n">
        <v>0</v>
      </c>
      <c r="AO211" t="n">
        <v>0</v>
      </c>
      <c r="AP211" t="n">
        <v>0</v>
      </c>
      <c r="AQ211" t="n">
        <v>0</v>
      </c>
      <c r="AR211" t="n">
        <v>0</v>
      </c>
      <c r="AS211" t="n">
        <v>0.5</v>
      </c>
      <c r="AT211" t="n">
        <v>0.471</v>
      </c>
      <c r="AU211" t="n">
        <v>30</v>
      </c>
      <c r="AV211" t="n">
        <v>0</v>
      </c>
      <c r="AW211" t="n">
        <v>1.81</v>
      </c>
      <c r="AX211" t="n">
        <v>9</v>
      </c>
      <c r="AY211" t="n">
        <v>2.45</v>
      </c>
      <c r="AZ211" t="n">
        <v>2.593</v>
      </c>
      <c r="BA211" t="n">
        <v>2.522</v>
      </c>
      <c r="BB211" t="n">
        <v>2.593</v>
      </c>
      <c r="BC211" t="n">
        <v>0.129</v>
      </c>
      <c r="BD211" t="n">
        <v>0.136</v>
      </c>
      <c r="BE211" t="n">
        <v>0.133</v>
      </c>
      <c r="BF211" t="n">
        <v>1.6</v>
      </c>
      <c r="BG211" t="n">
        <v>0.08400000000000001</v>
      </c>
      <c r="BH211" t="n">
        <v>0.926</v>
      </c>
      <c r="BI211" t="n">
        <v>31.95</v>
      </c>
      <c r="BJ211" t="n">
        <v>2.269</v>
      </c>
      <c r="BK211" t="n">
        <v>0.119</v>
      </c>
      <c r="BL211" t="n">
        <v>-0.522</v>
      </c>
      <c r="BM211" t="n">
        <v>-0.85</v>
      </c>
      <c r="BN211" t="n">
        <v>0.4</v>
      </c>
      <c r="BO211" t="n">
        <v>-0.143</v>
      </c>
      <c r="BP211" t="n">
        <v>23</v>
      </c>
      <c r="BQ211" t="n">
        <v>5</v>
      </c>
      <c r="BR211" t="n">
        <v>2</v>
      </c>
      <c r="BS211" t="n">
        <v>59</v>
      </c>
      <c r="BT211" t="n">
        <v>3.105</v>
      </c>
      <c r="BW211" t="n">
        <v>1.31</v>
      </c>
      <c r="BX211" t="n">
        <v>1.281</v>
      </c>
      <c r="BY211" t="n">
        <v>1.296</v>
      </c>
      <c r="BZ211" t="n">
        <v>0.068</v>
      </c>
      <c r="CA211" t="n">
        <v>3.817</v>
      </c>
      <c r="CB211" t="n">
        <v>0.201</v>
      </c>
      <c r="CC211" t="n">
        <v>19</v>
      </c>
      <c r="CD211" t="n">
        <v>1</v>
      </c>
      <c r="CE211" t="n">
        <v>19</v>
      </c>
      <c r="CF211" t="n">
        <v>18</v>
      </c>
      <c r="CH211" t="n">
        <v>23</v>
      </c>
      <c r="CI211" t="n">
        <v>5.24</v>
      </c>
      <c r="CJ211" t="n">
        <v>1.934</v>
      </c>
      <c r="CK211" t="n">
        <v>37</v>
      </c>
      <c r="CL211" t="n">
        <v>55</v>
      </c>
      <c r="CM211" t="n">
        <v>29</v>
      </c>
      <c r="CN211" t="n">
        <v>18</v>
      </c>
      <c r="CO211" t="n">
        <v>4</v>
      </c>
      <c r="CP211" t="n">
        <v>32</v>
      </c>
      <c r="CQ211" t="n">
        <v>1</v>
      </c>
      <c r="CR211" t="n">
        <v>67</v>
      </c>
      <c r="CS211" t="n">
        <v>16</v>
      </c>
      <c r="CT211" t="n">
        <v>0.6</v>
      </c>
      <c r="CV211" t="n">
        <v>1</v>
      </c>
      <c r="CW211" t="n">
        <v>28.29</v>
      </c>
      <c r="CX211" t="n">
        <v>1.489</v>
      </c>
      <c r="CY211" t="n">
        <v>0</v>
      </c>
      <c r="DB211" t="n">
        <v>0</v>
      </c>
      <c r="DE211" t="n">
        <v>6.57</v>
      </c>
      <c r="DF211" t="n">
        <v>6</v>
      </c>
      <c r="DG211" t="n">
        <v>0</v>
      </c>
      <c r="DH211" t="n">
        <v>20</v>
      </c>
      <c r="DI211" t="n">
        <v>15</v>
      </c>
      <c r="DK211" t="n">
        <v>0</v>
      </c>
      <c r="DL211" t="n">
        <v>9</v>
      </c>
      <c r="DM211" t="n">
        <v>12</v>
      </c>
      <c r="DN211" t="n">
        <v>14</v>
      </c>
      <c r="DO211" t="n">
        <v>0.2</v>
      </c>
      <c r="DP211" t="n">
        <v>53.82</v>
      </c>
      <c r="DQ211" t="n">
        <v>27.03</v>
      </c>
      <c r="DR211" t="n">
        <v>54.06</v>
      </c>
      <c r="DS211" t="n">
        <v>-0.24</v>
      </c>
      <c r="DT211" t="n">
        <v>1082</v>
      </c>
      <c r="DU211" t="n">
        <v>28.48</v>
      </c>
      <c r="DV211" t="inlineStr">
        <is>
          <t>flat</t>
        </is>
      </c>
      <c r="DW211" t="n">
        <v>83.36</v>
      </c>
      <c r="DX211" t="n">
        <v>89.95999999999999</v>
      </c>
      <c r="DY211" t="n">
        <v>82.91</v>
      </c>
      <c r="DZ211" t="n">
        <v>-0.45</v>
      </c>
      <c r="EA211" t="n">
        <v>141</v>
      </c>
      <c r="EB211" t="n">
        <v>19.52</v>
      </c>
      <c r="EC211" t="n">
        <v>35.5</v>
      </c>
      <c r="ED211" t="n">
        <v>120</v>
      </c>
      <c r="EE211" t="n">
        <v>180</v>
      </c>
      <c r="EF211" t="b">
        <v>1</v>
      </c>
      <c r="EG211" t="n">
        <v>4.4</v>
      </c>
      <c r="EH211" t="n">
        <v>15.5</v>
      </c>
      <c r="EI211" t="n">
        <v>95</v>
      </c>
      <c r="EJ211" t="n">
        <v>74.3</v>
      </c>
      <c r="EK211" t="n">
        <v>29</v>
      </c>
      <c r="EL211" t="n">
        <v>90</v>
      </c>
      <c r="EM211" t="n">
        <v>678.1</v>
      </c>
      <c r="EN211" t="n">
        <v>1319.9</v>
      </c>
      <c r="EO211" t="n">
        <v>448</v>
      </c>
      <c r="EP211" t="n">
        <v>26.3</v>
      </c>
    </row>
    <row r="212">
      <c r="A212" t="inlineStr">
        <is>
          <t>Wesley Fofana</t>
        </is>
      </c>
      <c r="B212" t="inlineStr">
        <is>
          <t>CHE</t>
        </is>
      </c>
      <c r="C212" t="inlineStr">
        <is>
          <t>DEF</t>
        </is>
      </c>
      <c r="D212" t="inlineStr">
        <is>
          <t>DEF</t>
        </is>
      </c>
      <c r="E212" t="n">
        <v>5</v>
      </c>
      <c r="F212" t="b">
        <v>1</v>
      </c>
      <c r="G212" t="b">
        <v>1</v>
      </c>
      <c r="H212" t="n">
        <v>25.7</v>
      </c>
      <c r="I212" t="inlineStr">
        <is>
          <t>s</t>
        </is>
      </c>
      <c r="J212" t="inlineStr">
        <is>
          <t>Suspended until 6 Sep</t>
        </is>
      </c>
      <c r="K212" t="n">
        <v>0</v>
      </c>
      <c r="L212" t="inlineStr">
        <is>
          <t>p444463</t>
        </is>
      </c>
      <c r="M212" t="n">
        <v>145</v>
      </c>
      <c r="Q212" t="n">
        <v>1718</v>
      </c>
      <c r="R212" t="n">
        <v>25</v>
      </c>
      <c r="S212" t="n">
        <v>20</v>
      </c>
      <c r="T212" t="n">
        <v>19.089</v>
      </c>
      <c r="U212" t="n">
        <v>68.7</v>
      </c>
      <c r="V212" t="n">
        <v>65</v>
      </c>
      <c r="W212" t="n">
        <v>3.405</v>
      </c>
      <c r="X212" t="n">
        <v>0</v>
      </c>
      <c r="Y212" t="n">
        <v>2</v>
      </c>
      <c r="Z212" t="n">
        <v>1</v>
      </c>
      <c r="AA212" t="n">
        <v>4</v>
      </c>
      <c r="AB212" t="n">
        <v>25</v>
      </c>
      <c r="AC212" t="n">
        <v>3</v>
      </c>
      <c r="AD212" t="n">
        <v>2</v>
      </c>
      <c r="AE212" t="n">
        <v>-1</v>
      </c>
      <c r="AF212" t="n">
        <v>288</v>
      </c>
      <c r="AG212" t="n">
        <v>255</v>
      </c>
      <c r="AH212" t="n">
        <v>-33</v>
      </c>
      <c r="AI212" t="n">
        <v>64</v>
      </c>
      <c r="AJ212" t="n">
        <v>0.046</v>
      </c>
      <c r="AK212" t="n">
        <v>0.048</v>
      </c>
      <c r="AL212" t="n">
        <v>206</v>
      </c>
      <c r="AM212" t="n">
        <v>10.792</v>
      </c>
      <c r="AN212" t="n">
        <v>7</v>
      </c>
      <c r="AO212" t="n">
        <v>14</v>
      </c>
      <c r="AP212" t="n">
        <v>0.35</v>
      </c>
      <c r="AQ212" t="n">
        <v>0.35</v>
      </c>
      <c r="AR212" t="n">
        <v>0.3</v>
      </c>
      <c r="AS212" t="n">
        <v>0.526</v>
      </c>
      <c r="AT212" t="n">
        <v>0.72</v>
      </c>
      <c r="AU212" t="n">
        <v>15</v>
      </c>
      <c r="AV212" t="n">
        <v>0</v>
      </c>
      <c r="AW212" t="n">
        <v>2.54</v>
      </c>
      <c r="AX212" t="n">
        <v>9</v>
      </c>
      <c r="AY212" t="n">
        <v>0.72</v>
      </c>
      <c r="AZ212" t="n">
        <v>0.54</v>
      </c>
      <c r="BA212" t="n">
        <v>0.63</v>
      </c>
      <c r="BB212" t="n">
        <v>0.54</v>
      </c>
      <c r="BC212" t="n">
        <v>0.038</v>
      </c>
      <c r="BD212" t="n">
        <v>0.028</v>
      </c>
      <c r="BE212" t="n">
        <v>0.033</v>
      </c>
      <c r="BF212" t="n">
        <v>0.1</v>
      </c>
      <c r="BG212" t="n">
        <v>0.005</v>
      </c>
      <c r="BH212" t="n">
        <v>0.889</v>
      </c>
      <c r="BI212" t="n">
        <v>1.9</v>
      </c>
      <c r="BJ212" t="n">
        <v>0.64</v>
      </c>
      <c r="BK212" t="n">
        <v>0.034</v>
      </c>
      <c r="BL212" t="n">
        <v>-0.63</v>
      </c>
      <c r="BM212" t="n">
        <v>-0.62</v>
      </c>
      <c r="BN212" t="n">
        <v>-0.1</v>
      </c>
      <c r="BO212" t="n">
        <v>0.18</v>
      </c>
      <c r="BP212" t="n">
        <v>8</v>
      </c>
      <c r="BQ212" t="n">
        <v>1</v>
      </c>
      <c r="BS212" t="n">
        <v>16</v>
      </c>
      <c r="BT212" t="n">
        <v>0.838</v>
      </c>
      <c r="BW212" t="n">
        <v>0.6</v>
      </c>
      <c r="BX212" t="n">
        <v>0.659</v>
      </c>
      <c r="BY212" t="n">
        <v>0.629</v>
      </c>
      <c r="BZ212" t="n">
        <v>0.033</v>
      </c>
      <c r="CA212" t="n">
        <v>1.259</v>
      </c>
      <c r="CB212" t="n">
        <v>0.066</v>
      </c>
      <c r="CC212" t="n">
        <v>3</v>
      </c>
      <c r="CD212" t="n">
        <v>1</v>
      </c>
      <c r="CE212" t="n">
        <v>3</v>
      </c>
      <c r="CF212" t="n">
        <v>1</v>
      </c>
      <c r="CI212" t="n">
        <v>8.766</v>
      </c>
      <c r="CJ212" t="n">
        <v>8.734999999999999</v>
      </c>
      <c r="CK212" t="n">
        <v>187</v>
      </c>
      <c r="CL212" t="n">
        <v>81</v>
      </c>
      <c r="CM212" t="n">
        <v>19</v>
      </c>
      <c r="CN212" t="n">
        <v>10</v>
      </c>
      <c r="CO212" t="n">
        <v>40</v>
      </c>
      <c r="CP212" t="n">
        <v>129</v>
      </c>
      <c r="CQ212" t="n">
        <v>19</v>
      </c>
      <c r="CR212" t="n">
        <v>114</v>
      </c>
      <c r="CS212" t="n">
        <v>69</v>
      </c>
      <c r="CT212" t="n">
        <v>0.1</v>
      </c>
      <c r="CV212" t="n">
        <v>1</v>
      </c>
      <c r="CW212" t="n">
        <v>25.81</v>
      </c>
      <c r="CX212" t="n">
        <v>1.352</v>
      </c>
      <c r="CY212" t="n">
        <v>0</v>
      </c>
      <c r="DB212" t="n">
        <v>0</v>
      </c>
      <c r="DE212" t="n">
        <v>6.86</v>
      </c>
      <c r="DF212" t="n">
        <v>5</v>
      </c>
      <c r="DG212" t="n">
        <v>2</v>
      </c>
      <c r="DH212" t="n">
        <v>27</v>
      </c>
      <c r="DI212" t="n">
        <v>17</v>
      </c>
      <c r="DL212" t="n">
        <v>10</v>
      </c>
      <c r="DM212" t="n">
        <v>5</v>
      </c>
      <c r="DN212" t="n">
        <v>1</v>
      </c>
      <c r="DO212" t="n">
        <v>0</v>
      </c>
      <c r="DP212" t="n">
        <v>73.06</v>
      </c>
      <c r="DQ212" t="n">
        <v>34.5</v>
      </c>
      <c r="DR212" t="n">
        <v>69</v>
      </c>
      <c r="DS212" t="n">
        <v>4.06</v>
      </c>
      <c r="DT212" t="n">
        <v>1693</v>
      </c>
      <c r="DU212" t="n">
        <v>44.55</v>
      </c>
      <c r="DV212" t="inlineStr">
        <is>
          <t>flat</t>
        </is>
      </c>
      <c r="DW212" t="n">
        <v>103.98</v>
      </c>
      <c r="DX212" t="n">
        <v>90.8</v>
      </c>
      <c r="DY212" t="n">
        <v>103.66</v>
      </c>
      <c r="DZ212" t="n">
        <v>-0.33</v>
      </c>
      <c r="EA212" t="n">
        <v>41</v>
      </c>
      <c r="EB212" t="n">
        <v>14.99</v>
      </c>
      <c r="EC212" t="n">
        <v>28</v>
      </c>
      <c r="ED212" t="n">
        <v>120</v>
      </c>
      <c r="EE212" t="n">
        <v>47</v>
      </c>
      <c r="EF212" t="b">
        <v>1</v>
      </c>
      <c r="EG212" t="n">
        <v>1.9</v>
      </c>
      <c r="EH212" t="n">
        <v>49.5</v>
      </c>
      <c r="EI212" t="n">
        <v>269</v>
      </c>
      <c r="EJ212" t="n">
        <v>214.8</v>
      </c>
      <c r="EK212" t="n">
        <v>107.4</v>
      </c>
      <c r="EL212" t="n">
        <v>572.7</v>
      </c>
      <c r="EM212" t="n">
        <v>2726.6</v>
      </c>
      <c r="EN212" t="n">
        <v>2730.2</v>
      </c>
      <c r="EO212" t="n">
        <v>1364.2</v>
      </c>
      <c r="EP212" t="n">
        <v>26.4</v>
      </c>
    </row>
    <row r="213">
      <c r="A213" t="inlineStr">
        <is>
          <t>Antonee Robinson</t>
        </is>
      </c>
      <c r="B213" t="inlineStr">
        <is>
          <t>FUL</t>
        </is>
      </c>
      <c r="C213" t="inlineStr">
        <is>
          <t>DEF</t>
        </is>
      </c>
      <c r="D213" t="inlineStr">
        <is>
          <t>DEF</t>
        </is>
      </c>
      <c r="E213" t="n">
        <v>4.5</v>
      </c>
      <c r="F213" t="b">
        <v>1</v>
      </c>
      <c r="G213" t="b">
        <v>1</v>
      </c>
      <c r="H213" t="n">
        <v>29</v>
      </c>
      <c r="I213" t="inlineStr">
        <is>
          <t>a</t>
        </is>
      </c>
      <c r="L213" t="inlineStr">
        <is>
          <t>p169528</t>
        </is>
      </c>
      <c r="M213" t="n">
        <v>254</v>
      </c>
      <c r="N213" t="n">
        <v>2</v>
      </c>
      <c r="Q213" t="n">
        <v>1487</v>
      </c>
      <c r="R213" t="n">
        <v>22</v>
      </c>
      <c r="S213" t="n">
        <v>17</v>
      </c>
      <c r="T213" t="n">
        <v>16.522</v>
      </c>
      <c r="U213" t="n">
        <v>67.59999999999999</v>
      </c>
      <c r="V213" t="n">
        <v>65</v>
      </c>
      <c r="W213" t="n">
        <v>3.934</v>
      </c>
      <c r="X213" t="n">
        <v>1</v>
      </c>
      <c r="Y213" t="n">
        <v>0</v>
      </c>
      <c r="AA213" t="n">
        <v>4</v>
      </c>
      <c r="AB213" t="n">
        <v>19</v>
      </c>
      <c r="AC213" t="n">
        <v>7</v>
      </c>
      <c r="AD213" t="n">
        <v>7</v>
      </c>
      <c r="AE213" t="n">
        <v>0</v>
      </c>
      <c r="AF213" t="n">
        <v>280</v>
      </c>
      <c r="AG213" t="n">
        <v>264</v>
      </c>
      <c r="AH213" t="n">
        <v>-16</v>
      </c>
      <c r="AI213" t="n">
        <v>65</v>
      </c>
      <c r="AJ213" t="n">
        <v>0.108</v>
      </c>
      <c r="AK213" t="n">
        <v>0.121</v>
      </c>
      <c r="AL213" t="n">
        <v>136</v>
      </c>
      <c r="AM213" t="n">
        <v>8.231</v>
      </c>
      <c r="AN213" t="n">
        <v>4</v>
      </c>
      <c r="AO213" t="n">
        <v>8</v>
      </c>
      <c r="AP213" t="n">
        <v>0.235</v>
      </c>
      <c r="AQ213" t="n">
        <v>0.235</v>
      </c>
      <c r="AR213" t="n">
        <v>0.059</v>
      </c>
      <c r="AS213" t="n">
        <v>0.447</v>
      </c>
      <c r="AT213" t="n">
        <v>0.727</v>
      </c>
      <c r="AU213" t="n">
        <v>15</v>
      </c>
      <c r="AV213" t="n">
        <v>2</v>
      </c>
      <c r="AW213" t="n">
        <v>2.85</v>
      </c>
      <c r="AX213" t="n">
        <v>12</v>
      </c>
      <c r="AY213" t="n">
        <v>1.07</v>
      </c>
      <c r="AZ213" t="n">
        <v>0.977</v>
      </c>
      <c r="BA213" t="n">
        <v>1.024</v>
      </c>
      <c r="BB213" t="n">
        <v>0.216</v>
      </c>
      <c r="BC213" t="n">
        <v>0.065</v>
      </c>
      <c r="BD213" t="n">
        <v>0.059</v>
      </c>
      <c r="BE213" t="n">
        <v>0.062</v>
      </c>
      <c r="BF213" t="n">
        <v>0.8</v>
      </c>
      <c r="BG213" t="n">
        <v>0.048</v>
      </c>
      <c r="BH213" t="n">
        <v>1.008</v>
      </c>
      <c r="BI213" t="n">
        <v>2.52</v>
      </c>
      <c r="BJ213" t="n">
        <v>1.078</v>
      </c>
      <c r="BK213" t="n">
        <v>0.065</v>
      </c>
      <c r="BL213" t="n">
        <v>-0.024</v>
      </c>
      <c r="BM213" t="n">
        <v>-0.27</v>
      </c>
      <c r="BN213" t="n">
        <v>0.2</v>
      </c>
      <c r="BO213" t="n">
        <v>0.093</v>
      </c>
      <c r="BP213" t="n">
        <v>6</v>
      </c>
      <c r="BQ213" t="n">
        <v>1</v>
      </c>
      <c r="BS213" t="n">
        <v>28</v>
      </c>
      <c r="BT213" t="n">
        <v>1.695</v>
      </c>
      <c r="BU213" t="n">
        <v>1</v>
      </c>
      <c r="BW213" t="n">
        <v>1.58</v>
      </c>
      <c r="BX213" t="n">
        <v>1.09</v>
      </c>
      <c r="BY213" t="n">
        <v>1.335</v>
      </c>
      <c r="BZ213" t="n">
        <v>0.081</v>
      </c>
      <c r="CA213" t="n">
        <v>2.359</v>
      </c>
      <c r="CB213" t="n">
        <v>0.143</v>
      </c>
      <c r="CC213" t="n">
        <v>21</v>
      </c>
      <c r="CD213" t="n">
        <v>1</v>
      </c>
      <c r="CE213" t="n">
        <v>22</v>
      </c>
      <c r="CF213" t="n">
        <v>14</v>
      </c>
      <c r="CG213" t="n">
        <v>1</v>
      </c>
      <c r="CI213" t="n">
        <v>4.561</v>
      </c>
      <c r="CJ213" t="n">
        <v>3.849</v>
      </c>
      <c r="CK213" t="n">
        <v>88</v>
      </c>
      <c r="CL213" t="n">
        <v>98</v>
      </c>
      <c r="CM213" t="n">
        <v>48</v>
      </c>
      <c r="CN213" t="n">
        <v>30</v>
      </c>
      <c r="CO213" t="n">
        <v>29</v>
      </c>
      <c r="CP213" t="n">
        <v>55</v>
      </c>
      <c r="CQ213" t="n">
        <v>3</v>
      </c>
      <c r="CR213" t="n">
        <v>87</v>
      </c>
      <c r="CS213" t="n">
        <v>18</v>
      </c>
      <c r="CT213" t="n">
        <v>0.1</v>
      </c>
      <c r="CV213" t="n">
        <v>1</v>
      </c>
      <c r="CW213" t="n">
        <v>24.12</v>
      </c>
      <c r="CX213" t="n">
        <v>1.46</v>
      </c>
      <c r="CY213" t="n">
        <v>0</v>
      </c>
      <c r="DB213" t="n">
        <v>0</v>
      </c>
      <c r="DE213" t="n">
        <v>7.16</v>
      </c>
      <c r="DF213" t="n">
        <v>5</v>
      </c>
      <c r="DG213" t="n">
        <v>0</v>
      </c>
      <c r="DH213" t="n">
        <v>15</v>
      </c>
      <c r="DI213" t="n">
        <v>9</v>
      </c>
      <c r="DL213" t="n">
        <v>12</v>
      </c>
      <c r="DM213" t="n">
        <v>7</v>
      </c>
      <c r="DN213" t="n">
        <v>2</v>
      </c>
      <c r="DO213" t="n">
        <v>2.4</v>
      </c>
      <c r="DP213" t="n">
        <v>81.69</v>
      </c>
      <c r="DQ213" t="n">
        <v>40.85</v>
      </c>
      <c r="DR213" t="n">
        <v>81.7</v>
      </c>
      <c r="DS213" t="n">
        <v>-0.01</v>
      </c>
      <c r="DT213" t="n">
        <v>1887</v>
      </c>
      <c r="DU213" t="n">
        <v>49.65</v>
      </c>
      <c r="DV213" t="inlineStr">
        <is>
          <t>flat</t>
        </is>
      </c>
      <c r="DW213" t="n">
        <v>93.55</v>
      </c>
      <c r="DX213" t="n">
        <v>94.25</v>
      </c>
      <c r="DY213" t="n">
        <v>93.65000000000001</v>
      </c>
      <c r="DZ213" t="n">
        <v>0.1</v>
      </c>
      <c r="EA213" t="n">
        <v>312</v>
      </c>
      <c r="EB213" t="n">
        <v>19.15</v>
      </c>
      <c r="EC213" t="n">
        <v>20</v>
      </c>
      <c r="ED213" t="n">
        <v>120</v>
      </c>
      <c r="EE213" t="n">
        <v>505</v>
      </c>
      <c r="EF213" t="b">
        <v>1</v>
      </c>
      <c r="EG213" t="n">
        <v>11.4</v>
      </c>
      <c r="EH213" t="n">
        <v>9</v>
      </c>
      <c r="EI213" t="n">
        <v>417</v>
      </c>
      <c r="EJ213" t="n">
        <v>247.8</v>
      </c>
      <c r="EK213" t="n">
        <v>53.1</v>
      </c>
      <c r="EL213" t="n">
        <v>67.59999999999999</v>
      </c>
      <c r="EM213" t="n">
        <v>1452.7</v>
      </c>
      <c r="EN213" t="n">
        <v>1113.8</v>
      </c>
      <c r="EO213" t="n">
        <v>630.4</v>
      </c>
      <c r="EP213" t="n">
        <v>22.9</v>
      </c>
    </row>
    <row r="214">
      <c r="A214" t="inlineStr">
        <is>
          <t>Pau Torres</t>
        </is>
      </c>
      <c r="B214" t="inlineStr">
        <is>
          <t>AVL</t>
        </is>
      </c>
      <c r="C214" t="inlineStr">
        <is>
          <t>DEF</t>
        </is>
      </c>
      <c r="D214" t="inlineStr">
        <is>
          <t>DEF</t>
        </is>
      </c>
      <c r="E214" t="n">
        <v>4.5</v>
      </c>
      <c r="F214" t="b">
        <v>1</v>
      </c>
      <c r="G214" t="b">
        <v>1</v>
      </c>
      <c r="H214" t="n">
        <v>29.6</v>
      </c>
      <c r="I214" t="inlineStr">
        <is>
          <t>a</t>
        </is>
      </c>
      <c r="L214" t="inlineStr">
        <is>
          <t>p244954</t>
        </is>
      </c>
      <c r="M214" t="n">
        <v>34</v>
      </c>
      <c r="Q214" t="n">
        <v>1673</v>
      </c>
      <c r="R214" t="n">
        <v>21</v>
      </c>
      <c r="S214" t="n">
        <v>18</v>
      </c>
      <c r="T214" t="n">
        <v>18.589</v>
      </c>
      <c r="U214" t="n">
        <v>79.7</v>
      </c>
      <c r="V214" t="n">
        <v>64</v>
      </c>
      <c r="W214" t="n">
        <v>3.443</v>
      </c>
      <c r="X214" t="n">
        <v>0</v>
      </c>
      <c r="Y214" t="n">
        <v>2</v>
      </c>
      <c r="AA214" t="n">
        <v>5</v>
      </c>
      <c r="AB214" t="n">
        <v>19</v>
      </c>
      <c r="AC214" t="n">
        <v>2</v>
      </c>
      <c r="AD214" t="n">
        <v>2</v>
      </c>
      <c r="AE214" t="n">
        <v>0</v>
      </c>
      <c r="AF214" t="n">
        <v>280</v>
      </c>
      <c r="AG214" t="n">
        <v>265</v>
      </c>
      <c r="AH214" t="n">
        <v>-15</v>
      </c>
      <c r="AI214" t="n">
        <v>64</v>
      </c>
      <c r="AJ214" t="n">
        <v>0.031</v>
      </c>
      <c r="AK214" t="n">
        <v>0.032</v>
      </c>
      <c r="AL214" t="n">
        <v>112</v>
      </c>
      <c r="AM214" t="n">
        <v>6.025</v>
      </c>
      <c r="AN214" t="n">
        <v>2</v>
      </c>
      <c r="AO214" t="n">
        <v>4</v>
      </c>
      <c r="AP214" t="n">
        <v>0.111</v>
      </c>
      <c r="AQ214" t="n">
        <v>0.111</v>
      </c>
      <c r="AR214" t="n">
        <v>0.056</v>
      </c>
      <c r="AS214" t="n">
        <v>0.474</v>
      </c>
      <c r="AT214" t="n">
        <v>0.857</v>
      </c>
      <c r="AU214" t="n">
        <v>12</v>
      </c>
      <c r="AV214" t="n">
        <v>0</v>
      </c>
      <c r="AW214" t="n">
        <v>2.33</v>
      </c>
      <c r="AX214" t="n">
        <v>8</v>
      </c>
      <c r="AY214" t="n">
        <v>1.33</v>
      </c>
      <c r="AZ214" t="n">
        <v>1.583</v>
      </c>
      <c r="BA214" t="n">
        <v>1.456</v>
      </c>
      <c r="BB214" t="n">
        <v>1.583</v>
      </c>
      <c r="BC214" t="n">
        <v>0.07199999999999999</v>
      </c>
      <c r="BD214" t="n">
        <v>0.08500000000000001</v>
      </c>
      <c r="BE214" t="n">
        <v>0.078</v>
      </c>
      <c r="BF214" t="n">
        <v>0.5</v>
      </c>
      <c r="BG214" t="n">
        <v>0.027</v>
      </c>
      <c r="BH214" t="n">
        <v>0.9350000000000001</v>
      </c>
      <c r="BI214" t="n">
        <v>2.8</v>
      </c>
      <c r="BJ214" t="n">
        <v>1.244</v>
      </c>
      <c r="BK214" t="n">
        <v>0.067</v>
      </c>
      <c r="BL214" t="n">
        <v>-1.456</v>
      </c>
      <c r="BM214" t="n">
        <v>-0.83</v>
      </c>
      <c r="BN214" t="n">
        <v>-0.5</v>
      </c>
      <c r="BO214" t="n">
        <v>-0.253</v>
      </c>
      <c r="BP214" t="n">
        <v>9</v>
      </c>
      <c r="BQ214" t="n">
        <v>1</v>
      </c>
      <c r="BR214" t="n">
        <v>2</v>
      </c>
      <c r="BS214" t="n">
        <v>16</v>
      </c>
      <c r="BT214" t="n">
        <v>0.861</v>
      </c>
      <c r="BW214" t="n">
        <v>0.39</v>
      </c>
      <c r="BX214" t="n">
        <v>0.007</v>
      </c>
      <c r="BY214" t="n">
        <v>0.198</v>
      </c>
      <c r="BZ214" t="n">
        <v>0.011</v>
      </c>
      <c r="CA214" t="n">
        <v>1.655</v>
      </c>
      <c r="CB214" t="n">
        <v>0.089</v>
      </c>
      <c r="CC214" t="n">
        <v>1</v>
      </c>
      <c r="CE214" t="n">
        <v>1</v>
      </c>
      <c r="CI214" t="n">
        <v>4.504</v>
      </c>
      <c r="CJ214" t="n">
        <v>4.429</v>
      </c>
      <c r="CK214" t="n">
        <v>90</v>
      </c>
      <c r="CL214" t="n">
        <v>79</v>
      </c>
      <c r="CM214" t="n">
        <v>22</v>
      </c>
      <c r="CN214" t="n">
        <v>14</v>
      </c>
      <c r="CO214" t="n">
        <v>11</v>
      </c>
      <c r="CP214" t="n">
        <v>61</v>
      </c>
      <c r="CQ214" t="n">
        <v>18</v>
      </c>
      <c r="CR214" t="n">
        <v>59</v>
      </c>
      <c r="CS214" t="n">
        <v>25</v>
      </c>
      <c r="CT214" t="n">
        <v>0.2</v>
      </c>
      <c r="CU214" t="n">
        <v>2</v>
      </c>
      <c r="CV214" t="n">
        <v>2</v>
      </c>
      <c r="CW214" t="n">
        <v>22.81</v>
      </c>
      <c r="CX214" t="n">
        <v>1.227</v>
      </c>
      <c r="CY214" t="n">
        <v>0</v>
      </c>
      <c r="DB214" t="n">
        <v>0</v>
      </c>
      <c r="DE214" t="n">
        <v>6.75</v>
      </c>
      <c r="DF214" t="n">
        <v>1</v>
      </c>
      <c r="DG214" t="n">
        <v>0</v>
      </c>
      <c r="DH214" t="n">
        <v>7</v>
      </c>
      <c r="DI214" t="n">
        <v>5</v>
      </c>
      <c r="DL214" t="n">
        <v>7</v>
      </c>
      <c r="DM214" t="n">
        <v>4</v>
      </c>
      <c r="DO214" t="n">
        <v>0.3</v>
      </c>
      <c r="DP214" t="n">
        <v>71.34</v>
      </c>
      <c r="DQ214" t="n">
        <v>35.7</v>
      </c>
      <c r="DR214" t="n">
        <v>71.40000000000001</v>
      </c>
      <c r="DS214" t="n">
        <v>-0.06</v>
      </c>
      <c r="DT214" t="n">
        <v>1955</v>
      </c>
      <c r="DU214" t="n">
        <v>51.45</v>
      </c>
      <c r="DV214" t="inlineStr">
        <is>
          <t>flat</t>
        </is>
      </c>
      <c r="DW214" t="n">
        <v>99.06999999999999</v>
      </c>
      <c r="DX214" t="n">
        <v>99.56</v>
      </c>
      <c r="DY214" t="n">
        <v>100.19</v>
      </c>
      <c r="DZ214" t="n">
        <v>1.11</v>
      </c>
      <c r="EA214" t="n">
        <v>51</v>
      </c>
      <c r="EB214" t="n">
        <v>16.07</v>
      </c>
      <c r="EC214" t="n">
        <v>31</v>
      </c>
      <c r="ED214" t="n">
        <v>119.27</v>
      </c>
      <c r="EE214" t="n">
        <v>72</v>
      </c>
      <c r="EF214" t="b">
        <v>1</v>
      </c>
      <c r="EG214" t="n">
        <v>1.9</v>
      </c>
      <c r="EH214" t="n">
        <v>20.9</v>
      </c>
      <c r="EI214" t="n">
        <v>418</v>
      </c>
      <c r="EJ214" t="n">
        <v>185.9</v>
      </c>
      <c r="EK214" t="n">
        <v>104.6</v>
      </c>
      <c r="EL214" t="n">
        <v>1673</v>
      </c>
      <c r="EM214" t="n">
        <v>1148.8</v>
      </c>
      <c r="EN214" t="n">
        <v>8430.5</v>
      </c>
      <c r="EO214" t="n">
        <v>1011</v>
      </c>
      <c r="EP214" t="n">
        <v>26.1</v>
      </c>
    </row>
    <row r="215">
      <c r="A215" t="inlineStr">
        <is>
          <t>Nico González</t>
        </is>
      </c>
      <c r="B215" t="inlineStr">
        <is>
          <t>MCI</t>
        </is>
      </c>
      <c r="C215" t="inlineStr">
        <is>
          <t>MID</t>
        </is>
      </c>
      <c r="D215" t="inlineStr">
        <is>
          <t>MID</t>
        </is>
      </c>
      <c r="E215" t="n">
        <v>5.5</v>
      </c>
      <c r="F215" t="b">
        <v>1</v>
      </c>
      <c r="G215" t="b">
        <v>1</v>
      </c>
      <c r="H215" t="n">
        <v>24.6</v>
      </c>
      <c r="I215" t="inlineStr">
        <is>
          <t>a</t>
        </is>
      </c>
      <c r="L215" t="inlineStr">
        <is>
          <t>p465694</t>
        </is>
      </c>
      <c r="M215" t="n">
        <v>405</v>
      </c>
      <c r="Q215" t="n">
        <v>1561</v>
      </c>
      <c r="R215" t="n">
        <v>25</v>
      </c>
      <c r="S215" t="n">
        <v>17</v>
      </c>
      <c r="T215" t="n">
        <v>17.344</v>
      </c>
      <c r="U215" t="n">
        <v>62.4</v>
      </c>
      <c r="V215" t="n">
        <v>63</v>
      </c>
      <c r="W215" t="n">
        <v>3.632</v>
      </c>
      <c r="X215" t="n">
        <v>1</v>
      </c>
      <c r="Y215" t="n">
        <v>0</v>
      </c>
      <c r="AA215" t="n">
        <v>7</v>
      </c>
      <c r="AB215" t="n">
        <v>18</v>
      </c>
      <c r="AC215" t="n">
        <v>1</v>
      </c>
      <c r="AD215" t="n">
        <v>1</v>
      </c>
      <c r="AE215" t="n">
        <v>0</v>
      </c>
      <c r="AF215" t="n">
        <v>337</v>
      </c>
      <c r="AG215" t="n">
        <v>322</v>
      </c>
      <c r="AH215" t="n">
        <v>-15</v>
      </c>
      <c r="AI215" t="n">
        <v>63</v>
      </c>
      <c r="AJ215" t="n">
        <v>0.016</v>
      </c>
      <c r="AK215" t="n">
        <v>0.016</v>
      </c>
      <c r="AL215" t="n">
        <v>206</v>
      </c>
      <c r="AM215" t="n">
        <v>11.877</v>
      </c>
      <c r="AN215" t="n">
        <v>7</v>
      </c>
      <c r="AO215" t="n">
        <v>14</v>
      </c>
      <c r="AP215" t="n">
        <v>0.412</v>
      </c>
      <c r="AQ215" t="n">
        <v>0.647</v>
      </c>
      <c r="AR215" t="n">
        <v>0.412</v>
      </c>
      <c r="AS215" t="n">
        <v>0.447</v>
      </c>
      <c r="AT215" t="n">
        <v>0.68</v>
      </c>
      <c r="AU215" t="n">
        <v>14</v>
      </c>
      <c r="AV215" t="n">
        <v>0</v>
      </c>
      <c r="AW215" t="n">
        <v>1.96</v>
      </c>
      <c r="AX215" t="n">
        <v>8</v>
      </c>
      <c r="AY215" t="n">
        <v>0.68</v>
      </c>
      <c r="AZ215" t="n">
        <v>0.609</v>
      </c>
      <c r="BA215" t="n">
        <v>0.644</v>
      </c>
      <c r="BB215" t="n">
        <v>0.609</v>
      </c>
      <c r="BC215" t="n">
        <v>0.039</v>
      </c>
      <c r="BD215" t="n">
        <v>0.035</v>
      </c>
      <c r="BE215" t="n">
        <v>0.037</v>
      </c>
      <c r="BF215" t="n">
        <v>0.3</v>
      </c>
      <c r="BG215" t="n">
        <v>0.017</v>
      </c>
      <c r="BH215" t="n">
        <v>0.975</v>
      </c>
      <c r="BI215" t="n">
        <v>1.13</v>
      </c>
      <c r="BJ215" t="n">
        <v>0.663</v>
      </c>
      <c r="BK215" t="n">
        <v>0.038</v>
      </c>
      <c r="BL215" t="n">
        <v>0.356</v>
      </c>
      <c r="BM215" t="n">
        <v>-0.38</v>
      </c>
      <c r="BN215" t="n">
        <v>0.7</v>
      </c>
      <c r="BO215" t="n">
        <v>0.07099999999999999</v>
      </c>
      <c r="BP215" t="n">
        <v>14</v>
      </c>
      <c r="BQ215" t="n">
        <v>2</v>
      </c>
      <c r="BS215" t="n">
        <v>17</v>
      </c>
      <c r="BT215" t="n">
        <v>0.98</v>
      </c>
      <c r="BW215" t="n">
        <v>1.12</v>
      </c>
      <c r="BX215" t="n">
        <v>0.889</v>
      </c>
      <c r="BY215" t="n">
        <v>1.004</v>
      </c>
      <c r="BZ215" t="n">
        <v>0.058</v>
      </c>
      <c r="CA215" t="n">
        <v>1.649</v>
      </c>
      <c r="CB215" t="n">
        <v>0.095</v>
      </c>
      <c r="CC215" t="n">
        <v>11</v>
      </c>
      <c r="CD215" t="n">
        <v>1</v>
      </c>
      <c r="CE215" t="n">
        <v>11</v>
      </c>
      <c r="CF215" t="n">
        <v>1</v>
      </c>
      <c r="CI215" t="n">
        <v>14.795</v>
      </c>
      <c r="CJ215" t="n">
        <v>14.173</v>
      </c>
      <c r="CK215" t="n">
        <v>74</v>
      </c>
      <c r="CL215" t="n">
        <v>90</v>
      </c>
      <c r="CM215" t="n">
        <v>42</v>
      </c>
      <c r="CN215" t="n">
        <v>30</v>
      </c>
      <c r="CO215" t="n">
        <v>24</v>
      </c>
      <c r="CP215" t="n">
        <v>44</v>
      </c>
      <c r="CQ215" t="n">
        <v>6</v>
      </c>
      <c r="CR215" t="n">
        <v>105</v>
      </c>
      <c r="CS215" t="n">
        <v>33</v>
      </c>
      <c r="CT215" t="n">
        <v>0.7</v>
      </c>
      <c r="CV215" t="n">
        <v>2</v>
      </c>
      <c r="CW215" t="n">
        <v>20.35</v>
      </c>
      <c r="CX215" t="n">
        <v>1.173</v>
      </c>
      <c r="CY215" t="n">
        <v>0</v>
      </c>
      <c r="DB215" t="n">
        <v>0</v>
      </c>
      <c r="DE215" t="n">
        <v>7.13</v>
      </c>
      <c r="DF215" t="n">
        <v>6</v>
      </c>
      <c r="DG215" t="n">
        <v>0</v>
      </c>
      <c r="DH215" t="n">
        <v>30</v>
      </c>
      <c r="DI215" t="n">
        <v>18</v>
      </c>
      <c r="DL215" t="n">
        <v>12</v>
      </c>
      <c r="DM215" t="n">
        <v>15</v>
      </c>
      <c r="DO215" t="n">
        <v>0.1</v>
      </c>
      <c r="DP215" t="n">
        <v>38.29</v>
      </c>
      <c r="DQ215" t="n">
        <v>22.46</v>
      </c>
      <c r="DR215" t="n">
        <v>44.92</v>
      </c>
      <c r="DS215" t="n">
        <v>-6.63</v>
      </c>
      <c r="DT215" t="n">
        <v>722</v>
      </c>
      <c r="DU215" t="n">
        <v>19</v>
      </c>
      <c r="DV215" t="inlineStr">
        <is>
          <t>fade (losing his place)</t>
        </is>
      </c>
      <c r="DW215" t="n">
        <v>76.86</v>
      </c>
      <c r="DX215" t="n">
        <v>66.44</v>
      </c>
      <c r="DY215" t="n">
        <v>79.86</v>
      </c>
      <c r="DZ215" t="n">
        <v>3</v>
      </c>
      <c r="EA215" t="n">
        <v>9</v>
      </c>
      <c r="EB215" t="n">
        <v>26.5</v>
      </c>
      <c r="EC215" t="n">
        <v>19.43</v>
      </c>
      <c r="ED215" t="n">
        <v>116</v>
      </c>
      <c r="EE215" t="n">
        <v>23</v>
      </c>
      <c r="EF215" t="b">
        <v>1</v>
      </c>
      <c r="EG215" t="n">
        <v>0.6</v>
      </c>
      <c r="EH215" t="n">
        <v>23.3</v>
      </c>
      <c r="EI215" t="n">
        <v>163</v>
      </c>
      <c r="EJ215" t="n">
        <v>111.5</v>
      </c>
      <c r="EK215" t="n">
        <v>91.8</v>
      </c>
      <c r="EL215" t="n">
        <v>141.9</v>
      </c>
      <c r="EM215" t="n">
        <v>2422.4</v>
      </c>
      <c r="EN215" t="n">
        <v>1554.4</v>
      </c>
      <c r="EO215" t="n">
        <v>946.8</v>
      </c>
      <c r="EP215" t="n">
        <v>24.8</v>
      </c>
    </row>
    <row r="216">
      <c r="A216" t="inlineStr">
        <is>
          <t>Jeremie Frimpong</t>
        </is>
      </c>
      <c r="B216" t="inlineStr">
        <is>
          <t>LIV</t>
        </is>
      </c>
      <c r="C216" t="inlineStr">
        <is>
          <t>DEF</t>
        </is>
      </c>
      <c r="D216" t="inlineStr">
        <is>
          <t>DEF</t>
        </is>
      </c>
      <c r="E216" t="n">
        <v>5.5</v>
      </c>
      <c r="F216" t="b">
        <v>1</v>
      </c>
      <c r="G216" t="b">
        <v>1</v>
      </c>
      <c r="H216" t="n">
        <v>25.7</v>
      </c>
      <c r="I216" t="inlineStr">
        <is>
          <t>a</t>
        </is>
      </c>
      <c r="L216" t="inlineStr">
        <is>
          <t>p216094</t>
        </is>
      </c>
      <c r="M216" t="n">
        <v>357</v>
      </c>
      <c r="Q216" t="n">
        <v>1032</v>
      </c>
      <c r="R216" t="n">
        <v>21</v>
      </c>
      <c r="S216" t="n">
        <v>12</v>
      </c>
      <c r="T216" t="n">
        <v>11.467</v>
      </c>
      <c r="U216" t="n">
        <v>49.1</v>
      </c>
      <c r="V216" t="n">
        <v>63</v>
      </c>
      <c r="W216" t="n">
        <v>5.494</v>
      </c>
      <c r="X216" t="n">
        <v>0</v>
      </c>
      <c r="Y216" t="n">
        <v>5</v>
      </c>
      <c r="Z216" t="n">
        <v>1</v>
      </c>
      <c r="AA216" t="n">
        <v>5</v>
      </c>
      <c r="AB216" t="n">
        <v>13</v>
      </c>
      <c r="AC216" t="n">
        <v>1</v>
      </c>
      <c r="AD216" t="n">
        <v>1</v>
      </c>
      <c r="AE216" t="n">
        <v>0</v>
      </c>
      <c r="AF216" t="n">
        <v>237</v>
      </c>
      <c r="AG216" t="n">
        <v>234</v>
      </c>
      <c r="AH216" t="n">
        <v>-3</v>
      </c>
      <c r="AI216" t="n">
        <v>63</v>
      </c>
      <c r="AJ216" t="n">
        <v>0.016</v>
      </c>
      <c r="AK216" t="n">
        <v>0.016</v>
      </c>
      <c r="AL216" t="n">
        <v>30</v>
      </c>
      <c r="AM216" t="n">
        <v>2.616</v>
      </c>
      <c r="AN216" t="n">
        <v>0</v>
      </c>
      <c r="AO216" t="n">
        <v>0</v>
      </c>
      <c r="AP216" t="n">
        <v>0</v>
      </c>
      <c r="AQ216" t="n">
        <v>0</v>
      </c>
      <c r="AR216" t="n">
        <v>0</v>
      </c>
      <c r="AS216" t="n">
        <v>0.316</v>
      </c>
      <c r="AT216" t="n">
        <v>0.476</v>
      </c>
      <c r="AU216" t="n">
        <v>11</v>
      </c>
      <c r="AV216" t="n">
        <v>0</v>
      </c>
      <c r="AW216" t="n">
        <v>2.28</v>
      </c>
      <c r="AX216" t="n">
        <v>7</v>
      </c>
      <c r="AY216" t="n">
        <v>0.5</v>
      </c>
      <c r="AZ216" t="n">
        <v>0.514</v>
      </c>
      <c r="BA216" t="n">
        <v>0.507</v>
      </c>
      <c r="BB216" t="n">
        <v>0.514</v>
      </c>
      <c r="BC216" t="n">
        <v>0.044</v>
      </c>
      <c r="BD216" t="n">
        <v>0.045</v>
      </c>
      <c r="BE216" t="n">
        <v>0.044</v>
      </c>
      <c r="BF216" t="n">
        <v>0.2</v>
      </c>
      <c r="BG216" t="n">
        <v>0.017</v>
      </c>
      <c r="BH216" t="n">
        <v>0.965</v>
      </c>
      <c r="BI216" t="n">
        <v>0.5</v>
      </c>
      <c r="BJ216" t="n">
        <v>0.482</v>
      </c>
      <c r="BK216" t="n">
        <v>0.042</v>
      </c>
      <c r="BL216" t="n">
        <v>-0.507</v>
      </c>
      <c r="BM216" t="n">
        <v>-0.3</v>
      </c>
      <c r="BN216" t="n">
        <v>-0.2</v>
      </c>
      <c r="BO216" t="n">
        <v>-0.014</v>
      </c>
      <c r="BP216" t="n">
        <v>10</v>
      </c>
      <c r="BQ216" t="n">
        <v>2</v>
      </c>
      <c r="BS216" t="n">
        <v>69</v>
      </c>
      <c r="BT216" t="n">
        <v>6.017</v>
      </c>
      <c r="BW216" t="n">
        <v>1.55</v>
      </c>
      <c r="BX216" t="n">
        <v>2.691</v>
      </c>
      <c r="BY216" t="n">
        <v>2.121</v>
      </c>
      <c r="BZ216" t="n">
        <v>0.185</v>
      </c>
      <c r="CA216" t="n">
        <v>2.628</v>
      </c>
      <c r="CB216" t="n">
        <v>0.229</v>
      </c>
      <c r="CC216" t="n">
        <v>15</v>
      </c>
      <c r="CD216" t="n">
        <v>5</v>
      </c>
      <c r="CE216" t="n">
        <v>15</v>
      </c>
      <c r="CF216" t="n">
        <v>11</v>
      </c>
      <c r="CI216" t="n">
        <v>5.955</v>
      </c>
      <c r="CJ216" t="n">
        <v>4.064</v>
      </c>
      <c r="CK216" t="n">
        <v>19</v>
      </c>
      <c r="CL216" t="n">
        <v>52</v>
      </c>
      <c r="CM216" t="n">
        <v>11</v>
      </c>
      <c r="CN216" t="n">
        <v>10</v>
      </c>
      <c r="CO216" t="n">
        <v>6</v>
      </c>
      <c r="CP216" t="n">
        <v>13</v>
      </c>
      <c r="CR216" t="n">
        <v>57</v>
      </c>
      <c r="CS216" t="n">
        <v>7</v>
      </c>
      <c r="CT216" t="n">
        <v>0.8</v>
      </c>
      <c r="CW216" t="n">
        <v>12.97</v>
      </c>
      <c r="CX216" t="n">
        <v>1.131</v>
      </c>
      <c r="CY216" t="n">
        <v>0</v>
      </c>
      <c r="DB216" t="n">
        <v>0</v>
      </c>
      <c r="DF216" t="n">
        <v>1</v>
      </c>
      <c r="DG216" t="n">
        <v>0</v>
      </c>
      <c r="DH216" t="n">
        <v>8</v>
      </c>
      <c r="DI216" t="n">
        <v>21</v>
      </c>
      <c r="DL216" t="n">
        <v>18</v>
      </c>
      <c r="DM216" t="n">
        <v>17</v>
      </c>
      <c r="DN216" t="n">
        <v>4</v>
      </c>
      <c r="DO216" t="n">
        <v>3</v>
      </c>
      <c r="DP216" t="n">
        <v>101.08</v>
      </c>
      <c r="DQ216" t="n">
        <v>53.15</v>
      </c>
      <c r="DR216" t="n">
        <v>106.3</v>
      </c>
      <c r="DS216" t="n">
        <v>-5.22</v>
      </c>
      <c r="DT216" t="n">
        <v>1699</v>
      </c>
      <c r="DU216" t="n">
        <v>44.7</v>
      </c>
      <c r="DV216" t="inlineStr">
        <is>
          <t>flat</t>
        </is>
      </c>
      <c r="DW216" t="n">
        <v>78.09999999999999</v>
      </c>
      <c r="DX216" t="n">
        <v>80.45</v>
      </c>
      <c r="DY216" t="n">
        <v>75.28</v>
      </c>
      <c r="DZ216" t="n">
        <v>-2.82</v>
      </c>
      <c r="EA216" t="n">
        <v>1362</v>
      </c>
      <c r="EB216" t="n">
        <v>19.87</v>
      </c>
      <c r="EC216" t="n">
        <v>12</v>
      </c>
      <c r="ED216" t="n">
        <v>120</v>
      </c>
      <c r="EE216" t="n">
        <v>2620</v>
      </c>
      <c r="EF216" t="b">
        <v>1</v>
      </c>
      <c r="EG216" t="n">
        <v>89.5</v>
      </c>
      <c r="EH216" t="n">
        <v>39.9</v>
      </c>
      <c r="EI216" t="n">
        <v>162</v>
      </c>
      <c r="EJ216" t="n">
        <v>103.2</v>
      </c>
      <c r="EK216" t="n">
        <v>15</v>
      </c>
      <c r="EL216" t="n">
        <v>68.8</v>
      </c>
      <c r="EM216" t="n">
        <v>2035.4</v>
      </c>
      <c r="EN216" t="n">
        <v>486.6</v>
      </c>
      <c r="EO216" t="n">
        <v>392.7</v>
      </c>
      <c r="EP216" t="n">
        <v>16.4</v>
      </c>
    </row>
    <row r="217">
      <c r="A217" t="inlineStr">
        <is>
          <t>Kevin Danso</t>
        </is>
      </c>
      <c r="B217" t="inlineStr">
        <is>
          <t>TOT</t>
        </is>
      </c>
      <c r="C217" t="inlineStr">
        <is>
          <t>DEF</t>
        </is>
      </c>
      <c r="D217" t="inlineStr">
        <is>
          <t>DEF</t>
        </is>
      </c>
      <c r="E217" t="n">
        <v>5</v>
      </c>
      <c r="F217" t="b">
        <v>1</v>
      </c>
      <c r="G217" t="b">
        <v>1</v>
      </c>
      <c r="H217" t="n">
        <v>27.9</v>
      </c>
      <c r="I217" t="inlineStr">
        <is>
          <t>a</t>
        </is>
      </c>
      <c r="L217" t="inlineStr">
        <is>
          <t>p135720</t>
        </is>
      </c>
      <c r="M217" t="n">
        <v>501</v>
      </c>
      <c r="Q217" t="n">
        <v>1489</v>
      </c>
      <c r="R217" t="n">
        <v>24</v>
      </c>
      <c r="S217" t="n">
        <v>17</v>
      </c>
      <c r="T217" t="n">
        <v>16.544</v>
      </c>
      <c r="U217" t="n">
        <v>62</v>
      </c>
      <c r="V217" t="n">
        <v>63</v>
      </c>
      <c r="W217" t="n">
        <v>3.808</v>
      </c>
      <c r="X217" t="n">
        <v>0</v>
      </c>
      <c r="Y217" t="n">
        <v>0</v>
      </c>
      <c r="AA217" t="n">
        <v>4</v>
      </c>
      <c r="AB217" t="n">
        <v>25</v>
      </c>
      <c r="AC217" t="n">
        <v>1</v>
      </c>
      <c r="AD217" t="n">
        <v>1</v>
      </c>
      <c r="AE217" t="n">
        <v>0</v>
      </c>
      <c r="AF217" t="n">
        <v>219</v>
      </c>
      <c r="AG217" t="n">
        <v>188</v>
      </c>
      <c r="AH217" t="n">
        <v>-31</v>
      </c>
      <c r="AI217" t="n">
        <v>63</v>
      </c>
      <c r="AJ217" t="n">
        <v>0.016</v>
      </c>
      <c r="AK217" t="n">
        <v>0.016</v>
      </c>
      <c r="AL217" t="n">
        <v>192</v>
      </c>
      <c r="AM217" t="n">
        <v>11.605</v>
      </c>
      <c r="AN217" t="n">
        <v>12</v>
      </c>
      <c r="AO217" t="n">
        <v>24</v>
      </c>
      <c r="AP217" t="n">
        <v>0.706</v>
      </c>
      <c r="AQ217" t="n">
        <v>0.706</v>
      </c>
      <c r="AR217" t="n">
        <v>0.294</v>
      </c>
      <c r="AS217" t="n">
        <v>0.447</v>
      </c>
      <c r="AT217" t="n">
        <v>0.625</v>
      </c>
      <c r="AU217" t="n">
        <v>12</v>
      </c>
      <c r="AV217" t="n">
        <v>0</v>
      </c>
      <c r="AW217" t="n">
        <v>2.35</v>
      </c>
      <c r="AX217" t="n">
        <v>9</v>
      </c>
      <c r="AY217" t="n">
        <v>0.62</v>
      </c>
      <c r="AZ217" t="n">
        <v>0.524</v>
      </c>
      <c r="BA217" t="n">
        <v>0.572</v>
      </c>
      <c r="BB217" t="n">
        <v>0.524</v>
      </c>
      <c r="BC217" t="n">
        <v>0.037</v>
      </c>
      <c r="BD217" t="n">
        <v>0.032</v>
      </c>
      <c r="BE217" t="n">
        <v>0.035</v>
      </c>
      <c r="BF217" t="n">
        <v>0</v>
      </c>
      <c r="BG217" t="n">
        <v>0</v>
      </c>
      <c r="BH217" t="n">
        <v>0.898</v>
      </c>
      <c r="BI217" t="n">
        <v>1.02</v>
      </c>
      <c r="BJ217" t="n">
        <v>0.5570000000000001</v>
      </c>
      <c r="BK217" t="n">
        <v>0.034</v>
      </c>
      <c r="BL217" t="n">
        <v>-0.572</v>
      </c>
      <c r="BM217" t="n">
        <v>-0.62</v>
      </c>
      <c r="BN217" t="n">
        <v>0</v>
      </c>
      <c r="BO217" t="n">
        <v>0.096</v>
      </c>
      <c r="BP217" t="n">
        <v>11</v>
      </c>
      <c r="BQ217" t="n">
        <v>2</v>
      </c>
      <c r="BS217" t="n">
        <v>21</v>
      </c>
      <c r="BT217" t="n">
        <v>1.269</v>
      </c>
      <c r="BW217" t="n">
        <v>0.28</v>
      </c>
      <c r="BX217" t="n">
        <v>0.159</v>
      </c>
      <c r="BY217" t="n">
        <v>0.219</v>
      </c>
      <c r="BZ217" t="n">
        <v>0.013</v>
      </c>
      <c r="CA217" t="n">
        <v>0.791</v>
      </c>
      <c r="CB217" t="n">
        <v>0.048</v>
      </c>
      <c r="CC217" t="n">
        <v>2</v>
      </c>
      <c r="CD217" t="n">
        <v>1</v>
      </c>
      <c r="CE217" t="n">
        <v>3</v>
      </c>
      <c r="CI217" t="n">
        <v>1.651</v>
      </c>
      <c r="CJ217" t="n">
        <v>1.596</v>
      </c>
      <c r="CK217" t="n">
        <v>165</v>
      </c>
      <c r="CL217" t="n">
        <v>45</v>
      </c>
      <c r="CM217" t="n">
        <v>27</v>
      </c>
      <c r="CN217" t="n">
        <v>12</v>
      </c>
      <c r="CO217" t="n">
        <v>25</v>
      </c>
      <c r="CP217" t="n">
        <v>135</v>
      </c>
      <c r="CQ217" t="n">
        <v>11</v>
      </c>
      <c r="CR217" t="n">
        <v>120</v>
      </c>
      <c r="CS217" t="n">
        <v>79</v>
      </c>
      <c r="CU217" t="n">
        <v>1</v>
      </c>
      <c r="CV217" t="n">
        <v>1</v>
      </c>
      <c r="CW217" t="n">
        <v>20.15</v>
      </c>
      <c r="CX217" t="n">
        <v>1.218</v>
      </c>
      <c r="CY217" t="n">
        <v>0</v>
      </c>
      <c r="DB217" t="n">
        <v>0</v>
      </c>
      <c r="DE217" t="n">
        <v>6.9</v>
      </c>
      <c r="DF217" t="n">
        <v>8</v>
      </c>
      <c r="DG217" t="n">
        <v>0</v>
      </c>
      <c r="DH217" t="n">
        <v>21</v>
      </c>
      <c r="DI217" t="n">
        <v>13</v>
      </c>
      <c r="DL217" t="n">
        <v>2</v>
      </c>
      <c r="DM217" t="n">
        <v>4</v>
      </c>
      <c r="DO217" t="n">
        <v>0.2</v>
      </c>
      <c r="DP217" t="n">
        <v>25.66</v>
      </c>
      <c r="DQ217" t="n">
        <v>12.83</v>
      </c>
      <c r="DR217" t="n">
        <v>25.66</v>
      </c>
      <c r="DS217" t="n">
        <v>0</v>
      </c>
      <c r="DT217" t="n">
        <v>304</v>
      </c>
      <c r="DU217" t="n">
        <v>8</v>
      </c>
      <c r="DV217" t="inlineStr">
        <is>
          <t>flat</t>
        </is>
      </c>
      <c r="DW217" t="n">
        <v>102.2</v>
      </c>
      <c r="DX217" t="n">
        <v>102.5</v>
      </c>
      <c r="DY217" t="n">
        <v>103.15</v>
      </c>
      <c r="DZ217" t="n">
        <v>0.95</v>
      </c>
      <c r="EA217" t="n">
        <v>47</v>
      </c>
      <c r="EB217" t="n">
        <v>16.31</v>
      </c>
      <c r="EC217" t="n">
        <v>25.6</v>
      </c>
      <c r="ED217" t="n">
        <v>120</v>
      </c>
      <c r="EE217" t="n">
        <v>67</v>
      </c>
      <c r="EF217" t="b">
        <v>1</v>
      </c>
      <c r="EG217" t="n">
        <v>2</v>
      </c>
      <c r="EH217" t="n">
        <v>30.9</v>
      </c>
      <c r="EI217" t="n">
        <v>270</v>
      </c>
      <c r="EJ217" t="n">
        <v>135.4</v>
      </c>
      <c r="EK217" t="n">
        <v>70.90000000000001</v>
      </c>
      <c r="EL217" t="n">
        <v>496.3</v>
      </c>
      <c r="EM217" t="n">
        <v>2602.6</v>
      </c>
      <c r="EN217" t="n">
        <v>6788.7</v>
      </c>
      <c r="EO217" t="n">
        <v>1881.4</v>
      </c>
      <c r="EP217" t="n">
        <v>23.6</v>
      </c>
    </row>
    <row r="218">
      <c r="A218" t="inlineStr">
        <is>
          <t>Josh King</t>
        </is>
      </c>
      <c r="B218" t="inlineStr">
        <is>
          <t>FUL</t>
        </is>
      </c>
      <c r="C218" t="inlineStr">
        <is>
          <t>MID</t>
        </is>
      </c>
      <c r="D218" t="inlineStr">
        <is>
          <t>MID</t>
        </is>
      </c>
      <c r="E218" t="n">
        <v>5.5</v>
      </c>
      <c r="F218" t="b">
        <v>1</v>
      </c>
      <c r="G218" t="b">
        <v>1</v>
      </c>
      <c r="H218" t="n">
        <v>19.6</v>
      </c>
      <c r="I218" t="inlineStr">
        <is>
          <t>a</t>
        </is>
      </c>
      <c r="L218" t="inlineStr">
        <is>
          <t>p577725</t>
        </is>
      </c>
      <c r="M218" t="n">
        <v>268</v>
      </c>
      <c r="Q218" t="n">
        <v>1290</v>
      </c>
      <c r="R218" t="n">
        <v>32</v>
      </c>
      <c r="S218" t="n">
        <v>15</v>
      </c>
      <c r="T218" t="n">
        <v>14.333</v>
      </c>
      <c r="U218" t="n">
        <v>40.3</v>
      </c>
      <c r="V218" t="n">
        <v>63</v>
      </c>
      <c r="W218" t="n">
        <v>4.395</v>
      </c>
      <c r="X218" t="n">
        <v>1</v>
      </c>
      <c r="Y218" t="n">
        <v>3</v>
      </c>
      <c r="Z218" t="n">
        <v>2</v>
      </c>
      <c r="AA218" t="n">
        <v>5</v>
      </c>
      <c r="AB218" t="n">
        <v>18</v>
      </c>
      <c r="AC218" t="n">
        <v>3</v>
      </c>
      <c r="AD218" t="n">
        <v>3</v>
      </c>
      <c r="AE218" t="n">
        <v>0</v>
      </c>
      <c r="AF218" t="n">
        <v>225</v>
      </c>
      <c r="AG218" t="n">
        <v>217</v>
      </c>
      <c r="AH218" t="n">
        <v>-8</v>
      </c>
      <c r="AI218" t="n">
        <v>63</v>
      </c>
      <c r="AJ218" t="n">
        <v>0.048</v>
      </c>
      <c r="AK218" t="n">
        <v>0.05</v>
      </c>
      <c r="AL218" t="n">
        <v>107</v>
      </c>
      <c r="AM218" t="n">
        <v>7.465</v>
      </c>
      <c r="AN218" t="n">
        <v>0</v>
      </c>
      <c r="AO218" t="n">
        <v>0</v>
      </c>
      <c r="AP218" t="n">
        <v>0</v>
      </c>
      <c r="AQ218" t="n">
        <v>0</v>
      </c>
      <c r="AR218" t="n">
        <v>0</v>
      </c>
      <c r="AS218" t="n">
        <v>0.395</v>
      </c>
      <c r="AT218" t="n">
        <v>0.406</v>
      </c>
      <c r="AU218" t="n">
        <v>24</v>
      </c>
      <c r="AV218" t="n">
        <v>1</v>
      </c>
      <c r="AW218" t="n">
        <v>2.23</v>
      </c>
      <c r="AX218" t="n">
        <v>13</v>
      </c>
      <c r="AY218" t="n">
        <v>2.47</v>
      </c>
      <c r="AZ218" t="n">
        <v>3.8</v>
      </c>
      <c r="BA218" t="n">
        <v>3.135</v>
      </c>
      <c r="BB218" t="n">
        <v>3.8</v>
      </c>
      <c r="BC218" t="n">
        <v>0.172</v>
      </c>
      <c r="BD218" t="n">
        <v>0.265</v>
      </c>
      <c r="BE218" t="n">
        <v>0.219</v>
      </c>
      <c r="BF218" t="n">
        <v>2.7</v>
      </c>
      <c r="BG218" t="n">
        <v>0.188</v>
      </c>
      <c r="BH218" t="n">
        <v>0.995</v>
      </c>
      <c r="BI218" t="n">
        <v>2.75</v>
      </c>
      <c r="BJ218" t="n">
        <v>2.459</v>
      </c>
      <c r="BK218" t="n">
        <v>0.172</v>
      </c>
      <c r="BL218" t="n">
        <v>-2.135</v>
      </c>
      <c r="BM218" t="n">
        <v>0.23</v>
      </c>
      <c r="BN218" t="n">
        <v>-1.7</v>
      </c>
      <c r="BO218" t="n">
        <v>-1.33</v>
      </c>
      <c r="BP218" t="n">
        <v>26</v>
      </c>
      <c r="BQ218" t="n">
        <v>11</v>
      </c>
      <c r="BR218" t="n">
        <v>3</v>
      </c>
      <c r="BS218" t="n">
        <v>70</v>
      </c>
      <c r="BT218" t="n">
        <v>4.884</v>
      </c>
      <c r="BW218" t="n">
        <v>0.66</v>
      </c>
      <c r="BX218" t="n">
        <v>1.04</v>
      </c>
      <c r="BY218" t="n">
        <v>0.85</v>
      </c>
      <c r="BZ218" t="n">
        <v>0.059</v>
      </c>
      <c r="CA218" t="n">
        <v>3.985</v>
      </c>
      <c r="CB218" t="n">
        <v>0.278</v>
      </c>
      <c r="CC218" t="n">
        <v>15</v>
      </c>
      <c r="CE218" t="n">
        <v>15</v>
      </c>
      <c r="CF218" t="n">
        <v>0</v>
      </c>
      <c r="CG218" t="n">
        <v>1</v>
      </c>
      <c r="CI218" t="n">
        <v>6.187</v>
      </c>
      <c r="CJ218" t="n">
        <v>2.601</v>
      </c>
      <c r="CK218" t="n">
        <v>22</v>
      </c>
      <c r="CL218" t="n">
        <v>59</v>
      </c>
      <c r="CM218" t="n">
        <v>26</v>
      </c>
      <c r="CN218" t="n">
        <v>14</v>
      </c>
      <c r="CO218" t="n">
        <v>3</v>
      </c>
      <c r="CP218" t="n">
        <v>14</v>
      </c>
      <c r="CQ218" t="n">
        <v>5</v>
      </c>
      <c r="CR218" t="n">
        <v>76</v>
      </c>
      <c r="CS218" t="n">
        <v>3</v>
      </c>
      <c r="CT218" t="n">
        <v>0.3</v>
      </c>
      <c r="CU218" t="n">
        <v>1</v>
      </c>
      <c r="CW218" t="n">
        <v>18.97</v>
      </c>
      <c r="CX218" t="n">
        <v>1.323</v>
      </c>
      <c r="CY218" t="n">
        <v>0</v>
      </c>
      <c r="DB218" t="n">
        <v>0</v>
      </c>
      <c r="DE218" t="n">
        <v>6.5</v>
      </c>
      <c r="DF218" t="n">
        <v>4</v>
      </c>
      <c r="DG218" t="n">
        <v>0</v>
      </c>
      <c r="DH218" t="n">
        <v>13</v>
      </c>
      <c r="DI218" t="n">
        <v>30</v>
      </c>
      <c r="DL218" t="n">
        <v>16</v>
      </c>
      <c r="DM218" t="n">
        <v>19</v>
      </c>
      <c r="DN218" t="n">
        <v>3</v>
      </c>
      <c r="DO218" t="n">
        <v>0.2</v>
      </c>
      <c r="DP218" t="n">
        <v>78.79000000000001</v>
      </c>
      <c r="DQ218" t="n">
        <v>39.41</v>
      </c>
      <c r="DR218" t="n">
        <v>78.81999999999999</v>
      </c>
      <c r="DS218" t="n">
        <v>-0.03</v>
      </c>
      <c r="DT218" t="n">
        <v>1693</v>
      </c>
      <c r="DU218" t="n">
        <v>44.55</v>
      </c>
      <c r="DV218" t="inlineStr">
        <is>
          <t>flat</t>
        </is>
      </c>
      <c r="DW218" t="n">
        <v>85.23</v>
      </c>
      <c r="DX218" t="n">
        <v>87.59999999999999</v>
      </c>
      <c r="DY218" t="n">
        <v>91.52</v>
      </c>
      <c r="DZ218" t="n">
        <v>6.29</v>
      </c>
      <c r="EA218" t="n">
        <v>11</v>
      </c>
      <c r="EB218" t="n">
        <v>23.23</v>
      </c>
      <c r="EC218" t="n">
        <v>38</v>
      </c>
      <c r="ED218" t="n">
        <v>119</v>
      </c>
      <c r="EE218" t="n">
        <v>23</v>
      </c>
      <c r="EF218" t="b">
        <v>1</v>
      </c>
      <c r="EG218" t="n">
        <v>0.5</v>
      </c>
      <c r="EH218" t="n">
        <v>11.5</v>
      </c>
      <c r="EI218" t="n">
        <v>161</v>
      </c>
      <c r="EJ218" t="n">
        <v>49.6</v>
      </c>
      <c r="EK218" t="n">
        <v>18.4</v>
      </c>
      <c r="EL218" t="n">
        <v>86</v>
      </c>
      <c r="EM218" t="n">
        <v>411.5</v>
      </c>
      <c r="EN218" t="n">
        <v>1518</v>
      </c>
      <c r="EO218" t="n">
        <v>323.7</v>
      </c>
      <c r="EP218" t="n">
        <v>20.5</v>
      </c>
    </row>
    <row r="219">
      <c r="A219" t="inlineStr">
        <is>
          <t>Kaoru Mitoma</t>
        </is>
      </c>
      <c r="B219" t="inlineStr">
        <is>
          <t>BHA</t>
        </is>
      </c>
      <c r="C219" t="inlineStr">
        <is>
          <t>MID</t>
        </is>
      </c>
      <c r="D219" t="inlineStr">
        <is>
          <t>MID</t>
        </is>
      </c>
      <c r="E219" t="n">
        <v>6</v>
      </c>
      <c r="F219" t="b">
        <v>1</v>
      </c>
      <c r="G219" t="b">
        <v>1</v>
      </c>
      <c r="H219" t="n">
        <v>29.3</v>
      </c>
      <c r="I219" t="inlineStr">
        <is>
          <t>i</t>
        </is>
      </c>
      <c r="J219" t="inlineStr">
        <is>
          <t>Hamstring injury - Unknown return date</t>
        </is>
      </c>
      <c r="K219" t="n">
        <v>0</v>
      </c>
      <c r="L219" t="inlineStr">
        <is>
          <t>p451340</t>
        </is>
      </c>
      <c r="M219" t="n">
        <v>121</v>
      </c>
      <c r="Q219" t="n">
        <v>1714</v>
      </c>
      <c r="R219" t="n">
        <v>25</v>
      </c>
      <c r="S219" t="n">
        <v>19</v>
      </c>
      <c r="T219" t="n">
        <v>19.044</v>
      </c>
      <c r="U219" t="n">
        <v>68.59999999999999</v>
      </c>
      <c r="V219" t="n">
        <v>62</v>
      </c>
      <c r="W219" t="n">
        <v>3.256</v>
      </c>
      <c r="X219" t="n">
        <v>3</v>
      </c>
      <c r="Y219" t="n">
        <v>1</v>
      </c>
      <c r="Z219" t="n">
        <v>1</v>
      </c>
      <c r="AA219" t="n">
        <v>5</v>
      </c>
      <c r="AB219" t="n">
        <v>20</v>
      </c>
      <c r="AC219" t="n">
        <v>2</v>
      </c>
      <c r="AD219" t="n">
        <v>2</v>
      </c>
      <c r="AE219" t="n">
        <v>0</v>
      </c>
      <c r="AF219" t="n">
        <v>247</v>
      </c>
      <c r="AG219" t="n">
        <v>242</v>
      </c>
      <c r="AH219" t="n">
        <v>-5</v>
      </c>
      <c r="AI219" t="n">
        <v>62</v>
      </c>
      <c r="AJ219" t="n">
        <v>0.032</v>
      </c>
      <c r="AK219" t="n">
        <v>0.033</v>
      </c>
      <c r="AL219" t="n">
        <v>107</v>
      </c>
      <c r="AM219" t="n">
        <v>5.618</v>
      </c>
      <c r="AN219" t="n">
        <v>0</v>
      </c>
      <c r="AO219" t="n">
        <v>0</v>
      </c>
      <c r="AP219" t="n">
        <v>0</v>
      </c>
      <c r="AQ219" t="n">
        <v>0.105</v>
      </c>
      <c r="AR219" t="n">
        <v>0</v>
      </c>
      <c r="AS219" t="n">
        <v>0.5</v>
      </c>
      <c r="AT219" t="n">
        <v>0.68</v>
      </c>
      <c r="AU219" t="n">
        <v>17</v>
      </c>
      <c r="AV219" t="n">
        <v>0</v>
      </c>
      <c r="AW219" t="n">
        <v>2.01</v>
      </c>
      <c r="AX219" t="n">
        <v>8</v>
      </c>
      <c r="AY219" t="n">
        <v>4.04</v>
      </c>
      <c r="AZ219" t="n">
        <v>4.789</v>
      </c>
      <c r="BA219" t="n">
        <v>4.415</v>
      </c>
      <c r="BB219" t="n">
        <v>4.789</v>
      </c>
      <c r="BC219" t="n">
        <v>0.212</v>
      </c>
      <c r="BD219" t="n">
        <v>0.251</v>
      </c>
      <c r="BE219" t="n">
        <v>0.232</v>
      </c>
      <c r="BF219" t="n">
        <v>3.6</v>
      </c>
      <c r="BG219" t="n">
        <v>0.189</v>
      </c>
      <c r="BH219" t="n">
        <v>1.036</v>
      </c>
      <c r="BI219" t="n">
        <v>25.01</v>
      </c>
      <c r="BJ219" t="n">
        <v>4.186</v>
      </c>
      <c r="BK219" t="n">
        <v>0.22</v>
      </c>
      <c r="BL219" t="n">
        <v>-1.415</v>
      </c>
      <c r="BM219" t="n">
        <v>-0.44</v>
      </c>
      <c r="BN219" t="n">
        <v>-0.6</v>
      </c>
      <c r="BO219" t="n">
        <v>-0.749</v>
      </c>
      <c r="BP219" t="n">
        <v>32</v>
      </c>
      <c r="BQ219" t="n">
        <v>13</v>
      </c>
      <c r="BR219" t="n">
        <v>8</v>
      </c>
      <c r="BS219" t="n">
        <v>91</v>
      </c>
      <c r="BT219" t="n">
        <v>4.778</v>
      </c>
      <c r="BV219" t="n">
        <v>1</v>
      </c>
      <c r="BW219" t="n">
        <v>2.74</v>
      </c>
      <c r="BX219" t="n">
        <v>3.543</v>
      </c>
      <c r="BY219" t="n">
        <v>3.142</v>
      </c>
      <c r="BZ219" t="n">
        <v>0.165</v>
      </c>
      <c r="CA219" t="n">
        <v>7.556</v>
      </c>
      <c r="CB219" t="n">
        <v>0.397</v>
      </c>
      <c r="CC219" t="n">
        <v>30</v>
      </c>
      <c r="CD219" t="n">
        <v>4</v>
      </c>
      <c r="CE219" t="n">
        <v>30</v>
      </c>
      <c r="CF219" t="n">
        <v>8</v>
      </c>
      <c r="CG219" t="n">
        <v>0</v>
      </c>
      <c r="CI219" t="n">
        <v>11.287</v>
      </c>
      <c r="CJ219" t="n">
        <v>4.618</v>
      </c>
      <c r="CK219" t="n">
        <v>27</v>
      </c>
      <c r="CL219" t="n">
        <v>62</v>
      </c>
      <c r="CM219" t="n">
        <v>18</v>
      </c>
      <c r="CN219" t="n">
        <v>12</v>
      </c>
      <c r="CO219" t="n">
        <v>9</v>
      </c>
      <c r="CP219" t="n">
        <v>17</v>
      </c>
      <c r="CQ219" t="n">
        <v>1</v>
      </c>
      <c r="CR219" t="n">
        <v>82</v>
      </c>
      <c r="CS219" t="n">
        <v>15</v>
      </c>
      <c r="CT219" t="n">
        <v>0.6</v>
      </c>
      <c r="CV219" t="n">
        <v>2</v>
      </c>
      <c r="CW219" t="n">
        <v>23.76</v>
      </c>
      <c r="CX219" t="n">
        <v>1.248</v>
      </c>
      <c r="CY219" t="n">
        <v>0</v>
      </c>
      <c r="DB219" t="n">
        <v>0</v>
      </c>
      <c r="DE219" t="n">
        <v>6.86</v>
      </c>
      <c r="DF219" t="n">
        <v>5</v>
      </c>
      <c r="DG219" t="n">
        <v>0</v>
      </c>
      <c r="DH219" t="n">
        <v>31</v>
      </c>
      <c r="DI219" t="n">
        <v>21</v>
      </c>
      <c r="DL219" t="n">
        <v>28</v>
      </c>
      <c r="DM219" t="n">
        <v>23</v>
      </c>
      <c r="DN219" t="n">
        <v>4</v>
      </c>
      <c r="DO219" t="n">
        <v>0.1</v>
      </c>
      <c r="DP219" t="n">
        <v>73.83</v>
      </c>
      <c r="DQ219" t="n">
        <v>39.12</v>
      </c>
      <c r="DR219" t="n">
        <v>78.23999999999999</v>
      </c>
      <c r="DS219" t="n">
        <v>-4.41</v>
      </c>
      <c r="DT219" t="n">
        <v>1353</v>
      </c>
      <c r="DU219" t="n">
        <v>35.6</v>
      </c>
      <c r="DV219" t="inlineStr">
        <is>
          <t>fade (losing his place)</t>
        </is>
      </c>
      <c r="DW219" t="n">
        <v>72.77</v>
      </c>
      <c r="DX219" t="n">
        <v>68</v>
      </c>
      <c r="DY219" t="n">
        <v>77.23999999999999</v>
      </c>
      <c r="DZ219" t="n">
        <v>4.48</v>
      </c>
      <c r="EA219" t="n">
        <v>38</v>
      </c>
      <c r="EB219" t="n">
        <v>30.39</v>
      </c>
      <c r="EC219" t="n">
        <v>2</v>
      </c>
      <c r="ED219" t="n">
        <v>114.91</v>
      </c>
      <c r="EE219" t="n">
        <v>59</v>
      </c>
      <c r="EF219" t="b">
        <v>1</v>
      </c>
      <c r="EG219" t="n">
        <v>1.8</v>
      </c>
      <c r="EH219" t="n">
        <v>34.4</v>
      </c>
      <c r="EI219" t="n">
        <v>96</v>
      </c>
      <c r="EJ219" t="n">
        <v>53.6</v>
      </c>
      <c r="EK219" t="n">
        <v>18.8</v>
      </c>
      <c r="EL219" t="n">
        <v>57.1</v>
      </c>
      <c r="EM219" t="n">
        <v>388.3</v>
      </c>
      <c r="EN219" t="n">
        <v>545.6</v>
      </c>
      <c r="EO219" t="n">
        <v>226.8</v>
      </c>
      <c r="EP219" t="n">
        <v>27.6</v>
      </c>
    </row>
    <row r="220">
      <c r="A220" t="inlineStr">
        <is>
          <t>Jacob Ramsey</t>
        </is>
      </c>
      <c r="B220" t="inlineStr">
        <is>
          <t>NEW</t>
        </is>
      </c>
      <c r="C220" t="inlineStr">
        <is>
          <t>MID</t>
        </is>
      </c>
      <c r="D220" t="inlineStr">
        <is>
          <t>MID</t>
        </is>
      </c>
      <c r="E220" t="n">
        <v>5</v>
      </c>
      <c r="F220" t="b">
        <v>1</v>
      </c>
      <c r="G220" t="b">
        <v>1</v>
      </c>
      <c r="H220" t="n">
        <v>25.2</v>
      </c>
      <c r="I220" t="inlineStr">
        <is>
          <t>a</t>
        </is>
      </c>
      <c r="L220" t="inlineStr">
        <is>
          <t>p232653</t>
        </is>
      </c>
      <c r="M220" t="n">
        <v>456</v>
      </c>
      <c r="Q220" t="n">
        <v>1441</v>
      </c>
      <c r="R220" t="n">
        <v>28</v>
      </c>
      <c r="S220" t="n">
        <v>15</v>
      </c>
      <c r="T220" t="n">
        <v>16.011</v>
      </c>
      <c r="U220" t="n">
        <v>51.5</v>
      </c>
      <c r="V220" t="n">
        <v>62</v>
      </c>
      <c r="W220" t="n">
        <v>3.872</v>
      </c>
      <c r="X220" t="n">
        <v>2</v>
      </c>
      <c r="Y220" t="n">
        <v>3</v>
      </c>
      <c r="Z220" t="n">
        <v>3</v>
      </c>
      <c r="AA220" t="n">
        <v>1</v>
      </c>
      <c r="AB220" t="n">
        <v>31</v>
      </c>
      <c r="AC220" t="n">
        <v>3</v>
      </c>
      <c r="AD220" t="n">
        <v>3</v>
      </c>
      <c r="AE220" t="n">
        <v>0</v>
      </c>
      <c r="AF220" t="n">
        <v>303</v>
      </c>
      <c r="AG220" t="n">
        <v>299</v>
      </c>
      <c r="AH220" t="n">
        <v>-4</v>
      </c>
      <c r="AI220" t="n">
        <v>62</v>
      </c>
      <c r="AJ220" t="n">
        <v>0.048</v>
      </c>
      <c r="AK220" t="n">
        <v>0.051</v>
      </c>
      <c r="AL220" t="n">
        <v>149</v>
      </c>
      <c r="AM220" t="n">
        <v>9.305999999999999</v>
      </c>
      <c r="AN220" t="n">
        <v>2</v>
      </c>
      <c r="AO220" t="n">
        <v>4</v>
      </c>
      <c r="AP220" t="n">
        <v>0.133</v>
      </c>
      <c r="AQ220" t="n">
        <v>0.333</v>
      </c>
      <c r="AR220" t="n">
        <v>0.133</v>
      </c>
      <c r="AS220" t="n">
        <v>0.395</v>
      </c>
      <c r="AT220" t="n">
        <v>0.464</v>
      </c>
      <c r="AU220" t="n">
        <v>21</v>
      </c>
      <c r="AV220" t="n">
        <v>0</v>
      </c>
      <c r="AW220" t="n">
        <v>2.22</v>
      </c>
      <c r="AX220" t="n">
        <v>9</v>
      </c>
      <c r="AY220" t="n">
        <v>1.2</v>
      </c>
      <c r="AZ220" t="n">
        <v>1.211</v>
      </c>
      <c r="BA220" t="n">
        <v>1.206</v>
      </c>
      <c r="BB220" t="n">
        <v>1.211</v>
      </c>
      <c r="BC220" t="n">
        <v>0.075</v>
      </c>
      <c r="BD220" t="n">
        <v>0.076</v>
      </c>
      <c r="BE220" t="n">
        <v>0.075</v>
      </c>
      <c r="BF220" t="n">
        <v>1.2</v>
      </c>
      <c r="BG220" t="n">
        <v>0.075</v>
      </c>
      <c r="BH220" t="n">
        <v>0.869</v>
      </c>
      <c r="BI220" t="n">
        <v>9.949999999999999</v>
      </c>
      <c r="BJ220" t="n">
        <v>1.043</v>
      </c>
      <c r="BK220" t="n">
        <v>0.065</v>
      </c>
      <c r="BL220" t="n">
        <v>0.794</v>
      </c>
      <c r="BM220" t="n">
        <v>0</v>
      </c>
      <c r="BN220" t="n">
        <v>0.8</v>
      </c>
      <c r="BO220" t="n">
        <v>-0.011</v>
      </c>
      <c r="BP220" t="n">
        <v>16</v>
      </c>
      <c r="BQ220" t="n">
        <v>4</v>
      </c>
      <c r="BR220" t="n">
        <v>1</v>
      </c>
      <c r="BS220" t="n">
        <v>48</v>
      </c>
      <c r="BT220" t="n">
        <v>2.998</v>
      </c>
      <c r="BW220" t="n">
        <v>1.45</v>
      </c>
      <c r="BX220" t="n">
        <v>1.566</v>
      </c>
      <c r="BY220" t="n">
        <v>1.508</v>
      </c>
      <c r="BZ220" t="n">
        <v>0.094</v>
      </c>
      <c r="CA220" t="n">
        <v>2.714</v>
      </c>
      <c r="CB220" t="n">
        <v>0.169</v>
      </c>
      <c r="CC220" t="n">
        <v>22</v>
      </c>
      <c r="CD220" t="n">
        <v>2</v>
      </c>
      <c r="CE220" t="n">
        <v>22</v>
      </c>
      <c r="CF220" t="n">
        <v>4</v>
      </c>
      <c r="CG220" t="n">
        <v>3</v>
      </c>
      <c r="CI220" t="n">
        <v>5.488</v>
      </c>
      <c r="CJ220" t="n">
        <v>4.252</v>
      </c>
      <c r="CK220" t="n">
        <v>23</v>
      </c>
      <c r="CL220" t="n">
        <v>85</v>
      </c>
      <c r="CM220" t="n">
        <v>41</v>
      </c>
      <c r="CN220" t="n">
        <v>22</v>
      </c>
      <c r="CO220" t="n">
        <v>9</v>
      </c>
      <c r="CP220" t="n">
        <v>10</v>
      </c>
      <c r="CQ220" t="n">
        <v>4</v>
      </c>
      <c r="CR220" t="n">
        <v>79</v>
      </c>
      <c r="CS220" t="n">
        <v>9</v>
      </c>
      <c r="CT220" t="n">
        <v>0.7</v>
      </c>
      <c r="CV220" t="n">
        <v>1</v>
      </c>
      <c r="CW220" t="n">
        <v>27.24</v>
      </c>
      <c r="CX220" t="n">
        <v>1.701</v>
      </c>
      <c r="CY220" t="n">
        <v>0</v>
      </c>
      <c r="DB220" t="n">
        <v>0</v>
      </c>
      <c r="DE220" t="n">
        <v>6.79</v>
      </c>
      <c r="DF220" t="n">
        <v>3</v>
      </c>
      <c r="DG220" t="n">
        <v>1</v>
      </c>
      <c r="DH220" t="n">
        <v>16</v>
      </c>
      <c r="DI220" t="n">
        <v>14</v>
      </c>
      <c r="DK220" t="n">
        <v>1</v>
      </c>
      <c r="DL220" t="n">
        <v>15</v>
      </c>
      <c r="DM220" t="n">
        <v>13</v>
      </c>
      <c r="DN220" t="n">
        <v>2</v>
      </c>
      <c r="DO220" t="n">
        <v>0.4</v>
      </c>
      <c r="DP220" t="n">
        <v>42.72</v>
      </c>
      <c r="DQ220" t="n">
        <v>21.4</v>
      </c>
      <c r="DR220" t="n">
        <v>42.8</v>
      </c>
      <c r="DS220" t="n">
        <v>-0.08</v>
      </c>
      <c r="DT220" t="n">
        <v>889</v>
      </c>
      <c r="DU220" t="n">
        <v>23.4</v>
      </c>
      <c r="DV220" t="inlineStr">
        <is>
          <t>flat</t>
        </is>
      </c>
      <c r="DW220" t="n">
        <v>91.09</v>
      </c>
      <c r="DX220" t="n">
        <v>93</v>
      </c>
      <c r="DY220" t="n">
        <v>97.05</v>
      </c>
      <c r="DZ220" t="n">
        <v>5.95</v>
      </c>
      <c r="EA220" t="n">
        <v>11</v>
      </c>
      <c r="EB220" t="n">
        <v>19.32</v>
      </c>
      <c r="EC220" t="n">
        <v>60.5</v>
      </c>
      <c r="ED220" t="n">
        <v>117</v>
      </c>
      <c r="EE220" t="n">
        <v>17</v>
      </c>
      <c r="EF220" t="b">
        <v>1</v>
      </c>
      <c r="EG220" t="n">
        <v>0.5</v>
      </c>
      <c r="EH220" t="n">
        <v>22.7</v>
      </c>
      <c r="EI220" t="n">
        <v>271</v>
      </c>
      <c r="EJ220" t="n">
        <v>90.09999999999999</v>
      </c>
      <c r="EK220" t="n">
        <v>30</v>
      </c>
      <c r="EL220" t="n">
        <v>65.5</v>
      </c>
      <c r="EM220" t="n">
        <v>1195.2</v>
      </c>
      <c r="EN220" t="n">
        <v>955.4</v>
      </c>
      <c r="EO220" t="n">
        <v>531</v>
      </c>
      <c r="EP220" t="n">
        <v>23.2</v>
      </c>
    </row>
    <row r="221">
      <c r="A221" t="inlineStr">
        <is>
          <t>Boubacar Kamara</t>
        </is>
      </c>
      <c r="B221" t="inlineStr">
        <is>
          <t>AVL</t>
        </is>
      </c>
      <c r="C221" t="inlineStr">
        <is>
          <t>MID</t>
        </is>
      </c>
      <c r="D221" t="inlineStr">
        <is>
          <t>MID</t>
        </is>
      </c>
      <c r="E221" t="n">
        <v>5</v>
      </c>
      <c r="F221" t="b">
        <v>1</v>
      </c>
      <c r="G221" t="b">
        <v>1</v>
      </c>
      <c r="H221" t="n">
        <v>26.7</v>
      </c>
      <c r="I221" t="inlineStr">
        <is>
          <t>a</t>
        </is>
      </c>
      <c r="K221" t="n">
        <v>100</v>
      </c>
      <c r="L221" t="inlineStr">
        <is>
          <t>p226944</t>
        </is>
      </c>
      <c r="M221" t="n">
        <v>47</v>
      </c>
      <c r="Q221" t="n">
        <v>1410</v>
      </c>
      <c r="R221" t="n">
        <v>18</v>
      </c>
      <c r="S221" t="n">
        <v>17</v>
      </c>
      <c r="T221" t="n">
        <v>15.667</v>
      </c>
      <c r="U221" t="n">
        <v>78.3</v>
      </c>
      <c r="V221" t="n">
        <v>61</v>
      </c>
      <c r="W221" t="n">
        <v>3.894</v>
      </c>
      <c r="X221" t="n">
        <v>1</v>
      </c>
      <c r="Y221" t="n">
        <v>3</v>
      </c>
      <c r="Z221" t="n">
        <v>3</v>
      </c>
      <c r="AA221" t="n">
        <v>5</v>
      </c>
      <c r="AB221" t="n">
        <v>15</v>
      </c>
      <c r="AC221" t="n">
        <v>7</v>
      </c>
      <c r="AD221" t="n">
        <v>7</v>
      </c>
      <c r="AE221" t="n">
        <v>0</v>
      </c>
      <c r="AF221" t="n">
        <v>282</v>
      </c>
      <c r="AG221" t="n">
        <v>268</v>
      </c>
      <c r="AH221" t="n">
        <v>-14</v>
      </c>
      <c r="AI221" t="n">
        <v>61</v>
      </c>
      <c r="AJ221" t="n">
        <v>0.115</v>
      </c>
      <c r="AK221" t="n">
        <v>0.13</v>
      </c>
      <c r="AL221" t="n">
        <v>149</v>
      </c>
      <c r="AM221" t="n">
        <v>9.510999999999999</v>
      </c>
      <c r="AN221" t="n">
        <v>3</v>
      </c>
      <c r="AO221" t="n">
        <v>6</v>
      </c>
      <c r="AP221" t="n">
        <v>0.176</v>
      </c>
      <c r="AQ221" t="n">
        <v>0.412</v>
      </c>
      <c r="AR221" t="n">
        <v>0.176</v>
      </c>
      <c r="AS221" t="n">
        <v>0.447</v>
      </c>
      <c r="AT221" t="n">
        <v>0.889</v>
      </c>
      <c r="AU221" t="n">
        <v>11</v>
      </c>
      <c r="AV221" t="n">
        <v>2</v>
      </c>
      <c r="AW221" t="n">
        <v>2.64</v>
      </c>
      <c r="AX221" t="n">
        <v>11</v>
      </c>
      <c r="AY221" t="n">
        <v>0.53</v>
      </c>
      <c r="AZ221" t="n">
        <v>1.052</v>
      </c>
      <c r="BA221" t="n">
        <v>0.791</v>
      </c>
      <c r="BB221" t="n">
        <v>1.052</v>
      </c>
      <c r="BC221" t="n">
        <v>0.034</v>
      </c>
      <c r="BD221" t="n">
        <v>0.067</v>
      </c>
      <c r="BE221" t="n">
        <v>0.05</v>
      </c>
      <c r="BF221" t="n">
        <v>0.9</v>
      </c>
      <c r="BG221" t="n">
        <v>0.057</v>
      </c>
      <c r="BH221" t="n">
        <v>0.966</v>
      </c>
      <c r="BI221" t="n">
        <v>1.63</v>
      </c>
      <c r="BJ221" t="n">
        <v>0.512</v>
      </c>
      <c r="BK221" t="n">
        <v>0.033</v>
      </c>
      <c r="BL221" t="n">
        <v>0.209</v>
      </c>
      <c r="BM221" t="n">
        <v>0.37</v>
      </c>
      <c r="BN221" t="n">
        <v>0.1</v>
      </c>
      <c r="BO221" t="n">
        <v>-0.522</v>
      </c>
      <c r="BP221" t="n">
        <v>7</v>
      </c>
      <c r="BQ221" t="n">
        <v>4</v>
      </c>
      <c r="BR221" t="n">
        <v>2</v>
      </c>
      <c r="BS221" t="n">
        <v>11</v>
      </c>
      <c r="BT221" t="n">
        <v>0.702</v>
      </c>
      <c r="BW221" t="n">
        <v>0.84</v>
      </c>
      <c r="BX221" t="n">
        <v>0.729</v>
      </c>
      <c r="BY221" t="n">
        <v>0.785</v>
      </c>
      <c r="BZ221" t="n">
        <v>0.05</v>
      </c>
      <c r="CA221" t="n">
        <v>1.576</v>
      </c>
      <c r="CB221" t="n">
        <v>0.101</v>
      </c>
      <c r="CC221" t="n">
        <v>15</v>
      </c>
      <c r="CE221" t="n">
        <v>15</v>
      </c>
      <c r="CG221" t="n">
        <v>1</v>
      </c>
      <c r="CH221" t="n">
        <v>2</v>
      </c>
      <c r="CI221" t="n">
        <v>5.698</v>
      </c>
      <c r="CJ221" t="n">
        <v>4.27</v>
      </c>
      <c r="CK221" t="n">
        <v>46</v>
      </c>
      <c r="CL221" t="n">
        <v>65</v>
      </c>
      <c r="CM221" t="n">
        <v>38</v>
      </c>
      <c r="CN221" t="n">
        <v>17</v>
      </c>
      <c r="CO221" t="n">
        <v>18</v>
      </c>
      <c r="CP221" t="n">
        <v>20</v>
      </c>
      <c r="CQ221" t="n">
        <v>8</v>
      </c>
      <c r="CR221" t="n">
        <v>116</v>
      </c>
      <c r="CS221" t="n">
        <v>36</v>
      </c>
      <c r="CV221" t="n">
        <v>3</v>
      </c>
      <c r="CW221" t="n">
        <v>20.8</v>
      </c>
      <c r="CX221" t="n">
        <v>1.328</v>
      </c>
      <c r="CY221" t="n">
        <v>0</v>
      </c>
      <c r="DB221" t="n">
        <v>0</v>
      </c>
      <c r="DF221" t="n">
        <v>5</v>
      </c>
      <c r="DG221" t="n">
        <v>0</v>
      </c>
      <c r="DH221" t="n">
        <v>17</v>
      </c>
      <c r="DI221" t="n">
        <v>30</v>
      </c>
      <c r="DL221" t="n">
        <v>14</v>
      </c>
      <c r="DM221" t="n">
        <v>15</v>
      </c>
      <c r="DO221" t="n">
        <v>0.2</v>
      </c>
      <c r="DP221" t="n">
        <v>74.37</v>
      </c>
      <c r="DQ221" t="n">
        <v>40.55</v>
      </c>
      <c r="DR221" t="n">
        <v>81.09999999999999</v>
      </c>
      <c r="DS221" t="n">
        <v>-6.73</v>
      </c>
      <c r="DT221" t="n">
        <v>1761</v>
      </c>
      <c r="DU221" t="n">
        <v>46.35</v>
      </c>
      <c r="DV221" t="inlineStr">
        <is>
          <t>fade (losing his place)</t>
        </is>
      </c>
      <c r="DW221" t="n">
        <v>87.58</v>
      </c>
      <c r="DX221" t="n">
        <v>45</v>
      </c>
      <c r="DY221" t="n">
        <v>96.06999999999999</v>
      </c>
      <c r="DZ221" t="n">
        <v>8.49</v>
      </c>
      <c r="EA221" t="n">
        <v>9</v>
      </c>
      <c r="EB221" t="n">
        <v>22.19</v>
      </c>
      <c r="EC221" t="n">
        <v>45</v>
      </c>
      <c r="ED221" t="n">
        <v>111.5</v>
      </c>
      <c r="EE221" t="n">
        <v>11</v>
      </c>
      <c r="EF221" t="b">
        <v>1</v>
      </c>
      <c r="EG221" t="n">
        <v>0.3</v>
      </c>
      <c r="EH221" t="n">
        <v>26.7</v>
      </c>
      <c r="EI221" t="n">
        <v>272</v>
      </c>
      <c r="EJ221" t="n">
        <v>201.4</v>
      </c>
      <c r="EK221" t="n">
        <v>128.2</v>
      </c>
      <c r="EL221" t="n">
        <v>94</v>
      </c>
      <c r="EM221" t="n">
        <v>1782.4</v>
      </c>
      <c r="EN221" t="n">
        <v>1797.3</v>
      </c>
      <c r="EO221" t="n">
        <v>894.9</v>
      </c>
      <c r="EP221" t="n">
        <v>23.1</v>
      </c>
    </row>
    <row r="222">
      <c r="A222" t="inlineStr">
        <is>
          <t>Timothy Castagne</t>
        </is>
      </c>
      <c r="B222" t="inlineStr">
        <is>
          <t>FUL</t>
        </is>
      </c>
      <c r="C222" t="inlineStr">
        <is>
          <t>DEF</t>
        </is>
      </c>
      <c r="D222" t="inlineStr">
        <is>
          <t>DEF</t>
        </is>
      </c>
      <c r="E222" t="n">
        <v>4.5</v>
      </c>
      <c r="F222" t="b">
        <v>1</v>
      </c>
      <c r="G222" t="b">
        <v>1</v>
      </c>
      <c r="H222" t="n">
        <v>30.7</v>
      </c>
      <c r="I222" t="inlineStr">
        <is>
          <t>a</t>
        </is>
      </c>
      <c r="L222" t="inlineStr">
        <is>
          <t>p166477</t>
        </is>
      </c>
      <c r="M222" t="n">
        <v>258</v>
      </c>
      <c r="Q222" t="n">
        <v>1838</v>
      </c>
      <c r="R222" t="n">
        <v>30</v>
      </c>
      <c r="S222" t="n">
        <v>20</v>
      </c>
      <c r="T222" t="n">
        <v>20.422</v>
      </c>
      <c r="U222" t="n">
        <v>61.3</v>
      </c>
      <c r="V222" t="n">
        <v>61</v>
      </c>
      <c r="W222" t="n">
        <v>2.987</v>
      </c>
      <c r="X222" t="n">
        <v>0</v>
      </c>
      <c r="Y222" t="n">
        <v>2</v>
      </c>
      <c r="AA222" t="n">
        <v>3</v>
      </c>
      <c r="AB222" t="n">
        <v>31</v>
      </c>
      <c r="AC222" t="n">
        <v>3</v>
      </c>
      <c r="AD222" t="n">
        <v>4</v>
      </c>
      <c r="AE222" t="n">
        <v>1</v>
      </c>
      <c r="AF222" t="n">
        <v>294</v>
      </c>
      <c r="AG222" t="n">
        <v>271</v>
      </c>
      <c r="AH222" t="n">
        <v>-23</v>
      </c>
      <c r="AI222" t="n">
        <v>62</v>
      </c>
      <c r="AJ222" t="n">
        <v>0.049</v>
      </c>
      <c r="AK222" t="n">
        <v>0.052</v>
      </c>
      <c r="AL222" t="n">
        <v>146</v>
      </c>
      <c r="AM222" t="n">
        <v>7.149</v>
      </c>
      <c r="AN222" t="n">
        <v>2</v>
      </c>
      <c r="AO222" t="n">
        <v>4</v>
      </c>
      <c r="AP222" t="n">
        <v>0.1</v>
      </c>
      <c r="AQ222" t="n">
        <v>0.1</v>
      </c>
      <c r="AR222" t="n">
        <v>0</v>
      </c>
      <c r="AS222" t="n">
        <v>0.526</v>
      </c>
      <c r="AT222" t="n">
        <v>0.633</v>
      </c>
      <c r="AU222" t="n">
        <v>23</v>
      </c>
      <c r="AV222" t="n">
        <v>0</v>
      </c>
      <c r="AW222" t="n">
        <v>1.91</v>
      </c>
      <c r="AX222" t="n">
        <v>8</v>
      </c>
      <c r="AY222" t="n">
        <v>1.5</v>
      </c>
      <c r="AZ222" t="n">
        <v>1.47</v>
      </c>
      <c r="BA222" t="n">
        <v>1.485</v>
      </c>
      <c r="BB222" t="n">
        <v>1.47</v>
      </c>
      <c r="BC222" t="n">
        <v>0.073</v>
      </c>
      <c r="BD222" t="n">
        <v>0.07199999999999999</v>
      </c>
      <c r="BE222" t="n">
        <v>0.073</v>
      </c>
      <c r="BF222" t="n">
        <v>1.1</v>
      </c>
      <c r="BG222" t="n">
        <v>0.054</v>
      </c>
      <c r="BH222" t="n">
        <v>0.8100000000000001</v>
      </c>
      <c r="BI222" t="n">
        <v>5.33</v>
      </c>
      <c r="BJ222" t="n">
        <v>1.215</v>
      </c>
      <c r="BK222" t="n">
        <v>0.059</v>
      </c>
      <c r="BL222" t="n">
        <v>-1.485</v>
      </c>
      <c r="BM222" t="n">
        <v>-0.4</v>
      </c>
      <c r="BN222" t="n">
        <v>-1.1</v>
      </c>
      <c r="BO222" t="n">
        <v>0.03</v>
      </c>
      <c r="BP222" t="n">
        <v>14</v>
      </c>
      <c r="BQ222" t="n">
        <v>6</v>
      </c>
      <c r="BR222" t="n">
        <v>1</v>
      </c>
      <c r="BS222" t="n">
        <v>41</v>
      </c>
      <c r="BT222" t="n">
        <v>2.008</v>
      </c>
      <c r="BW222" t="n">
        <v>1.47</v>
      </c>
      <c r="BX222" t="n">
        <v>1.746</v>
      </c>
      <c r="BY222" t="n">
        <v>1.608</v>
      </c>
      <c r="BZ222" t="n">
        <v>0.079</v>
      </c>
      <c r="CA222" t="n">
        <v>3.093</v>
      </c>
      <c r="CB222" t="n">
        <v>0.151</v>
      </c>
      <c r="CC222" t="n">
        <v>18</v>
      </c>
      <c r="CD222" t="n">
        <v>3</v>
      </c>
      <c r="CE222" t="n">
        <v>18</v>
      </c>
      <c r="CF222" t="n">
        <v>15</v>
      </c>
      <c r="CI222" t="n">
        <v>6.832</v>
      </c>
      <c r="CJ222" t="n">
        <v>5.6</v>
      </c>
      <c r="CK222" t="n">
        <v>106</v>
      </c>
      <c r="CL222" t="n">
        <v>56</v>
      </c>
      <c r="CM222" t="n">
        <v>40</v>
      </c>
      <c r="CN222" t="n">
        <v>24</v>
      </c>
      <c r="CO222" t="n">
        <v>31</v>
      </c>
      <c r="CP222" t="n">
        <v>65</v>
      </c>
      <c r="CQ222" t="n">
        <v>10</v>
      </c>
      <c r="CR222" t="n">
        <v>81</v>
      </c>
      <c r="CS222" t="n">
        <v>27</v>
      </c>
      <c r="CT222" t="n">
        <v>0.1</v>
      </c>
      <c r="CV222" t="n">
        <v>1</v>
      </c>
      <c r="CW222" t="n">
        <v>32.66</v>
      </c>
      <c r="CX222" t="n">
        <v>1.599</v>
      </c>
      <c r="CY222" t="n">
        <v>0</v>
      </c>
      <c r="DB222" t="n">
        <v>0</v>
      </c>
      <c r="DE222" t="n">
        <v>6.88</v>
      </c>
      <c r="DF222" t="n">
        <v>4</v>
      </c>
      <c r="DG222" t="n">
        <v>0</v>
      </c>
      <c r="DH222" t="n">
        <v>18</v>
      </c>
      <c r="DI222" t="n">
        <v>11</v>
      </c>
      <c r="DJ222" t="n">
        <v>1</v>
      </c>
      <c r="DL222" t="n">
        <v>3</v>
      </c>
      <c r="DM222" t="n">
        <v>2</v>
      </c>
      <c r="DN222" t="n">
        <v>1</v>
      </c>
      <c r="DO222" t="n">
        <v>0.2</v>
      </c>
      <c r="DP222" t="n">
        <v>77.40000000000001</v>
      </c>
      <c r="DQ222" t="n">
        <v>38.7</v>
      </c>
      <c r="DR222" t="n">
        <v>77.40000000000001</v>
      </c>
      <c r="DS222" t="n">
        <v>0</v>
      </c>
      <c r="DT222" t="n">
        <v>2035</v>
      </c>
      <c r="DU222" t="n">
        <v>53.55</v>
      </c>
      <c r="DV222" t="inlineStr">
        <is>
          <t>flat</t>
        </is>
      </c>
      <c r="DW222" t="n">
        <v>99.31</v>
      </c>
      <c r="DX222" t="n">
        <v>108</v>
      </c>
      <c r="DY222" t="n">
        <v>98.91</v>
      </c>
      <c r="DZ222" t="n">
        <v>-0.4</v>
      </c>
      <c r="EA222" t="n">
        <v>19</v>
      </c>
      <c r="EB222" t="n">
        <v>19.5</v>
      </c>
      <c r="EC222" t="n">
        <v>29.71</v>
      </c>
      <c r="ED222" t="n">
        <v>118.86</v>
      </c>
      <c r="EE222" t="n">
        <v>25</v>
      </c>
      <c r="EF222" t="b">
        <v>1</v>
      </c>
      <c r="EG222" t="n">
        <v>0.5</v>
      </c>
      <c r="EH222" t="n">
        <v>3.8</v>
      </c>
      <c r="EI222" t="n">
        <v>419</v>
      </c>
      <c r="EJ222" t="n">
        <v>131.3</v>
      </c>
      <c r="EK222" t="n">
        <v>44.8</v>
      </c>
      <c r="EL222" t="n">
        <v>102.1</v>
      </c>
      <c r="EM222" t="n">
        <v>1237.6</v>
      </c>
      <c r="EN222" t="n">
        <v>1143</v>
      </c>
      <c r="EO222" t="n">
        <v>594.2</v>
      </c>
      <c r="EP222" t="n">
        <v>30.1</v>
      </c>
    </row>
    <row r="223">
      <c r="A223" t="inlineStr">
        <is>
          <t>Archie Gray</t>
        </is>
      </c>
      <c r="B223" t="inlineStr">
        <is>
          <t>TOT</t>
        </is>
      </c>
      <c r="C223" t="inlineStr">
        <is>
          <t>MID</t>
        </is>
      </c>
      <c r="D223" t="inlineStr">
        <is>
          <t>MID</t>
        </is>
      </c>
      <c r="E223" t="n">
        <v>5</v>
      </c>
      <c r="F223" t="b">
        <v>1</v>
      </c>
      <c r="G223" t="b">
        <v>1</v>
      </c>
      <c r="H223" t="n">
        <v>20.4</v>
      </c>
      <c r="I223" t="inlineStr">
        <is>
          <t>a</t>
        </is>
      </c>
      <c r="L223" t="inlineStr">
        <is>
          <t>p547701</t>
        </is>
      </c>
      <c r="M223" t="n">
        <v>522</v>
      </c>
      <c r="Q223" t="n">
        <v>1471</v>
      </c>
      <c r="R223" t="n">
        <v>24</v>
      </c>
      <c r="S223" t="n">
        <v>18</v>
      </c>
      <c r="T223" t="n">
        <v>16.344</v>
      </c>
      <c r="U223" t="n">
        <v>61.3</v>
      </c>
      <c r="V223" t="n">
        <v>61</v>
      </c>
      <c r="W223" t="n">
        <v>3.732</v>
      </c>
      <c r="X223" t="n">
        <v>2</v>
      </c>
      <c r="Y223" t="n">
        <v>2</v>
      </c>
      <c r="Z223" t="n">
        <v>2</v>
      </c>
      <c r="AA223" t="n">
        <v>5</v>
      </c>
      <c r="AB223" t="n">
        <v>28</v>
      </c>
      <c r="AC223" t="n">
        <v>6</v>
      </c>
      <c r="AD223" t="n">
        <v>6</v>
      </c>
      <c r="AE223" t="n">
        <v>0</v>
      </c>
      <c r="AF223" t="n">
        <v>237</v>
      </c>
      <c r="AG223" t="n">
        <v>227</v>
      </c>
      <c r="AH223" t="n">
        <v>-10</v>
      </c>
      <c r="AI223" t="n">
        <v>61</v>
      </c>
      <c r="AJ223" t="n">
        <v>0.098</v>
      </c>
      <c r="AK223" t="n">
        <v>0.109</v>
      </c>
      <c r="AL223" t="n">
        <v>132</v>
      </c>
      <c r="AM223" t="n">
        <v>8.076000000000001</v>
      </c>
      <c r="AN223" t="n">
        <v>0</v>
      </c>
      <c r="AO223" t="n">
        <v>0</v>
      </c>
      <c r="AP223" t="n">
        <v>0</v>
      </c>
      <c r="AQ223" t="n">
        <v>0.056</v>
      </c>
      <c r="AR223" t="n">
        <v>0</v>
      </c>
      <c r="AS223" t="n">
        <v>0.474</v>
      </c>
      <c r="AT223" t="n">
        <v>0.625</v>
      </c>
      <c r="AU223" t="n">
        <v>17</v>
      </c>
      <c r="AV223" t="n">
        <v>2</v>
      </c>
      <c r="AW223" t="n">
        <v>2.41</v>
      </c>
      <c r="AX223" t="n">
        <v>10</v>
      </c>
      <c r="AY223" t="n">
        <v>1.5</v>
      </c>
      <c r="AZ223" t="n">
        <v>1.589</v>
      </c>
      <c r="BA223" t="n">
        <v>1.544</v>
      </c>
      <c r="BB223" t="n">
        <v>1.589</v>
      </c>
      <c r="BC223" t="n">
        <v>0.092</v>
      </c>
      <c r="BD223" t="n">
        <v>0.097</v>
      </c>
      <c r="BE223" t="n">
        <v>0.094</v>
      </c>
      <c r="BF223" t="n">
        <v>2.2</v>
      </c>
      <c r="BG223" t="n">
        <v>0.135</v>
      </c>
      <c r="BH223" t="n">
        <v>1.07</v>
      </c>
      <c r="BI223" t="n">
        <v>1.53</v>
      </c>
      <c r="BJ223" t="n">
        <v>1.605</v>
      </c>
      <c r="BK223" t="n">
        <v>0.098</v>
      </c>
      <c r="BL223" t="n">
        <v>0.456</v>
      </c>
      <c r="BM223" t="n">
        <v>0.7</v>
      </c>
      <c r="BN223" t="n">
        <v>-0.2</v>
      </c>
      <c r="BO223" t="n">
        <v>-0.089</v>
      </c>
      <c r="BP223" t="n">
        <v>11</v>
      </c>
      <c r="BQ223" t="n">
        <v>5</v>
      </c>
      <c r="BS223" t="n">
        <v>26</v>
      </c>
      <c r="BT223" t="n">
        <v>1.591</v>
      </c>
      <c r="BV223" t="n">
        <v>1</v>
      </c>
      <c r="BW223" t="n">
        <v>1.29</v>
      </c>
      <c r="BX223" t="n">
        <v>1.658</v>
      </c>
      <c r="BY223" t="n">
        <v>1.474</v>
      </c>
      <c r="BZ223" t="n">
        <v>0.09</v>
      </c>
      <c r="CA223" t="n">
        <v>3.018</v>
      </c>
      <c r="CB223" t="n">
        <v>0.185</v>
      </c>
      <c r="CC223" t="n">
        <v>8</v>
      </c>
      <c r="CD223" t="n">
        <v>3</v>
      </c>
      <c r="CE223" t="n">
        <v>8</v>
      </c>
      <c r="CF223" t="n">
        <v>4</v>
      </c>
      <c r="CI223" t="n">
        <v>3.57</v>
      </c>
      <c r="CJ223" t="n">
        <v>2.168</v>
      </c>
      <c r="CK223" t="n">
        <v>65</v>
      </c>
      <c r="CL223" t="n">
        <v>56</v>
      </c>
      <c r="CM223" t="n">
        <v>11</v>
      </c>
      <c r="CN223" t="n">
        <v>8</v>
      </c>
      <c r="CO223" t="n">
        <v>17</v>
      </c>
      <c r="CP223" t="n">
        <v>44</v>
      </c>
      <c r="CQ223" t="n">
        <v>4</v>
      </c>
      <c r="CR223" t="n">
        <v>29</v>
      </c>
      <c r="CS223" t="n">
        <v>9</v>
      </c>
      <c r="CT223" t="n">
        <v>0.1</v>
      </c>
      <c r="CU223" t="n">
        <v>1</v>
      </c>
      <c r="CW223" t="n">
        <v>24.8</v>
      </c>
      <c r="CX223" t="n">
        <v>1.517</v>
      </c>
      <c r="CY223" t="n">
        <v>0</v>
      </c>
      <c r="DB223" t="n">
        <v>0</v>
      </c>
      <c r="DE223" t="n">
        <v>6.53</v>
      </c>
      <c r="DF223" t="n">
        <v>5</v>
      </c>
      <c r="DG223" t="n">
        <v>0</v>
      </c>
      <c r="DH223" t="n">
        <v>12</v>
      </c>
      <c r="DI223" t="n">
        <v>2</v>
      </c>
      <c r="DL223" t="n">
        <v>7</v>
      </c>
      <c r="DM223" t="n">
        <v>17</v>
      </c>
      <c r="DO223" t="n">
        <v>0.2</v>
      </c>
      <c r="DP223" t="n">
        <v>17.88</v>
      </c>
      <c r="DQ223" t="n">
        <v>9.31</v>
      </c>
      <c r="DR223" t="n">
        <v>18.62</v>
      </c>
      <c r="DS223" t="n">
        <v>-0.74</v>
      </c>
      <c r="DT223" t="n">
        <v>285</v>
      </c>
      <c r="DU223" t="n">
        <v>7.51</v>
      </c>
      <c r="DV223" t="inlineStr">
        <is>
          <t>flat</t>
        </is>
      </c>
      <c r="DW223" t="n">
        <v>91.06</v>
      </c>
      <c r="DX223" t="n">
        <v>86.5</v>
      </c>
      <c r="DY223" t="n">
        <v>93.75</v>
      </c>
      <c r="DZ223" t="n">
        <v>2.69</v>
      </c>
      <c r="EA223" t="n">
        <v>5</v>
      </c>
      <c r="EB223" t="n">
        <v>21.74</v>
      </c>
      <c r="EC223" t="n">
        <v>54</v>
      </c>
      <c r="ED223" t="n">
        <v>119</v>
      </c>
      <c r="EE223" t="n">
        <v>11</v>
      </c>
      <c r="EF223" t="b">
        <v>1</v>
      </c>
      <c r="EG223" t="n">
        <v>0.3</v>
      </c>
      <c r="EH223" t="n">
        <v>21.4</v>
      </c>
      <c r="EI223" t="n">
        <v>273</v>
      </c>
      <c r="EJ223" t="n">
        <v>133.7</v>
      </c>
      <c r="EK223" t="n">
        <v>56.6</v>
      </c>
      <c r="EL223" t="n">
        <v>183.9</v>
      </c>
      <c r="EM223" t="n">
        <v>952.6</v>
      </c>
      <c r="EN223" t="n">
        <v>997.8</v>
      </c>
      <c r="EO223" t="n">
        <v>487.3</v>
      </c>
      <c r="EP223" t="n">
        <v>24.1</v>
      </c>
    </row>
    <row r="224">
      <c r="A224" t="inlineStr">
        <is>
          <t>Rayan Aït-Nouri</t>
        </is>
      </c>
      <c r="B224" t="inlineStr">
        <is>
          <t>MCI</t>
        </is>
      </c>
      <c r="C224" t="inlineStr">
        <is>
          <t>DEF</t>
        </is>
      </c>
      <c r="D224" t="inlineStr">
        <is>
          <t>DEF</t>
        </is>
      </c>
      <c r="E224" t="n">
        <v>5.5</v>
      </c>
      <c r="F224" t="b">
        <v>1</v>
      </c>
      <c r="G224" t="b">
        <v>1</v>
      </c>
      <c r="H224" t="n">
        <v>25.2</v>
      </c>
      <c r="I224" t="inlineStr">
        <is>
          <t>a</t>
        </is>
      </c>
      <c r="L224" t="inlineStr">
        <is>
          <t>p448514</t>
        </is>
      </c>
      <c r="M224" t="n">
        <v>392</v>
      </c>
      <c r="Q224" t="n">
        <v>971</v>
      </c>
      <c r="R224" t="n">
        <v>17</v>
      </c>
      <c r="S224" t="n">
        <v>12</v>
      </c>
      <c r="T224" t="n">
        <v>10.789</v>
      </c>
      <c r="U224" t="n">
        <v>57.1</v>
      </c>
      <c r="V224" t="n">
        <v>60</v>
      </c>
      <c r="W224" t="n">
        <v>5.561</v>
      </c>
      <c r="X224" t="n">
        <v>0</v>
      </c>
      <c r="Y224" t="n">
        <v>2</v>
      </c>
      <c r="Z224" t="n">
        <v>2</v>
      </c>
      <c r="AA224" t="n">
        <v>5</v>
      </c>
      <c r="AB224" t="n">
        <v>8</v>
      </c>
      <c r="AC224" t="n">
        <v>9</v>
      </c>
      <c r="AD224" t="n">
        <v>10</v>
      </c>
      <c r="AE224" t="n">
        <v>1</v>
      </c>
      <c r="AF224" t="n">
        <v>237</v>
      </c>
      <c r="AG224" t="n">
        <v>231</v>
      </c>
      <c r="AH224" t="n">
        <v>-6</v>
      </c>
      <c r="AI224" t="n">
        <v>61</v>
      </c>
      <c r="AJ224" t="n">
        <v>0.15</v>
      </c>
      <c r="AK224" t="n">
        <v>0.176</v>
      </c>
      <c r="AL224" t="n">
        <v>67</v>
      </c>
      <c r="AM224" t="n">
        <v>6.21</v>
      </c>
      <c r="AN224" t="n">
        <v>1</v>
      </c>
      <c r="AO224" t="n">
        <v>2</v>
      </c>
      <c r="AP224" t="n">
        <v>0.083</v>
      </c>
      <c r="AQ224" t="n">
        <v>0.083</v>
      </c>
      <c r="AR224" t="n">
        <v>0.083</v>
      </c>
      <c r="AS224" t="n">
        <v>0.316</v>
      </c>
      <c r="AT224" t="n">
        <v>0.588</v>
      </c>
      <c r="AU224" t="n">
        <v>11</v>
      </c>
      <c r="AV224" t="n">
        <v>1</v>
      </c>
      <c r="AW224" t="n">
        <v>2.96</v>
      </c>
      <c r="AX224" t="n">
        <v>11</v>
      </c>
      <c r="AY224" t="n">
        <v>0.53</v>
      </c>
      <c r="AZ224" t="n">
        <v>0.498</v>
      </c>
      <c r="BA224" t="n">
        <v>0.514</v>
      </c>
      <c r="BB224" t="n">
        <v>0.498</v>
      </c>
      <c r="BC224" t="n">
        <v>0.049</v>
      </c>
      <c r="BD224" t="n">
        <v>0.046</v>
      </c>
      <c r="BE224" t="n">
        <v>0.048</v>
      </c>
      <c r="BF224" t="n">
        <v>0.2</v>
      </c>
      <c r="BG224" t="n">
        <v>0.019</v>
      </c>
      <c r="BH224" t="n">
        <v>0.949</v>
      </c>
      <c r="BI224" t="n">
        <v>7.6</v>
      </c>
      <c r="BJ224" t="n">
        <v>0.503</v>
      </c>
      <c r="BK224" t="n">
        <v>0.047</v>
      </c>
      <c r="BL224" t="n">
        <v>-0.514</v>
      </c>
      <c r="BM224" t="n">
        <v>-0.33</v>
      </c>
      <c r="BN224" t="n">
        <v>-0.2</v>
      </c>
      <c r="BO224" t="n">
        <v>0.032</v>
      </c>
      <c r="BP224" t="n">
        <v>10</v>
      </c>
      <c r="BQ224" t="n">
        <v>2</v>
      </c>
      <c r="BR224" t="n">
        <v>1</v>
      </c>
      <c r="BS224" t="n">
        <v>27</v>
      </c>
      <c r="BT224" t="n">
        <v>2.503</v>
      </c>
      <c r="BW224" t="n">
        <v>2.01</v>
      </c>
      <c r="BX224" t="n">
        <v>1.733</v>
      </c>
      <c r="BY224" t="n">
        <v>1.872</v>
      </c>
      <c r="BZ224" t="n">
        <v>0.173</v>
      </c>
      <c r="CA224" t="n">
        <v>2.386</v>
      </c>
      <c r="CB224" t="n">
        <v>0.221</v>
      </c>
      <c r="CC224" t="n">
        <v>12</v>
      </c>
      <c r="CD224" t="n">
        <v>2</v>
      </c>
      <c r="CE224" t="n">
        <v>12</v>
      </c>
      <c r="CF224" t="n">
        <v>6</v>
      </c>
      <c r="CH224" t="n">
        <v>7</v>
      </c>
      <c r="CI224" t="n">
        <v>7.305</v>
      </c>
      <c r="CJ224" t="n">
        <v>6.587</v>
      </c>
      <c r="CK224" t="n">
        <v>32</v>
      </c>
      <c r="CL224" t="n">
        <v>49</v>
      </c>
      <c r="CM224" t="n">
        <v>35</v>
      </c>
      <c r="CN224" t="n">
        <v>22</v>
      </c>
      <c r="CO224" t="n">
        <v>13</v>
      </c>
      <c r="CP224" t="n">
        <v>18</v>
      </c>
      <c r="CQ224" t="n">
        <v>1</v>
      </c>
      <c r="CR224" t="n">
        <v>81</v>
      </c>
      <c r="CS224" t="n">
        <v>14</v>
      </c>
      <c r="CV224" t="n">
        <v>1</v>
      </c>
      <c r="CW224" t="n">
        <v>12.25</v>
      </c>
      <c r="CX224" t="n">
        <v>1.135</v>
      </c>
      <c r="CY224" t="n">
        <v>0</v>
      </c>
      <c r="DB224" t="n">
        <v>0</v>
      </c>
      <c r="DF224" t="n">
        <v>2</v>
      </c>
      <c r="DG224" t="n">
        <v>0</v>
      </c>
      <c r="DH224" t="n">
        <v>17</v>
      </c>
      <c r="DI224" t="n">
        <v>10</v>
      </c>
      <c r="DL224" t="n">
        <v>22</v>
      </c>
      <c r="DM224" t="n">
        <v>12</v>
      </c>
      <c r="DO224" t="n">
        <v>1.2</v>
      </c>
      <c r="DP224" t="n">
        <v>46.83</v>
      </c>
      <c r="DQ224" t="n">
        <v>23.75</v>
      </c>
      <c r="DR224" t="n">
        <v>47.5</v>
      </c>
      <c r="DS224" t="n">
        <v>-0.67</v>
      </c>
      <c r="DT224" t="n">
        <v>975</v>
      </c>
      <c r="DU224" t="n">
        <v>25.65</v>
      </c>
      <c r="DV224" t="inlineStr">
        <is>
          <t>flat</t>
        </is>
      </c>
      <c r="DW224" t="n">
        <v>86.73</v>
      </c>
      <c r="DX224" t="n">
        <v>89.66</v>
      </c>
      <c r="DY224" t="n">
        <v>84.52</v>
      </c>
      <c r="DZ224" t="n">
        <v>-2.2</v>
      </c>
      <c r="EA224" t="n">
        <v>765</v>
      </c>
      <c r="EB224" t="n">
        <v>18.92</v>
      </c>
      <c r="EC224" t="n">
        <v>21.71</v>
      </c>
      <c r="ED224" t="n">
        <v>120</v>
      </c>
      <c r="EE224" t="n">
        <v>1357</v>
      </c>
      <c r="EF224" t="b">
        <v>1</v>
      </c>
      <c r="EG224" t="n">
        <v>71</v>
      </c>
      <c r="EH224" t="n">
        <v>60.8</v>
      </c>
      <c r="EI224" t="n">
        <v>164</v>
      </c>
      <c r="EJ224" t="n">
        <v>97.09999999999999</v>
      </c>
      <c r="EK224" t="n">
        <v>36</v>
      </c>
      <c r="EL224" t="n">
        <v>80.90000000000001</v>
      </c>
      <c r="EM224" t="n">
        <v>1888.8</v>
      </c>
      <c r="EN224" t="n">
        <v>518.8</v>
      </c>
      <c r="EO224" t="n">
        <v>407</v>
      </c>
      <c r="EP224" t="n">
        <v>16.2</v>
      </c>
    </row>
    <row r="225">
      <c r="A225" t="inlineStr">
        <is>
          <t>Loum Tchaouna</t>
        </is>
      </c>
      <c r="B225" t="inlineStr">
        <is>
          <t>COV</t>
        </is>
      </c>
      <c r="C225" t="inlineStr">
        <is>
          <t>MID</t>
        </is>
      </c>
      <c r="D225" t="inlineStr">
        <is>
          <t>MID</t>
        </is>
      </c>
      <c r="E225" t="n">
        <v>5.5</v>
      </c>
      <c r="F225" t="b">
        <v>1</v>
      </c>
      <c r="G225" t="b">
        <v>1</v>
      </c>
      <c r="H225" t="n">
        <v>23</v>
      </c>
      <c r="I225" t="inlineStr">
        <is>
          <t>a</t>
        </is>
      </c>
      <c r="L225" t="inlineStr">
        <is>
          <t>p469272</t>
        </is>
      </c>
      <c r="M225" t="n">
        <v>190</v>
      </c>
      <c r="Q225" t="n">
        <v>1259</v>
      </c>
      <c r="R225" t="n">
        <v>29</v>
      </c>
      <c r="S225" t="n">
        <v>14</v>
      </c>
      <c r="T225" t="n">
        <v>13.989</v>
      </c>
      <c r="U225" t="n">
        <v>43.4</v>
      </c>
      <c r="V225" t="n">
        <v>59</v>
      </c>
      <c r="W225" t="n">
        <v>4.218</v>
      </c>
      <c r="X225" t="n">
        <v>2</v>
      </c>
      <c r="Y225" t="n">
        <v>2</v>
      </c>
      <c r="Z225" t="n">
        <v>1</v>
      </c>
      <c r="AA225" t="n">
        <v>2</v>
      </c>
      <c r="AB225" t="n">
        <v>24</v>
      </c>
      <c r="AC225" t="n">
        <v>0</v>
      </c>
      <c r="AD225" t="n">
        <v>0</v>
      </c>
      <c r="AE225" t="n">
        <v>0</v>
      </c>
      <c r="AF225" t="n">
        <v>208</v>
      </c>
      <c r="AG225" t="n">
        <v>207</v>
      </c>
      <c r="AH225" t="n">
        <v>-1</v>
      </c>
      <c r="AI225" t="n">
        <v>59</v>
      </c>
      <c r="AJ225" t="n">
        <v>0</v>
      </c>
      <c r="AK225" t="n">
        <v>0</v>
      </c>
      <c r="AL225" t="n">
        <v>69</v>
      </c>
      <c r="AM225" t="n">
        <v>4.932</v>
      </c>
      <c r="AN225" t="n">
        <v>1</v>
      </c>
      <c r="AO225" t="n">
        <v>2</v>
      </c>
      <c r="AP225" t="n">
        <v>0.07099999999999999</v>
      </c>
      <c r="AQ225" t="n">
        <v>0.07099999999999999</v>
      </c>
      <c r="AR225" t="n">
        <v>0.07099999999999999</v>
      </c>
      <c r="AS225" t="n">
        <v>0.368</v>
      </c>
      <c r="AT225" t="n">
        <v>0.414</v>
      </c>
      <c r="AU225" t="n">
        <v>22</v>
      </c>
      <c r="AV225" t="n">
        <v>0</v>
      </c>
      <c r="AW225" t="n">
        <v>1.57</v>
      </c>
      <c r="AX225" t="n">
        <v>6</v>
      </c>
      <c r="AY225" t="n">
        <v>1.27</v>
      </c>
      <c r="AZ225" t="n">
        <v>1.259</v>
      </c>
      <c r="BA225" t="n">
        <v>1.265</v>
      </c>
      <c r="BB225" t="n">
        <v>1.259</v>
      </c>
      <c r="BC225" t="n">
        <v>0.091</v>
      </c>
      <c r="BD225" t="n">
        <v>0.09</v>
      </c>
      <c r="BE225" t="n">
        <v>0.09</v>
      </c>
      <c r="BF225" t="n">
        <v>1.1</v>
      </c>
      <c r="BG225" t="n">
        <v>0.079</v>
      </c>
      <c r="BH225" t="n">
        <v>0.982</v>
      </c>
      <c r="BI225" t="n">
        <v>1.27</v>
      </c>
      <c r="BJ225" t="n">
        <v>1.247</v>
      </c>
      <c r="BK225" t="n">
        <v>0.089</v>
      </c>
      <c r="BL225" t="n">
        <v>0.735</v>
      </c>
      <c r="BM225" t="n">
        <v>-0.17</v>
      </c>
      <c r="BN225" t="n">
        <v>0.9</v>
      </c>
      <c r="BO225" t="n">
        <v>0.011</v>
      </c>
      <c r="BP225" t="n">
        <v>23</v>
      </c>
      <c r="BQ225" t="n">
        <v>9</v>
      </c>
      <c r="BR225" t="n">
        <v>1</v>
      </c>
      <c r="BS225" t="n">
        <v>29</v>
      </c>
      <c r="BT225" t="n">
        <v>2.073</v>
      </c>
      <c r="BW225" t="n">
        <v>0.91</v>
      </c>
      <c r="BX225" t="n">
        <v>1.2</v>
      </c>
      <c r="BY225" t="n">
        <v>1.055</v>
      </c>
      <c r="BZ225" t="n">
        <v>0.075</v>
      </c>
      <c r="CA225" t="n">
        <v>2.319</v>
      </c>
      <c r="CB225" t="n">
        <v>0.166</v>
      </c>
      <c r="CC225" t="n">
        <v>13</v>
      </c>
      <c r="CD225" t="n">
        <v>1</v>
      </c>
      <c r="CE225" t="n">
        <v>13</v>
      </c>
      <c r="CF225" t="n">
        <v>10</v>
      </c>
      <c r="CH225" t="n">
        <v>1</v>
      </c>
      <c r="CI225" t="n">
        <v>4.214</v>
      </c>
      <c r="CJ225" t="n">
        <v>1.974</v>
      </c>
      <c r="CK225" t="n">
        <v>13</v>
      </c>
      <c r="CL225" t="n">
        <v>38</v>
      </c>
      <c r="CM225" t="n">
        <v>18</v>
      </c>
      <c r="CN225" t="n">
        <v>9</v>
      </c>
      <c r="CO225" t="n">
        <v>2</v>
      </c>
      <c r="CP225" t="n">
        <v>10</v>
      </c>
      <c r="CQ225" t="n">
        <v>1</v>
      </c>
      <c r="CR225" t="n">
        <v>54</v>
      </c>
      <c r="CS225" t="n">
        <v>14</v>
      </c>
      <c r="CT225" t="n">
        <v>0.4</v>
      </c>
      <c r="CV225" t="n">
        <v>2</v>
      </c>
      <c r="CW225" t="n">
        <v>25.04</v>
      </c>
      <c r="CX225" t="n">
        <v>1.79</v>
      </c>
      <c r="CY225" t="n">
        <v>0</v>
      </c>
      <c r="DB225" t="n">
        <v>0</v>
      </c>
      <c r="DE225" t="n">
        <v>6.34</v>
      </c>
      <c r="DF225" t="n">
        <v>2</v>
      </c>
      <c r="DG225" t="n">
        <v>0</v>
      </c>
      <c r="DH225" t="n">
        <v>13</v>
      </c>
      <c r="DI225" t="n">
        <v>16</v>
      </c>
      <c r="DL225" t="n">
        <v>7</v>
      </c>
      <c r="DM225" t="n">
        <v>17</v>
      </c>
      <c r="DN225" t="n">
        <v>1</v>
      </c>
      <c r="DO225" t="n">
        <v>0.1</v>
      </c>
      <c r="DP225" t="n">
        <v>85.12</v>
      </c>
      <c r="DQ225" t="n">
        <v>42.67</v>
      </c>
      <c r="DR225" t="n">
        <v>85.34</v>
      </c>
      <c r="DS225" t="n">
        <v>-0.22</v>
      </c>
      <c r="DT225" t="n">
        <v>2212</v>
      </c>
      <c r="DU225" t="n">
        <v>58.2</v>
      </c>
      <c r="DV225" t="inlineStr">
        <is>
          <t>flat</t>
        </is>
      </c>
      <c r="DW225" t="n">
        <v>83.79000000000001</v>
      </c>
      <c r="DY225" t="n">
        <v>85.67</v>
      </c>
      <c r="DZ225" t="n">
        <v>1.88</v>
      </c>
      <c r="EA225" t="n">
        <v>2</v>
      </c>
      <c r="EB225" t="n">
        <v>22.75</v>
      </c>
      <c r="EC225" t="n">
        <v>54.22</v>
      </c>
      <c r="ED225" t="n">
        <v>109.6</v>
      </c>
      <c r="EE225" t="n">
        <v>4</v>
      </c>
      <c r="EF225" t="b">
        <v>0</v>
      </c>
      <c r="EG225" t="n">
        <v>0.2</v>
      </c>
      <c r="EH225" t="n">
        <v>55.6</v>
      </c>
      <c r="EI225" t="n">
        <v>206</v>
      </c>
      <c r="EJ225" t="n">
        <v>54.7</v>
      </c>
      <c r="EK225" t="n">
        <v>43.4</v>
      </c>
      <c r="EL225" t="n">
        <v>96.8</v>
      </c>
      <c r="EM225" t="n">
        <v>995.6</v>
      </c>
      <c r="EN225" t="n">
        <v>1193.6</v>
      </c>
      <c r="EO225" t="n">
        <v>542.8</v>
      </c>
      <c r="EP225" t="n">
        <v>21.3</v>
      </c>
    </row>
    <row r="226">
      <c r="A226" t="inlineStr">
        <is>
          <t>Tino Livramento</t>
        </is>
      </c>
      <c r="B226" t="inlineStr">
        <is>
          <t>NEW</t>
        </is>
      </c>
      <c r="C226" t="inlineStr">
        <is>
          <t>DEF</t>
        </is>
      </c>
      <c r="D226" t="inlineStr">
        <is>
          <t>DEF</t>
        </is>
      </c>
      <c r="E226" t="n">
        <v>5</v>
      </c>
      <c r="F226" t="b">
        <v>1</v>
      </c>
      <c r="G226" t="b">
        <v>1</v>
      </c>
      <c r="H226" t="n">
        <v>23.8</v>
      </c>
      <c r="I226" t="inlineStr">
        <is>
          <t>d</t>
        </is>
      </c>
      <c r="J226" t="inlineStr">
        <is>
          <t>Calf injury - 75% chance of playing</t>
        </is>
      </c>
      <c r="K226" t="n">
        <v>75</v>
      </c>
      <c r="L226" t="inlineStr">
        <is>
          <t>p441191</t>
        </is>
      </c>
      <c r="M226" t="n">
        <v>450</v>
      </c>
      <c r="Q226" t="n">
        <v>1326</v>
      </c>
      <c r="R226" t="n">
        <v>17</v>
      </c>
      <c r="S226" t="n">
        <v>14</v>
      </c>
      <c r="T226" t="n">
        <v>14.733</v>
      </c>
      <c r="U226" t="n">
        <v>78</v>
      </c>
      <c r="V226" t="n">
        <v>59</v>
      </c>
      <c r="W226" t="n">
        <v>4.005</v>
      </c>
      <c r="X226" t="n">
        <v>0</v>
      </c>
      <c r="Y226" t="n">
        <v>1</v>
      </c>
      <c r="Z226" t="n">
        <v>1</v>
      </c>
      <c r="AA226" t="n">
        <v>6</v>
      </c>
      <c r="AB226" t="n">
        <v>14</v>
      </c>
      <c r="AC226" t="n">
        <v>3</v>
      </c>
      <c r="AD226" t="n">
        <v>3</v>
      </c>
      <c r="AE226" t="n">
        <v>0</v>
      </c>
      <c r="AF226" t="n">
        <v>252</v>
      </c>
      <c r="AG226" t="n">
        <v>247</v>
      </c>
      <c r="AH226" t="n">
        <v>-5</v>
      </c>
      <c r="AI226" t="n">
        <v>59</v>
      </c>
      <c r="AJ226" t="n">
        <v>0.051</v>
      </c>
      <c r="AK226" t="n">
        <v>0.054</v>
      </c>
      <c r="AL226" t="n">
        <v>68</v>
      </c>
      <c r="AM226" t="n">
        <v>4.615</v>
      </c>
      <c r="AN226" t="n">
        <v>1</v>
      </c>
      <c r="AO226" t="n">
        <v>2</v>
      </c>
      <c r="AP226" t="n">
        <v>0.07099999999999999</v>
      </c>
      <c r="AQ226" t="n">
        <v>0.07099999999999999</v>
      </c>
      <c r="AR226" t="n">
        <v>0.07099999999999999</v>
      </c>
      <c r="AS226" t="n">
        <v>0.368</v>
      </c>
      <c r="AT226" t="n">
        <v>0.824</v>
      </c>
      <c r="AU226" t="n">
        <v>9</v>
      </c>
      <c r="AV226" t="n">
        <v>0</v>
      </c>
      <c r="AW226" t="n">
        <v>2.41</v>
      </c>
      <c r="AX226" t="n">
        <v>9</v>
      </c>
      <c r="AY226" t="n">
        <v>0.13</v>
      </c>
      <c r="AZ226" t="n">
        <v>0.152</v>
      </c>
      <c r="BA226" t="n">
        <v>0.141</v>
      </c>
      <c r="BB226" t="n">
        <v>0.152</v>
      </c>
      <c r="BC226" t="n">
        <v>0.008999999999999999</v>
      </c>
      <c r="BD226" t="n">
        <v>0.01</v>
      </c>
      <c r="BE226" t="n">
        <v>0.01</v>
      </c>
      <c r="BH226" t="n">
        <v>1.052</v>
      </c>
      <c r="BI226" t="n">
        <v>0.84</v>
      </c>
      <c r="BJ226" t="n">
        <v>0.137</v>
      </c>
      <c r="BK226" t="n">
        <v>0.008999999999999999</v>
      </c>
      <c r="BL226" t="n">
        <v>-0.141</v>
      </c>
      <c r="BO226" t="n">
        <v>-0.022</v>
      </c>
      <c r="BP226" t="n">
        <v>3</v>
      </c>
      <c r="BS226" t="n">
        <v>18</v>
      </c>
      <c r="BT226" t="n">
        <v>1.222</v>
      </c>
      <c r="BW226" t="n">
        <v>0.89</v>
      </c>
      <c r="BX226" t="n">
        <v>0.616</v>
      </c>
      <c r="BY226" t="n">
        <v>0.753</v>
      </c>
      <c r="BZ226" t="n">
        <v>0.051</v>
      </c>
      <c r="CA226" t="n">
        <v>0.894</v>
      </c>
      <c r="CB226" t="n">
        <v>0.061</v>
      </c>
      <c r="CC226" t="n">
        <v>10</v>
      </c>
      <c r="CD226" t="n">
        <v>1</v>
      </c>
      <c r="CE226" t="n">
        <v>10</v>
      </c>
      <c r="CF226" t="n">
        <v>9</v>
      </c>
      <c r="CG226" t="n">
        <v>1</v>
      </c>
      <c r="CI226" t="n">
        <v>6.228</v>
      </c>
      <c r="CJ226" t="n">
        <v>5.612</v>
      </c>
      <c r="CK226" t="n">
        <v>46</v>
      </c>
      <c r="CL226" t="n">
        <v>81</v>
      </c>
      <c r="CM226" t="n">
        <v>22</v>
      </c>
      <c r="CN226" t="n">
        <v>15</v>
      </c>
      <c r="CO226" t="n">
        <v>6</v>
      </c>
      <c r="CP226" t="n">
        <v>39</v>
      </c>
      <c r="CQ226" t="n">
        <v>2</v>
      </c>
      <c r="CR226" t="n">
        <v>61</v>
      </c>
      <c r="CS226" t="n">
        <v>9</v>
      </c>
      <c r="CU226" t="n">
        <v>0</v>
      </c>
      <c r="CV226" t="n">
        <v>0</v>
      </c>
      <c r="CW226" t="n">
        <v>18.62</v>
      </c>
      <c r="CX226" t="n">
        <v>1.264</v>
      </c>
      <c r="CY226" t="n">
        <v>0</v>
      </c>
      <c r="DB226" t="n">
        <v>0</v>
      </c>
      <c r="DF226" t="n">
        <v>1</v>
      </c>
      <c r="DG226" t="n">
        <v>0</v>
      </c>
      <c r="DH226" t="n">
        <v>7</v>
      </c>
      <c r="DI226" t="n">
        <v>16</v>
      </c>
      <c r="DL226" t="n">
        <v>14</v>
      </c>
      <c r="DM226" t="n">
        <v>9</v>
      </c>
      <c r="DN226" t="n">
        <v>2</v>
      </c>
      <c r="DO226" t="n">
        <v>0.1</v>
      </c>
      <c r="DP226" t="n">
        <v>114.47</v>
      </c>
      <c r="DQ226" t="n">
        <v>56.9</v>
      </c>
      <c r="DR226" t="n">
        <v>113.8</v>
      </c>
      <c r="DS226" t="n">
        <v>0.67</v>
      </c>
      <c r="DT226" t="n">
        <v>3215</v>
      </c>
      <c r="DU226" t="n">
        <v>84.59999999999999</v>
      </c>
      <c r="DV226" t="inlineStr">
        <is>
          <t>flat</t>
        </is>
      </c>
      <c r="DW226" t="n">
        <v>97.95</v>
      </c>
      <c r="DX226" t="n">
        <v>98.69</v>
      </c>
      <c r="DY226" t="n">
        <v>98</v>
      </c>
      <c r="DZ226" t="n">
        <v>0.05</v>
      </c>
      <c r="EA226" t="n">
        <v>257</v>
      </c>
      <c r="EB226" t="n">
        <v>15.11</v>
      </c>
      <c r="EC226" t="n">
        <v>42.67</v>
      </c>
      <c r="ED226" t="n">
        <v>120</v>
      </c>
      <c r="EE226" t="n">
        <v>395</v>
      </c>
      <c r="EF226" t="b">
        <v>1</v>
      </c>
      <c r="EG226" t="n">
        <v>9.5</v>
      </c>
      <c r="EH226" t="n">
        <v>14.9</v>
      </c>
      <c r="EI226" t="n">
        <v>275</v>
      </c>
      <c r="EJ226" t="n">
        <v>442</v>
      </c>
      <c r="EK226" t="n">
        <v>73.7</v>
      </c>
      <c r="EL226" t="n">
        <v>132.6</v>
      </c>
      <c r="EM226" t="n">
        <v>9394.700000000001</v>
      </c>
      <c r="EN226" t="n">
        <v>1760.6</v>
      </c>
      <c r="EO226" t="n">
        <v>1482.8</v>
      </c>
      <c r="EP226" t="n">
        <v>22.5</v>
      </c>
    </row>
    <row r="227">
      <c r="A227" t="inlineStr">
        <is>
          <t>David Brooks</t>
        </is>
      </c>
      <c r="B227" t="inlineStr">
        <is>
          <t>BOU</t>
        </is>
      </c>
      <c r="C227" t="inlineStr">
        <is>
          <t>MID</t>
        </is>
      </c>
      <c r="D227" t="inlineStr">
        <is>
          <t>MID</t>
        </is>
      </c>
      <c r="E227" t="n">
        <v>5</v>
      </c>
      <c r="F227" t="b">
        <v>1</v>
      </c>
      <c r="G227" t="b">
        <v>1</v>
      </c>
      <c r="H227" t="n">
        <v>29.1</v>
      </c>
      <c r="I227" t="inlineStr">
        <is>
          <t>a</t>
        </is>
      </c>
      <c r="L227" t="inlineStr">
        <is>
          <t>p111317</t>
        </is>
      </c>
      <c r="M227" t="n">
        <v>74</v>
      </c>
      <c r="O227" t="n">
        <v>4</v>
      </c>
      <c r="P227" t="n">
        <v>3</v>
      </c>
      <c r="Q227" t="n">
        <v>1188</v>
      </c>
      <c r="R227" t="n">
        <v>31</v>
      </c>
      <c r="S227" t="n">
        <v>13</v>
      </c>
      <c r="T227" t="n">
        <v>13.2</v>
      </c>
      <c r="U227" t="n">
        <v>38.3</v>
      </c>
      <c r="V227" t="n">
        <v>59</v>
      </c>
      <c r="W227" t="n">
        <v>4.47</v>
      </c>
      <c r="X227" t="n">
        <v>1</v>
      </c>
      <c r="Y227" t="n">
        <v>3</v>
      </c>
      <c r="Z227" t="n">
        <v>3</v>
      </c>
      <c r="AA227" t="n">
        <v>5</v>
      </c>
      <c r="AB227" t="n">
        <v>20</v>
      </c>
      <c r="AC227" t="n">
        <v>4</v>
      </c>
      <c r="AD227" t="n">
        <v>4</v>
      </c>
      <c r="AE227" t="n">
        <v>0</v>
      </c>
      <c r="AF227" t="n">
        <v>215</v>
      </c>
      <c r="AG227" t="n">
        <v>211</v>
      </c>
      <c r="AH227" t="n">
        <v>-4</v>
      </c>
      <c r="AI227" t="n">
        <v>59</v>
      </c>
      <c r="AJ227" t="n">
        <v>0.068</v>
      </c>
      <c r="AK227" t="n">
        <v>0.073</v>
      </c>
      <c r="AL227" t="n">
        <v>94</v>
      </c>
      <c r="AM227" t="n">
        <v>7.121</v>
      </c>
      <c r="AN227" t="n">
        <v>0</v>
      </c>
      <c r="AO227" t="n">
        <v>0</v>
      </c>
      <c r="AP227" t="n">
        <v>0</v>
      </c>
      <c r="AQ227" t="n">
        <v>0</v>
      </c>
      <c r="AR227" t="n">
        <v>0</v>
      </c>
      <c r="AS227" t="n">
        <v>0.342</v>
      </c>
      <c r="AT227" t="n">
        <v>0.387</v>
      </c>
      <c r="AU227" t="n">
        <v>23</v>
      </c>
      <c r="AV227" t="n">
        <v>1</v>
      </c>
      <c r="AW227" t="n">
        <v>1.88</v>
      </c>
      <c r="AX227" t="n">
        <v>10</v>
      </c>
      <c r="AY227" t="n">
        <v>5.81</v>
      </c>
      <c r="AZ227" t="n">
        <v>6.54</v>
      </c>
      <c r="BA227" t="n">
        <v>6.175</v>
      </c>
      <c r="BB227" t="n">
        <v>6.54</v>
      </c>
      <c r="BC227" t="n">
        <v>0.44</v>
      </c>
      <c r="BD227" t="n">
        <v>0.495</v>
      </c>
      <c r="BE227" t="n">
        <v>0.468</v>
      </c>
      <c r="BF227" t="n">
        <v>3.2</v>
      </c>
      <c r="BG227" t="n">
        <v>0.242</v>
      </c>
      <c r="BH227" t="n">
        <v>0.887</v>
      </c>
      <c r="BI227" t="n">
        <v>11.17</v>
      </c>
      <c r="BJ227" t="n">
        <v>5.152</v>
      </c>
      <c r="BK227" t="n">
        <v>0.39</v>
      </c>
      <c r="BL227" t="n">
        <v>-5.175</v>
      </c>
      <c r="BM227" t="n">
        <v>-2.61</v>
      </c>
      <c r="BN227" t="n">
        <v>-2.2</v>
      </c>
      <c r="BO227" t="n">
        <v>-0.73</v>
      </c>
      <c r="BP227" t="n">
        <v>48</v>
      </c>
      <c r="BQ227" t="n">
        <v>13</v>
      </c>
      <c r="BR227" t="n">
        <v>11</v>
      </c>
      <c r="BS227" t="n">
        <v>73</v>
      </c>
      <c r="BT227" t="n">
        <v>5.53</v>
      </c>
      <c r="BW227" t="n">
        <v>3.4</v>
      </c>
      <c r="BX227" t="n">
        <v>4.197</v>
      </c>
      <c r="BY227" t="n">
        <v>3.798</v>
      </c>
      <c r="BZ227" t="n">
        <v>0.288</v>
      </c>
      <c r="CA227" t="n">
        <v>9.973000000000001</v>
      </c>
      <c r="CB227" t="n">
        <v>0.756</v>
      </c>
      <c r="CC227" t="n">
        <v>25</v>
      </c>
      <c r="CD227" t="n">
        <v>8</v>
      </c>
      <c r="CE227" t="n">
        <v>26</v>
      </c>
      <c r="CF227" t="n">
        <v>11</v>
      </c>
      <c r="CG227" t="n">
        <v>3</v>
      </c>
      <c r="CH227" t="n">
        <v>22</v>
      </c>
      <c r="CI227" t="n">
        <v>12.195</v>
      </c>
      <c r="CJ227" t="n">
        <v>2.666</v>
      </c>
      <c r="CK227" t="n">
        <v>19</v>
      </c>
      <c r="CL227" t="n">
        <v>56</v>
      </c>
      <c r="CM227" t="n">
        <v>19</v>
      </c>
      <c r="CN227" t="n">
        <v>13</v>
      </c>
      <c r="CO227" t="n">
        <v>4</v>
      </c>
      <c r="CP227" t="n">
        <v>15</v>
      </c>
      <c r="CR227" t="n">
        <v>55</v>
      </c>
      <c r="CS227" t="n">
        <v>6</v>
      </c>
      <c r="CT227" t="n">
        <v>0.5</v>
      </c>
      <c r="CW227" t="n">
        <v>20.25</v>
      </c>
      <c r="CX227" t="n">
        <v>1.534</v>
      </c>
      <c r="CY227" t="n">
        <v>0</v>
      </c>
      <c r="DB227" t="n">
        <v>0</v>
      </c>
      <c r="DE227" t="n">
        <v>6.63</v>
      </c>
      <c r="DF227" t="n">
        <v>7</v>
      </c>
      <c r="DG227" t="n">
        <v>0</v>
      </c>
      <c r="DH227" t="n">
        <v>11</v>
      </c>
      <c r="DI227" t="n">
        <v>13</v>
      </c>
      <c r="DL227" t="n">
        <v>17</v>
      </c>
      <c r="DM227" t="n">
        <v>10</v>
      </c>
      <c r="DN227" t="n">
        <v>2</v>
      </c>
      <c r="DO227" t="n">
        <v>0.2</v>
      </c>
      <c r="DP227" t="n">
        <v>42.65</v>
      </c>
      <c r="DQ227" t="n">
        <v>23.23</v>
      </c>
      <c r="DR227" t="n">
        <v>46.46</v>
      </c>
      <c r="DS227" t="n">
        <v>-3.81</v>
      </c>
      <c r="DT227" t="n">
        <v>484</v>
      </c>
      <c r="DU227" t="n">
        <v>12.74</v>
      </c>
      <c r="DV227" t="inlineStr">
        <is>
          <t>flat</t>
        </is>
      </c>
      <c r="DW227" t="n">
        <v>83.31</v>
      </c>
      <c r="DY227" t="n">
        <v>80.77</v>
      </c>
      <c r="DZ227" t="n">
        <v>-2.54</v>
      </c>
      <c r="EA227" t="n">
        <v>5</v>
      </c>
      <c r="EB227" t="n">
        <v>22.36</v>
      </c>
      <c r="EC227" t="n">
        <v>42.67</v>
      </c>
      <c r="ED227" t="n">
        <v>105.33</v>
      </c>
      <c r="EE227" t="n">
        <v>6</v>
      </c>
      <c r="EF227" t="b">
        <v>0</v>
      </c>
      <c r="EG227" t="n">
        <v>0.2</v>
      </c>
      <c r="EH227" t="n">
        <v>25</v>
      </c>
      <c r="EI227" t="n">
        <v>274</v>
      </c>
      <c r="EJ227" t="n">
        <v>24.8</v>
      </c>
      <c r="EK227" t="n">
        <v>16.3</v>
      </c>
      <c r="EL227" t="n">
        <v>45.7</v>
      </c>
      <c r="EM227" t="n">
        <v>192.4</v>
      </c>
      <c r="EN227" t="n">
        <v>312.8</v>
      </c>
      <c r="EO227" t="n">
        <v>119.1</v>
      </c>
      <c r="EP227" t="n">
        <v>20.1</v>
      </c>
    </row>
    <row r="228">
      <c r="A228" t="inlineStr">
        <is>
          <t>Adam Smith</t>
        </is>
      </c>
      <c r="B228" t="inlineStr">
        <is>
          <t>BOU</t>
        </is>
      </c>
      <c r="C228" t="inlineStr">
        <is>
          <t>DEF</t>
        </is>
      </c>
      <c r="D228" t="inlineStr">
        <is>
          <t>DEF</t>
        </is>
      </c>
      <c r="E228" t="n">
        <v>4.5</v>
      </c>
      <c r="F228" t="b">
        <v>1</v>
      </c>
      <c r="G228" t="b">
        <v>1</v>
      </c>
      <c r="H228" t="n">
        <v>35.3</v>
      </c>
      <c r="I228" t="inlineStr">
        <is>
          <t>a</t>
        </is>
      </c>
      <c r="L228" t="inlineStr">
        <is>
          <t>p54469</t>
        </is>
      </c>
      <c r="M228" t="n">
        <v>64</v>
      </c>
      <c r="Q228" t="n">
        <v>1073</v>
      </c>
      <c r="R228" t="n">
        <v>22</v>
      </c>
      <c r="S228" t="n">
        <v>14</v>
      </c>
      <c r="T228" t="n">
        <v>11.922</v>
      </c>
      <c r="U228" t="n">
        <v>48.8</v>
      </c>
      <c r="V228" t="n">
        <v>58</v>
      </c>
      <c r="W228" t="n">
        <v>4.865</v>
      </c>
      <c r="X228" t="n">
        <v>0</v>
      </c>
      <c r="Y228" t="n">
        <v>2</v>
      </c>
      <c r="Z228" t="n">
        <v>2</v>
      </c>
      <c r="AA228" t="n">
        <v>6</v>
      </c>
      <c r="AB228" t="n">
        <v>16</v>
      </c>
      <c r="AC228" t="n">
        <v>4</v>
      </c>
      <c r="AD228" t="n">
        <v>4</v>
      </c>
      <c r="AE228" t="n">
        <v>0</v>
      </c>
      <c r="AF228" t="n">
        <v>185</v>
      </c>
      <c r="AG228" t="n">
        <v>171</v>
      </c>
      <c r="AH228" t="n">
        <v>-14</v>
      </c>
      <c r="AI228" t="n">
        <v>58</v>
      </c>
      <c r="AJ228" t="n">
        <v>0.06900000000000001</v>
      </c>
      <c r="AK228" t="n">
        <v>0.074</v>
      </c>
      <c r="AL228" t="n">
        <v>70</v>
      </c>
      <c r="AM228" t="n">
        <v>5.871</v>
      </c>
      <c r="AN228" t="n">
        <v>0</v>
      </c>
      <c r="AO228" t="n">
        <v>0</v>
      </c>
      <c r="AP228" t="n">
        <v>0</v>
      </c>
      <c r="AQ228" t="n">
        <v>0</v>
      </c>
      <c r="AR228" t="n">
        <v>0</v>
      </c>
      <c r="AS228" t="n">
        <v>0.368</v>
      </c>
      <c r="AT228" t="n">
        <v>0.5</v>
      </c>
      <c r="AU228" t="n">
        <v>16</v>
      </c>
      <c r="AV228" t="n">
        <v>1</v>
      </c>
      <c r="AW228" t="n">
        <v>2.65</v>
      </c>
      <c r="AX228" t="n">
        <v>11</v>
      </c>
      <c r="AY228" t="n">
        <v>0</v>
      </c>
      <c r="AZ228" t="n">
        <v>0</v>
      </c>
      <c r="BA228" t="n">
        <v>0</v>
      </c>
      <c r="BB228" t="n">
        <v>0</v>
      </c>
      <c r="BC228" t="n">
        <v>0</v>
      </c>
      <c r="BD228" t="n">
        <v>0</v>
      </c>
      <c r="BE228" t="n">
        <v>0</v>
      </c>
      <c r="BH228" t="n">
        <v>0.9350000000000001</v>
      </c>
      <c r="BI228" t="n">
        <v>1.2</v>
      </c>
      <c r="BJ228" t="n">
        <v>0</v>
      </c>
      <c r="BK228" t="n">
        <v>0</v>
      </c>
      <c r="BL228" t="n">
        <v>0</v>
      </c>
      <c r="BO228" t="n">
        <v>0</v>
      </c>
      <c r="BS228" t="n">
        <v>9</v>
      </c>
      <c r="BT228" t="n">
        <v>0.755</v>
      </c>
      <c r="BW228" t="n">
        <v>0.23</v>
      </c>
      <c r="BX228" t="n">
        <v>0.498</v>
      </c>
      <c r="BY228" t="n">
        <v>0.364</v>
      </c>
      <c r="BZ228" t="n">
        <v>0.031</v>
      </c>
      <c r="CA228" t="n">
        <v>0.364</v>
      </c>
      <c r="CB228" t="n">
        <v>0.031</v>
      </c>
      <c r="CC228" t="n">
        <v>6</v>
      </c>
      <c r="CD228" t="n">
        <v>1</v>
      </c>
      <c r="CE228" t="n">
        <v>5</v>
      </c>
      <c r="CF228" t="n">
        <v>1</v>
      </c>
      <c r="CI228" t="n">
        <v>4.537</v>
      </c>
      <c r="CJ228" t="n">
        <v>4.063</v>
      </c>
      <c r="CK228" t="n">
        <v>55</v>
      </c>
      <c r="CL228" t="n">
        <v>29</v>
      </c>
      <c r="CM228" t="n">
        <v>15</v>
      </c>
      <c r="CN228" t="n">
        <v>12</v>
      </c>
      <c r="CO228" t="n">
        <v>8</v>
      </c>
      <c r="CP228" t="n">
        <v>38</v>
      </c>
      <c r="CQ228" t="n">
        <v>9</v>
      </c>
      <c r="CR228" t="n">
        <v>40</v>
      </c>
      <c r="CS228" t="n">
        <v>14</v>
      </c>
      <c r="CW228" t="n">
        <v>18.18</v>
      </c>
      <c r="CX228" t="n">
        <v>1.525</v>
      </c>
      <c r="CY228" t="n">
        <v>0</v>
      </c>
      <c r="DB228" t="n">
        <v>0</v>
      </c>
      <c r="DF228" t="n">
        <v>3</v>
      </c>
      <c r="DG228" t="n">
        <v>0</v>
      </c>
      <c r="DH228" t="n">
        <v>19</v>
      </c>
      <c r="DI228" t="n">
        <v>11</v>
      </c>
      <c r="DL228" t="n">
        <v>1</v>
      </c>
      <c r="DM228" t="n">
        <v>2</v>
      </c>
      <c r="DO228" t="n">
        <v>0.1</v>
      </c>
      <c r="DP228" t="n">
        <v>18.89</v>
      </c>
      <c r="DQ228" t="n">
        <v>9.49</v>
      </c>
      <c r="DR228" t="n">
        <v>18.98</v>
      </c>
      <c r="DS228" t="n">
        <v>-0.09</v>
      </c>
      <c r="DT228" t="n">
        <v>379</v>
      </c>
      <c r="DU228" t="n">
        <v>9.970000000000001</v>
      </c>
      <c r="DV228" t="inlineStr">
        <is>
          <t>flat</t>
        </is>
      </c>
      <c r="DW228" t="n">
        <v>91.97</v>
      </c>
      <c r="DX228" t="n">
        <v>81.5</v>
      </c>
      <c r="DY228" t="n">
        <v>105.48</v>
      </c>
      <c r="DZ228" t="n">
        <v>13.51</v>
      </c>
      <c r="EA228" t="n">
        <v>6</v>
      </c>
      <c r="EB228" t="n">
        <v>38.04</v>
      </c>
      <c r="EC228" t="n">
        <v>9</v>
      </c>
      <c r="ED228" t="n">
        <v>118.67</v>
      </c>
      <c r="EE228" t="n">
        <v>11</v>
      </c>
      <c r="EF228" t="b">
        <v>1</v>
      </c>
      <c r="EG228" t="n">
        <v>0.2</v>
      </c>
      <c r="EH228" t="n">
        <v>8.300000000000001</v>
      </c>
      <c r="EI228" t="n">
        <v>420</v>
      </c>
      <c r="EK228" t="n">
        <v>119.2</v>
      </c>
      <c r="EL228" t="n">
        <v>214.6</v>
      </c>
      <c r="EN228" t="n">
        <v>2945.9</v>
      </c>
      <c r="EO228" t="n">
        <v>2945.9</v>
      </c>
      <c r="EP228" t="n">
        <v>18.5</v>
      </c>
    </row>
    <row r="229">
      <c r="A229" t="inlineStr">
        <is>
          <t>Mason Mount</t>
        </is>
      </c>
      <c r="B229" t="inlineStr">
        <is>
          <t>MUN</t>
        </is>
      </c>
      <c r="C229" t="inlineStr">
        <is>
          <t>MID</t>
        </is>
      </c>
      <c r="D229" t="inlineStr">
        <is>
          <t>MID</t>
        </is>
      </c>
      <c r="E229" t="n">
        <v>5.5</v>
      </c>
      <c r="F229" t="b">
        <v>1</v>
      </c>
      <c r="G229" t="b">
        <v>1</v>
      </c>
      <c r="H229" t="n">
        <v>27.6</v>
      </c>
      <c r="I229" t="inlineStr">
        <is>
          <t>a</t>
        </is>
      </c>
      <c r="L229" t="inlineStr">
        <is>
          <t>p184341</t>
        </is>
      </c>
      <c r="M229" t="n">
        <v>430</v>
      </c>
      <c r="P229" t="n">
        <v>3</v>
      </c>
      <c r="Q229" t="n">
        <v>1010</v>
      </c>
      <c r="R229" t="n">
        <v>23</v>
      </c>
      <c r="S229" t="n">
        <v>12</v>
      </c>
      <c r="T229" t="n">
        <v>11.222</v>
      </c>
      <c r="U229" t="n">
        <v>43.9</v>
      </c>
      <c r="V229" t="n">
        <v>58</v>
      </c>
      <c r="W229" t="n">
        <v>5.168</v>
      </c>
      <c r="X229" t="n">
        <v>3</v>
      </c>
      <c r="Y229" t="n">
        <v>0</v>
      </c>
      <c r="AA229" t="n">
        <v>5</v>
      </c>
      <c r="AB229" t="n">
        <v>15</v>
      </c>
      <c r="AC229" t="n">
        <v>3</v>
      </c>
      <c r="AD229" t="n">
        <v>3</v>
      </c>
      <c r="AE229" t="n">
        <v>0</v>
      </c>
      <c r="AF229" t="n">
        <v>201</v>
      </c>
      <c r="AG229" t="n">
        <v>197</v>
      </c>
      <c r="AH229" t="n">
        <v>-4</v>
      </c>
      <c r="AI229" t="n">
        <v>58</v>
      </c>
      <c r="AJ229" t="n">
        <v>0.052</v>
      </c>
      <c r="AK229" t="n">
        <v>0.055</v>
      </c>
      <c r="AL229" t="n">
        <v>102</v>
      </c>
      <c r="AM229" t="n">
        <v>9.089</v>
      </c>
      <c r="AN229" t="n">
        <v>2</v>
      </c>
      <c r="AO229" t="n">
        <v>4</v>
      </c>
      <c r="AP229" t="n">
        <v>0.167</v>
      </c>
      <c r="AQ229" t="n">
        <v>0.167</v>
      </c>
      <c r="AR229" t="n">
        <v>0.167</v>
      </c>
      <c r="AS229" t="n">
        <v>0.316</v>
      </c>
      <c r="AT229" t="n">
        <v>0.435</v>
      </c>
      <c r="AU229" t="n">
        <v>16</v>
      </c>
      <c r="AV229" t="n">
        <v>1</v>
      </c>
      <c r="AW229" t="n">
        <v>2.37</v>
      </c>
      <c r="AX229" t="n">
        <v>10</v>
      </c>
      <c r="AY229" t="n">
        <v>1.56</v>
      </c>
      <c r="AZ229" t="n">
        <v>1.745</v>
      </c>
      <c r="BA229" t="n">
        <v>1.652</v>
      </c>
      <c r="BB229" t="n">
        <v>1.745</v>
      </c>
      <c r="BC229" t="n">
        <v>0.139</v>
      </c>
      <c r="BD229" t="n">
        <v>0.155</v>
      </c>
      <c r="BE229" t="n">
        <v>0.147</v>
      </c>
      <c r="BF229" t="n">
        <v>1</v>
      </c>
      <c r="BG229" t="n">
        <v>0.089</v>
      </c>
      <c r="BH229" t="n">
        <v>0.878</v>
      </c>
      <c r="BI229" t="n">
        <v>7.27</v>
      </c>
      <c r="BJ229" t="n">
        <v>1.369</v>
      </c>
      <c r="BK229" t="n">
        <v>0.122</v>
      </c>
      <c r="BL229" t="n">
        <v>1.348</v>
      </c>
      <c r="BM229" t="n">
        <v>-0.5600000000000001</v>
      </c>
      <c r="BN229" t="n">
        <v>2</v>
      </c>
      <c r="BO229" t="n">
        <v>-0.185</v>
      </c>
      <c r="BP229" t="n">
        <v>19</v>
      </c>
      <c r="BQ229" t="n">
        <v>5</v>
      </c>
      <c r="BR229" t="n">
        <v>1</v>
      </c>
      <c r="BS229" t="n">
        <v>37</v>
      </c>
      <c r="BT229" t="n">
        <v>3.297</v>
      </c>
      <c r="BW229" t="n">
        <v>1.62</v>
      </c>
      <c r="BX229" t="n">
        <v>1.376</v>
      </c>
      <c r="BY229" t="n">
        <v>1.498</v>
      </c>
      <c r="BZ229" t="n">
        <v>0.134</v>
      </c>
      <c r="CA229" t="n">
        <v>3.151</v>
      </c>
      <c r="CB229" t="n">
        <v>0.281</v>
      </c>
      <c r="CC229" t="n">
        <v>14</v>
      </c>
      <c r="CD229" t="n">
        <v>1</v>
      </c>
      <c r="CE229" t="n">
        <v>13</v>
      </c>
      <c r="CF229" t="n">
        <v>1</v>
      </c>
      <c r="CG229" t="n">
        <v>4</v>
      </c>
      <c r="CH229" t="n">
        <v>10</v>
      </c>
      <c r="CI229" t="n">
        <v>6.608</v>
      </c>
      <c r="CJ229" t="n">
        <v>4.635</v>
      </c>
      <c r="CK229" t="n">
        <v>19</v>
      </c>
      <c r="CL229" t="n">
        <v>59</v>
      </c>
      <c r="CM229" t="n">
        <v>24</v>
      </c>
      <c r="CN229" t="n">
        <v>13</v>
      </c>
      <c r="CO229" t="n">
        <v>9</v>
      </c>
      <c r="CP229" t="n">
        <v>9</v>
      </c>
      <c r="CQ229" t="n">
        <v>1</v>
      </c>
      <c r="CR229" t="n">
        <v>50</v>
      </c>
      <c r="CS229" t="n">
        <v>7</v>
      </c>
      <c r="CT229" t="n">
        <v>0.9</v>
      </c>
      <c r="CW229" t="n">
        <v>12.46</v>
      </c>
      <c r="CX229" t="n">
        <v>1.11</v>
      </c>
      <c r="CY229" t="n">
        <v>0</v>
      </c>
      <c r="DB229" t="n">
        <v>0</v>
      </c>
      <c r="DF229" t="n">
        <v>2</v>
      </c>
      <c r="DG229" t="n">
        <v>0</v>
      </c>
      <c r="DH229" t="n">
        <v>16</v>
      </c>
      <c r="DI229" t="n">
        <v>12</v>
      </c>
      <c r="DJ229" t="n">
        <v>1</v>
      </c>
      <c r="DL229" t="n">
        <v>7</v>
      </c>
      <c r="DM229" t="n">
        <v>15</v>
      </c>
      <c r="DO229" t="n">
        <v>0.1</v>
      </c>
      <c r="DP229" t="n">
        <v>30.23</v>
      </c>
      <c r="DQ229" t="n">
        <v>15.29</v>
      </c>
      <c r="DR229" t="n">
        <v>30.58</v>
      </c>
      <c r="DS229" t="n">
        <v>-0.35</v>
      </c>
      <c r="DT229" t="n">
        <v>412</v>
      </c>
      <c r="DU229" t="n">
        <v>10.84</v>
      </c>
      <c r="DV229" t="inlineStr">
        <is>
          <t>flat</t>
        </is>
      </c>
      <c r="DW229" t="n">
        <v>75.70999999999999</v>
      </c>
      <c r="DX229" t="n">
        <v>76.62</v>
      </c>
      <c r="DY229" t="n">
        <v>76.08</v>
      </c>
      <c r="DZ229" t="n">
        <v>0.36</v>
      </c>
      <c r="EA229" t="n">
        <v>24</v>
      </c>
      <c r="EB229" t="n">
        <v>24.61</v>
      </c>
      <c r="EC229" t="n">
        <v>25.33</v>
      </c>
      <c r="ED229" t="n">
        <v>117</v>
      </c>
      <c r="EE229" t="n">
        <v>54</v>
      </c>
      <c r="EF229" t="b">
        <v>1</v>
      </c>
      <c r="EG229" t="n">
        <v>1.2</v>
      </c>
      <c r="EH229" t="n">
        <v>10</v>
      </c>
      <c r="EI229" t="n">
        <v>165</v>
      </c>
      <c r="EJ229" t="n">
        <v>53.2</v>
      </c>
      <c r="EK229" t="n">
        <v>27.3</v>
      </c>
      <c r="EL229" t="n">
        <v>77.7</v>
      </c>
      <c r="EM229" t="n">
        <v>611.3</v>
      </c>
      <c r="EN229" t="n">
        <v>674.1</v>
      </c>
      <c r="EO229" t="n">
        <v>320.6</v>
      </c>
      <c r="EP229" t="n">
        <v>17.4</v>
      </c>
    </row>
    <row r="230">
      <c r="A230" t="inlineStr">
        <is>
          <t>Estêvão</t>
        </is>
      </c>
      <c r="B230" t="inlineStr">
        <is>
          <t>CHE</t>
        </is>
      </c>
      <c r="C230" t="inlineStr">
        <is>
          <t>MID</t>
        </is>
      </c>
      <c r="D230" t="inlineStr">
        <is>
          <t>MID</t>
        </is>
      </c>
      <c r="E230" t="n">
        <v>6.5</v>
      </c>
      <c r="F230" t="b">
        <v>1</v>
      </c>
      <c r="G230" t="b">
        <v>1</v>
      </c>
      <c r="H230" t="n">
        <v>19.3</v>
      </c>
      <c r="I230" t="inlineStr">
        <is>
          <t>a</t>
        </is>
      </c>
      <c r="L230" t="inlineStr">
        <is>
          <t>p624773</t>
        </is>
      </c>
      <c r="M230" t="n">
        <v>157</v>
      </c>
      <c r="N230" t="n">
        <v>3</v>
      </c>
      <c r="O230" t="n">
        <v>4</v>
      </c>
      <c r="Q230" t="n">
        <v>839</v>
      </c>
      <c r="R230" t="n">
        <v>22</v>
      </c>
      <c r="S230" t="n">
        <v>12</v>
      </c>
      <c r="T230" t="n">
        <v>9.321999999999999</v>
      </c>
      <c r="U230" t="n">
        <v>38.1</v>
      </c>
      <c r="V230" t="n">
        <v>58</v>
      </c>
      <c r="W230" t="n">
        <v>6.222</v>
      </c>
      <c r="X230" t="n">
        <v>2</v>
      </c>
      <c r="Y230" t="n">
        <v>5</v>
      </c>
      <c r="Z230" t="n">
        <v>2</v>
      </c>
      <c r="AA230" t="n">
        <v>4</v>
      </c>
      <c r="AB230" t="n">
        <v>11</v>
      </c>
      <c r="AC230" t="n">
        <v>4</v>
      </c>
      <c r="AD230" t="n">
        <v>4</v>
      </c>
      <c r="AE230" t="n">
        <v>0</v>
      </c>
      <c r="AF230" t="n">
        <v>172</v>
      </c>
      <c r="AG230" t="n">
        <v>172</v>
      </c>
      <c r="AH230" t="n">
        <v>0</v>
      </c>
      <c r="AI230" t="n">
        <v>58</v>
      </c>
      <c r="AJ230" t="n">
        <v>0.06900000000000001</v>
      </c>
      <c r="AK230" t="n">
        <v>0.074</v>
      </c>
      <c r="AL230" t="n">
        <v>56</v>
      </c>
      <c r="AM230" t="n">
        <v>6.007</v>
      </c>
      <c r="AN230" t="n">
        <v>0</v>
      </c>
      <c r="AO230" t="n">
        <v>0</v>
      </c>
      <c r="AP230" t="n">
        <v>0</v>
      </c>
      <c r="AQ230" t="n">
        <v>0</v>
      </c>
      <c r="AR230" t="n">
        <v>0</v>
      </c>
      <c r="AS230" t="n">
        <v>0.316</v>
      </c>
      <c r="AT230" t="n">
        <v>0.318</v>
      </c>
      <c r="AU230" t="n">
        <v>13</v>
      </c>
      <c r="AV230" t="n">
        <v>1</v>
      </c>
      <c r="AW230" t="n">
        <v>2.64</v>
      </c>
      <c r="AX230" t="n">
        <v>13</v>
      </c>
      <c r="AY230" t="n">
        <v>2.91</v>
      </c>
      <c r="AZ230" t="n">
        <v>3.874</v>
      </c>
      <c r="BA230" t="n">
        <v>3.392</v>
      </c>
      <c r="BB230" t="n">
        <v>3.874</v>
      </c>
      <c r="BC230" t="n">
        <v>0.312</v>
      </c>
      <c r="BD230" t="n">
        <v>0.416</v>
      </c>
      <c r="BE230" t="n">
        <v>0.364</v>
      </c>
      <c r="BF230" t="n">
        <v>3.8</v>
      </c>
      <c r="BG230" t="n">
        <v>0.408</v>
      </c>
      <c r="BH230" t="n">
        <v>1.082</v>
      </c>
      <c r="BI230" t="n">
        <v>2.91</v>
      </c>
      <c r="BJ230" t="n">
        <v>3.147</v>
      </c>
      <c r="BK230" t="n">
        <v>0.338</v>
      </c>
      <c r="BL230" t="n">
        <v>-1.392</v>
      </c>
      <c r="BM230" t="n">
        <v>0.89</v>
      </c>
      <c r="BN230" t="n">
        <v>-1.8</v>
      </c>
      <c r="BO230" t="n">
        <v>-0.964</v>
      </c>
      <c r="BP230" t="n">
        <v>28</v>
      </c>
      <c r="BQ230" t="n">
        <v>8</v>
      </c>
      <c r="BR230" t="n">
        <v>2</v>
      </c>
      <c r="BS230" t="n">
        <v>74</v>
      </c>
      <c r="BT230" t="n">
        <v>7.938</v>
      </c>
      <c r="BW230" t="n">
        <v>2.14</v>
      </c>
      <c r="BX230" t="n">
        <v>2.816</v>
      </c>
      <c r="BY230" t="n">
        <v>2.478</v>
      </c>
      <c r="BZ230" t="n">
        <v>0.266</v>
      </c>
      <c r="CA230" t="n">
        <v>5.87</v>
      </c>
      <c r="CB230" t="n">
        <v>0.63</v>
      </c>
      <c r="CC230" t="n">
        <v>16</v>
      </c>
      <c r="CD230" t="n">
        <v>4</v>
      </c>
      <c r="CE230" t="n">
        <v>16</v>
      </c>
      <c r="CF230" t="n">
        <v>5</v>
      </c>
      <c r="CH230" t="n">
        <v>14</v>
      </c>
      <c r="CI230" t="n">
        <v>9.268000000000001</v>
      </c>
      <c r="CJ230" t="n">
        <v>3.582</v>
      </c>
      <c r="CK230" t="n">
        <v>9</v>
      </c>
      <c r="CL230" t="n">
        <v>36</v>
      </c>
      <c r="CM230" t="n">
        <v>11</v>
      </c>
      <c r="CN230" t="n">
        <v>5</v>
      </c>
      <c r="CO230" t="n">
        <v>4</v>
      </c>
      <c r="CP230" t="n">
        <v>5</v>
      </c>
      <c r="CR230" t="n">
        <v>52</v>
      </c>
      <c r="CS230" t="n">
        <v>3</v>
      </c>
      <c r="CT230" t="n">
        <v>0.5</v>
      </c>
      <c r="CW230" t="n">
        <v>10.29</v>
      </c>
      <c r="CX230" t="n">
        <v>1.104</v>
      </c>
      <c r="CY230" t="n">
        <v>0</v>
      </c>
      <c r="DB230" t="n">
        <v>0</v>
      </c>
      <c r="DE230" t="n">
        <v>6.65</v>
      </c>
      <c r="DF230" t="n">
        <v>4</v>
      </c>
      <c r="DG230" t="n">
        <v>0</v>
      </c>
      <c r="DH230" t="n">
        <v>12</v>
      </c>
      <c r="DI230" t="n">
        <v>9</v>
      </c>
      <c r="DJ230" t="n">
        <v>1</v>
      </c>
      <c r="DL230" t="n">
        <v>29</v>
      </c>
      <c r="DM230" t="n">
        <v>20</v>
      </c>
      <c r="DN230" t="n">
        <v>6</v>
      </c>
      <c r="DO230" t="n">
        <v>1.6</v>
      </c>
      <c r="DP230" t="n">
        <v>40.27</v>
      </c>
      <c r="DQ230" t="n">
        <v>20.21</v>
      </c>
      <c r="DR230" t="n">
        <v>40.42</v>
      </c>
      <c r="DS230" t="n">
        <v>-0.15</v>
      </c>
      <c r="DT230" t="n">
        <v>684</v>
      </c>
      <c r="DU230" t="n">
        <v>18</v>
      </c>
      <c r="DV230" t="inlineStr">
        <is>
          <t>flat</t>
        </is>
      </c>
      <c r="DW230" t="n">
        <v>63.33</v>
      </c>
      <c r="DX230" t="n">
        <v>65.43000000000001</v>
      </c>
      <c r="DY230" t="n">
        <v>62.85</v>
      </c>
      <c r="DZ230" t="n">
        <v>-0.48</v>
      </c>
      <c r="EA230" t="n">
        <v>799</v>
      </c>
      <c r="EB230" t="n">
        <v>24.74</v>
      </c>
      <c r="EC230" t="n">
        <v>1.78</v>
      </c>
      <c r="ED230" t="n">
        <v>120</v>
      </c>
      <c r="EE230" t="n">
        <v>1775</v>
      </c>
      <c r="EF230" t="b">
        <v>1</v>
      </c>
      <c r="EG230" t="n">
        <v>55.4</v>
      </c>
      <c r="EH230" t="n">
        <v>34.2</v>
      </c>
      <c r="EI230" t="n">
        <v>48</v>
      </c>
      <c r="EJ230" t="n">
        <v>30</v>
      </c>
      <c r="EK230" t="n">
        <v>11.3</v>
      </c>
      <c r="EL230" t="n">
        <v>52.4</v>
      </c>
      <c r="EM230" t="n">
        <v>247.3</v>
      </c>
      <c r="EN230" t="n">
        <v>338.6</v>
      </c>
      <c r="EO230" t="n">
        <v>142.9</v>
      </c>
      <c r="EP230" t="n">
        <v>14.5</v>
      </c>
    </row>
    <row r="231">
      <c r="A231" t="inlineStr">
        <is>
          <t>Gabriel Martinelli</t>
        </is>
      </c>
      <c r="B231" t="inlineStr">
        <is>
          <t>ARS</t>
        </is>
      </c>
      <c r="C231" t="inlineStr">
        <is>
          <t>MID</t>
        </is>
      </c>
      <c r="D231" t="inlineStr">
        <is>
          <t>MID</t>
        </is>
      </c>
      <c r="E231" t="n">
        <v>6.5</v>
      </c>
      <c r="F231" t="b">
        <v>1</v>
      </c>
      <c r="G231" t="b">
        <v>1</v>
      </c>
      <c r="H231" t="n">
        <v>25.2</v>
      </c>
      <c r="I231" t="inlineStr">
        <is>
          <t>a</t>
        </is>
      </c>
      <c r="L231" t="inlineStr">
        <is>
          <t>p444145</t>
        </is>
      </c>
      <c r="M231" t="n">
        <v>18</v>
      </c>
      <c r="Q231" t="n">
        <v>1065</v>
      </c>
      <c r="R231" t="n">
        <v>30</v>
      </c>
      <c r="S231" t="n">
        <v>11</v>
      </c>
      <c r="T231" t="n">
        <v>11.833</v>
      </c>
      <c r="U231" t="n">
        <v>35.5</v>
      </c>
      <c r="V231" t="n">
        <v>57</v>
      </c>
      <c r="W231" t="n">
        <v>4.817</v>
      </c>
      <c r="X231" t="n">
        <v>1</v>
      </c>
      <c r="Y231" t="n">
        <v>5</v>
      </c>
      <c r="Z231" t="n">
        <v>4</v>
      </c>
      <c r="AA231" t="n">
        <v>2</v>
      </c>
      <c r="AB231" t="n">
        <v>8</v>
      </c>
      <c r="AC231" t="n">
        <v>3</v>
      </c>
      <c r="AD231" t="n">
        <v>3</v>
      </c>
      <c r="AE231" t="n">
        <v>0</v>
      </c>
      <c r="AF231" t="n">
        <v>195</v>
      </c>
      <c r="AG231" t="n">
        <v>194</v>
      </c>
      <c r="AH231" t="n">
        <v>-1</v>
      </c>
      <c r="AI231" t="n">
        <v>57</v>
      </c>
      <c r="AJ231" t="n">
        <v>0.053</v>
      </c>
      <c r="AK231" t="n">
        <v>0.056</v>
      </c>
      <c r="AL231" t="n">
        <v>77</v>
      </c>
      <c r="AM231" t="n">
        <v>6.507</v>
      </c>
      <c r="AN231" t="n">
        <v>0</v>
      </c>
      <c r="AO231" t="n">
        <v>0</v>
      </c>
      <c r="AP231" t="n">
        <v>0</v>
      </c>
      <c r="AQ231" t="n">
        <v>0.091</v>
      </c>
      <c r="AR231" t="n">
        <v>0</v>
      </c>
      <c r="AS231" t="n">
        <v>0.289</v>
      </c>
      <c r="AT231" t="n">
        <v>0.167</v>
      </c>
      <c r="AU231" t="n">
        <v>22</v>
      </c>
      <c r="AV231" t="n">
        <v>0</v>
      </c>
      <c r="AW231" t="n">
        <v>1.84</v>
      </c>
      <c r="AX231" t="n">
        <v>7</v>
      </c>
      <c r="AY231" t="n">
        <v>4.12</v>
      </c>
      <c r="AZ231" t="n">
        <v>5.357</v>
      </c>
      <c r="BA231" t="n">
        <v>4.739</v>
      </c>
      <c r="BB231" t="n">
        <v>5.357</v>
      </c>
      <c r="BC231" t="n">
        <v>0.348</v>
      </c>
      <c r="BD231" t="n">
        <v>0.453</v>
      </c>
      <c r="BE231" t="n">
        <v>0.4</v>
      </c>
      <c r="BF231" t="n">
        <v>2.7</v>
      </c>
      <c r="BG231" t="n">
        <v>0.228</v>
      </c>
      <c r="BH231" t="n">
        <v>1.03</v>
      </c>
      <c r="BI231" t="n">
        <v>26.76</v>
      </c>
      <c r="BJ231" t="n">
        <v>4.243</v>
      </c>
      <c r="BK231" t="n">
        <v>0.359</v>
      </c>
      <c r="BL231" t="n">
        <v>-3.739</v>
      </c>
      <c r="BM231" t="n">
        <v>-1.42</v>
      </c>
      <c r="BN231" t="n">
        <v>-1.7</v>
      </c>
      <c r="BO231" t="n">
        <v>-1.237</v>
      </c>
      <c r="BP231" t="n">
        <v>29</v>
      </c>
      <c r="BQ231" t="n">
        <v>13</v>
      </c>
      <c r="BR231" t="n">
        <v>7</v>
      </c>
      <c r="BS231" t="n">
        <v>70</v>
      </c>
      <c r="BT231" t="n">
        <v>5.915</v>
      </c>
      <c r="BW231" t="n">
        <v>1.27</v>
      </c>
      <c r="BX231" t="n">
        <v>2.569</v>
      </c>
      <c r="BY231" t="n">
        <v>1.92</v>
      </c>
      <c r="BZ231" t="n">
        <v>0.162</v>
      </c>
      <c r="CA231" t="n">
        <v>6.658</v>
      </c>
      <c r="CB231" t="n">
        <v>0.5629999999999999</v>
      </c>
      <c r="CC231" t="n">
        <v>13</v>
      </c>
      <c r="CD231" t="n">
        <v>4</v>
      </c>
      <c r="CE231" t="n">
        <v>13</v>
      </c>
      <c r="CF231" t="n">
        <v>9</v>
      </c>
      <c r="CH231" t="n">
        <v>5</v>
      </c>
      <c r="CI231" t="n">
        <v>10.023</v>
      </c>
      <c r="CJ231" t="n">
        <v>3.607</v>
      </c>
      <c r="CK231" t="n">
        <v>13</v>
      </c>
      <c r="CL231" t="n">
        <v>52</v>
      </c>
      <c r="CM231" t="n">
        <v>12</v>
      </c>
      <c r="CN231" t="n">
        <v>8</v>
      </c>
      <c r="CO231" t="n">
        <v>1</v>
      </c>
      <c r="CP231" t="n">
        <v>10</v>
      </c>
      <c r="CQ231" t="n">
        <v>1</v>
      </c>
      <c r="CR231" t="n">
        <v>55</v>
      </c>
      <c r="CS231" t="n">
        <v>8</v>
      </c>
      <c r="CT231" t="n">
        <v>1.3</v>
      </c>
      <c r="CV231" t="n">
        <v>2</v>
      </c>
      <c r="CW231" t="n">
        <v>10.51</v>
      </c>
      <c r="CX231" t="n">
        <v>0.888</v>
      </c>
      <c r="CY231" t="n">
        <v>0</v>
      </c>
      <c r="DB231" t="n">
        <v>0</v>
      </c>
      <c r="DE231" t="n">
        <v>6.53</v>
      </c>
      <c r="DF231" t="n">
        <v>3</v>
      </c>
      <c r="DG231" t="n">
        <v>0</v>
      </c>
      <c r="DH231" t="n">
        <v>10</v>
      </c>
      <c r="DI231" t="n">
        <v>14</v>
      </c>
      <c r="DL231" t="n">
        <v>22</v>
      </c>
      <c r="DM231" t="n">
        <v>26</v>
      </c>
      <c r="DN231" t="n">
        <v>5</v>
      </c>
      <c r="DO231" t="n">
        <v>0.3</v>
      </c>
      <c r="DP231" t="n">
        <v>43.69</v>
      </c>
      <c r="DQ231" t="n">
        <v>21.91</v>
      </c>
      <c r="DR231" t="n">
        <v>43.82</v>
      </c>
      <c r="DS231" t="n">
        <v>-0.13</v>
      </c>
      <c r="DT231" t="n">
        <v>507</v>
      </c>
      <c r="DU231" t="n">
        <v>13.35</v>
      </c>
      <c r="DV231" t="inlineStr">
        <is>
          <t>flat</t>
        </is>
      </c>
      <c r="DW231" t="n">
        <v>68.47</v>
      </c>
      <c r="DX231" t="n">
        <v>73.08</v>
      </c>
      <c r="DY231" t="n">
        <v>65.27</v>
      </c>
      <c r="DZ231" t="n">
        <v>-3.2</v>
      </c>
      <c r="EA231" t="n">
        <v>441</v>
      </c>
      <c r="EB231" t="n">
        <v>24</v>
      </c>
      <c r="EC231" t="n">
        <v>1</v>
      </c>
      <c r="ED231" t="n">
        <v>120</v>
      </c>
      <c r="EE231" t="n">
        <v>912</v>
      </c>
      <c r="EF231" t="b">
        <v>1</v>
      </c>
      <c r="EG231" t="n">
        <v>34.1</v>
      </c>
      <c r="EH231" t="n">
        <v>45.2</v>
      </c>
      <c r="EI231" t="n">
        <v>49</v>
      </c>
      <c r="EJ231" t="n">
        <v>36.7</v>
      </c>
      <c r="EK231" t="n">
        <v>15.2</v>
      </c>
      <c r="EL231" t="n">
        <v>81.90000000000001</v>
      </c>
      <c r="EM231" t="n">
        <v>224.8</v>
      </c>
      <c r="EN231" t="n">
        <v>554.8</v>
      </c>
      <c r="EO231" t="n">
        <v>160</v>
      </c>
      <c r="EP231" t="n">
        <v>18.7</v>
      </c>
    </row>
    <row r="232">
      <c r="A232" t="inlineStr">
        <is>
          <t>Leny Yoro</t>
        </is>
      </c>
      <c r="B232" t="inlineStr">
        <is>
          <t>MUN</t>
        </is>
      </c>
      <c r="C232" t="inlineStr">
        <is>
          <t>DEF</t>
        </is>
      </c>
      <c r="D232" t="inlineStr">
        <is>
          <t>DEF</t>
        </is>
      </c>
      <c r="E232" t="n">
        <v>5</v>
      </c>
      <c r="F232" t="b">
        <v>1</v>
      </c>
      <c r="G232" t="b">
        <v>1</v>
      </c>
      <c r="H232" t="n">
        <v>20.8</v>
      </c>
      <c r="I232" t="inlineStr">
        <is>
          <t>a</t>
        </is>
      </c>
      <c r="L232" t="inlineStr">
        <is>
          <t>p550864</t>
        </is>
      </c>
      <c r="M232" t="n">
        <v>420</v>
      </c>
      <c r="Q232" t="n">
        <v>1730</v>
      </c>
      <c r="R232" t="n">
        <v>32</v>
      </c>
      <c r="S232" t="n">
        <v>18</v>
      </c>
      <c r="T232" t="n">
        <v>19.222</v>
      </c>
      <c r="U232" t="n">
        <v>54.1</v>
      </c>
      <c r="V232" t="n">
        <v>56</v>
      </c>
      <c r="W232" t="n">
        <v>2.913</v>
      </c>
      <c r="X232" t="n">
        <v>0</v>
      </c>
      <c r="Y232" t="n">
        <v>1</v>
      </c>
      <c r="AA232" t="n">
        <v>2</v>
      </c>
      <c r="AB232" t="n">
        <v>33</v>
      </c>
      <c r="AC232" t="n">
        <v>1</v>
      </c>
      <c r="AD232" t="n">
        <v>1</v>
      </c>
      <c r="AE232" t="n">
        <v>0</v>
      </c>
      <c r="AF232" t="n">
        <v>191</v>
      </c>
      <c r="AG232" t="n">
        <v>168</v>
      </c>
      <c r="AH232" t="n">
        <v>-23</v>
      </c>
      <c r="AI232" t="n">
        <v>56</v>
      </c>
      <c r="AJ232" t="n">
        <v>0.018</v>
      </c>
      <c r="AK232" t="n">
        <v>0.018</v>
      </c>
      <c r="AL232" t="n">
        <v>156</v>
      </c>
      <c r="AM232" t="n">
        <v>8.116</v>
      </c>
      <c r="AN232" t="n">
        <v>3</v>
      </c>
      <c r="AO232" t="n">
        <v>6</v>
      </c>
      <c r="AP232" t="n">
        <v>0.167</v>
      </c>
      <c r="AQ232" t="n">
        <v>0.167</v>
      </c>
      <c r="AR232" t="n">
        <v>0.056</v>
      </c>
      <c r="AS232" t="n">
        <v>0.474</v>
      </c>
      <c r="AT232" t="n">
        <v>0.531</v>
      </c>
      <c r="AU232" t="n">
        <v>26</v>
      </c>
      <c r="AV232" t="n">
        <v>0</v>
      </c>
      <c r="AW232" t="n">
        <v>1.59</v>
      </c>
      <c r="AX232" t="n">
        <v>6</v>
      </c>
      <c r="AY232" t="n">
        <v>1.34</v>
      </c>
      <c r="AZ232" t="n">
        <v>1.247</v>
      </c>
      <c r="BA232" t="n">
        <v>1.294</v>
      </c>
      <c r="BB232" t="n">
        <v>1.247</v>
      </c>
      <c r="BC232" t="n">
        <v>0.07000000000000001</v>
      </c>
      <c r="BD232" t="n">
        <v>0.065</v>
      </c>
      <c r="BE232" t="n">
        <v>0.067</v>
      </c>
      <c r="BF232" t="n">
        <v>1.5</v>
      </c>
      <c r="BG232" t="n">
        <v>0.078</v>
      </c>
      <c r="BH232" t="n">
        <v>0.966</v>
      </c>
      <c r="BI232" t="n">
        <v>2.04</v>
      </c>
      <c r="BJ232" t="n">
        <v>1.295</v>
      </c>
      <c r="BK232" t="n">
        <v>0.067</v>
      </c>
      <c r="BL232" t="n">
        <v>-1.294</v>
      </c>
      <c r="BM232" t="n">
        <v>0.16</v>
      </c>
      <c r="BN232" t="n">
        <v>-1.5</v>
      </c>
      <c r="BO232" t="n">
        <v>0.093</v>
      </c>
      <c r="BP232" t="n">
        <v>9</v>
      </c>
      <c r="BQ232" t="n">
        <v>3</v>
      </c>
      <c r="BR232" t="n">
        <v>2</v>
      </c>
      <c r="BS232" t="n">
        <v>22</v>
      </c>
      <c r="BT232" t="n">
        <v>1.145</v>
      </c>
      <c r="BV232" t="n">
        <v>0</v>
      </c>
      <c r="BW232" t="n">
        <v>0.59</v>
      </c>
      <c r="BX232" t="n">
        <v>0.22</v>
      </c>
      <c r="BY232" t="n">
        <v>0.405</v>
      </c>
      <c r="BZ232" t="n">
        <v>0.021</v>
      </c>
      <c r="CA232" t="n">
        <v>1.699</v>
      </c>
      <c r="CB232" t="n">
        <v>0.08799999999999999</v>
      </c>
      <c r="CC232" t="n">
        <v>4</v>
      </c>
      <c r="CE232" t="n">
        <v>4</v>
      </c>
      <c r="CF232" t="n">
        <v>1</v>
      </c>
      <c r="CG232" t="n">
        <v>1</v>
      </c>
      <c r="CI232" t="n">
        <v>4.67</v>
      </c>
      <c r="CJ232" t="n">
        <v>4.499</v>
      </c>
      <c r="CK232" t="n">
        <v>126</v>
      </c>
      <c r="CL232" t="n">
        <v>73</v>
      </c>
      <c r="CM232" t="n">
        <v>30</v>
      </c>
      <c r="CN232" t="n">
        <v>21</v>
      </c>
      <c r="CO232" t="n">
        <v>31</v>
      </c>
      <c r="CP232" t="n">
        <v>85</v>
      </c>
      <c r="CQ232" t="n">
        <v>11</v>
      </c>
      <c r="CR232" t="n">
        <v>83</v>
      </c>
      <c r="CS232" t="n">
        <v>44</v>
      </c>
      <c r="CT232" t="n">
        <v>0.1</v>
      </c>
      <c r="CV232" t="n">
        <v>3</v>
      </c>
      <c r="CW232" t="n">
        <v>26.83</v>
      </c>
      <c r="CX232" t="n">
        <v>1.396</v>
      </c>
      <c r="CY232" t="n">
        <v>0</v>
      </c>
      <c r="DB232" t="n">
        <v>0</v>
      </c>
      <c r="DE232" t="n">
        <v>6.67</v>
      </c>
      <c r="DF232" t="n">
        <v>1</v>
      </c>
      <c r="DG232" t="n">
        <v>0</v>
      </c>
      <c r="DH232" t="n">
        <v>17</v>
      </c>
      <c r="DI232" t="n">
        <v>5</v>
      </c>
      <c r="DK232" t="n">
        <v>1</v>
      </c>
      <c r="DL232" t="n">
        <v>2</v>
      </c>
      <c r="DM232" t="n">
        <v>5</v>
      </c>
      <c r="DN232" t="n">
        <v>2</v>
      </c>
      <c r="DO232" t="n">
        <v>0.8</v>
      </c>
      <c r="DP232" t="n">
        <v>35.47</v>
      </c>
      <c r="DQ232" t="n">
        <v>18.57</v>
      </c>
      <c r="DR232" t="n">
        <v>37.14</v>
      </c>
      <c r="DS232" t="n">
        <v>-1.67</v>
      </c>
      <c r="DT232" t="n">
        <v>807</v>
      </c>
      <c r="DU232" t="n">
        <v>21.24</v>
      </c>
      <c r="DV232" t="inlineStr">
        <is>
          <t>fade (losing his place)</t>
        </is>
      </c>
      <c r="DW232" t="n">
        <v>97.02</v>
      </c>
      <c r="DX232" t="n">
        <v>97.29000000000001</v>
      </c>
      <c r="DY232" t="n">
        <v>98.06</v>
      </c>
      <c r="DZ232" t="n">
        <v>1.04</v>
      </c>
      <c r="EA232" t="n">
        <v>275</v>
      </c>
      <c r="EB232" t="n">
        <v>16.93</v>
      </c>
      <c r="EC232" t="n">
        <v>38</v>
      </c>
      <c r="ED232" t="n">
        <v>120</v>
      </c>
      <c r="EE232" t="n">
        <v>434</v>
      </c>
      <c r="EF232" t="b">
        <v>1</v>
      </c>
      <c r="EG232" t="n">
        <v>10</v>
      </c>
      <c r="EH232" t="n">
        <v>10.9</v>
      </c>
      <c r="EI232" t="n">
        <v>280</v>
      </c>
      <c r="EJ232" t="n">
        <v>192.2</v>
      </c>
      <c r="EK232" t="n">
        <v>78.59999999999999</v>
      </c>
      <c r="EL232" t="n">
        <v>432.5</v>
      </c>
      <c r="EM232" t="n">
        <v>1337.3</v>
      </c>
      <c r="EN232" t="n">
        <v>4272.9</v>
      </c>
      <c r="EO232" t="n">
        <v>1018.5</v>
      </c>
      <c r="EP232" t="n">
        <v>30.9</v>
      </c>
    </row>
    <row r="233">
      <c r="A233" t="inlineStr">
        <is>
          <t>Carlos Baleba</t>
        </is>
      </c>
      <c r="B233" t="inlineStr">
        <is>
          <t>BHA</t>
        </is>
      </c>
      <c r="C233" t="inlineStr">
        <is>
          <t>MID</t>
        </is>
      </c>
      <c r="D233" t="inlineStr">
        <is>
          <t>MID</t>
        </is>
      </c>
      <c r="E233" t="n">
        <v>5</v>
      </c>
      <c r="F233" t="b">
        <v>1</v>
      </c>
      <c r="G233" t="b">
        <v>1</v>
      </c>
      <c r="H233" t="n">
        <v>22.6</v>
      </c>
      <c r="I233" t="inlineStr">
        <is>
          <t>i</t>
        </is>
      </c>
      <c r="J233" t="inlineStr">
        <is>
          <t>Ankle injury - Expected back 23 Aug</t>
        </is>
      </c>
      <c r="K233" t="n">
        <v>0</v>
      </c>
      <c r="L233" t="inlineStr">
        <is>
          <t>p535301</t>
        </is>
      </c>
      <c r="M233" t="n">
        <v>131</v>
      </c>
      <c r="Q233" t="n">
        <v>1646</v>
      </c>
      <c r="R233" t="n">
        <v>31</v>
      </c>
      <c r="S233" t="n">
        <v>23</v>
      </c>
      <c r="T233" t="n">
        <v>18.289</v>
      </c>
      <c r="U233" t="n">
        <v>53.1</v>
      </c>
      <c r="V233" t="n">
        <v>56</v>
      </c>
      <c r="W233" t="n">
        <v>3.062</v>
      </c>
      <c r="X233" t="n">
        <v>0</v>
      </c>
      <c r="Y233" t="n">
        <v>0</v>
      </c>
      <c r="AA233" t="n">
        <v>7</v>
      </c>
      <c r="AB233" t="n">
        <v>19</v>
      </c>
      <c r="AC233" t="n">
        <v>0</v>
      </c>
      <c r="AD233" t="n">
        <v>0</v>
      </c>
      <c r="AE233" t="n">
        <v>0</v>
      </c>
      <c r="AF233" t="n">
        <v>231</v>
      </c>
      <c r="AG233" t="n">
        <v>215</v>
      </c>
      <c r="AH233" t="n">
        <v>-16</v>
      </c>
      <c r="AI233" t="n">
        <v>56</v>
      </c>
      <c r="AJ233" t="n">
        <v>0</v>
      </c>
      <c r="AK233" t="n">
        <v>0</v>
      </c>
      <c r="AL233" t="n">
        <v>209</v>
      </c>
      <c r="AM233" t="n">
        <v>11.428</v>
      </c>
      <c r="AN233" t="n">
        <v>4</v>
      </c>
      <c r="AO233" t="n">
        <v>8</v>
      </c>
      <c r="AP233" t="n">
        <v>0.174</v>
      </c>
      <c r="AQ233" t="n">
        <v>0.435</v>
      </c>
      <c r="AR233" t="n">
        <v>0.174</v>
      </c>
      <c r="AS233" t="n">
        <v>0.605</v>
      </c>
      <c r="AT233" t="n">
        <v>0.484</v>
      </c>
      <c r="AU233" t="n">
        <v>22</v>
      </c>
      <c r="AV233" t="n">
        <v>0</v>
      </c>
      <c r="AW233" t="n">
        <v>1.39</v>
      </c>
      <c r="AX233" t="n">
        <v>5</v>
      </c>
      <c r="AY233" t="n">
        <v>0.78</v>
      </c>
      <c r="AZ233" t="n">
        <v>0.573</v>
      </c>
      <c r="BA233" t="n">
        <v>0.677</v>
      </c>
      <c r="BB233" t="n">
        <v>0.573</v>
      </c>
      <c r="BC233" t="n">
        <v>0.043</v>
      </c>
      <c r="BD233" t="n">
        <v>0.031</v>
      </c>
      <c r="BE233" t="n">
        <v>0.037</v>
      </c>
      <c r="BF233" t="n">
        <v>0.2</v>
      </c>
      <c r="BG233" t="n">
        <v>0.011</v>
      </c>
      <c r="BH233" t="n">
        <v>1.006</v>
      </c>
      <c r="BI233" t="n">
        <v>4.73</v>
      </c>
      <c r="BJ233" t="n">
        <v>0.784</v>
      </c>
      <c r="BK233" t="n">
        <v>0.043</v>
      </c>
      <c r="BL233" t="n">
        <v>-0.677</v>
      </c>
      <c r="BM233" t="n">
        <v>-0.58</v>
      </c>
      <c r="BN233" t="n">
        <v>-0.2</v>
      </c>
      <c r="BO233" t="n">
        <v>0.207</v>
      </c>
      <c r="BP233" t="n">
        <v>20</v>
      </c>
      <c r="BQ233" t="n">
        <v>2</v>
      </c>
      <c r="BR233" t="n">
        <v>1</v>
      </c>
      <c r="BS233" t="n">
        <v>4</v>
      </c>
      <c r="BT233" t="n">
        <v>0.219</v>
      </c>
      <c r="BW233" t="n">
        <v>0.72</v>
      </c>
      <c r="BX233" t="n">
        <v>0.8120000000000001</v>
      </c>
      <c r="BY233" t="n">
        <v>0.766</v>
      </c>
      <c r="BZ233" t="n">
        <v>0.042</v>
      </c>
      <c r="CA233" t="n">
        <v>1.443</v>
      </c>
      <c r="CB233" t="n">
        <v>0.079</v>
      </c>
      <c r="CC233" t="n">
        <v>9</v>
      </c>
      <c r="CD233" t="n">
        <v>1</v>
      </c>
      <c r="CE233" t="n">
        <v>9</v>
      </c>
      <c r="CG233" t="n">
        <v>1</v>
      </c>
      <c r="CI233" t="n">
        <v>5.856</v>
      </c>
      <c r="CJ233" t="n">
        <v>4.608</v>
      </c>
      <c r="CK233" t="n">
        <v>67</v>
      </c>
      <c r="CL233" t="n">
        <v>105</v>
      </c>
      <c r="CM233" t="n">
        <v>37</v>
      </c>
      <c r="CN233" t="n">
        <v>20</v>
      </c>
      <c r="CO233" t="n">
        <v>29</v>
      </c>
      <c r="CP233" t="n">
        <v>32</v>
      </c>
      <c r="CQ233" t="n">
        <v>6</v>
      </c>
      <c r="CR233" t="n">
        <v>102</v>
      </c>
      <c r="CS233" t="n">
        <v>29</v>
      </c>
      <c r="CT233" t="n">
        <v>0.6</v>
      </c>
      <c r="CV233" t="n">
        <v>5</v>
      </c>
      <c r="CW233" t="n">
        <v>20.4</v>
      </c>
      <c r="CX233" t="n">
        <v>1.115</v>
      </c>
      <c r="CY233" t="n">
        <v>0</v>
      </c>
      <c r="DB233" t="n">
        <v>0</v>
      </c>
      <c r="DE233" t="n">
        <v>6.62</v>
      </c>
      <c r="DF233" t="n">
        <v>5</v>
      </c>
      <c r="DG233" t="n">
        <v>0</v>
      </c>
      <c r="DH233" t="n">
        <v>31</v>
      </c>
      <c r="DI233" t="n">
        <v>24</v>
      </c>
      <c r="DK233" t="n">
        <v>1</v>
      </c>
      <c r="DL233" t="n">
        <v>12</v>
      </c>
      <c r="DM233" t="n">
        <v>19</v>
      </c>
      <c r="DO233" t="n">
        <v>0.3</v>
      </c>
      <c r="DP233" t="n">
        <v>78.17</v>
      </c>
      <c r="DQ233" t="n">
        <v>37.36</v>
      </c>
      <c r="DR233" t="n">
        <v>74.72</v>
      </c>
      <c r="DS233" t="n">
        <v>3.45</v>
      </c>
      <c r="DT233" t="n">
        <v>1989</v>
      </c>
      <c r="DU233" t="n">
        <v>52.35</v>
      </c>
      <c r="DV233" t="inlineStr">
        <is>
          <t>flat</t>
        </is>
      </c>
      <c r="DW233" t="n">
        <v>84.36</v>
      </c>
      <c r="DX233" t="n">
        <v>71.5</v>
      </c>
      <c r="DY233" t="n">
        <v>110.92</v>
      </c>
      <c r="DZ233" t="n">
        <v>26.56</v>
      </c>
      <c r="EA233" t="n">
        <v>2</v>
      </c>
      <c r="EB233" t="n">
        <v>27.15</v>
      </c>
      <c r="EC233" t="n">
        <v>33</v>
      </c>
      <c r="ED233" t="n">
        <v>116</v>
      </c>
      <c r="EE233" t="n">
        <v>7</v>
      </c>
      <c r="EF233" t="b">
        <v>0</v>
      </c>
      <c r="EG233" t="n">
        <v>0.2</v>
      </c>
      <c r="EH233" t="n">
        <v>30</v>
      </c>
      <c r="EI233" t="n">
        <v>277</v>
      </c>
      <c r="EJ233" t="n">
        <v>82.3</v>
      </c>
      <c r="EK233" t="n">
        <v>411.5</v>
      </c>
      <c r="EL233" t="n">
        <v>182.9</v>
      </c>
      <c r="EM233" t="n">
        <v>2432.5</v>
      </c>
      <c r="EN233" t="n">
        <v>2148.1</v>
      </c>
      <c r="EO233" t="n">
        <v>1140.7</v>
      </c>
      <c r="EP233" t="n">
        <v>29.4</v>
      </c>
    </row>
    <row r="234">
      <c r="A234" t="inlineStr">
        <is>
          <t>Sean Longstaff</t>
        </is>
      </c>
      <c r="B234" t="inlineStr">
        <is>
          <t>LEE</t>
        </is>
      </c>
      <c r="C234" t="inlineStr">
        <is>
          <t>MID</t>
        </is>
      </c>
      <c r="D234" t="inlineStr">
        <is>
          <t>MID</t>
        </is>
      </c>
      <c r="E234" t="n">
        <v>5</v>
      </c>
      <c r="F234" t="b">
        <v>1</v>
      </c>
      <c r="G234" t="b">
        <v>1</v>
      </c>
      <c r="H234" t="n">
        <v>28.8</v>
      </c>
      <c r="I234" t="inlineStr">
        <is>
          <t>a</t>
        </is>
      </c>
      <c r="L234" t="inlineStr">
        <is>
          <t>p180135</t>
        </is>
      </c>
      <c r="M234" t="n">
        <v>339</v>
      </c>
      <c r="O234" t="n">
        <v>3</v>
      </c>
      <c r="P234" t="n">
        <v>2</v>
      </c>
      <c r="Q234" t="n">
        <v>1003</v>
      </c>
      <c r="R234" t="n">
        <v>23</v>
      </c>
      <c r="S234" t="n">
        <v>10</v>
      </c>
      <c r="T234" t="n">
        <v>11.144</v>
      </c>
      <c r="U234" t="n">
        <v>43.6</v>
      </c>
      <c r="V234" t="n">
        <v>56</v>
      </c>
      <c r="W234" t="n">
        <v>5.025</v>
      </c>
      <c r="X234" t="n">
        <v>2</v>
      </c>
      <c r="Y234" t="n">
        <v>2</v>
      </c>
      <c r="Z234" t="n">
        <v>2</v>
      </c>
      <c r="AA234" t="n">
        <v>1</v>
      </c>
      <c r="AB234" t="n">
        <v>20</v>
      </c>
      <c r="AC234" t="n">
        <v>5</v>
      </c>
      <c r="AD234" t="n">
        <v>5</v>
      </c>
      <c r="AE234" t="n">
        <v>0</v>
      </c>
      <c r="AF234" t="n">
        <v>273</v>
      </c>
      <c r="AG234" t="n">
        <v>266</v>
      </c>
      <c r="AH234" t="n">
        <v>-7</v>
      </c>
      <c r="AI234" t="n">
        <v>56</v>
      </c>
      <c r="AJ234" t="n">
        <v>0.089</v>
      </c>
      <c r="AK234" t="n">
        <v>0.098</v>
      </c>
      <c r="AL234" t="n">
        <v>110</v>
      </c>
      <c r="AM234" t="n">
        <v>9.869999999999999</v>
      </c>
      <c r="AN234" t="n">
        <v>2</v>
      </c>
      <c r="AO234" t="n">
        <v>4</v>
      </c>
      <c r="AP234" t="n">
        <v>0.2</v>
      </c>
      <c r="AQ234" t="n">
        <v>0.5</v>
      </c>
      <c r="AR234" t="n">
        <v>0.2</v>
      </c>
      <c r="AS234" t="n">
        <v>0.263</v>
      </c>
      <c r="AT234" t="n">
        <v>0.391</v>
      </c>
      <c r="AU234" t="n">
        <v>19</v>
      </c>
      <c r="AV234" t="n">
        <v>1</v>
      </c>
      <c r="AW234" t="n">
        <v>2.78</v>
      </c>
      <c r="AX234" t="n">
        <v>15</v>
      </c>
      <c r="AY234" t="n">
        <v>1.23</v>
      </c>
      <c r="AZ234" t="n">
        <v>1.378</v>
      </c>
      <c r="BA234" t="n">
        <v>1.304</v>
      </c>
      <c r="BB234" t="n">
        <v>1.378</v>
      </c>
      <c r="BC234" t="n">
        <v>0.11</v>
      </c>
      <c r="BD234" t="n">
        <v>0.124</v>
      </c>
      <c r="BE234" t="n">
        <v>0.117</v>
      </c>
      <c r="BF234" t="n">
        <v>2</v>
      </c>
      <c r="BG234" t="n">
        <v>0.179</v>
      </c>
      <c r="BH234" t="n">
        <v>0.9350000000000001</v>
      </c>
      <c r="BI234" t="n">
        <v>11.89</v>
      </c>
      <c r="BJ234" t="n">
        <v>1.15</v>
      </c>
      <c r="BK234" t="n">
        <v>0.103</v>
      </c>
      <c r="BL234" t="n">
        <v>0.696</v>
      </c>
      <c r="BM234" t="n">
        <v>0.77</v>
      </c>
      <c r="BN234" t="n">
        <v>0</v>
      </c>
      <c r="BO234" t="n">
        <v>-0.148</v>
      </c>
      <c r="BP234" t="n">
        <v>16</v>
      </c>
      <c r="BQ234" t="n">
        <v>4</v>
      </c>
      <c r="BR234" t="n">
        <v>1</v>
      </c>
      <c r="BS234" t="n">
        <v>20</v>
      </c>
      <c r="BT234" t="n">
        <v>1.795</v>
      </c>
      <c r="BW234" t="n">
        <v>1.87</v>
      </c>
      <c r="BX234" t="n">
        <v>2.768</v>
      </c>
      <c r="BY234" t="n">
        <v>2.319</v>
      </c>
      <c r="BZ234" t="n">
        <v>0.208</v>
      </c>
      <c r="CA234" t="n">
        <v>3.623</v>
      </c>
      <c r="CB234" t="n">
        <v>0.325</v>
      </c>
      <c r="CC234" t="n">
        <v>25</v>
      </c>
      <c r="CD234" t="n">
        <v>6</v>
      </c>
      <c r="CE234" t="n">
        <v>25</v>
      </c>
      <c r="CF234" t="n">
        <v>27</v>
      </c>
      <c r="CG234" t="n">
        <v>1</v>
      </c>
      <c r="CH234" t="n">
        <v>31</v>
      </c>
      <c r="CI234" t="n">
        <v>3.446</v>
      </c>
      <c r="CJ234" t="n">
        <v>1.818</v>
      </c>
      <c r="CK234" t="n">
        <v>29</v>
      </c>
      <c r="CL234" t="n">
        <v>43</v>
      </c>
      <c r="CM234" t="n">
        <v>38</v>
      </c>
      <c r="CN234" t="n">
        <v>23</v>
      </c>
      <c r="CO234" t="n">
        <v>12</v>
      </c>
      <c r="CP234" t="n">
        <v>11</v>
      </c>
      <c r="CQ234" t="n">
        <v>6</v>
      </c>
      <c r="CR234" t="n">
        <v>67</v>
      </c>
      <c r="CS234" t="n">
        <v>10</v>
      </c>
      <c r="CT234" t="n">
        <v>0.4</v>
      </c>
      <c r="CW234" t="n">
        <v>15.88</v>
      </c>
      <c r="CX234" t="n">
        <v>1.425</v>
      </c>
      <c r="CY234" t="n">
        <v>0</v>
      </c>
      <c r="DB234" t="n">
        <v>0</v>
      </c>
      <c r="DF234" t="n">
        <v>2</v>
      </c>
      <c r="DG234" t="n">
        <v>0</v>
      </c>
      <c r="DH234" t="n">
        <v>13</v>
      </c>
      <c r="DI234" t="n">
        <v>17</v>
      </c>
      <c r="DL234" t="n">
        <v>2</v>
      </c>
      <c r="DM234" t="n">
        <v>12</v>
      </c>
      <c r="DN234" t="n">
        <v>1</v>
      </c>
      <c r="DO234" t="n">
        <v>0.2</v>
      </c>
      <c r="DP234" t="n">
        <v>34.7</v>
      </c>
      <c r="DQ234" t="n">
        <v>17.35</v>
      </c>
      <c r="DR234" t="n">
        <v>34.7</v>
      </c>
      <c r="DS234" t="n">
        <v>0</v>
      </c>
      <c r="DT234" t="n">
        <v>452</v>
      </c>
      <c r="DU234" t="n">
        <v>11.9</v>
      </c>
      <c r="DV234" t="inlineStr">
        <is>
          <t>flat</t>
        </is>
      </c>
      <c r="DW234" t="n">
        <v>69.48999999999999</v>
      </c>
      <c r="DX234" t="n">
        <v>43.5</v>
      </c>
      <c r="DY234" t="n">
        <v>96.65000000000001</v>
      </c>
      <c r="DZ234" t="n">
        <v>27.16</v>
      </c>
      <c r="EA234" t="n">
        <v>3</v>
      </c>
      <c r="EB234" t="n">
        <v>34.68</v>
      </c>
      <c r="EC234" t="n">
        <v>19</v>
      </c>
      <c r="ED234" t="n">
        <v>112.57</v>
      </c>
      <c r="EE234" t="n">
        <v>6</v>
      </c>
      <c r="EF234" t="b">
        <v>0</v>
      </c>
      <c r="EG234" t="n">
        <v>0.1</v>
      </c>
      <c r="EH234" t="n">
        <v>14.3</v>
      </c>
      <c r="EI234" t="n">
        <v>278</v>
      </c>
      <c r="EJ234" t="n">
        <v>62.7</v>
      </c>
      <c r="EK234" t="n">
        <v>50.2</v>
      </c>
      <c r="EL234" t="n">
        <v>40.1</v>
      </c>
      <c r="EM234" t="n">
        <v>769.3</v>
      </c>
      <c r="EN234" t="n">
        <v>432.5</v>
      </c>
      <c r="EO234" t="n">
        <v>276.8</v>
      </c>
      <c r="EP234" t="n">
        <v>17.9</v>
      </c>
    </row>
    <row r="235">
      <c r="A235" t="inlineStr">
        <is>
          <t>Omar Marmoush</t>
        </is>
      </c>
      <c r="B235" t="inlineStr">
        <is>
          <t>MCI</t>
        </is>
      </c>
      <c r="C235" t="inlineStr">
        <is>
          <t>FWD</t>
        </is>
      </c>
      <c r="D235" t="inlineStr">
        <is>
          <t>MID</t>
        </is>
      </c>
      <c r="E235" t="n">
        <v>7</v>
      </c>
      <c r="F235" t="b">
        <v>1</v>
      </c>
      <c r="G235" t="b">
        <v>1</v>
      </c>
      <c r="H235" t="n">
        <v>27.5</v>
      </c>
      <c r="I235" t="inlineStr">
        <is>
          <t>a</t>
        </is>
      </c>
      <c r="L235" t="inlineStr">
        <is>
          <t>p438234</t>
        </is>
      </c>
      <c r="M235" t="n">
        <v>401</v>
      </c>
      <c r="N235" t="n">
        <v>2</v>
      </c>
      <c r="P235" t="n">
        <v>2</v>
      </c>
      <c r="Q235" t="n">
        <v>691</v>
      </c>
      <c r="R235" t="n">
        <v>21</v>
      </c>
      <c r="S235" t="n">
        <v>8</v>
      </c>
      <c r="T235" t="n">
        <v>7.678</v>
      </c>
      <c r="U235" t="n">
        <v>32.9</v>
      </c>
      <c r="V235" t="n">
        <v>56</v>
      </c>
      <c r="W235" t="n">
        <v>7.294</v>
      </c>
      <c r="X235" t="n">
        <v>3</v>
      </c>
      <c r="Y235" t="n">
        <v>3</v>
      </c>
      <c r="Z235" t="n">
        <v>3</v>
      </c>
      <c r="AA235" t="n">
        <v>4</v>
      </c>
      <c r="AB235" t="n">
        <v>5</v>
      </c>
      <c r="AC235" t="n">
        <v>5</v>
      </c>
      <c r="AD235" t="n">
        <v>5</v>
      </c>
      <c r="AE235" t="n">
        <v>0</v>
      </c>
      <c r="AF235" t="n">
        <v>182</v>
      </c>
      <c r="AG235" t="n">
        <v>180</v>
      </c>
      <c r="AH235" t="n">
        <v>-2</v>
      </c>
      <c r="AI235" t="n">
        <v>56</v>
      </c>
      <c r="AJ235" t="n">
        <v>0.089</v>
      </c>
      <c r="AK235" t="n">
        <v>0.098</v>
      </c>
      <c r="AL235" t="n">
        <v>39</v>
      </c>
      <c r="AM235" t="n">
        <v>5.08</v>
      </c>
      <c r="AN235" t="n">
        <v>0</v>
      </c>
      <c r="AO235" t="n">
        <v>0</v>
      </c>
      <c r="AP235" t="n">
        <v>0</v>
      </c>
      <c r="AQ235" t="n">
        <v>0</v>
      </c>
      <c r="AR235" t="n">
        <v>0</v>
      </c>
      <c r="AS235" t="n">
        <v>0.211</v>
      </c>
      <c r="AT235" t="n">
        <v>0.238</v>
      </c>
      <c r="AU235" t="n">
        <v>14</v>
      </c>
      <c r="AV235" t="n">
        <v>1</v>
      </c>
      <c r="AW235" t="n">
        <v>2.46</v>
      </c>
      <c r="AX235" t="n">
        <v>10</v>
      </c>
      <c r="AY235" t="n">
        <v>2.78</v>
      </c>
      <c r="AZ235" t="n">
        <v>3.765</v>
      </c>
      <c r="BA235" t="n">
        <v>3.273</v>
      </c>
      <c r="BB235" t="n">
        <v>3.765</v>
      </c>
      <c r="BC235" t="n">
        <v>0.362</v>
      </c>
      <c r="BD235" t="n">
        <v>0.49</v>
      </c>
      <c r="BE235" t="n">
        <v>0.426</v>
      </c>
      <c r="BF235" t="n">
        <v>1.8</v>
      </c>
      <c r="BG235" t="n">
        <v>0.234</v>
      </c>
      <c r="BH235" t="n">
        <v>0.964</v>
      </c>
      <c r="BI235" t="n">
        <v>8.19</v>
      </c>
      <c r="BJ235" t="n">
        <v>2.679</v>
      </c>
      <c r="BK235" t="n">
        <v>0.349</v>
      </c>
      <c r="BL235" t="n">
        <v>-0.273</v>
      </c>
      <c r="BM235" t="n">
        <v>-0.98</v>
      </c>
      <c r="BN235" t="n">
        <v>1.2</v>
      </c>
      <c r="BO235" t="n">
        <v>-0.985</v>
      </c>
      <c r="BP235" t="n">
        <v>30</v>
      </c>
      <c r="BQ235" t="n">
        <v>9</v>
      </c>
      <c r="BR235" t="n">
        <v>2</v>
      </c>
      <c r="BS235" t="n">
        <v>53</v>
      </c>
      <c r="BT235" t="n">
        <v>6.903</v>
      </c>
      <c r="BW235" t="n">
        <v>0.77</v>
      </c>
      <c r="BX235" t="n">
        <v>2.127</v>
      </c>
      <c r="BY235" t="n">
        <v>1.448</v>
      </c>
      <c r="BZ235" t="n">
        <v>0.189</v>
      </c>
      <c r="CA235" t="n">
        <v>4.721</v>
      </c>
      <c r="CB235" t="n">
        <v>0.615</v>
      </c>
      <c r="CC235" t="n">
        <v>12</v>
      </c>
      <c r="CD235" t="n">
        <v>3</v>
      </c>
      <c r="CE235" t="n">
        <v>12</v>
      </c>
      <c r="CF235" t="n">
        <v>0</v>
      </c>
      <c r="CG235" t="n">
        <v>2</v>
      </c>
      <c r="CH235" t="n">
        <v>8</v>
      </c>
      <c r="CI235" t="n">
        <v>6.193</v>
      </c>
      <c r="CJ235" t="n">
        <v>0.786</v>
      </c>
      <c r="CK235" t="n">
        <v>6</v>
      </c>
      <c r="CL235" t="n">
        <v>20</v>
      </c>
      <c r="CM235" t="n">
        <v>13</v>
      </c>
      <c r="CN235" t="n">
        <v>7</v>
      </c>
      <c r="CO235" t="n">
        <v>2</v>
      </c>
      <c r="CP235" t="n">
        <v>2</v>
      </c>
      <c r="CQ235" t="n">
        <v>2</v>
      </c>
      <c r="CR235" t="n">
        <v>46</v>
      </c>
      <c r="CS235" t="n">
        <v>3</v>
      </c>
      <c r="CT235" t="n">
        <v>0.6</v>
      </c>
      <c r="CW235" t="n">
        <v>7.92</v>
      </c>
      <c r="CX235" t="n">
        <v>1.032</v>
      </c>
      <c r="CY235" t="n">
        <v>0</v>
      </c>
      <c r="DB235" t="n">
        <v>0</v>
      </c>
      <c r="DF235" t="n">
        <v>3</v>
      </c>
      <c r="DG235" t="n">
        <v>0</v>
      </c>
      <c r="DH235" t="n">
        <v>10</v>
      </c>
      <c r="DI235" t="n">
        <v>21</v>
      </c>
      <c r="DL235" t="n">
        <v>10</v>
      </c>
      <c r="DM235" t="n">
        <v>15</v>
      </c>
      <c r="DN235" t="n">
        <v>6</v>
      </c>
      <c r="DO235" t="n">
        <v>0.8</v>
      </c>
      <c r="DP235" t="n">
        <v>34.92</v>
      </c>
      <c r="DQ235" t="n">
        <v>17.68</v>
      </c>
      <c r="DR235" t="n">
        <v>35.36</v>
      </c>
      <c r="DS235" t="n">
        <v>-0.44</v>
      </c>
      <c r="DT235" t="n">
        <v>349</v>
      </c>
      <c r="DU235" t="n">
        <v>9.18</v>
      </c>
      <c r="DV235" t="inlineStr">
        <is>
          <t>flat</t>
        </is>
      </c>
      <c r="DW235" t="n">
        <v>51.4</v>
      </c>
      <c r="DX235" t="n">
        <v>48.42</v>
      </c>
      <c r="DY235" t="n">
        <v>51.17</v>
      </c>
      <c r="DZ235" t="n">
        <v>-0.23</v>
      </c>
      <c r="EA235" t="n">
        <v>1055</v>
      </c>
      <c r="EB235" t="n">
        <v>28.6</v>
      </c>
      <c r="EC235" t="n">
        <v>4</v>
      </c>
      <c r="ED235" t="n">
        <v>120</v>
      </c>
      <c r="EE235" t="n">
        <v>1695</v>
      </c>
      <c r="EF235" t="b">
        <v>1</v>
      </c>
      <c r="EG235" t="n">
        <v>89</v>
      </c>
      <c r="EH235" t="n">
        <v>60.9</v>
      </c>
      <c r="EI235" t="n">
        <v>29</v>
      </c>
      <c r="EJ235" t="n">
        <v>23</v>
      </c>
      <c r="EK235" t="n">
        <v>13</v>
      </c>
      <c r="EL235" t="n">
        <v>57.6</v>
      </c>
      <c r="EM235" t="n">
        <v>211.1</v>
      </c>
      <c r="EN235" t="n">
        <v>477.1</v>
      </c>
      <c r="EO235" t="n">
        <v>146.4</v>
      </c>
      <c r="EP235" t="n">
        <v>12.3</v>
      </c>
    </row>
    <row r="236">
      <c r="A236" t="inlineStr">
        <is>
          <t>Alejandro Garnacho</t>
        </is>
      </c>
      <c r="B236" t="inlineStr">
        <is>
          <t>AVL</t>
        </is>
      </c>
      <c r="C236" t="inlineStr">
        <is>
          <t>MID</t>
        </is>
      </c>
      <c r="D236" t="inlineStr">
        <is>
          <t>MID</t>
        </is>
      </c>
      <c r="E236" t="n">
        <v>6</v>
      </c>
      <c r="F236" t="b">
        <v>1</v>
      </c>
      <c r="G236" t="b">
        <v>1</v>
      </c>
      <c r="H236" t="n">
        <v>22.1</v>
      </c>
      <c r="I236" t="inlineStr">
        <is>
          <t>a</t>
        </is>
      </c>
      <c r="L236" t="inlineStr">
        <is>
          <t>p493105</t>
        </is>
      </c>
      <c r="M236" t="n">
        <v>160</v>
      </c>
      <c r="Q236" t="n">
        <v>1261</v>
      </c>
      <c r="R236" t="n">
        <v>24</v>
      </c>
      <c r="S236" t="n">
        <v>14</v>
      </c>
      <c r="T236" t="n">
        <v>14.011</v>
      </c>
      <c r="U236" t="n">
        <v>52.5</v>
      </c>
      <c r="V236" t="n">
        <v>56</v>
      </c>
      <c r="W236" t="n">
        <v>3.997</v>
      </c>
      <c r="X236" t="n">
        <v>1</v>
      </c>
      <c r="Y236" t="n">
        <v>4</v>
      </c>
      <c r="Z236" t="n">
        <v>4</v>
      </c>
      <c r="AA236" t="n">
        <v>4</v>
      </c>
      <c r="AB236" t="n">
        <v>20</v>
      </c>
      <c r="AC236" t="n">
        <v>3</v>
      </c>
      <c r="AD236" t="n">
        <v>3</v>
      </c>
      <c r="AE236" t="n">
        <v>0</v>
      </c>
      <c r="AF236" t="n">
        <v>222</v>
      </c>
      <c r="AG236" t="n">
        <v>221</v>
      </c>
      <c r="AH236" t="n">
        <v>-1</v>
      </c>
      <c r="AI236" t="n">
        <v>56</v>
      </c>
      <c r="AJ236" t="n">
        <v>0.054</v>
      </c>
      <c r="AK236" t="n">
        <v>0.057</v>
      </c>
      <c r="AL236" t="n">
        <v>71</v>
      </c>
      <c r="AM236" t="n">
        <v>5.067</v>
      </c>
      <c r="AN236" t="n">
        <v>0</v>
      </c>
      <c r="AO236" t="n">
        <v>0</v>
      </c>
      <c r="AP236" t="n">
        <v>0</v>
      </c>
      <c r="AQ236" t="n">
        <v>0</v>
      </c>
      <c r="AR236" t="n">
        <v>0</v>
      </c>
      <c r="AS236" t="n">
        <v>0.368</v>
      </c>
      <c r="AT236" t="n">
        <v>0.417</v>
      </c>
      <c r="AU236" t="n">
        <v>17</v>
      </c>
      <c r="AV236" t="n">
        <v>1</v>
      </c>
      <c r="AW236" t="n">
        <v>2.21</v>
      </c>
      <c r="AX236" t="n">
        <v>11</v>
      </c>
      <c r="AY236" t="n">
        <v>3.44</v>
      </c>
      <c r="AZ236" t="n">
        <v>4.112</v>
      </c>
      <c r="BA236" t="n">
        <v>3.776</v>
      </c>
      <c r="BB236" t="n">
        <v>4.112</v>
      </c>
      <c r="BC236" t="n">
        <v>0.246</v>
      </c>
      <c r="BD236" t="n">
        <v>0.293</v>
      </c>
      <c r="BE236" t="n">
        <v>0.269</v>
      </c>
      <c r="BF236" t="n">
        <v>2</v>
      </c>
      <c r="BG236" t="n">
        <v>0.143</v>
      </c>
      <c r="BH236" t="n">
        <v>0.889</v>
      </c>
      <c r="BI236" t="n">
        <v>22.04</v>
      </c>
      <c r="BJ236" t="n">
        <v>3.058</v>
      </c>
      <c r="BK236" t="n">
        <v>0.218</v>
      </c>
      <c r="BL236" t="n">
        <v>-2.776</v>
      </c>
      <c r="BM236" t="n">
        <v>-1.44</v>
      </c>
      <c r="BN236" t="n">
        <v>-1</v>
      </c>
      <c r="BO236" t="n">
        <v>-0.672</v>
      </c>
      <c r="BP236" t="n">
        <v>33</v>
      </c>
      <c r="BQ236" t="n">
        <v>7</v>
      </c>
      <c r="BR236" t="n">
        <v>7</v>
      </c>
      <c r="BS236" t="n">
        <v>112</v>
      </c>
      <c r="BT236" t="n">
        <v>7.994</v>
      </c>
      <c r="BW236" t="n">
        <v>3.68</v>
      </c>
      <c r="BX236" t="n">
        <v>4.219</v>
      </c>
      <c r="BY236" t="n">
        <v>3.949</v>
      </c>
      <c r="BZ236" t="n">
        <v>0.282</v>
      </c>
      <c r="CA236" t="n">
        <v>7.725</v>
      </c>
      <c r="CB236" t="n">
        <v>0.551</v>
      </c>
      <c r="CC236" t="n">
        <v>29</v>
      </c>
      <c r="CD236" t="n">
        <v>6</v>
      </c>
      <c r="CE236" t="n">
        <v>29</v>
      </c>
      <c r="CF236" t="n">
        <v>8</v>
      </c>
      <c r="CH236" t="n">
        <v>0</v>
      </c>
      <c r="CI236" t="n">
        <v>12.953</v>
      </c>
      <c r="CJ236" t="n">
        <v>6.526</v>
      </c>
      <c r="CK236" t="n">
        <v>10</v>
      </c>
      <c r="CL236" t="n">
        <v>45</v>
      </c>
      <c r="CM236" t="n">
        <v>16</v>
      </c>
      <c r="CN236" t="n">
        <v>12</v>
      </c>
      <c r="CO236" t="n">
        <v>4</v>
      </c>
      <c r="CP236" t="n">
        <v>6</v>
      </c>
      <c r="CR236" t="n">
        <v>55</v>
      </c>
      <c r="CS236" t="n">
        <v>3</v>
      </c>
      <c r="CT236" t="n">
        <v>0.6</v>
      </c>
      <c r="CW236" t="n">
        <v>20.52</v>
      </c>
      <c r="CX236" t="n">
        <v>1.465</v>
      </c>
      <c r="CY236" t="n">
        <v>0</v>
      </c>
      <c r="DB236" t="n">
        <v>0</v>
      </c>
      <c r="DE236" t="n">
        <v>6.88</v>
      </c>
      <c r="DF236" t="n">
        <v>2</v>
      </c>
      <c r="DG236" t="n">
        <v>0</v>
      </c>
      <c r="DH236" t="n">
        <v>9</v>
      </c>
      <c r="DI236" t="n">
        <v>23</v>
      </c>
      <c r="DL236" t="n">
        <v>14</v>
      </c>
      <c r="DM236" t="n">
        <v>12</v>
      </c>
      <c r="DN236" t="n">
        <v>2</v>
      </c>
      <c r="DO236" t="n">
        <v>0.8</v>
      </c>
      <c r="DP236" t="n">
        <v>107.74</v>
      </c>
      <c r="DQ236" t="n">
        <v>54.34</v>
      </c>
      <c r="DR236" t="n">
        <v>108.68</v>
      </c>
      <c r="DS236" t="n">
        <v>-0.9399999999999999</v>
      </c>
      <c r="DT236" t="n">
        <v>1949</v>
      </c>
      <c r="DU236" t="n">
        <v>51.3</v>
      </c>
      <c r="DV236" t="inlineStr">
        <is>
          <t>flat</t>
        </is>
      </c>
      <c r="DW236" t="n">
        <v>79.63</v>
      </c>
      <c r="DX236" t="n">
        <v>81.42</v>
      </c>
      <c r="DY236" t="n">
        <v>81.67</v>
      </c>
      <c r="DZ236" t="n">
        <v>2.04</v>
      </c>
      <c r="EA236" t="n">
        <v>266</v>
      </c>
      <c r="EB236" t="n">
        <v>23.6</v>
      </c>
      <c r="EC236" t="n">
        <v>2.67</v>
      </c>
      <c r="ED236" t="n">
        <v>120</v>
      </c>
      <c r="EE236" t="n">
        <v>490</v>
      </c>
      <c r="EF236" t="b">
        <v>1</v>
      </c>
      <c r="EG236" t="n">
        <v>11.3</v>
      </c>
      <c r="EH236" t="n">
        <v>10.7</v>
      </c>
      <c r="EI236" t="n">
        <v>97</v>
      </c>
      <c r="EJ236" t="n">
        <v>38.2</v>
      </c>
      <c r="EK236" t="n">
        <v>11.3</v>
      </c>
      <c r="EL236" t="n">
        <v>43.5</v>
      </c>
      <c r="EM236" t="n">
        <v>334</v>
      </c>
      <c r="EN236" t="n">
        <v>319.3</v>
      </c>
      <c r="EO236" t="n">
        <v>163.2</v>
      </c>
      <c r="EP236" t="n">
        <v>22.5</v>
      </c>
    </row>
    <row r="237">
      <c r="A237" t="inlineStr">
        <is>
          <t>Ross Barkley</t>
        </is>
      </c>
      <c r="B237" t="inlineStr">
        <is>
          <t>AVL</t>
        </is>
      </c>
      <c r="C237" t="inlineStr">
        <is>
          <t>MID</t>
        </is>
      </c>
      <c r="D237" t="inlineStr">
        <is>
          <t>MID</t>
        </is>
      </c>
      <c r="E237" t="n">
        <v>5</v>
      </c>
      <c r="F237" t="b">
        <v>1</v>
      </c>
      <c r="G237" t="b">
        <v>1</v>
      </c>
      <c r="H237" t="n">
        <v>32.7</v>
      </c>
      <c r="I237" t="inlineStr">
        <is>
          <t>a</t>
        </is>
      </c>
      <c r="L237" t="inlineStr">
        <is>
          <t>p88894</t>
        </is>
      </c>
      <c r="M237" t="n">
        <v>46</v>
      </c>
      <c r="Q237" t="n">
        <v>844</v>
      </c>
      <c r="R237" t="n">
        <v>21</v>
      </c>
      <c r="S237" t="n">
        <v>7</v>
      </c>
      <c r="T237" t="n">
        <v>9.378</v>
      </c>
      <c r="U237" t="n">
        <v>40.2</v>
      </c>
      <c r="V237" t="n">
        <v>56</v>
      </c>
      <c r="W237" t="n">
        <v>5.972</v>
      </c>
      <c r="X237" t="n">
        <v>3</v>
      </c>
      <c r="Y237" t="n">
        <v>2</v>
      </c>
      <c r="Z237" t="n">
        <v>1</v>
      </c>
      <c r="AA237" t="n">
        <v>1</v>
      </c>
      <c r="AB237" t="n">
        <v>15</v>
      </c>
      <c r="AC237" t="n">
        <v>5</v>
      </c>
      <c r="AD237" t="n">
        <v>5</v>
      </c>
      <c r="AE237" t="n">
        <v>0</v>
      </c>
      <c r="AF237" t="n">
        <v>221</v>
      </c>
      <c r="AG237" t="n">
        <v>219</v>
      </c>
      <c r="AH237" t="n">
        <v>-2</v>
      </c>
      <c r="AI237" t="n">
        <v>56</v>
      </c>
      <c r="AJ237" t="n">
        <v>0.089</v>
      </c>
      <c r="AK237" t="n">
        <v>0.098</v>
      </c>
      <c r="AL237" t="n">
        <v>74</v>
      </c>
      <c r="AM237" t="n">
        <v>7.891</v>
      </c>
      <c r="AN237" t="n">
        <v>1</v>
      </c>
      <c r="AO237" t="n">
        <v>2</v>
      </c>
      <c r="AP237" t="n">
        <v>0.143</v>
      </c>
      <c r="AQ237" t="n">
        <v>0.143</v>
      </c>
      <c r="AR237" t="n">
        <v>0.143</v>
      </c>
      <c r="AS237" t="n">
        <v>0.184</v>
      </c>
      <c r="AT237" t="n">
        <v>0.333</v>
      </c>
      <c r="AU237" t="n">
        <v>15</v>
      </c>
      <c r="AV237" t="n">
        <v>1</v>
      </c>
      <c r="AW237" t="n">
        <v>2.6</v>
      </c>
      <c r="AX237" t="n">
        <v>12</v>
      </c>
      <c r="AY237" t="n">
        <v>1.58</v>
      </c>
      <c r="AZ237" t="n">
        <v>1.913</v>
      </c>
      <c r="BA237" t="n">
        <v>1.746</v>
      </c>
      <c r="BB237" t="n">
        <v>1.913</v>
      </c>
      <c r="BC237" t="n">
        <v>0.168</v>
      </c>
      <c r="BD237" t="n">
        <v>0.204</v>
      </c>
      <c r="BE237" t="n">
        <v>0.186</v>
      </c>
      <c r="BF237" t="n">
        <v>1.9</v>
      </c>
      <c r="BG237" t="n">
        <v>0.203</v>
      </c>
      <c r="BH237" t="n">
        <v>1.086</v>
      </c>
      <c r="BI237" t="n">
        <v>7.28</v>
      </c>
      <c r="BJ237" t="n">
        <v>1.716</v>
      </c>
      <c r="BK237" t="n">
        <v>0.183</v>
      </c>
      <c r="BL237" t="n">
        <v>1.254</v>
      </c>
      <c r="BM237" t="n">
        <v>0.32</v>
      </c>
      <c r="BN237" t="n">
        <v>1.1</v>
      </c>
      <c r="BO237" t="n">
        <v>-0.333</v>
      </c>
      <c r="BP237" t="n">
        <v>18</v>
      </c>
      <c r="BQ237" t="n">
        <v>8</v>
      </c>
      <c r="BR237" t="n">
        <v>2</v>
      </c>
      <c r="BS237" t="n">
        <v>18</v>
      </c>
      <c r="BT237" t="n">
        <v>1.919</v>
      </c>
      <c r="BV237" t="n">
        <v>2</v>
      </c>
      <c r="BW237" t="n">
        <v>1.26</v>
      </c>
      <c r="BX237" t="n">
        <v>2.032</v>
      </c>
      <c r="BY237" t="n">
        <v>1.646</v>
      </c>
      <c r="BZ237" t="n">
        <v>0.176</v>
      </c>
      <c r="CA237" t="n">
        <v>3.393</v>
      </c>
      <c r="CB237" t="n">
        <v>0.362</v>
      </c>
      <c r="CC237" t="n">
        <v>10</v>
      </c>
      <c r="CD237" t="n">
        <v>4</v>
      </c>
      <c r="CE237" t="n">
        <v>10</v>
      </c>
      <c r="CG237" t="n">
        <v>2</v>
      </c>
      <c r="CH237" t="n">
        <v>1</v>
      </c>
      <c r="CI237" t="n">
        <v>6.251</v>
      </c>
      <c r="CJ237" t="n">
        <v>4.002</v>
      </c>
      <c r="CK237" t="n">
        <v>15</v>
      </c>
      <c r="CL237" t="n">
        <v>45</v>
      </c>
      <c r="CM237" t="n">
        <v>14</v>
      </c>
      <c r="CN237" t="n">
        <v>10</v>
      </c>
      <c r="CO237" t="n">
        <v>2</v>
      </c>
      <c r="CP237" t="n">
        <v>10</v>
      </c>
      <c r="CQ237" t="n">
        <v>3</v>
      </c>
      <c r="CR237" t="n">
        <v>50</v>
      </c>
      <c r="CS237" t="n">
        <v>14</v>
      </c>
      <c r="CT237" t="n">
        <v>0.3</v>
      </c>
      <c r="CW237" t="n">
        <v>13.2</v>
      </c>
      <c r="CX237" t="n">
        <v>1.408</v>
      </c>
      <c r="CY237" t="n">
        <v>0</v>
      </c>
      <c r="DB237" t="n">
        <v>0</v>
      </c>
      <c r="DE237" t="n">
        <v>6.68</v>
      </c>
      <c r="DF237" t="n">
        <v>1</v>
      </c>
      <c r="DG237" t="n">
        <v>0</v>
      </c>
      <c r="DH237" t="n">
        <v>9</v>
      </c>
      <c r="DI237" t="n">
        <v>9</v>
      </c>
      <c r="DL237" t="n">
        <v>13</v>
      </c>
      <c r="DM237" t="n">
        <v>16</v>
      </c>
      <c r="DO237" t="n">
        <v>0.2</v>
      </c>
      <c r="DP237" t="n">
        <v>44.53</v>
      </c>
      <c r="DQ237" t="n">
        <v>24.12</v>
      </c>
      <c r="DR237" t="n">
        <v>48.24</v>
      </c>
      <c r="DS237" t="n">
        <v>-3.71</v>
      </c>
      <c r="DT237" t="n">
        <v>670</v>
      </c>
      <c r="DU237" t="n">
        <v>17.62</v>
      </c>
      <c r="DV237" t="inlineStr">
        <is>
          <t>fade (losing his place)</t>
        </is>
      </c>
      <c r="DW237" t="n">
        <v>77.02</v>
      </c>
      <c r="DY237" t="n">
        <v>94.2</v>
      </c>
      <c r="DZ237" t="n">
        <v>17.18</v>
      </c>
      <c r="EA237" t="n">
        <v>2</v>
      </c>
      <c r="EB237" t="n">
        <v>29.99</v>
      </c>
      <c r="EC237" t="n">
        <v>42.67</v>
      </c>
      <c r="ED237" t="n">
        <v>98</v>
      </c>
      <c r="EE237" t="n">
        <v>3</v>
      </c>
      <c r="EF237" t="b">
        <v>0</v>
      </c>
      <c r="EG237" t="n">
        <v>0.1</v>
      </c>
      <c r="EH237" t="n">
        <v>40</v>
      </c>
      <c r="EI237" t="n">
        <v>276</v>
      </c>
      <c r="EJ237" t="n">
        <v>46.9</v>
      </c>
      <c r="EK237" t="n">
        <v>46.9</v>
      </c>
      <c r="EL237" t="n">
        <v>84.40000000000001</v>
      </c>
      <c r="EM237" t="n">
        <v>483.3</v>
      </c>
      <c r="EN237" t="n">
        <v>512.7</v>
      </c>
      <c r="EO237" t="n">
        <v>248.8</v>
      </c>
      <c r="EP237" t="n">
        <v>15.1</v>
      </c>
    </row>
    <row r="238">
      <c r="A238" t="inlineStr">
        <is>
          <t>Ilia Gruev</t>
        </is>
      </c>
      <c r="B238" t="inlineStr">
        <is>
          <t>LEE</t>
        </is>
      </c>
      <c r="C238" t="inlineStr">
        <is>
          <t>MID</t>
        </is>
      </c>
      <c r="D238" t="inlineStr">
        <is>
          <t>MID</t>
        </is>
      </c>
      <c r="E238" t="n">
        <v>5</v>
      </c>
      <c r="F238" t="b">
        <v>1</v>
      </c>
      <c r="G238" t="b">
        <v>1</v>
      </c>
      <c r="H238" t="n">
        <v>26.3</v>
      </c>
      <c r="I238" t="inlineStr">
        <is>
          <t>a</t>
        </is>
      </c>
      <c r="L238" t="inlineStr">
        <is>
          <t>p486520</t>
        </is>
      </c>
      <c r="M238" t="n">
        <v>344</v>
      </c>
      <c r="Q238" t="n">
        <v>1318</v>
      </c>
      <c r="R238" t="n">
        <v>23</v>
      </c>
      <c r="S238" t="n">
        <v>15</v>
      </c>
      <c r="T238" t="n">
        <v>14.644</v>
      </c>
      <c r="U238" t="n">
        <v>57.3</v>
      </c>
      <c r="V238" t="n">
        <v>56</v>
      </c>
      <c r="W238" t="n">
        <v>3.824</v>
      </c>
      <c r="X238" t="n">
        <v>0</v>
      </c>
      <c r="Y238" t="n">
        <v>4</v>
      </c>
      <c r="Z238" t="n">
        <v>3</v>
      </c>
      <c r="AA238" t="n">
        <v>5</v>
      </c>
      <c r="AB238" t="n">
        <v>23</v>
      </c>
      <c r="AC238" t="n">
        <v>3</v>
      </c>
      <c r="AD238" t="n">
        <v>3</v>
      </c>
      <c r="AE238" t="n">
        <v>0</v>
      </c>
      <c r="AF238" t="n">
        <v>245</v>
      </c>
      <c r="AG238" t="n">
        <v>236</v>
      </c>
      <c r="AH238" t="n">
        <v>-9</v>
      </c>
      <c r="AI238" t="n">
        <v>56</v>
      </c>
      <c r="AJ238" t="n">
        <v>0.054</v>
      </c>
      <c r="AK238" t="n">
        <v>0.057</v>
      </c>
      <c r="AL238" t="n">
        <v>114</v>
      </c>
      <c r="AM238" t="n">
        <v>7.785</v>
      </c>
      <c r="AN238" t="n">
        <v>1</v>
      </c>
      <c r="AO238" t="n">
        <v>2</v>
      </c>
      <c r="AP238" t="n">
        <v>0.067</v>
      </c>
      <c r="AQ238" t="n">
        <v>0.2</v>
      </c>
      <c r="AR238" t="n">
        <v>0.067</v>
      </c>
      <c r="AS238" t="n">
        <v>0.395</v>
      </c>
      <c r="AT238" t="n">
        <v>0.609</v>
      </c>
      <c r="AU238" t="n">
        <v>16</v>
      </c>
      <c r="AV238" t="n">
        <v>1</v>
      </c>
      <c r="AW238" t="n">
        <v>2.18</v>
      </c>
      <c r="AX238" t="n">
        <v>11</v>
      </c>
      <c r="AY238" t="n">
        <v>0.49</v>
      </c>
      <c r="AZ238" t="n">
        <v>0.734</v>
      </c>
      <c r="BA238" t="n">
        <v>0.612</v>
      </c>
      <c r="BB238" t="n">
        <v>0.734</v>
      </c>
      <c r="BC238" t="n">
        <v>0.033</v>
      </c>
      <c r="BD238" t="n">
        <v>0.05</v>
      </c>
      <c r="BE238" t="n">
        <v>0.042</v>
      </c>
      <c r="BF238" t="n">
        <v>0.2</v>
      </c>
      <c r="BG238" t="n">
        <v>0.014</v>
      </c>
      <c r="BH238" t="n">
        <v>0.966</v>
      </c>
      <c r="BI238" t="n">
        <v>0.49</v>
      </c>
      <c r="BJ238" t="n">
        <v>0.473</v>
      </c>
      <c r="BK238" t="n">
        <v>0.032</v>
      </c>
      <c r="BL238" t="n">
        <v>-0.612</v>
      </c>
      <c r="BM238" t="n">
        <v>-0.29</v>
      </c>
      <c r="BN238" t="n">
        <v>-0.2</v>
      </c>
      <c r="BO238" t="n">
        <v>-0.244</v>
      </c>
      <c r="BP238" t="n">
        <v>7</v>
      </c>
      <c r="BQ238" t="n">
        <v>1</v>
      </c>
      <c r="BR238" t="n">
        <v>1</v>
      </c>
      <c r="BS238" t="n">
        <v>12</v>
      </c>
      <c r="BT238" t="n">
        <v>0.819</v>
      </c>
      <c r="BW238" t="n">
        <v>0.86</v>
      </c>
      <c r="BX238" t="n">
        <v>1.494</v>
      </c>
      <c r="BY238" t="n">
        <v>1.177</v>
      </c>
      <c r="BZ238" t="n">
        <v>0.08</v>
      </c>
      <c r="CA238" t="n">
        <v>1.789</v>
      </c>
      <c r="CB238" t="n">
        <v>0.122</v>
      </c>
      <c r="CC238" t="n">
        <v>11</v>
      </c>
      <c r="CD238" t="n">
        <v>2</v>
      </c>
      <c r="CE238" t="n">
        <v>11</v>
      </c>
      <c r="CF238" t="n">
        <v>4</v>
      </c>
      <c r="CG238" t="n">
        <v>1</v>
      </c>
      <c r="CH238" t="n">
        <v>4</v>
      </c>
      <c r="CI238" t="n">
        <v>3.584</v>
      </c>
      <c r="CJ238" t="n">
        <v>2.23</v>
      </c>
      <c r="CK238" t="n">
        <v>40</v>
      </c>
      <c r="CL238" t="n">
        <v>51</v>
      </c>
      <c r="CM238" t="n">
        <v>23</v>
      </c>
      <c r="CN238" t="n">
        <v>12</v>
      </c>
      <c r="CO238" t="n">
        <v>15</v>
      </c>
      <c r="CP238" t="n">
        <v>19</v>
      </c>
      <c r="CQ238" t="n">
        <v>6</v>
      </c>
      <c r="CR238" t="n">
        <v>52</v>
      </c>
      <c r="CS238" t="n">
        <v>14</v>
      </c>
      <c r="CT238" t="n">
        <v>0.3</v>
      </c>
      <c r="CW238" t="n">
        <v>25.27</v>
      </c>
      <c r="CX238" t="n">
        <v>1.726</v>
      </c>
      <c r="CY238" t="n">
        <v>0</v>
      </c>
      <c r="DB238" t="n">
        <v>0</v>
      </c>
      <c r="DE238" t="n">
        <v>6.61</v>
      </c>
      <c r="DF238" t="n">
        <v>3</v>
      </c>
      <c r="DG238" t="n">
        <v>0</v>
      </c>
      <c r="DH238" t="n">
        <v>16</v>
      </c>
      <c r="DI238" t="n">
        <v>9</v>
      </c>
      <c r="DJ238" t="n">
        <v>0</v>
      </c>
      <c r="DL238" t="n">
        <v>6</v>
      </c>
      <c r="DM238" t="n">
        <v>5</v>
      </c>
      <c r="DO238" t="n">
        <v>0</v>
      </c>
      <c r="DP238" t="n">
        <v>25.56</v>
      </c>
      <c r="DQ238" t="n">
        <v>12.78</v>
      </c>
      <c r="DR238" t="n">
        <v>25.56</v>
      </c>
      <c r="DS238" t="n">
        <v>0</v>
      </c>
      <c r="DT238" t="n">
        <v>502</v>
      </c>
      <c r="DU238" t="n">
        <v>13.22</v>
      </c>
      <c r="DV238" t="inlineStr">
        <is>
          <t>flat</t>
        </is>
      </c>
      <c r="EJ238" t="n">
        <v>188.3</v>
      </c>
      <c r="EK238" t="n">
        <v>109.8</v>
      </c>
      <c r="EL238" t="n">
        <v>119.8</v>
      </c>
      <c r="EM238" t="n">
        <v>2154</v>
      </c>
      <c r="EN238" t="n">
        <v>1120</v>
      </c>
      <c r="EO238" t="n">
        <v>736.9</v>
      </c>
      <c r="EP238" t="n">
        <v>23.5</v>
      </c>
    </row>
    <row r="239">
      <c r="A239" t="inlineStr">
        <is>
          <t>Andy Robertson</t>
        </is>
      </c>
      <c r="B239" t="inlineStr">
        <is>
          <t>TOT</t>
        </is>
      </c>
      <c r="C239" t="inlineStr">
        <is>
          <t>DEF</t>
        </is>
      </c>
      <c r="D239" t="inlineStr">
        <is>
          <t>DEF</t>
        </is>
      </c>
      <c r="E239" t="n">
        <v>4.5</v>
      </c>
      <c r="F239" t="b">
        <v>1</v>
      </c>
      <c r="G239" t="b">
        <v>1</v>
      </c>
      <c r="H239" t="n">
        <v>32.4</v>
      </c>
      <c r="I239" t="inlineStr">
        <is>
          <t>a</t>
        </is>
      </c>
      <c r="L239" t="inlineStr">
        <is>
          <t>p122798</t>
        </is>
      </c>
      <c r="M239" t="n">
        <v>502</v>
      </c>
      <c r="Q239" t="n">
        <v>1165</v>
      </c>
      <c r="R239" t="n">
        <v>24</v>
      </c>
      <c r="S239" t="n">
        <v>11</v>
      </c>
      <c r="T239" t="n">
        <v>12.944</v>
      </c>
      <c r="U239" t="n">
        <v>48.5</v>
      </c>
      <c r="V239" t="n">
        <v>55</v>
      </c>
      <c r="W239" t="n">
        <v>4.249</v>
      </c>
      <c r="X239" t="n">
        <v>1</v>
      </c>
      <c r="Y239" t="n">
        <v>0</v>
      </c>
      <c r="AA239" t="n">
        <v>4</v>
      </c>
      <c r="AB239" t="n">
        <v>16</v>
      </c>
      <c r="AC239" t="n">
        <v>4</v>
      </c>
      <c r="AD239" t="n">
        <v>4</v>
      </c>
      <c r="AE239" t="n">
        <v>0</v>
      </c>
      <c r="AF239" t="n">
        <v>216</v>
      </c>
      <c r="AG239" t="n">
        <v>206</v>
      </c>
      <c r="AH239" t="n">
        <v>-10</v>
      </c>
      <c r="AI239" t="n">
        <v>55</v>
      </c>
      <c r="AJ239" t="n">
        <v>0.073</v>
      </c>
      <c r="AK239" t="n">
        <v>0.078</v>
      </c>
      <c r="AL239" t="n">
        <v>55</v>
      </c>
      <c r="AM239" t="n">
        <v>4.249</v>
      </c>
      <c r="AN239" t="n">
        <v>0</v>
      </c>
      <c r="AO239" t="n">
        <v>0</v>
      </c>
      <c r="AP239" t="n">
        <v>0</v>
      </c>
      <c r="AQ239" t="n">
        <v>0</v>
      </c>
      <c r="AR239" t="n">
        <v>0</v>
      </c>
      <c r="AS239" t="n">
        <v>0.289</v>
      </c>
      <c r="AT239" t="n">
        <v>0.375</v>
      </c>
      <c r="AU239" t="n">
        <v>19</v>
      </c>
      <c r="AV239" t="n">
        <v>0</v>
      </c>
      <c r="AW239" t="n">
        <v>2.39</v>
      </c>
      <c r="AX239" t="n">
        <v>8</v>
      </c>
      <c r="AY239" t="n">
        <v>1.1</v>
      </c>
      <c r="AZ239" t="n">
        <v>1.047</v>
      </c>
      <c r="BA239" t="n">
        <v>1.074</v>
      </c>
      <c r="BB239" t="n">
        <v>1.047</v>
      </c>
      <c r="BC239" t="n">
        <v>0.08500000000000001</v>
      </c>
      <c r="BD239" t="n">
        <v>0.081</v>
      </c>
      <c r="BE239" t="n">
        <v>0.083</v>
      </c>
      <c r="BF239" t="n">
        <v>1.4</v>
      </c>
      <c r="BG239" t="n">
        <v>0.108</v>
      </c>
      <c r="BH239" t="n">
        <v>0.958</v>
      </c>
      <c r="BI239" t="n">
        <v>5.36</v>
      </c>
      <c r="BJ239" t="n">
        <v>1.054</v>
      </c>
      <c r="BK239" t="n">
        <v>0.081</v>
      </c>
      <c r="BL239" t="n">
        <v>-0.074</v>
      </c>
      <c r="BM239" t="n">
        <v>0.3</v>
      </c>
      <c r="BN239" t="n">
        <v>-0.4</v>
      </c>
      <c r="BO239" t="n">
        <v>0.053</v>
      </c>
      <c r="BP239" t="n">
        <v>10</v>
      </c>
      <c r="BQ239" t="n">
        <v>3</v>
      </c>
      <c r="BS239" t="n">
        <v>28</v>
      </c>
      <c r="BT239" t="n">
        <v>2.163</v>
      </c>
      <c r="BW239" t="n">
        <v>1.4</v>
      </c>
      <c r="BX239" t="n">
        <v>1.51</v>
      </c>
      <c r="BY239" t="n">
        <v>1.455</v>
      </c>
      <c r="BZ239" t="n">
        <v>0.112</v>
      </c>
      <c r="CA239" t="n">
        <v>2.528</v>
      </c>
      <c r="CB239" t="n">
        <v>0.195</v>
      </c>
      <c r="CC239" t="n">
        <v>20</v>
      </c>
      <c r="CD239" t="n">
        <v>3</v>
      </c>
      <c r="CE239" t="n">
        <v>20</v>
      </c>
      <c r="CF239" t="n">
        <v>13</v>
      </c>
      <c r="CH239" t="n">
        <v>3</v>
      </c>
      <c r="CI239" t="n">
        <v>5.851</v>
      </c>
      <c r="CJ239" t="n">
        <v>4.472</v>
      </c>
      <c r="CK239" t="n">
        <v>43</v>
      </c>
      <c r="CL239" t="n">
        <v>40</v>
      </c>
      <c r="CM239" t="n">
        <v>12</v>
      </c>
      <c r="CN239" t="n">
        <v>9</v>
      </c>
      <c r="CO239" t="n">
        <v>8</v>
      </c>
      <c r="CP239" t="n">
        <v>32</v>
      </c>
      <c r="CQ239" t="n">
        <v>3</v>
      </c>
      <c r="CR239" t="n">
        <v>30</v>
      </c>
      <c r="CS239" t="n">
        <v>14</v>
      </c>
      <c r="CT239" t="n">
        <v>0.2</v>
      </c>
      <c r="CU239" t="n">
        <v>1</v>
      </c>
      <c r="CW239" t="n">
        <v>17.44</v>
      </c>
      <c r="CX239" t="n">
        <v>1.347</v>
      </c>
      <c r="CY239" t="n">
        <v>0</v>
      </c>
      <c r="DB239" t="n">
        <v>0</v>
      </c>
      <c r="DE239" t="n">
        <v>6.75</v>
      </c>
      <c r="DF239" t="n">
        <v>0</v>
      </c>
      <c r="DG239" t="n">
        <v>0</v>
      </c>
      <c r="DH239" t="n">
        <v>4</v>
      </c>
      <c r="DI239" t="n">
        <v>1</v>
      </c>
      <c r="DL239" t="n">
        <v>3</v>
      </c>
      <c r="DM239" t="n">
        <v>1</v>
      </c>
      <c r="DN239" t="n">
        <v>5</v>
      </c>
      <c r="DO239" t="n">
        <v>2.1</v>
      </c>
      <c r="DP239" t="n">
        <v>34.2</v>
      </c>
      <c r="DQ239" t="n">
        <v>17.24</v>
      </c>
      <c r="DR239" t="n">
        <v>34.48</v>
      </c>
      <c r="DS239" t="n">
        <v>-0.28</v>
      </c>
      <c r="DT239" t="n">
        <v>718</v>
      </c>
      <c r="DU239" t="n">
        <v>18.9</v>
      </c>
      <c r="DV239" t="inlineStr">
        <is>
          <t>flat</t>
        </is>
      </c>
      <c r="DW239" t="n">
        <v>94.05</v>
      </c>
      <c r="DX239" t="n">
        <v>95.26000000000001</v>
      </c>
      <c r="DY239" t="n">
        <v>93.95</v>
      </c>
      <c r="DZ239" t="n">
        <v>-0.1</v>
      </c>
      <c r="EA239" t="n">
        <v>309</v>
      </c>
      <c r="EB239" t="n">
        <v>18.2</v>
      </c>
      <c r="EC239" t="n">
        <v>22.4</v>
      </c>
      <c r="ED239" t="n">
        <v>120</v>
      </c>
      <c r="EE239" t="n">
        <v>438</v>
      </c>
      <c r="EF239" t="b">
        <v>1</v>
      </c>
      <c r="EG239" t="n">
        <v>10</v>
      </c>
      <c r="EH239" t="n">
        <v>9.9</v>
      </c>
      <c r="EI239" t="n">
        <v>421</v>
      </c>
      <c r="EJ239" t="n">
        <v>116.5</v>
      </c>
      <c r="EK239" t="n">
        <v>41.6</v>
      </c>
      <c r="EL239" t="n">
        <v>58.2</v>
      </c>
      <c r="EM239" t="n">
        <v>1085.1</v>
      </c>
      <c r="EN239" t="n">
        <v>800.8</v>
      </c>
      <c r="EO239" t="n">
        <v>460.8</v>
      </c>
      <c r="EP239" t="n">
        <v>21.2</v>
      </c>
    </row>
    <row r="240">
      <c r="A240" t="inlineStr">
        <is>
          <t>Ian Maatsen</t>
        </is>
      </c>
      <c r="B240" t="inlineStr">
        <is>
          <t>AVL</t>
        </is>
      </c>
      <c r="C240" t="inlineStr">
        <is>
          <t>DEF</t>
        </is>
      </c>
      <c r="D240" t="inlineStr">
        <is>
          <t>DEF</t>
        </is>
      </c>
      <c r="E240" t="n">
        <v>4.5</v>
      </c>
      <c r="F240" t="b">
        <v>1</v>
      </c>
      <c r="G240" t="b">
        <v>1</v>
      </c>
      <c r="H240" t="n">
        <v>24.4</v>
      </c>
      <c r="I240" t="inlineStr">
        <is>
          <t>a</t>
        </is>
      </c>
      <c r="L240" t="inlineStr">
        <is>
          <t>p441302</t>
        </is>
      </c>
      <c r="M240" t="n">
        <v>36</v>
      </c>
      <c r="Q240" t="n">
        <v>1590</v>
      </c>
      <c r="R240" t="n">
        <v>30</v>
      </c>
      <c r="S240" t="n">
        <v>17</v>
      </c>
      <c r="T240" t="n">
        <v>17.667</v>
      </c>
      <c r="U240" t="n">
        <v>53</v>
      </c>
      <c r="V240" t="n">
        <v>54</v>
      </c>
      <c r="W240" t="n">
        <v>3.057</v>
      </c>
      <c r="X240" t="n">
        <v>0</v>
      </c>
      <c r="Y240" t="n">
        <v>1</v>
      </c>
      <c r="Z240" t="n">
        <v>1</v>
      </c>
      <c r="AA240" t="n">
        <v>2</v>
      </c>
      <c r="AB240" t="n">
        <v>27</v>
      </c>
      <c r="AC240" t="n">
        <v>1</v>
      </c>
      <c r="AD240" t="n">
        <v>1</v>
      </c>
      <c r="AE240" t="n">
        <v>0</v>
      </c>
      <c r="AF240" t="n">
        <v>242</v>
      </c>
      <c r="AG240" t="n">
        <v>226</v>
      </c>
      <c r="AH240" t="n">
        <v>-16</v>
      </c>
      <c r="AI240" t="n">
        <v>54</v>
      </c>
      <c r="AJ240" t="n">
        <v>0.019</v>
      </c>
      <c r="AK240" t="n">
        <v>0.019</v>
      </c>
      <c r="AL240" t="n">
        <v>128</v>
      </c>
      <c r="AM240" t="n">
        <v>7.245</v>
      </c>
      <c r="AN240" t="n">
        <v>2</v>
      </c>
      <c r="AO240" t="n">
        <v>4</v>
      </c>
      <c r="AP240" t="n">
        <v>0.118</v>
      </c>
      <c r="AQ240" t="n">
        <v>0.118</v>
      </c>
      <c r="AR240" t="n">
        <v>0.059</v>
      </c>
      <c r="AS240" t="n">
        <v>0.447</v>
      </c>
      <c r="AT240" t="n">
        <v>0.5669999999999999</v>
      </c>
      <c r="AU240" t="n">
        <v>26</v>
      </c>
      <c r="AV240" t="n">
        <v>0</v>
      </c>
      <c r="AW240" t="n">
        <v>1.7</v>
      </c>
      <c r="AX240" t="n">
        <v>8</v>
      </c>
      <c r="AY240" t="n">
        <v>1.26</v>
      </c>
      <c r="AZ240" t="n">
        <v>1.3</v>
      </c>
      <c r="BA240" t="n">
        <v>1.28</v>
      </c>
      <c r="BB240" t="n">
        <v>1.3</v>
      </c>
      <c r="BC240" t="n">
        <v>0.07099999999999999</v>
      </c>
      <c r="BD240" t="n">
        <v>0.074</v>
      </c>
      <c r="BE240" t="n">
        <v>0.07199999999999999</v>
      </c>
      <c r="BF240" t="n">
        <v>0.9</v>
      </c>
      <c r="BG240" t="n">
        <v>0.051</v>
      </c>
      <c r="BH240" t="n">
        <v>0.902</v>
      </c>
      <c r="BI240" t="n">
        <v>2.87</v>
      </c>
      <c r="BJ240" t="n">
        <v>1.136</v>
      </c>
      <c r="BK240" t="n">
        <v>0.064</v>
      </c>
      <c r="BL240" t="n">
        <v>-1.28</v>
      </c>
      <c r="BM240" t="n">
        <v>-0.36</v>
      </c>
      <c r="BN240" t="n">
        <v>-0.9</v>
      </c>
      <c r="BO240" t="n">
        <v>-0.04</v>
      </c>
      <c r="BP240" t="n">
        <v>20</v>
      </c>
      <c r="BQ240" t="n">
        <v>5</v>
      </c>
      <c r="BR240" t="n">
        <v>1</v>
      </c>
      <c r="BS240" t="n">
        <v>67</v>
      </c>
      <c r="BT240" t="n">
        <v>3.792</v>
      </c>
      <c r="BW240" t="n">
        <v>2.39</v>
      </c>
      <c r="BX240" t="n">
        <v>2.967</v>
      </c>
      <c r="BY240" t="n">
        <v>2.678</v>
      </c>
      <c r="BZ240" t="n">
        <v>0.152</v>
      </c>
      <c r="CA240" t="n">
        <v>3.958</v>
      </c>
      <c r="CB240" t="n">
        <v>0.224</v>
      </c>
      <c r="CC240" t="n">
        <v>25</v>
      </c>
      <c r="CD240" t="n">
        <v>5</v>
      </c>
      <c r="CE240" t="n">
        <v>26</v>
      </c>
      <c r="CF240" t="n">
        <v>12</v>
      </c>
      <c r="CH240" t="n">
        <v>7</v>
      </c>
      <c r="CI240" t="n">
        <v>5.083</v>
      </c>
      <c r="CJ240" t="n">
        <v>3.725</v>
      </c>
      <c r="CK240" t="n">
        <v>85</v>
      </c>
      <c r="CL240" t="n">
        <v>82</v>
      </c>
      <c r="CM240" t="n">
        <v>43</v>
      </c>
      <c r="CN240" t="n">
        <v>32</v>
      </c>
      <c r="CO240" t="n">
        <v>19</v>
      </c>
      <c r="CP240" t="n">
        <v>64</v>
      </c>
      <c r="CQ240" t="n">
        <v>1</v>
      </c>
      <c r="CR240" t="n">
        <v>101</v>
      </c>
      <c r="CS240" t="n">
        <v>18</v>
      </c>
      <c r="CT240" t="n">
        <v>0.2</v>
      </c>
      <c r="CV240" t="n">
        <v>1</v>
      </c>
      <c r="CW240" t="n">
        <v>26.64</v>
      </c>
      <c r="CX240" t="n">
        <v>1.508</v>
      </c>
      <c r="CY240" t="n">
        <v>0</v>
      </c>
      <c r="DB240" t="n">
        <v>0</v>
      </c>
      <c r="DE240" t="n">
        <v>6.79</v>
      </c>
      <c r="DF240" t="n">
        <v>2</v>
      </c>
      <c r="DG240" t="n">
        <v>0</v>
      </c>
      <c r="DH240" t="n">
        <v>17</v>
      </c>
      <c r="DI240" t="n">
        <v>19</v>
      </c>
      <c r="DL240" t="n">
        <v>21</v>
      </c>
      <c r="DM240" t="n">
        <v>23</v>
      </c>
      <c r="DN240" t="n">
        <v>1</v>
      </c>
      <c r="DO240" t="n">
        <v>0.8</v>
      </c>
      <c r="DP240" t="n">
        <v>137.16</v>
      </c>
      <c r="DQ240" t="n">
        <v>68.63</v>
      </c>
      <c r="DR240" t="n">
        <v>137.26</v>
      </c>
      <c r="DS240" t="n">
        <v>-0.1</v>
      </c>
      <c r="DT240" t="n">
        <v>3004</v>
      </c>
      <c r="DU240" t="n">
        <v>79.05</v>
      </c>
      <c r="DV240" t="inlineStr">
        <is>
          <t>flat</t>
        </is>
      </c>
      <c r="DW240" t="n">
        <v>99.23</v>
      </c>
      <c r="DX240" t="n">
        <v>102.31</v>
      </c>
      <c r="DY240" t="n">
        <v>98.68000000000001</v>
      </c>
      <c r="DZ240" t="n">
        <v>-0.55</v>
      </c>
      <c r="EA240" t="n">
        <v>184</v>
      </c>
      <c r="EB240" t="n">
        <v>15.56</v>
      </c>
      <c r="EC240" t="n">
        <v>46</v>
      </c>
      <c r="ED240" t="n">
        <v>120</v>
      </c>
      <c r="EE240" t="n">
        <v>242</v>
      </c>
      <c r="EF240" t="b">
        <v>1</v>
      </c>
      <c r="EG240" t="n">
        <v>5.5</v>
      </c>
      <c r="EH240" t="n">
        <v>10.4</v>
      </c>
      <c r="EI240" t="n">
        <v>422</v>
      </c>
      <c r="EJ240" t="n">
        <v>79.5</v>
      </c>
      <c r="EK240" t="n">
        <v>23.7</v>
      </c>
      <c r="EL240" t="n">
        <v>61.2</v>
      </c>
      <c r="EM240" t="n">
        <v>1242.4</v>
      </c>
      <c r="EN240" t="n">
        <v>593.7</v>
      </c>
      <c r="EO240" t="n">
        <v>401.7</v>
      </c>
      <c r="EP240" t="n">
        <v>29.4</v>
      </c>
    </row>
    <row r="241">
      <c r="A241" t="inlineStr">
        <is>
          <t>Dwight McNeil</t>
        </is>
      </c>
      <c r="B241" t="inlineStr">
        <is>
          <t>CRY</t>
        </is>
      </c>
      <c r="C241" t="inlineStr">
        <is>
          <t>MID</t>
        </is>
      </c>
      <c r="D241" t="inlineStr">
        <is>
          <t>MID</t>
        </is>
      </c>
      <c r="E241" t="n">
        <v>5.5</v>
      </c>
      <c r="F241" t="b">
        <v>1</v>
      </c>
      <c r="G241" t="b">
        <v>1</v>
      </c>
      <c r="H241" t="n">
        <v>26.7</v>
      </c>
      <c r="I241" t="inlineStr">
        <is>
          <t>a</t>
        </is>
      </c>
      <c r="L241" t="inlineStr">
        <is>
          <t>p433154</t>
        </is>
      </c>
      <c r="M241" t="n">
        <v>241</v>
      </c>
      <c r="Q241" t="n">
        <v>1161</v>
      </c>
      <c r="R241" t="n">
        <v>22</v>
      </c>
      <c r="S241" t="n">
        <v>14</v>
      </c>
      <c r="T241" t="n">
        <v>12.9</v>
      </c>
      <c r="U241" t="n">
        <v>52.8</v>
      </c>
      <c r="V241" t="n">
        <v>53</v>
      </c>
      <c r="W241" t="n">
        <v>4.109</v>
      </c>
      <c r="X241" t="n">
        <v>0</v>
      </c>
      <c r="Y241" t="n">
        <v>3</v>
      </c>
      <c r="Z241" t="n">
        <v>1</v>
      </c>
      <c r="AA241" t="n">
        <v>6</v>
      </c>
      <c r="AB241" t="n">
        <v>9</v>
      </c>
      <c r="AC241" t="n">
        <v>1</v>
      </c>
      <c r="AD241" t="n">
        <v>1</v>
      </c>
      <c r="AE241" t="n">
        <v>0</v>
      </c>
      <c r="AF241" t="n">
        <v>186</v>
      </c>
      <c r="AG241" t="n">
        <v>179</v>
      </c>
      <c r="AH241" t="n">
        <v>-7</v>
      </c>
      <c r="AI241" t="n">
        <v>53</v>
      </c>
      <c r="AJ241" t="n">
        <v>0.019</v>
      </c>
      <c r="AK241" t="n">
        <v>0.019</v>
      </c>
      <c r="AL241" t="n">
        <v>111</v>
      </c>
      <c r="AM241" t="n">
        <v>8.605</v>
      </c>
      <c r="AN241" t="n">
        <v>2</v>
      </c>
      <c r="AO241" t="n">
        <v>4</v>
      </c>
      <c r="AP241" t="n">
        <v>0.143</v>
      </c>
      <c r="AQ241" t="n">
        <v>0.214</v>
      </c>
      <c r="AR241" t="n">
        <v>0.143</v>
      </c>
      <c r="AS241" t="n">
        <v>0.368</v>
      </c>
      <c r="AT241" t="n">
        <v>0.545</v>
      </c>
      <c r="AU241" t="n">
        <v>15</v>
      </c>
      <c r="AV241" t="n">
        <v>0</v>
      </c>
      <c r="AW241" t="n">
        <v>1.81</v>
      </c>
      <c r="AX241" t="n">
        <v>6</v>
      </c>
      <c r="AY241" t="n">
        <v>1.37</v>
      </c>
      <c r="AZ241" t="n">
        <v>1.463</v>
      </c>
      <c r="BA241" t="n">
        <v>1.417</v>
      </c>
      <c r="BB241" t="n">
        <v>1.463</v>
      </c>
      <c r="BC241" t="n">
        <v>0.106</v>
      </c>
      <c r="BD241" t="n">
        <v>0.113</v>
      </c>
      <c r="BE241" t="n">
        <v>0.11</v>
      </c>
      <c r="BF241" t="n">
        <v>1.3</v>
      </c>
      <c r="BG241" t="n">
        <v>0.101</v>
      </c>
      <c r="BH241" t="n">
        <v>1.047</v>
      </c>
      <c r="BI241" t="n">
        <v>9.19</v>
      </c>
      <c r="BJ241" t="n">
        <v>1.435</v>
      </c>
      <c r="BK241" t="n">
        <v>0.111</v>
      </c>
      <c r="BL241" t="n">
        <v>-1.417</v>
      </c>
      <c r="BM241" t="n">
        <v>-0.07000000000000001</v>
      </c>
      <c r="BN241" t="n">
        <v>-1.3</v>
      </c>
      <c r="BO241" t="n">
        <v>-0.093</v>
      </c>
      <c r="BP241" t="n">
        <v>24</v>
      </c>
      <c r="BQ241" t="n">
        <v>5</v>
      </c>
      <c r="BR241" t="n">
        <v>1</v>
      </c>
      <c r="BS241" t="n">
        <v>23</v>
      </c>
      <c r="BT241" t="n">
        <v>1.783</v>
      </c>
      <c r="BW241" t="n">
        <v>1.91</v>
      </c>
      <c r="BX241" t="n">
        <v>1.739</v>
      </c>
      <c r="BY241" t="n">
        <v>1.825</v>
      </c>
      <c r="BZ241" t="n">
        <v>0.141</v>
      </c>
      <c r="CA241" t="n">
        <v>3.241</v>
      </c>
      <c r="CB241" t="n">
        <v>0.251</v>
      </c>
      <c r="CC241" t="n">
        <v>15</v>
      </c>
      <c r="CD241" t="n">
        <v>1</v>
      </c>
      <c r="CE241" t="n">
        <v>15</v>
      </c>
      <c r="CF241" t="n">
        <v>10</v>
      </c>
      <c r="CG241" t="n">
        <v>2</v>
      </c>
      <c r="CH241" t="n">
        <v>9</v>
      </c>
      <c r="CI241" t="n">
        <v>4.621</v>
      </c>
      <c r="CJ241" t="n">
        <v>2.529</v>
      </c>
      <c r="CK241" t="n">
        <v>26</v>
      </c>
      <c r="CL241" t="n">
        <v>62</v>
      </c>
      <c r="CM241" t="n">
        <v>23</v>
      </c>
      <c r="CN241" t="n">
        <v>17</v>
      </c>
      <c r="CO241" t="n">
        <v>10</v>
      </c>
      <c r="CP241" t="n">
        <v>13</v>
      </c>
      <c r="CQ241" t="n">
        <v>3</v>
      </c>
      <c r="CR241" t="n">
        <v>44</v>
      </c>
      <c r="CS241" t="n">
        <v>7</v>
      </c>
      <c r="CT241" t="n">
        <v>0.9</v>
      </c>
      <c r="CU241" t="n">
        <v>1</v>
      </c>
      <c r="CV241" t="n">
        <v>1</v>
      </c>
      <c r="CW241" t="n">
        <v>18.8</v>
      </c>
      <c r="CX241" t="n">
        <v>1.457</v>
      </c>
      <c r="CY241" t="n">
        <v>0</v>
      </c>
      <c r="DB241" t="n">
        <v>0</v>
      </c>
      <c r="DE241" t="n">
        <v>6.62</v>
      </c>
      <c r="DF241" t="n">
        <v>1</v>
      </c>
      <c r="DG241" t="n">
        <v>0</v>
      </c>
      <c r="DH241" t="n">
        <v>11</v>
      </c>
      <c r="DI241" t="n">
        <v>7</v>
      </c>
      <c r="DL241" t="n">
        <v>7</v>
      </c>
      <c r="DM241" t="n">
        <v>19</v>
      </c>
      <c r="DN241" t="n">
        <v>2</v>
      </c>
      <c r="DO241" t="n">
        <v>0.2</v>
      </c>
      <c r="DP241" t="n">
        <v>23.52</v>
      </c>
      <c r="DQ241" t="n">
        <v>11.76</v>
      </c>
      <c r="DR241" t="n">
        <v>23.52</v>
      </c>
      <c r="DS241" t="n">
        <v>0</v>
      </c>
      <c r="DT241" t="n">
        <v>445</v>
      </c>
      <c r="DU241" t="n">
        <v>11.7</v>
      </c>
      <c r="DV241" t="inlineStr">
        <is>
          <t>flat</t>
        </is>
      </c>
      <c r="DW241" t="n">
        <v>86.90000000000001</v>
      </c>
      <c r="DX241" t="n">
        <v>85</v>
      </c>
      <c r="DY241" t="n">
        <v>89.86</v>
      </c>
      <c r="DZ241" t="n">
        <v>2.96</v>
      </c>
      <c r="EA241" t="n">
        <v>18</v>
      </c>
      <c r="EB241" t="n">
        <v>21.89</v>
      </c>
      <c r="EC241" t="n">
        <v>46.22</v>
      </c>
      <c r="ED241" t="n">
        <v>118</v>
      </c>
      <c r="EE241" t="n">
        <v>23</v>
      </c>
      <c r="EF241" t="b">
        <v>1</v>
      </c>
      <c r="EG241" t="n">
        <v>0.5</v>
      </c>
      <c r="EH241" t="n">
        <v>11.5</v>
      </c>
      <c r="EI241" t="n">
        <v>166</v>
      </c>
      <c r="EJ241" t="n">
        <v>48.4</v>
      </c>
      <c r="EK241" t="n">
        <v>50.5</v>
      </c>
      <c r="EL241" t="n">
        <v>77.40000000000001</v>
      </c>
      <c r="EM241" t="n">
        <v>819.5</v>
      </c>
      <c r="EN241" t="n">
        <v>636.3</v>
      </c>
      <c r="EO241" t="n">
        <v>358.2</v>
      </c>
      <c r="EP241" t="n">
        <v>21.9</v>
      </c>
    </row>
    <row r="242">
      <c r="A242" t="inlineStr">
        <is>
          <t>Morato</t>
        </is>
      </c>
      <c r="B242" t="inlineStr">
        <is>
          <t>NFO</t>
        </is>
      </c>
      <c r="C242" t="inlineStr">
        <is>
          <t>DEF</t>
        </is>
      </c>
      <c r="D242" t="inlineStr">
        <is>
          <t>DEF</t>
        </is>
      </c>
      <c r="E242" t="n">
        <v>5</v>
      </c>
      <c r="F242" t="b">
        <v>1</v>
      </c>
      <c r="G242" t="b">
        <v>1</v>
      </c>
      <c r="H242" t="n">
        <v>25.1</v>
      </c>
      <c r="I242" t="inlineStr">
        <is>
          <t>a</t>
        </is>
      </c>
      <c r="L242" t="inlineStr">
        <is>
          <t>p485047</t>
        </is>
      </c>
      <c r="M242" t="n">
        <v>470</v>
      </c>
      <c r="Q242" t="n">
        <v>1340</v>
      </c>
      <c r="R242" t="n">
        <v>21</v>
      </c>
      <c r="S242" t="n">
        <v>14</v>
      </c>
      <c r="T242" t="n">
        <v>14.889</v>
      </c>
      <c r="U242" t="n">
        <v>63.8</v>
      </c>
      <c r="V242" t="n">
        <v>53</v>
      </c>
      <c r="W242" t="n">
        <v>3.56</v>
      </c>
      <c r="X242" t="n">
        <v>1</v>
      </c>
      <c r="Y242" t="n">
        <v>0</v>
      </c>
      <c r="AA242" t="n">
        <v>2</v>
      </c>
      <c r="AB242" t="n">
        <v>23</v>
      </c>
      <c r="AC242" t="n">
        <v>1</v>
      </c>
      <c r="AD242" t="n">
        <v>1</v>
      </c>
      <c r="AE242" t="n">
        <v>0</v>
      </c>
      <c r="AF242" t="n">
        <v>190</v>
      </c>
      <c r="AG242" t="n">
        <v>169</v>
      </c>
      <c r="AH242" t="n">
        <v>-21</v>
      </c>
      <c r="AI242" t="n">
        <v>53</v>
      </c>
      <c r="AJ242" t="n">
        <v>0.019</v>
      </c>
      <c r="AK242" t="n">
        <v>0.019</v>
      </c>
      <c r="AL242" t="n">
        <v>144</v>
      </c>
      <c r="AM242" t="n">
        <v>9.672000000000001</v>
      </c>
      <c r="AN242" t="n">
        <v>7</v>
      </c>
      <c r="AO242" t="n">
        <v>14</v>
      </c>
      <c r="AP242" t="n">
        <v>0.5</v>
      </c>
      <c r="AQ242" t="n">
        <v>0.5</v>
      </c>
      <c r="AR242" t="n">
        <v>0.214</v>
      </c>
      <c r="AS242" t="n">
        <v>0.368</v>
      </c>
      <c r="AT242" t="n">
        <v>0.667</v>
      </c>
      <c r="AU242" t="n">
        <v>14</v>
      </c>
      <c r="AV242" t="n">
        <v>0</v>
      </c>
      <c r="AW242" t="n">
        <v>2.24</v>
      </c>
      <c r="AX242" t="n">
        <v>9</v>
      </c>
      <c r="AY242" t="n">
        <v>1.32</v>
      </c>
      <c r="AZ242" t="n">
        <v>1.885</v>
      </c>
      <c r="BA242" t="n">
        <v>1.603</v>
      </c>
      <c r="BB242" t="n">
        <v>1.885</v>
      </c>
      <c r="BC242" t="n">
        <v>0.089</v>
      </c>
      <c r="BD242" t="n">
        <v>0.127</v>
      </c>
      <c r="BE242" t="n">
        <v>0.108</v>
      </c>
      <c r="BF242" t="n">
        <v>1.3</v>
      </c>
      <c r="BG242" t="n">
        <v>0.08699999999999999</v>
      </c>
      <c r="BH242" t="n">
        <v>1.021</v>
      </c>
      <c r="BI242" t="n">
        <v>1.5</v>
      </c>
      <c r="BJ242" t="n">
        <v>1.348</v>
      </c>
      <c r="BK242" t="n">
        <v>0.091</v>
      </c>
      <c r="BL242" t="n">
        <v>-0.603</v>
      </c>
      <c r="BM242" t="n">
        <v>-0.02</v>
      </c>
      <c r="BN242" t="n">
        <v>-0.3</v>
      </c>
      <c r="BO242" t="n">
        <v>-0.5649999999999999</v>
      </c>
      <c r="BP242" t="n">
        <v>5</v>
      </c>
      <c r="BQ242" t="n">
        <v>2</v>
      </c>
      <c r="BR242" t="n">
        <v>2</v>
      </c>
      <c r="BS242" t="n">
        <v>12</v>
      </c>
      <c r="BT242" t="n">
        <v>0.806</v>
      </c>
      <c r="BV242" t="n">
        <v>1</v>
      </c>
      <c r="BW242" t="n">
        <v>0.15</v>
      </c>
      <c r="BX242" t="n">
        <v>0.094</v>
      </c>
      <c r="BY242" t="n">
        <v>0.122</v>
      </c>
      <c r="BZ242" t="n">
        <v>0.008</v>
      </c>
      <c r="CA242" t="n">
        <v>1.725</v>
      </c>
      <c r="CB242" t="n">
        <v>0.116</v>
      </c>
      <c r="CC242" t="n">
        <v>2</v>
      </c>
      <c r="CE242" t="n">
        <v>2</v>
      </c>
      <c r="CI242" t="n">
        <v>4.478</v>
      </c>
      <c r="CJ242" t="n">
        <v>3.847</v>
      </c>
      <c r="CK242" t="n">
        <v>114</v>
      </c>
      <c r="CL242" t="n">
        <v>52</v>
      </c>
      <c r="CM242" t="n">
        <v>30</v>
      </c>
      <c r="CN242" t="n">
        <v>17</v>
      </c>
      <c r="CO242" t="n">
        <v>11</v>
      </c>
      <c r="CP242" t="n">
        <v>87</v>
      </c>
      <c r="CQ242" t="n">
        <v>15</v>
      </c>
      <c r="CR242" t="n">
        <v>65</v>
      </c>
      <c r="CS242" t="n">
        <v>23</v>
      </c>
      <c r="CT242" t="n">
        <v>0.1</v>
      </c>
      <c r="CU242" t="n">
        <v>1</v>
      </c>
      <c r="CV242" t="n">
        <v>3</v>
      </c>
      <c r="CW242" t="n">
        <v>24.34</v>
      </c>
      <c r="CX242" t="n">
        <v>1.635</v>
      </c>
      <c r="CY242" t="n">
        <v>0</v>
      </c>
      <c r="DB242" t="n">
        <v>0</v>
      </c>
      <c r="DF242" t="n">
        <v>5</v>
      </c>
      <c r="DG242" t="n">
        <v>0</v>
      </c>
      <c r="DH242" t="n">
        <v>16</v>
      </c>
      <c r="DI242" t="n">
        <v>7</v>
      </c>
      <c r="DL242" t="n">
        <v>5</v>
      </c>
      <c r="DN242" t="n">
        <v>1</v>
      </c>
      <c r="DO242" t="n">
        <v>0.1</v>
      </c>
      <c r="DP242" t="n">
        <v>18.81</v>
      </c>
      <c r="DQ242" t="n">
        <v>9.41</v>
      </c>
      <c r="DR242" t="n">
        <v>18.82</v>
      </c>
      <c r="DS242" t="n">
        <v>-0.01</v>
      </c>
      <c r="DT242" t="n">
        <v>386</v>
      </c>
      <c r="DU242" t="n">
        <v>10.16</v>
      </c>
      <c r="DV242" t="inlineStr">
        <is>
          <t>flat</t>
        </is>
      </c>
      <c r="DW242" t="n">
        <v>103.56</v>
      </c>
      <c r="DX242" t="n">
        <v>99</v>
      </c>
      <c r="DY242" t="n">
        <v>104.45</v>
      </c>
      <c r="DZ242" t="n">
        <v>0.89</v>
      </c>
      <c r="EA242" t="n">
        <v>23</v>
      </c>
      <c r="EB242" t="n">
        <v>20.84</v>
      </c>
      <c r="EC242" t="n">
        <v>18.29</v>
      </c>
      <c r="ED242" t="n">
        <v>120</v>
      </c>
      <c r="EE242" t="n">
        <v>30</v>
      </c>
      <c r="EF242" t="b">
        <v>1</v>
      </c>
      <c r="EG242" t="n">
        <v>1</v>
      </c>
      <c r="EH242" t="n">
        <v>40</v>
      </c>
      <c r="EI242" t="n">
        <v>281</v>
      </c>
      <c r="EJ242" t="n">
        <v>268</v>
      </c>
      <c r="EK242" t="n">
        <v>111.7</v>
      </c>
      <c r="EL242" t="n">
        <v>670</v>
      </c>
      <c r="EM242" t="n">
        <v>836.1</v>
      </c>
      <c r="EN242" t="n">
        <v>10997.6</v>
      </c>
      <c r="EO242" t="n">
        <v>777</v>
      </c>
      <c r="EP242" t="n">
        <v>25.3</v>
      </c>
    </row>
    <row r="243">
      <c r="A243" t="inlineStr">
        <is>
          <t>Noussair Mazraoui</t>
        </is>
      </c>
      <c r="B243" t="inlineStr">
        <is>
          <t>MUN</t>
        </is>
      </c>
      <c r="C243" t="inlineStr">
        <is>
          <t>DEF</t>
        </is>
      </c>
      <c r="D243" t="inlineStr">
        <is>
          <t>DEF</t>
        </is>
      </c>
      <c r="E243" t="n">
        <v>4.5</v>
      </c>
      <c r="F243" t="b">
        <v>1</v>
      </c>
      <c r="G243" t="b">
        <v>1</v>
      </c>
      <c r="H243" t="n">
        <v>28.8</v>
      </c>
      <c r="I243" t="inlineStr">
        <is>
          <t>a</t>
        </is>
      </c>
      <c r="L243" t="inlineStr">
        <is>
          <t>p230001</t>
        </is>
      </c>
      <c r="M243" t="n">
        <v>422</v>
      </c>
      <c r="Q243" t="n">
        <v>977</v>
      </c>
      <c r="R243" t="n">
        <v>20</v>
      </c>
      <c r="S243" t="n">
        <v>11</v>
      </c>
      <c r="T243" t="n">
        <v>10.856</v>
      </c>
      <c r="U243" t="n">
        <v>48.8</v>
      </c>
      <c r="V243" t="n">
        <v>53</v>
      </c>
      <c r="W243" t="n">
        <v>4.882</v>
      </c>
      <c r="X243" t="n">
        <v>0</v>
      </c>
      <c r="Y243" t="n">
        <v>0</v>
      </c>
      <c r="AA243" t="n">
        <v>5</v>
      </c>
      <c r="AB243" t="n">
        <v>10</v>
      </c>
      <c r="AC243" t="n">
        <v>6</v>
      </c>
      <c r="AD243" t="n">
        <v>6</v>
      </c>
      <c r="AE243" t="n">
        <v>0</v>
      </c>
      <c r="AF243" t="n">
        <v>233</v>
      </c>
      <c r="AG243" t="n">
        <v>220</v>
      </c>
      <c r="AH243" t="n">
        <v>-13</v>
      </c>
      <c r="AI243" t="n">
        <v>53</v>
      </c>
      <c r="AJ243" t="n">
        <v>0.113</v>
      </c>
      <c r="AK243" t="n">
        <v>0.128</v>
      </c>
      <c r="AL243" t="n">
        <v>94</v>
      </c>
      <c r="AM243" t="n">
        <v>8.659000000000001</v>
      </c>
      <c r="AN243" t="n">
        <v>1</v>
      </c>
      <c r="AO243" t="n">
        <v>2</v>
      </c>
      <c r="AP243" t="n">
        <v>0.091</v>
      </c>
      <c r="AQ243" t="n">
        <v>0.091</v>
      </c>
      <c r="AR243" t="n">
        <v>0</v>
      </c>
      <c r="AS243" t="n">
        <v>0.289</v>
      </c>
      <c r="AT243" t="n">
        <v>0.5</v>
      </c>
      <c r="AU243" t="n">
        <v>14</v>
      </c>
      <c r="AV243" t="n">
        <v>1</v>
      </c>
      <c r="AW243" t="n">
        <v>2.55</v>
      </c>
      <c r="AX243" t="n">
        <v>11</v>
      </c>
      <c r="AY243" t="n">
        <v>0.19</v>
      </c>
      <c r="AZ243" t="n">
        <v>0.197</v>
      </c>
      <c r="BA243" t="n">
        <v>0.193</v>
      </c>
      <c r="BB243" t="n">
        <v>0.197</v>
      </c>
      <c r="BC243" t="n">
        <v>0.018</v>
      </c>
      <c r="BD243" t="n">
        <v>0.018</v>
      </c>
      <c r="BE243" t="n">
        <v>0.018</v>
      </c>
      <c r="BH243" t="n">
        <v>0.9350000000000001</v>
      </c>
      <c r="BI243" t="n">
        <v>0.88</v>
      </c>
      <c r="BJ243" t="n">
        <v>0.178</v>
      </c>
      <c r="BK243" t="n">
        <v>0.016</v>
      </c>
      <c r="BL243" t="n">
        <v>-0.193</v>
      </c>
      <c r="BO243" t="n">
        <v>-0.007</v>
      </c>
      <c r="BP243" t="n">
        <v>5</v>
      </c>
      <c r="BQ243" t="n">
        <v>0</v>
      </c>
      <c r="BS243" t="n">
        <v>14</v>
      </c>
      <c r="BT243" t="n">
        <v>1.29</v>
      </c>
      <c r="BW243" t="n">
        <v>0.35</v>
      </c>
      <c r="BX243" t="n">
        <v>0.209</v>
      </c>
      <c r="BY243" t="n">
        <v>0.28</v>
      </c>
      <c r="BZ243" t="n">
        <v>0.026</v>
      </c>
      <c r="CA243" t="n">
        <v>0.473</v>
      </c>
      <c r="CB243" t="n">
        <v>0.044</v>
      </c>
      <c r="CC243" t="n">
        <v>6</v>
      </c>
      <c r="CE243" t="n">
        <v>6</v>
      </c>
      <c r="CF243" t="n">
        <v>4</v>
      </c>
      <c r="CI243" t="n">
        <v>5.649</v>
      </c>
      <c r="CJ243" t="n">
        <v>5.4</v>
      </c>
      <c r="CK243" t="n">
        <v>66</v>
      </c>
      <c r="CL243" t="n">
        <v>46</v>
      </c>
      <c r="CM243" t="n">
        <v>28</v>
      </c>
      <c r="CN243" t="n">
        <v>16</v>
      </c>
      <c r="CO243" t="n">
        <v>14</v>
      </c>
      <c r="CP243" t="n">
        <v>54</v>
      </c>
      <c r="CQ243" t="n">
        <v>2</v>
      </c>
      <c r="CR243" t="n">
        <v>68</v>
      </c>
      <c r="CS243" t="n">
        <v>18</v>
      </c>
      <c r="CT243" t="n">
        <v>0.4</v>
      </c>
      <c r="CV243" t="n">
        <v>2</v>
      </c>
      <c r="CW243" t="n">
        <v>12.99</v>
      </c>
      <c r="CX243" t="n">
        <v>1.197</v>
      </c>
      <c r="CY243" t="n">
        <v>0</v>
      </c>
      <c r="DB243" t="n">
        <v>0</v>
      </c>
      <c r="DF243" t="n">
        <v>3</v>
      </c>
      <c r="DG243" t="n">
        <v>0</v>
      </c>
      <c r="DH243" t="n">
        <v>12</v>
      </c>
      <c r="DI243" t="n">
        <v>14</v>
      </c>
      <c r="DL243" t="n">
        <v>8</v>
      </c>
      <c r="DM243" t="n">
        <v>4</v>
      </c>
      <c r="DO243" t="n">
        <v>0.8</v>
      </c>
      <c r="DP243" t="n">
        <v>37.93</v>
      </c>
      <c r="DQ243" t="n">
        <v>18.96</v>
      </c>
      <c r="DR243" t="n">
        <v>37.92</v>
      </c>
      <c r="DS243" t="n">
        <v>0.01</v>
      </c>
      <c r="DT243" t="n">
        <v>808</v>
      </c>
      <c r="DU243" t="n">
        <v>21.26</v>
      </c>
      <c r="DV243" t="inlineStr">
        <is>
          <t>flat</t>
        </is>
      </c>
      <c r="DW243" t="n">
        <v>98.98999999999999</v>
      </c>
      <c r="DX243" t="n">
        <v>94.41</v>
      </c>
      <c r="DY243" t="n">
        <v>101.64</v>
      </c>
      <c r="DZ243" t="n">
        <v>2.64</v>
      </c>
      <c r="EA243" t="n">
        <v>49</v>
      </c>
      <c r="EB243" t="n">
        <v>16.35</v>
      </c>
      <c r="EC243" t="n">
        <v>45</v>
      </c>
      <c r="ED243" t="n">
        <v>120</v>
      </c>
      <c r="EE243" t="n">
        <v>95</v>
      </c>
      <c r="EF243" t="b">
        <v>1</v>
      </c>
      <c r="EG243" t="n">
        <v>2.2</v>
      </c>
      <c r="EH243" t="n">
        <v>12.8</v>
      </c>
      <c r="EI243" t="n">
        <v>423</v>
      </c>
      <c r="EJ243" t="n">
        <v>195.4</v>
      </c>
      <c r="EK243" t="n">
        <v>69.8</v>
      </c>
      <c r="EL243" t="n">
        <v>162.8</v>
      </c>
      <c r="EM243" t="n">
        <v>5051.6</v>
      </c>
      <c r="EN243" t="n">
        <v>3492.5</v>
      </c>
      <c r="EO243" t="n">
        <v>2064.9</v>
      </c>
      <c r="EP243" t="n">
        <v>18.4</v>
      </c>
    </row>
    <row r="244">
      <c r="A244" t="inlineStr">
        <is>
          <t>Rico Henry</t>
        </is>
      </c>
      <c r="B244" t="inlineStr">
        <is>
          <t>BRE</t>
        </is>
      </c>
      <c r="C244" t="inlineStr">
        <is>
          <t>DEF</t>
        </is>
      </c>
      <c r="D244" t="inlineStr">
        <is>
          <t>DEF</t>
        </is>
      </c>
      <c r="E244" t="n">
        <v>4.5</v>
      </c>
      <c r="F244" t="b">
        <v>1</v>
      </c>
      <c r="G244" t="b">
        <v>1</v>
      </c>
      <c r="H244" t="n">
        <v>29.1</v>
      </c>
      <c r="I244" t="inlineStr">
        <is>
          <t>a</t>
        </is>
      </c>
      <c r="L244" t="inlineStr">
        <is>
          <t>p194010</t>
        </is>
      </c>
      <c r="M244" t="n">
        <v>89</v>
      </c>
      <c r="Q244" t="n">
        <v>1322</v>
      </c>
      <c r="R244" t="n">
        <v>25</v>
      </c>
      <c r="S244" t="n">
        <v>14</v>
      </c>
      <c r="T244" t="n">
        <v>14.689</v>
      </c>
      <c r="U244" t="n">
        <v>52.9</v>
      </c>
      <c r="V244" t="n">
        <v>52</v>
      </c>
      <c r="W244" t="n">
        <v>3.54</v>
      </c>
      <c r="X244" t="n">
        <v>0</v>
      </c>
      <c r="Y244" t="n">
        <v>2</v>
      </c>
      <c r="Z244" t="n">
        <v>1</v>
      </c>
      <c r="AA244" t="n">
        <v>4</v>
      </c>
      <c r="AB244" t="n">
        <v>22</v>
      </c>
      <c r="AC244" t="n">
        <v>0</v>
      </c>
      <c r="AD244" t="n">
        <v>0</v>
      </c>
      <c r="AE244" t="n">
        <v>0</v>
      </c>
      <c r="AF244" t="n">
        <v>144</v>
      </c>
      <c r="AG244" t="n">
        <v>135</v>
      </c>
      <c r="AH244" t="n">
        <v>-9</v>
      </c>
      <c r="AI244" t="n">
        <v>52</v>
      </c>
      <c r="AJ244" t="n">
        <v>0</v>
      </c>
      <c r="AK244" t="n">
        <v>0</v>
      </c>
      <c r="AL244" t="n">
        <v>68</v>
      </c>
      <c r="AM244" t="n">
        <v>4.629</v>
      </c>
      <c r="AN244" t="n">
        <v>0</v>
      </c>
      <c r="AO244" t="n">
        <v>0</v>
      </c>
      <c r="AP244" t="n">
        <v>0</v>
      </c>
      <c r="AQ244" t="n">
        <v>0</v>
      </c>
      <c r="AR244" t="n">
        <v>0</v>
      </c>
      <c r="AS244" t="n">
        <v>0.368</v>
      </c>
      <c r="AT244" t="n">
        <v>0.52</v>
      </c>
      <c r="AU244" t="n">
        <v>19</v>
      </c>
      <c r="AV244" t="n">
        <v>0</v>
      </c>
      <c r="AW244" t="n">
        <v>1.84</v>
      </c>
      <c r="AX244" t="n">
        <v>6</v>
      </c>
      <c r="AY244" t="n">
        <v>0.18</v>
      </c>
      <c r="AZ244" t="n">
        <v>0.146</v>
      </c>
      <c r="BA244" t="n">
        <v>0.163</v>
      </c>
      <c r="BB244" t="n">
        <v>0.146</v>
      </c>
      <c r="BC244" t="n">
        <v>0.012</v>
      </c>
      <c r="BD244" t="n">
        <v>0.01</v>
      </c>
      <c r="BE244" t="n">
        <v>0.011</v>
      </c>
      <c r="BH244" t="n">
        <v>0.896</v>
      </c>
      <c r="BI244" t="n">
        <v>2.05</v>
      </c>
      <c r="BJ244" t="n">
        <v>0.161</v>
      </c>
      <c r="BK244" t="n">
        <v>0.011</v>
      </c>
      <c r="BL244" t="n">
        <v>-0.163</v>
      </c>
      <c r="BO244" t="n">
        <v>0.034</v>
      </c>
      <c r="BP244" t="n">
        <v>5</v>
      </c>
      <c r="BQ244" t="n">
        <v>0</v>
      </c>
      <c r="BS244" t="n">
        <v>14</v>
      </c>
      <c r="BT244" t="n">
        <v>0.953</v>
      </c>
      <c r="BW244" t="n">
        <v>0.54</v>
      </c>
      <c r="BX244" t="n">
        <v>0.316</v>
      </c>
      <c r="BY244" t="n">
        <v>0.428</v>
      </c>
      <c r="BZ244" t="n">
        <v>0.029</v>
      </c>
      <c r="CA244" t="n">
        <v>0.591</v>
      </c>
      <c r="CB244" t="n">
        <v>0.04</v>
      </c>
      <c r="CC244" t="n">
        <v>4</v>
      </c>
      <c r="CD244" t="n">
        <v>1</v>
      </c>
      <c r="CE244" t="n">
        <v>4</v>
      </c>
      <c r="CF244" t="n">
        <v>3</v>
      </c>
      <c r="CI244" t="n">
        <v>2.418</v>
      </c>
      <c r="CJ244" t="n">
        <v>2.232</v>
      </c>
      <c r="CK244" t="n">
        <v>53</v>
      </c>
      <c r="CL244" t="n">
        <v>72</v>
      </c>
      <c r="CM244" t="n">
        <v>15</v>
      </c>
      <c r="CN244" t="n">
        <v>11</v>
      </c>
      <c r="CO244" t="n">
        <v>8</v>
      </c>
      <c r="CP244" t="n">
        <v>41</v>
      </c>
      <c r="CQ244" t="n">
        <v>5</v>
      </c>
      <c r="CR244" t="n">
        <v>66</v>
      </c>
      <c r="CS244" t="n">
        <v>19</v>
      </c>
      <c r="CT244" t="n">
        <v>0.2</v>
      </c>
      <c r="CU244" t="n">
        <v>1</v>
      </c>
      <c r="CV244" t="n">
        <v>3</v>
      </c>
      <c r="CW244" t="n">
        <v>23.91</v>
      </c>
      <c r="CX244" t="n">
        <v>1.628</v>
      </c>
      <c r="CY244" t="n">
        <v>0</v>
      </c>
      <c r="DB244" t="n">
        <v>0</v>
      </c>
      <c r="DE244" t="n">
        <v>6.52</v>
      </c>
      <c r="DF244" t="n">
        <v>2</v>
      </c>
      <c r="DG244" t="n">
        <v>0</v>
      </c>
      <c r="DH244" t="n">
        <v>15</v>
      </c>
      <c r="DI244" t="n">
        <v>17</v>
      </c>
      <c r="DK244" t="n">
        <v>1</v>
      </c>
      <c r="DL244" t="n">
        <v>15</v>
      </c>
      <c r="DM244" t="n">
        <v>9</v>
      </c>
      <c r="DN244" t="n">
        <v>2</v>
      </c>
      <c r="DO244" t="n">
        <v>0.2</v>
      </c>
      <c r="DP244" t="n">
        <v>46.7</v>
      </c>
      <c r="DQ244" t="n">
        <v>23.67</v>
      </c>
      <c r="DR244" t="n">
        <v>47.34</v>
      </c>
      <c r="DS244" t="n">
        <v>-0.64</v>
      </c>
      <c r="DT244" t="n">
        <v>1236</v>
      </c>
      <c r="DU244" t="n">
        <v>32.52</v>
      </c>
      <c r="DV244" t="inlineStr">
        <is>
          <t>flat</t>
        </is>
      </c>
      <c r="DW244" t="n">
        <v>106.42</v>
      </c>
      <c r="DY244" t="n">
        <v>110.02</v>
      </c>
      <c r="DZ244" t="n">
        <v>3.6</v>
      </c>
      <c r="EA244" t="n">
        <v>4</v>
      </c>
      <c r="EB244" t="n">
        <v>13.44</v>
      </c>
      <c r="EC244" t="n">
        <v>91.43000000000001</v>
      </c>
      <c r="ED244" t="n">
        <v>117.33</v>
      </c>
      <c r="EE244" t="n">
        <v>5</v>
      </c>
      <c r="EF244" t="b">
        <v>0</v>
      </c>
      <c r="EG244" t="n">
        <v>0.1</v>
      </c>
      <c r="EH244" t="n">
        <v>0</v>
      </c>
      <c r="EI244" t="n">
        <v>424</v>
      </c>
      <c r="EJ244" t="n">
        <v>264.4</v>
      </c>
      <c r="EK244" t="n">
        <v>94.40000000000001</v>
      </c>
      <c r="EL244" t="n">
        <v>330.5</v>
      </c>
      <c r="EM244" t="n">
        <v>8118.9</v>
      </c>
      <c r="EN244" t="n">
        <v>3088.2</v>
      </c>
      <c r="EO244" t="n">
        <v>2237.2</v>
      </c>
      <c r="EP244" t="n">
        <v>25.4</v>
      </c>
    </row>
    <row r="245">
      <c r="A245" t="inlineStr">
        <is>
          <t>Lisandro Martínez</t>
        </is>
      </c>
      <c r="B245" t="inlineStr">
        <is>
          <t>MUN</t>
        </is>
      </c>
      <c r="C245" t="inlineStr">
        <is>
          <t>DEF</t>
        </is>
      </c>
      <c r="D245" t="inlineStr">
        <is>
          <t>DEF</t>
        </is>
      </c>
      <c r="E245" t="n">
        <v>5</v>
      </c>
      <c r="F245" t="b">
        <v>1</v>
      </c>
      <c r="G245" t="b">
        <v>1</v>
      </c>
      <c r="H245" t="n">
        <v>28.6</v>
      </c>
      <c r="I245" t="inlineStr">
        <is>
          <t>d</t>
        </is>
      </c>
      <c r="J245" t="inlineStr">
        <is>
          <t>Thigh injury - 75% chance of playing</t>
        </is>
      </c>
      <c r="K245" t="n">
        <v>75</v>
      </c>
      <c r="L245" t="inlineStr">
        <is>
          <t>p221820</t>
        </is>
      </c>
      <c r="M245" t="n">
        <v>419</v>
      </c>
      <c r="Q245" t="n">
        <v>1229</v>
      </c>
      <c r="R245" t="n">
        <v>18</v>
      </c>
      <c r="S245" t="n">
        <v>13</v>
      </c>
      <c r="T245" t="n">
        <v>13.656</v>
      </c>
      <c r="U245" t="n">
        <v>68.3</v>
      </c>
      <c r="V245" t="n">
        <v>51</v>
      </c>
      <c r="W245" t="n">
        <v>3.735</v>
      </c>
      <c r="X245" t="n">
        <v>0</v>
      </c>
      <c r="Y245" t="n">
        <v>0</v>
      </c>
      <c r="AA245" t="n">
        <v>5</v>
      </c>
      <c r="AB245" t="n">
        <v>15</v>
      </c>
      <c r="AC245" t="n">
        <v>3</v>
      </c>
      <c r="AD245" t="n">
        <v>2</v>
      </c>
      <c r="AE245" t="n">
        <v>-1</v>
      </c>
      <c r="AF245" t="n">
        <v>241</v>
      </c>
      <c r="AG245" t="n">
        <v>226</v>
      </c>
      <c r="AH245" t="n">
        <v>-15</v>
      </c>
      <c r="AI245" t="n">
        <v>50</v>
      </c>
      <c r="AJ245" t="n">
        <v>0.059</v>
      </c>
      <c r="AK245" t="n">
        <v>0.062</v>
      </c>
      <c r="AL245" t="n">
        <v>105</v>
      </c>
      <c r="AM245" t="n">
        <v>7.689</v>
      </c>
      <c r="AN245" t="n">
        <v>4</v>
      </c>
      <c r="AO245" t="n">
        <v>8</v>
      </c>
      <c r="AP245" t="n">
        <v>0.308</v>
      </c>
      <c r="AQ245" t="n">
        <v>0.308</v>
      </c>
      <c r="AR245" t="n">
        <v>0.154</v>
      </c>
      <c r="AS245" t="n">
        <v>0.342</v>
      </c>
      <c r="AT245" t="n">
        <v>0.667</v>
      </c>
      <c r="AU245" t="n">
        <v>11</v>
      </c>
      <c r="AV245" t="n">
        <v>1</v>
      </c>
      <c r="AW245" t="n">
        <v>2.68</v>
      </c>
      <c r="AX245" t="n">
        <v>10</v>
      </c>
      <c r="AY245" t="n">
        <v>0.15</v>
      </c>
      <c r="AZ245" t="n">
        <v>0.113</v>
      </c>
      <c r="BA245" t="n">
        <v>0.132</v>
      </c>
      <c r="BB245" t="n">
        <v>0.113</v>
      </c>
      <c r="BC245" t="n">
        <v>0.011</v>
      </c>
      <c r="BD245" t="n">
        <v>0.008</v>
      </c>
      <c r="BE245" t="n">
        <v>0.01</v>
      </c>
      <c r="BH245" t="n">
        <v>0.916</v>
      </c>
      <c r="BI245" t="n">
        <v>1.94</v>
      </c>
      <c r="BJ245" t="n">
        <v>0.137</v>
      </c>
      <c r="BK245" t="n">
        <v>0.01</v>
      </c>
      <c r="BL245" t="n">
        <v>-0.132</v>
      </c>
      <c r="BO245" t="n">
        <v>0.037</v>
      </c>
      <c r="BP245" t="n">
        <v>5</v>
      </c>
      <c r="BS245" t="n">
        <v>5</v>
      </c>
      <c r="BT245" t="n">
        <v>0.366</v>
      </c>
      <c r="BW245" t="n">
        <v>0.6</v>
      </c>
      <c r="BX245" t="n">
        <v>0.464</v>
      </c>
      <c r="BY245" t="n">
        <v>0.532</v>
      </c>
      <c r="BZ245" t="n">
        <v>0.039</v>
      </c>
      <c r="CA245" t="n">
        <v>0.664</v>
      </c>
      <c r="CB245" t="n">
        <v>0.049</v>
      </c>
      <c r="CC245" t="n">
        <v>5</v>
      </c>
      <c r="CD245" t="n">
        <v>1</v>
      </c>
      <c r="CE245" t="n">
        <v>5</v>
      </c>
      <c r="CF245" t="n">
        <v>1</v>
      </c>
      <c r="CG245" t="n">
        <v>1</v>
      </c>
      <c r="CI245" t="n">
        <v>6.69</v>
      </c>
      <c r="CJ245" t="n">
        <v>6.569</v>
      </c>
      <c r="CK245" t="n">
        <v>86</v>
      </c>
      <c r="CL245" t="n">
        <v>68</v>
      </c>
      <c r="CM245" t="n">
        <v>19</v>
      </c>
      <c r="CN245" t="n">
        <v>12</v>
      </c>
      <c r="CO245" t="n">
        <v>12</v>
      </c>
      <c r="CP245" t="n">
        <v>62</v>
      </c>
      <c r="CQ245" t="n">
        <v>12</v>
      </c>
      <c r="CR245" t="n">
        <v>47</v>
      </c>
      <c r="CS245" t="n">
        <v>12</v>
      </c>
      <c r="CV245" t="n">
        <v>1</v>
      </c>
      <c r="CW245" t="n">
        <v>15.22</v>
      </c>
      <c r="CX245" t="n">
        <v>1.115</v>
      </c>
      <c r="CY245" t="n">
        <v>0</v>
      </c>
      <c r="DB245" t="n">
        <v>0</v>
      </c>
      <c r="DF245" t="n">
        <v>0</v>
      </c>
      <c r="DG245" t="n">
        <v>1</v>
      </c>
      <c r="DH245" t="n">
        <v>9</v>
      </c>
      <c r="DI245" t="n">
        <v>2</v>
      </c>
      <c r="DL245" t="n">
        <v>14</v>
      </c>
      <c r="DM245" t="n">
        <v>2</v>
      </c>
      <c r="DO245" t="n">
        <v>0.4</v>
      </c>
      <c r="DP245" t="n">
        <v>130.12</v>
      </c>
      <c r="DQ245" t="n">
        <v>63.99</v>
      </c>
      <c r="DR245" t="n">
        <v>127.98</v>
      </c>
      <c r="DS245" t="n">
        <v>2.14</v>
      </c>
      <c r="DT245" t="n">
        <v>3089</v>
      </c>
      <c r="DU245" t="n">
        <v>81.3</v>
      </c>
      <c r="DV245" t="inlineStr">
        <is>
          <t>flat</t>
        </is>
      </c>
      <c r="DW245" t="n">
        <v>94.81999999999999</v>
      </c>
      <c r="DX245" t="n">
        <v>96.51000000000001</v>
      </c>
      <c r="DY245" t="n">
        <v>95.12</v>
      </c>
      <c r="DZ245" t="n">
        <v>0.3</v>
      </c>
      <c r="EA245" t="n">
        <v>222</v>
      </c>
      <c r="EB245" t="n">
        <v>19.17</v>
      </c>
      <c r="EC245" t="n">
        <v>16</v>
      </c>
      <c r="ED245" t="n">
        <v>120</v>
      </c>
      <c r="EE245" t="n">
        <v>365</v>
      </c>
      <c r="EF245" t="b">
        <v>1</v>
      </c>
      <c r="EG245" t="n">
        <v>8.5</v>
      </c>
      <c r="EH245" t="n">
        <v>11.8</v>
      </c>
      <c r="EI245" t="n">
        <v>282</v>
      </c>
      <c r="EJ245" t="n">
        <v>245.8</v>
      </c>
      <c r="EK245" t="n">
        <v>245.8</v>
      </c>
      <c r="EL245" t="n">
        <v>245.8</v>
      </c>
      <c r="EM245" t="n">
        <v>9329.5</v>
      </c>
      <c r="EN245" t="n">
        <v>2309.7</v>
      </c>
      <c r="EO245" t="n">
        <v>1851.4</v>
      </c>
      <c r="EP245" t="n">
        <v>24.1</v>
      </c>
    </row>
    <row r="246">
      <c r="A246" t="inlineStr">
        <is>
          <t>Fabian Schär</t>
        </is>
      </c>
      <c r="B246" t="inlineStr">
        <is>
          <t>NEW</t>
        </is>
      </c>
      <c r="C246" t="inlineStr">
        <is>
          <t>DEF</t>
        </is>
      </c>
      <c r="D246" t="inlineStr">
        <is>
          <t>DEF</t>
        </is>
      </c>
      <c r="E246" t="n">
        <v>5</v>
      </c>
      <c r="F246" t="b">
        <v>1</v>
      </c>
      <c r="G246" t="b">
        <v>1</v>
      </c>
      <c r="H246" t="n">
        <v>34.7</v>
      </c>
      <c r="I246" t="inlineStr">
        <is>
          <t>a</t>
        </is>
      </c>
      <c r="K246" t="n">
        <v>100</v>
      </c>
      <c r="L246" t="inlineStr">
        <is>
          <t>p119471</t>
        </is>
      </c>
      <c r="M246" t="n">
        <v>446</v>
      </c>
      <c r="P246" t="n">
        <v>3</v>
      </c>
      <c r="Q246" t="n">
        <v>1089</v>
      </c>
      <c r="R246" t="n">
        <v>16</v>
      </c>
      <c r="S246" t="n">
        <v>11</v>
      </c>
      <c r="T246" t="n">
        <v>12.1</v>
      </c>
      <c r="U246" t="n">
        <v>68.09999999999999</v>
      </c>
      <c r="V246" t="n">
        <v>51</v>
      </c>
      <c r="W246" t="n">
        <v>4.215</v>
      </c>
      <c r="X246" t="n">
        <v>0</v>
      </c>
      <c r="Y246" t="n">
        <v>0</v>
      </c>
      <c r="AA246" t="n">
        <v>4</v>
      </c>
      <c r="AB246" t="n">
        <v>13</v>
      </c>
      <c r="AC246" t="n">
        <v>0</v>
      </c>
      <c r="AD246" t="n">
        <v>0</v>
      </c>
      <c r="AE246" t="n">
        <v>0</v>
      </c>
      <c r="AF246" t="n">
        <v>186</v>
      </c>
      <c r="AG246" t="n">
        <v>169</v>
      </c>
      <c r="AH246" t="n">
        <v>-17</v>
      </c>
      <c r="AI246" t="n">
        <v>51</v>
      </c>
      <c r="AJ246" t="n">
        <v>0</v>
      </c>
      <c r="AK246" t="n">
        <v>0</v>
      </c>
      <c r="AL246" t="n">
        <v>115</v>
      </c>
      <c r="AM246" t="n">
        <v>9.504</v>
      </c>
      <c r="AN246" t="n">
        <v>6</v>
      </c>
      <c r="AO246" t="n">
        <v>12</v>
      </c>
      <c r="AP246" t="n">
        <v>0.545</v>
      </c>
      <c r="AQ246" t="n">
        <v>0.545</v>
      </c>
      <c r="AR246" t="n">
        <v>0.091</v>
      </c>
      <c r="AS246" t="n">
        <v>0.289</v>
      </c>
      <c r="AT246" t="n">
        <v>0.6879999999999999</v>
      </c>
      <c r="AU246" t="n">
        <v>9</v>
      </c>
      <c r="AV246" t="n">
        <v>0</v>
      </c>
      <c r="AW246" t="n">
        <v>2.41</v>
      </c>
      <c r="AX246" t="n">
        <v>8</v>
      </c>
      <c r="AY246" t="n">
        <v>0.97</v>
      </c>
      <c r="AZ246" t="n">
        <v>0.963</v>
      </c>
      <c r="BA246" t="n">
        <v>0.967</v>
      </c>
      <c r="BB246" t="n">
        <v>0.963</v>
      </c>
      <c r="BC246" t="n">
        <v>0.08</v>
      </c>
      <c r="BD246" t="n">
        <v>0.08</v>
      </c>
      <c r="BE246" t="n">
        <v>0.08</v>
      </c>
      <c r="BF246" t="n">
        <v>0.6</v>
      </c>
      <c r="BG246" t="n">
        <v>0.05</v>
      </c>
      <c r="BH246" t="n">
        <v>0.865</v>
      </c>
      <c r="BI246" t="n">
        <v>12.01</v>
      </c>
      <c r="BJ246" t="n">
        <v>0.839</v>
      </c>
      <c r="BK246" t="n">
        <v>0.06900000000000001</v>
      </c>
      <c r="BL246" t="n">
        <v>-0.967</v>
      </c>
      <c r="BM246" t="n">
        <v>-0.37</v>
      </c>
      <c r="BN246" t="n">
        <v>-0.6</v>
      </c>
      <c r="BO246" t="n">
        <v>0.007</v>
      </c>
      <c r="BP246" t="n">
        <v>17</v>
      </c>
      <c r="BQ246" t="n">
        <v>4</v>
      </c>
      <c r="BR246" t="n">
        <v>2</v>
      </c>
      <c r="BS246" t="n">
        <v>19</v>
      </c>
      <c r="BT246" t="n">
        <v>1.57</v>
      </c>
      <c r="BW246" t="n">
        <v>0.6</v>
      </c>
      <c r="BX246" t="n">
        <v>0.163</v>
      </c>
      <c r="BY246" t="n">
        <v>0.381</v>
      </c>
      <c r="BZ246" t="n">
        <v>0.032</v>
      </c>
      <c r="CA246" t="n">
        <v>1.348</v>
      </c>
      <c r="CB246" t="n">
        <v>0.111</v>
      </c>
      <c r="CC246" t="n">
        <v>4</v>
      </c>
      <c r="CE246" t="n">
        <v>4</v>
      </c>
      <c r="CF246" t="n">
        <v>1</v>
      </c>
      <c r="CI246" t="n">
        <v>3.193</v>
      </c>
      <c r="CJ246" t="n">
        <v>3.06</v>
      </c>
      <c r="CK246" t="n">
        <v>101</v>
      </c>
      <c r="CL246" t="n">
        <v>42</v>
      </c>
      <c r="CM246" t="n">
        <v>14</v>
      </c>
      <c r="CN246" t="n">
        <v>10</v>
      </c>
      <c r="CO246" t="n">
        <v>18</v>
      </c>
      <c r="CP246" t="n">
        <v>71</v>
      </c>
      <c r="CQ246" t="n">
        <v>12</v>
      </c>
      <c r="CR246" t="n">
        <v>66</v>
      </c>
      <c r="CS246" t="n">
        <v>46</v>
      </c>
      <c r="CV246" t="n">
        <v>3</v>
      </c>
      <c r="CW246" t="n">
        <v>13.85</v>
      </c>
      <c r="CX246" t="n">
        <v>1.145</v>
      </c>
      <c r="CY246" t="n">
        <v>0</v>
      </c>
      <c r="DB246" t="n">
        <v>0</v>
      </c>
      <c r="DF246" t="n">
        <v>1</v>
      </c>
      <c r="DG246" t="n">
        <v>0</v>
      </c>
      <c r="DH246" t="n">
        <v>15</v>
      </c>
      <c r="DI246" t="n">
        <v>6</v>
      </c>
      <c r="DM246" t="n">
        <v>1</v>
      </c>
      <c r="DN246" t="n">
        <v>1</v>
      </c>
      <c r="DO246" t="n">
        <v>0.2</v>
      </c>
      <c r="DP246" t="n">
        <v>30.96</v>
      </c>
      <c r="DQ246" t="n">
        <v>15.48</v>
      </c>
      <c r="DR246" t="n">
        <v>30.96</v>
      </c>
      <c r="DS246" t="n">
        <v>0</v>
      </c>
      <c r="DT246" t="n">
        <v>317</v>
      </c>
      <c r="DU246" t="n">
        <v>8.34</v>
      </c>
      <c r="DV246" t="inlineStr">
        <is>
          <t>flat</t>
        </is>
      </c>
      <c r="DW246" t="n">
        <v>101.17</v>
      </c>
      <c r="DX246" t="n">
        <v>103.08</v>
      </c>
      <c r="DY246" t="n">
        <v>101.78</v>
      </c>
      <c r="DZ246" t="n">
        <v>0.61</v>
      </c>
      <c r="EA246" t="n">
        <v>100</v>
      </c>
      <c r="EB246" t="n">
        <v>15.8</v>
      </c>
      <c r="EC246" t="n">
        <v>30</v>
      </c>
      <c r="ED246" t="n">
        <v>120</v>
      </c>
      <c r="EE246" t="n">
        <v>146</v>
      </c>
      <c r="EF246" t="b">
        <v>1</v>
      </c>
      <c r="EG246" t="n">
        <v>3.6</v>
      </c>
      <c r="EH246" t="n">
        <v>17</v>
      </c>
      <c r="EI246" t="n">
        <v>283</v>
      </c>
      <c r="EJ246" t="n">
        <v>64.09999999999999</v>
      </c>
      <c r="EK246" t="n">
        <v>57.3</v>
      </c>
      <c r="EL246" t="n">
        <v>272.2</v>
      </c>
      <c r="EM246" t="n">
        <v>1126.6</v>
      </c>
      <c r="EN246" t="n">
        <v>2855.7</v>
      </c>
      <c r="EO246" t="n">
        <v>807.9</v>
      </c>
      <c r="EP246" t="n">
        <v>21.4</v>
      </c>
    </row>
    <row r="247">
      <c r="A247" t="inlineStr">
        <is>
          <t>Tyrone Mings</t>
        </is>
      </c>
      <c r="B247" t="inlineStr">
        <is>
          <t>AVL</t>
        </is>
      </c>
      <c r="C247" t="inlineStr">
        <is>
          <t>DEF</t>
        </is>
      </c>
      <c r="D247" t="inlineStr">
        <is>
          <t>DEF</t>
        </is>
      </c>
      <c r="E247" t="n">
        <v>4.5</v>
      </c>
      <c r="F247" t="b">
        <v>1</v>
      </c>
      <c r="G247" t="b">
        <v>1</v>
      </c>
      <c r="H247" t="n">
        <v>33.4</v>
      </c>
      <c r="I247" t="inlineStr">
        <is>
          <t>a</t>
        </is>
      </c>
      <c r="L247" t="inlineStr">
        <is>
          <t>p149484</t>
        </is>
      </c>
      <c r="M247" t="n">
        <v>33</v>
      </c>
      <c r="Q247" t="n">
        <v>1322</v>
      </c>
      <c r="R247" t="n">
        <v>17</v>
      </c>
      <c r="S247" t="n">
        <v>15</v>
      </c>
      <c r="T247" t="n">
        <v>14.689</v>
      </c>
      <c r="U247" t="n">
        <v>77.8</v>
      </c>
      <c r="V247" t="n">
        <v>50</v>
      </c>
      <c r="W247" t="n">
        <v>3.404</v>
      </c>
      <c r="X247" t="n">
        <v>0</v>
      </c>
      <c r="Y247" t="n">
        <v>1</v>
      </c>
      <c r="AA247" t="n">
        <v>3</v>
      </c>
      <c r="AB247" t="n">
        <v>23</v>
      </c>
      <c r="AC247" t="n">
        <v>4</v>
      </c>
      <c r="AD247" t="n">
        <v>4</v>
      </c>
      <c r="AE247" t="n">
        <v>0</v>
      </c>
      <c r="AF247" t="n">
        <v>169</v>
      </c>
      <c r="AG247" t="n">
        <v>150</v>
      </c>
      <c r="AH247" t="n">
        <v>-19</v>
      </c>
      <c r="AI247" t="n">
        <v>50</v>
      </c>
      <c r="AJ247" t="n">
        <v>0.08</v>
      </c>
      <c r="AK247" t="n">
        <v>0.08699999999999999</v>
      </c>
      <c r="AL247" t="n">
        <v>107</v>
      </c>
      <c r="AM247" t="n">
        <v>7.284</v>
      </c>
      <c r="AN247" t="n">
        <v>4</v>
      </c>
      <c r="AO247" t="n">
        <v>8</v>
      </c>
      <c r="AP247" t="n">
        <v>0.267</v>
      </c>
      <c r="AQ247" t="n">
        <v>0.267</v>
      </c>
      <c r="AR247" t="n">
        <v>0.133</v>
      </c>
      <c r="AS247" t="n">
        <v>0.395</v>
      </c>
      <c r="AT247" t="n">
        <v>0.824</v>
      </c>
      <c r="AU247" t="n">
        <v>11</v>
      </c>
      <c r="AV247" t="n">
        <v>1</v>
      </c>
      <c r="AW247" t="n">
        <v>2.62</v>
      </c>
      <c r="AX247" t="n">
        <v>12</v>
      </c>
      <c r="AY247" t="n">
        <v>1.3</v>
      </c>
      <c r="AZ247" t="n">
        <v>1.492</v>
      </c>
      <c r="BA247" t="n">
        <v>1.396</v>
      </c>
      <c r="BB247" t="n">
        <v>1.492</v>
      </c>
      <c r="BC247" t="n">
        <v>0.089</v>
      </c>
      <c r="BD247" t="n">
        <v>0.102</v>
      </c>
      <c r="BE247" t="n">
        <v>0.095</v>
      </c>
      <c r="BF247" t="n">
        <v>0.1</v>
      </c>
      <c r="BG247" t="n">
        <v>0.007</v>
      </c>
      <c r="BH247" t="n">
        <v>0.825</v>
      </c>
      <c r="BI247" t="n">
        <v>3.15</v>
      </c>
      <c r="BJ247" t="n">
        <v>1.073</v>
      </c>
      <c r="BK247" t="n">
        <v>0.073</v>
      </c>
      <c r="BL247" t="n">
        <v>-1.396</v>
      </c>
      <c r="BM247" t="n">
        <v>-1.2</v>
      </c>
      <c r="BN247" t="n">
        <v>-0.1</v>
      </c>
      <c r="BO247" t="n">
        <v>-0.192</v>
      </c>
      <c r="BP247" t="n">
        <v>9</v>
      </c>
      <c r="BQ247" t="n">
        <v>1</v>
      </c>
      <c r="BR247" t="n">
        <v>2</v>
      </c>
      <c r="BS247" t="n">
        <v>21</v>
      </c>
      <c r="BT247" t="n">
        <v>1.43</v>
      </c>
      <c r="BV247" t="n">
        <v>0</v>
      </c>
      <c r="BW247" t="n">
        <v>0.42</v>
      </c>
      <c r="BX247" t="n">
        <v>0.709</v>
      </c>
      <c r="BY247" t="n">
        <v>0.5649999999999999</v>
      </c>
      <c r="BZ247" t="n">
        <v>0.038</v>
      </c>
      <c r="CA247" t="n">
        <v>1.961</v>
      </c>
      <c r="CB247" t="n">
        <v>0.133</v>
      </c>
      <c r="CC247" t="n">
        <v>5</v>
      </c>
      <c r="CD247" t="n">
        <v>1</v>
      </c>
      <c r="CE247" t="n">
        <v>5</v>
      </c>
      <c r="CF247" t="n">
        <v>1</v>
      </c>
      <c r="CI247" t="n">
        <v>3.903</v>
      </c>
      <c r="CJ247" t="n">
        <v>3.591</v>
      </c>
      <c r="CK247" t="n">
        <v>102</v>
      </c>
      <c r="CL247" t="n">
        <v>47</v>
      </c>
      <c r="CM247" t="n">
        <v>5</v>
      </c>
      <c r="CN247" t="n">
        <v>2</v>
      </c>
      <c r="CO247" t="n">
        <v>11</v>
      </c>
      <c r="CP247" t="n">
        <v>83</v>
      </c>
      <c r="CQ247" t="n">
        <v>9</v>
      </c>
      <c r="CR247" t="n">
        <v>54</v>
      </c>
      <c r="CS247" t="n">
        <v>40</v>
      </c>
      <c r="CV247" t="n">
        <v>1</v>
      </c>
      <c r="CW247" t="n">
        <v>23.37</v>
      </c>
      <c r="CX247" t="n">
        <v>1.591</v>
      </c>
      <c r="CY247" t="n">
        <v>0</v>
      </c>
      <c r="DB247" t="n">
        <v>0</v>
      </c>
      <c r="DF247" t="n">
        <v>1</v>
      </c>
      <c r="DG247" t="n">
        <v>0</v>
      </c>
      <c r="DH247" t="n">
        <v>10</v>
      </c>
      <c r="DI247" t="n">
        <v>9</v>
      </c>
      <c r="DL247" t="n">
        <v>2</v>
      </c>
      <c r="DM247" t="n">
        <v>3</v>
      </c>
      <c r="DO247" t="n">
        <v>0.3</v>
      </c>
      <c r="DP247" t="n">
        <v>61.94</v>
      </c>
      <c r="DQ247" t="n">
        <v>31.12</v>
      </c>
      <c r="DR247" t="n">
        <v>62.24</v>
      </c>
      <c r="DS247" t="n">
        <v>-0.3</v>
      </c>
      <c r="DT247" t="n">
        <v>1493</v>
      </c>
      <c r="DU247" t="n">
        <v>39.3</v>
      </c>
      <c r="DV247" t="inlineStr">
        <is>
          <t>flat</t>
        </is>
      </c>
      <c r="DW247" t="n">
        <v>89.7</v>
      </c>
      <c r="DX247" t="n">
        <v>92.5</v>
      </c>
      <c r="DY247" t="n">
        <v>89.26000000000001</v>
      </c>
      <c r="DZ247" t="n">
        <v>-0.43</v>
      </c>
      <c r="EA247" t="n">
        <v>29</v>
      </c>
      <c r="EB247" t="n">
        <v>21.22</v>
      </c>
      <c r="EC247" t="n">
        <v>34.29</v>
      </c>
      <c r="ED247" t="n">
        <v>118.86</v>
      </c>
      <c r="EE247" t="n">
        <v>37</v>
      </c>
      <c r="EF247" t="b">
        <v>1</v>
      </c>
      <c r="EG247" t="n">
        <v>1</v>
      </c>
      <c r="EH247" t="n">
        <v>26</v>
      </c>
      <c r="EI247" t="n">
        <v>425</v>
      </c>
      <c r="EJ247" t="n">
        <v>146.9</v>
      </c>
      <c r="EK247" t="n">
        <v>63</v>
      </c>
      <c r="EL247" t="n">
        <v>264.4</v>
      </c>
      <c r="EM247" t="n">
        <v>947</v>
      </c>
      <c r="EN247" t="n">
        <v>2341.2</v>
      </c>
      <c r="EO247" t="n">
        <v>674.2</v>
      </c>
      <c r="EP247" t="n">
        <v>26.4</v>
      </c>
    </row>
    <row r="248">
      <c r="A248" t="inlineStr">
        <is>
          <t>Dan Ndoye</t>
        </is>
      </c>
      <c r="B248" t="inlineStr">
        <is>
          <t>NFO</t>
        </is>
      </c>
      <c r="C248" t="inlineStr">
        <is>
          <t>MID</t>
        </is>
      </c>
      <c r="D248" t="inlineStr">
        <is>
          <t>MID</t>
        </is>
      </c>
      <c r="E248" t="n">
        <v>5.5</v>
      </c>
      <c r="F248" t="b">
        <v>1</v>
      </c>
      <c r="G248" t="b">
        <v>1</v>
      </c>
      <c r="H248" t="n">
        <v>25.8</v>
      </c>
      <c r="I248" t="inlineStr">
        <is>
          <t>a</t>
        </is>
      </c>
      <c r="L248" t="inlineStr">
        <is>
          <t>p456512</t>
        </is>
      </c>
      <c r="M248" t="n">
        <v>483</v>
      </c>
      <c r="Q248" t="n">
        <v>1167</v>
      </c>
      <c r="R248" t="n">
        <v>24</v>
      </c>
      <c r="S248" t="n">
        <v>14</v>
      </c>
      <c r="T248" t="n">
        <v>12.967</v>
      </c>
      <c r="U248" t="n">
        <v>48.6</v>
      </c>
      <c r="V248" t="n">
        <v>50</v>
      </c>
      <c r="W248" t="n">
        <v>3.856</v>
      </c>
      <c r="X248" t="n">
        <v>1</v>
      </c>
      <c r="Y248" t="n">
        <v>2</v>
      </c>
      <c r="Z248" t="n">
        <v>1</v>
      </c>
      <c r="AA248" t="n">
        <v>2</v>
      </c>
      <c r="AB248" t="n">
        <v>17</v>
      </c>
      <c r="AC248" t="n">
        <v>4</v>
      </c>
      <c r="AD248" t="n">
        <v>4</v>
      </c>
      <c r="AE248" t="n">
        <v>0</v>
      </c>
      <c r="AF248" t="n">
        <v>178</v>
      </c>
      <c r="AG248" t="n">
        <v>172</v>
      </c>
      <c r="AH248" t="n">
        <v>-6</v>
      </c>
      <c r="AI248" t="n">
        <v>50</v>
      </c>
      <c r="AJ248" t="n">
        <v>0.08</v>
      </c>
      <c r="AK248" t="n">
        <v>0.08699999999999999</v>
      </c>
      <c r="AL248" t="n">
        <v>96</v>
      </c>
      <c r="AM248" t="n">
        <v>7.404</v>
      </c>
      <c r="AN248" t="n">
        <v>0</v>
      </c>
      <c r="AO248" t="n">
        <v>0</v>
      </c>
      <c r="AP248" t="n">
        <v>0</v>
      </c>
      <c r="AQ248" t="n">
        <v>0.143</v>
      </c>
      <c r="AR248" t="n">
        <v>0</v>
      </c>
      <c r="AS248" t="n">
        <v>0.368</v>
      </c>
      <c r="AT248" t="n">
        <v>0.417</v>
      </c>
      <c r="AU248" t="n">
        <v>19</v>
      </c>
      <c r="AV248" t="n">
        <v>0</v>
      </c>
      <c r="AW248" t="n">
        <v>1.93</v>
      </c>
      <c r="AX248" t="n">
        <v>9</v>
      </c>
      <c r="AY248" t="n">
        <v>1.05</v>
      </c>
      <c r="AZ248" t="n">
        <v>1.172</v>
      </c>
      <c r="BA248" t="n">
        <v>1.111</v>
      </c>
      <c r="BB248" t="n">
        <v>1.172</v>
      </c>
      <c r="BC248" t="n">
        <v>0.081</v>
      </c>
      <c r="BD248" t="n">
        <v>0.09</v>
      </c>
      <c r="BE248" t="n">
        <v>0.08599999999999999</v>
      </c>
      <c r="BF248" t="n">
        <v>0.9</v>
      </c>
      <c r="BG248" t="n">
        <v>0.06900000000000001</v>
      </c>
      <c r="BH248" t="n">
        <v>0.983</v>
      </c>
      <c r="BI248" t="n">
        <v>1.05</v>
      </c>
      <c r="BJ248" t="n">
        <v>1.033</v>
      </c>
      <c r="BK248" t="n">
        <v>0.08</v>
      </c>
      <c r="BL248" t="n">
        <v>-0.111</v>
      </c>
      <c r="BM248" t="n">
        <v>-0.15</v>
      </c>
      <c r="BN248" t="n">
        <v>0.1</v>
      </c>
      <c r="BO248" t="n">
        <v>-0.122</v>
      </c>
      <c r="BP248" t="n">
        <v>15</v>
      </c>
      <c r="BQ248" t="n">
        <v>4</v>
      </c>
      <c r="BR248" t="n">
        <v>1</v>
      </c>
      <c r="BS248" t="n">
        <v>52</v>
      </c>
      <c r="BT248" t="n">
        <v>4.01</v>
      </c>
      <c r="BV248" t="n">
        <v>1</v>
      </c>
      <c r="BW248" t="n">
        <v>1.51</v>
      </c>
      <c r="BX248" t="n">
        <v>1.553</v>
      </c>
      <c r="BY248" t="n">
        <v>1.531</v>
      </c>
      <c r="BZ248" t="n">
        <v>0.118</v>
      </c>
      <c r="CA248" t="n">
        <v>2.643</v>
      </c>
      <c r="CB248" t="n">
        <v>0.204</v>
      </c>
      <c r="CC248" t="n">
        <v>14</v>
      </c>
      <c r="CD248" t="n">
        <v>2</v>
      </c>
      <c r="CE248" t="n">
        <v>14</v>
      </c>
      <c r="CF248" t="n">
        <v>9</v>
      </c>
      <c r="CG248" t="n">
        <v>1</v>
      </c>
      <c r="CH248" t="n">
        <v>5</v>
      </c>
      <c r="CI248" t="n">
        <v>4.024</v>
      </c>
      <c r="CJ248" t="n">
        <v>1.813</v>
      </c>
      <c r="CK248" t="n">
        <v>24</v>
      </c>
      <c r="CL248" t="n">
        <v>50</v>
      </c>
      <c r="CM248" t="n">
        <v>22</v>
      </c>
      <c r="CN248" t="n">
        <v>13</v>
      </c>
      <c r="CO248" t="n">
        <v>10</v>
      </c>
      <c r="CP248" t="n">
        <v>12</v>
      </c>
      <c r="CQ248" t="n">
        <v>2</v>
      </c>
      <c r="CR248" t="n">
        <v>69</v>
      </c>
      <c r="CS248" t="n">
        <v>11</v>
      </c>
      <c r="CT248" t="n">
        <v>0.3</v>
      </c>
      <c r="CW248" t="n">
        <v>15.96</v>
      </c>
      <c r="CX248" t="n">
        <v>1.231</v>
      </c>
      <c r="CY248" t="n">
        <v>0</v>
      </c>
      <c r="DB248" t="n">
        <v>0</v>
      </c>
      <c r="DE248" t="n">
        <v>6.55</v>
      </c>
      <c r="DF248" t="n">
        <v>1</v>
      </c>
      <c r="DG248" t="n">
        <v>0</v>
      </c>
      <c r="DH248" t="n">
        <v>16</v>
      </c>
      <c r="DI248" t="n">
        <v>22</v>
      </c>
      <c r="DL248" t="n">
        <v>13</v>
      </c>
      <c r="DM248" t="n">
        <v>19</v>
      </c>
      <c r="DN248" t="n">
        <v>9</v>
      </c>
      <c r="DO248" t="n">
        <v>0.6</v>
      </c>
      <c r="DP248" t="n">
        <v>112.92</v>
      </c>
      <c r="DQ248" t="n">
        <v>56.46</v>
      </c>
      <c r="DR248" t="n">
        <v>112.92</v>
      </c>
      <c r="DS248" t="n">
        <v>0</v>
      </c>
      <c r="DT248" t="n">
        <v>2417</v>
      </c>
      <c r="DU248" t="n">
        <v>63.6</v>
      </c>
      <c r="DV248" t="inlineStr">
        <is>
          <t>flat</t>
        </is>
      </c>
      <c r="DW248" t="n">
        <v>83.76000000000001</v>
      </c>
      <c r="DX248" t="n">
        <v>87.31999999999999</v>
      </c>
      <c r="DY248" t="n">
        <v>84.14</v>
      </c>
      <c r="DZ248" t="n">
        <v>0.38</v>
      </c>
      <c r="EA248" t="n">
        <v>53</v>
      </c>
      <c r="EB248" t="n">
        <v>23.11</v>
      </c>
      <c r="EC248" t="n">
        <v>22.22</v>
      </c>
      <c r="ED248" t="n">
        <v>117.33</v>
      </c>
      <c r="EE248" t="n">
        <v>88</v>
      </c>
      <c r="EF248" t="b">
        <v>1</v>
      </c>
      <c r="EG248" t="n">
        <v>1.9</v>
      </c>
      <c r="EH248" t="n">
        <v>7.4</v>
      </c>
      <c r="EI248" t="n">
        <v>167</v>
      </c>
      <c r="EJ248" t="n">
        <v>77.8</v>
      </c>
      <c r="EK248" t="n">
        <v>22.4</v>
      </c>
      <c r="EL248" t="n">
        <v>83.40000000000001</v>
      </c>
      <c r="EM248" t="n">
        <v>1050.2</v>
      </c>
      <c r="EN248" t="n">
        <v>762</v>
      </c>
      <c r="EO248" t="n">
        <v>441.6</v>
      </c>
      <c r="EP248" t="n">
        <v>23.3</v>
      </c>
    </row>
    <row r="249">
      <c r="A249" t="inlineStr">
        <is>
          <t>Axel Disasi</t>
        </is>
      </c>
      <c r="B249" t="inlineStr">
        <is>
          <t>CHE</t>
        </is>
      </c>
      <c r="C249" t="inlineStr">
        <is>
          <t>DEF</t>
        </is>
      </c>
      <c r="D249" t="inlineStr">
        <is>
          <t>DEF</t>
        </is>
      </c>
      <c r="E249" t="n">
        <v>4.5</v>
      </c>
      <c r="F249" t="b">
        <v>1</v>
      </c>
      <c r="G249" t="b">
        <v>1</v>
      </c>
      <c r="H249" t="n">
        <v>28.4</v>
      </c>
      <c r="I249" t="inlineStr">
        <is>
          <t>a</t>
        </is>
      </c>
      <c r="L249" t="inlineStr">
        <is>
          <t>p220362</t>
        </is>
      </c>
      <c r="M249" t="n">
        <v>153</v>
      </c>
      <c r="Q249" t="n">
        <v>1254</v>
      </c>
      <c r="R249" t="n">
        <v>14</v>
      </c>
      <c r="S249" t="n">
        <v>14</v>
      </c>
      <c r="T249" t="n">
        <v>13.933</v>
      </c>
      <c r="U249" t="n">
        <v>89.59999999999999</v>
      </c>
      <c r="V249" t="n">
        <v>49</v>
      </c>
      <c r="W249" t="n">
        <v>3.517</v>
      </c>
      <c r="X249" t="n">
        <v>0</v>
      </c>
      <c r="Y249" t="n">
        <v>0</v>
      </c>
      <c r="AA249" t="n">
        <v>6</v>
      </c>
      <c r="AB249" t="n">
        <v>17</v>
      </c>
      <c r="AC249" t="n">
        <v>1</v>
      </c>
      <c r="AD249" t="n">
        <v>0</v>
      </c>
      <c r="AE249" t="n">
        <v>-1</v>
      </c>
      <c r="AF249" t="n">
        <v>186</v>
      </c>
      <c r="AG249" t="n">
        <v>172</v>
      </c>
      <c r="AH249" t="n">
        <v>-14</v>
      </c>
      <c r="AI249" t="n">
        <v>48</v>
      </c>
      <c r="AJ249" t="n">
        <v>0.02</v>
      </c>
      <c r="AK249" t="n">
        <v>0.021</v>
      </c>
      <c r="AL249" t="n">
        <v>88</v>
      </c>
      <c r="AM249" t="n">
        <v>6.316</v>
      </c>
      <c r="AN249" t="n">
        <v>2</v>
      </c>
      <c r="AO249" t="n">
        <v>4</v>
      </c>
      <c r="AP249" t="n">
        <v>0.143</v>
      </c>
      <c r="AQ249" t="n">
        <v>0.143</v>
      </c>
      <c r="AR249" t="n">
        <v>0.07099999999999999</v>
      </c>
      <c r="AS249" t="n">
        <v>0.368</v>
      </c>
      <c r="AT249" t="n">
        <v>1</v>
      </c>
      <c r="AU249" t="n">
        <v>7</v>
      </c>
      <c r="AV249" t="n">
        <v>0</v>
      </c>
      <c r="AW249" t="n">
        <v>3.01</v>
      </c>
      <c r="AX249" t="n">
        <v>9</v>
      </c>
      <c r="AY249" t="n">
        <v>1.1</v>
      </c>
      <c r="AZ249" t="n">
        <v>1.081</v>
      </c>
      <c r="BA249" t="n">
        <v>1.09</v>
      </c>
      <c r="BB249" t="n">
        <v>1.081</v>
      </c>
      <c r="BC249" t="n">
        <v>0.079</v>
      </c>
      <c r="BD249" t="n">
        <v>0.078</v>
      </c>
      <c r="BE249" t="n">
        <v>0.078</v>
      </c>
      <c r="BF249" t="n">
        <v>0.9</v>
      </c>
      <c r="BG249" t="n">
        <v>0.065</v>
      </c>
      <c r="BH249" t="n">
        <v>1.015</v>
      </c>
      <c r="BI249" t="n">
        <v>3.82</v>
      </c>
      <c r="BJ249" t="n">
        <v>1.117</v>
      </c>
      <c r="BK249" t="n">
        <v>0.08</v>
      </c>
      <c r="BL249" t="n">
        <v>-1.09</v>
      </c>
      <c r="BM249" t="n">
        <v>-0.2</v>
      </c>
      <c r="BN249" t="n">
        <v>-0.9</v>
      </c>
      <c r="BO249" t="n">
        <v>0.019</v>
      </c>
      <c r="BP249" t="n">
        <v>5</v>
      </c>
      <c r="BQ249" t="n">
        <v>3</v>
      </c>
      <c r="BR249" t="n">
        <v>1</v>
      </c>
      <c r="BS249" t="n">
        <v>10</v>
      </c>
      <c r="BT249" t="n">
        <v>0.718</v>
      </c>
      <c r="BW249" t="n">
        <v>0.03</v>
      </c>
      <c r="BX249" t="n">
        <v>0.024</v>
      </c>
      <c r="BY249" t="n">
        <v>0.027</v>
      </c>
      <c r="BZ249" t="n">
        <v>0.002</v>
      </c>
      <c r="CA249" t="n">
        <v>1.117</v>
      </c>
      <c r="CB249" t="n">
        <v>0.08</v>
      </c>
      <c r="CC249" t="n">
        <v>1</v>
      </c>
      <c r="CE249" t="n">
        <v>1</v>
      </c>
      <c r="CI249" t="n">
        <v>3.175</v>
      </c>
      <c r="CJ249" t="n">
        <v>2.873</v>
      </c>
      <c r="CK249" t="n">
        <v>74</v>
      </c>
      <c r="CL249" t="n">
        <v>32</v>
      </c>
      <c r="CM249" t="n">
        <v>14</v>
      </c>
      <c r="CN249" t="n">
        <v>10</v>
      </c>
      <c r="CO249" t="n">
        <v>13</v>
      </c>
      <c r="CP249" t="n">
        <v>49</v>
      </c>
      <c r="CQ249" t="n">
        <v>12</v>
      </c>
      <c r="CR249" t="n">
        <v>38</v>
      </c>
      <c r="CS249" t="n">
        <v>18</v>
      </c>
      <c r="CW249" t="n">
        <v>18.54</v>
      </c>
      <c r="CX249" t="n">
        <v>1.331</v>
      </c>
      <c r="CY249" t="n">
        <v>0</v>
      </c>
      <c r="DB249" t="n">
        <v>0</v>
      </c>
      <c r="DF249" t="n">
        <v>1</v>
      </c>
      <c r="DG249" t="n">
        <v>0</v>
      </c>
      <c r="DH249" t="n">
        <v>5</v>
      </c>
      <c r="DI249" t="n">
        <v>4</v>
      </c>
      <c r="DL249" t="n">
        <v>2</v>
      </c>
      <c r="DM249" t="n">
        <v>3</v>
      </c>
      <c r="DN249" t="n">
        <v>1</v>
      </c>
      <c r="DO249" t="n">
        <v>0.1</v>
      </c>
      <c r="DP249" t="n">
        <v>0</v>
      </c>
      <c r="DQ249" t="n">
        <v>0</v>
      </c>
      <c r="DR249" t="n">
        <v>0</v>
      </c>
      <c r="DS249" t="n">
        <v>0</v>
      </c>
      <c r="DT249" t="n">
        <v>0</v>
      </c>
      <c r="DU249" t="n">
        <v>0</v>
      </c>
      <c r="DV249" t="inlineStr">
        <is>
          <t>flat</t>
        </is>
      </c>
      <c r="DW249" t="n">
        <v>105.7</v>
      </c>
      <c r="DX249" t="n">
        <v>97</v>
      </c>
      <c r="EB249" t="n">
        <v>12.3</v>
      </c>
      <c r="EC249" t="n">
        <v>97</v>
      </c>
      <c r="ED249" t="n">
        <v>114.4</v>
      </c>
      <c r="EE249" t="n">
        <v>2</v>
      </c>
      <c r="EF249" t="b">
        <v>0</v>
      </c>
      <c r="EG249" t="n">
        <v>0</v>
      </c>
      <c r="EH249" t="n">
        <v>0</v>
      </c>
      <c r="EI249" t="n">
        <v>481</v>
      </c>
      <c r="EJ249" t="n">
        <v>250.8</v>
      </c>
      <c r="EK249" t="n">
        <v>125.4</v>
      </c>
      <c r="EL249" t="n">
        <v>1254</v>
      </c>
      <c r="EM249" t="n">
        <v>1150.1</v>
      </c>
      <c r="EN249" t="n">
        <v>46526.6</v>
      </c>
      <c r="EO249" t="n">
        <v>1122.3</v>
      </c>
      <c r="EP249" t="n">
        <v>25.6</v>
      </c>
    </row>
    <row r="250">
      <c r="A250" t="inlineStr">
        <is>
          <t>Lucas Bergvall</t>
        </is>
      </c>
      <c r="B250" t="inlineStr">
        <is>
          <t>TOT</t>
        </is>
      </c>
      <c r="C250" t="inlineStr">
        <is>
          <t>MID</t>
        </is>
      </c>
      <c r="D250" t="inlineStr">
        <is>
          <t>MID</t>
        </is>
      </c>
      <c r="E250" t="n">
        <v>5.5</v>
      </c>
      <c r="F250" t="b">
        <v>1</v>
      </c>
      <c r="G250" t="b">
        <v>1</v>
      </c>
      <c r="H250" t="n">
        <v>20.5</v>
      </c>
      <c r="I250" t="inlineStr">
        <is>
          <t>a</t>
        </is>
      </c>
      <c r="L250" t="inlineStr">
        <is>
          <t>p570526</t>
        </is>
      </c>
      <c r="M250" t="n">
        <v>520</v>
      </c>
      <c r="Q250" t="n">
        <v>955</v>
      </c>
      <c r="R250" t="n">
        <v>23</v>
      </c>
      <c r="S250" t="n">
        <v>11</v>
      </c>
      <c r="T250" t="n">
        <v>10.611</v>
      </c>
      <c r="U250" t="n">
        <v>41.5</v>
      </c>
      <c r="V250" t="n">
        <v>49</v>
      </c>
      <c r="W250" t="n">
        <v>4.618</v>
      </c>
      <c r="X250" t="n">
        <v>1</v>
      </c>
      <c r="Y250" t="n">
        <v>3</v>
      </c>
      <c r="Z250" t="n">
        <v>3</v>
      </c>
      <c r="AA250" t="n">
        <v>3</v>
      </c>
      <c r="AB250" t="n">
        <v>18</v>
      </c>
      <c r="AC250" t="n">
        <v>0</v>
      </c>
      <c r="AD250" t="n">
        <v>1</v>
      </c>
      <c r="AE250" t="n">
        <v>1</v>
      </c>
      <c r="AF250" t="n">
        <v>163</v>
      </c>
      <c r="AG250" t="n">
        <v>161</v>
      </c>
      <c r="AH250" t="n">
        <v>-2</v>
      </c>
      <c r="AI250" t="n">
        <v>50</v>
      </c>
      <c r="AJ250" t="n">
        <v>0</v>
      </c>
      <c r="AK250" t="n">
        <v>0</v>
      </c>
      <c r="AL250" t="n">
        <v>79</v>
      </c>
      <c r="AM250" t="n">
        <v>7.445</v>
      </c>
      <c r="AN250" t="n">
        <v>1</v>
      </c>
      <c r="AO250" t="n">
        <v>2</v>
      </c>
      <c r="AP250" t="n">
        <v>0.091</v>
      </c>
      <c r="AQ250" t="n">
        <v>0.091</v>
      </c>
      <c r="AR250" t="n">
        <v>0.091</v>
      </c>
      <c r="AS250" t="n">
        <v>0.289</v>
      </c>
      <c r="AT250" t="n">
        <v>0.391</v>
      </c>
      <c r="AU250" t="n">
        <v>17</v>
      </c>
      <c r="AV250" t="n">
        <v>1</v>
      </c>
      <c r="AW250" t="n">
        <v>2.07</v>
      </c>
      <c r="AX250" t="n">
        <v>11</v>
      </c>
      <c r="AY250" t="n">
        <v>1.23</v>
      </c>
      <c r="AZ250" t="n">
        <v>1.434</v>
      </c>
      <c r="BA250" t="n">
        <v>1.332</v>
      </c>
      <c r="BB250" t="n">
        <v>1.434</v>
      </c>
      <c r="BC250" t="n">
        <v>0.116</v>
      </c>
      <c r="BD250" t="n">
        <v>0.135</v>
      </c>
      <c r="BE250" t="n">
        <v>0.126</v>
      </c>
      <c r="BF250" t="n">
        <v>0.7</v>
      </c>
      <c r="BG250" t="n">
        <v>0.066</v>
      </c>
      <c r="BH250" t="n">
        <v>0.895</v>
      </c>
      <c r="BI250" t="n">
        <v>1.94</v>
      </c>
      <c r="BJ250" t="n">
        <v>1.101</v>
      </c>
      <c r="BK250" t="n">
        <v>0.104</v>
      </c>
      <c r="BL250" t="n">
        <v>-0.332</v>
      </c>
      <c r="BM250" t="n">
        <v>-0.53</v>
      </c>
      <c r="BN250" t="n">
        <v>0.3</v>
      </c>
      <c r="BO250" t="n">
        <v>-0.204</v>
      </c>
      <c r="BP250" t="n">
        <v>12</v>
      </c>
      <c r="BQ250" t="n">
        <v>5</v>
      </c>
      <c r="BR250" t="n">
        <v>1</v>
      </c>
      <c r="BS250" t="n">
        <v>30</v>
      </c>
      <c r="BT250" t="n">
        <v>2.827</v>
      </c>
      <c r="BV250" t="n">
        <v>1</v>
      </c>
      <c r="BW250" t="n">
        <v>0.43</v>
      </c>
      <c r="BX250" t="n">
        <v>0.292</v>
      </c>
      <c r="BY250" t="n">
        <v>0.361</v>
      </c>
      <c r="BZ250" t="n">
        <v>0.034</v>
      </c>
      <c r="CA250" t="n">
        <v>1.693</v>
      </c>
      <c r="CB250" t="n">
        <v>0.16</v>
      </c>
      <c r="CC250" t="n">
        <v>5</v>
      </c>
      <c r="CE250" t="n">
        <v>5</v>
      </c>
      <c r="CF250" t="n">
        <v>3</v>
      </c>
      <c r="CI250" t="n">
        <v>3.274</v>
      </c>
      <c r="CJ250" t="n">
        <v>1.693</v>
      </c>
      <c r="CK250" t="n">
        <v>18</v>
      </c>
      <c r="CL250" t="n">
        <v>39</v>
      </c>
      <c r="CM250" t="n">
        <v>22</v>
      </c>
      <c r="CN250" t="n">
        <v>14</v>
      </c>
      <c r="CO250" t="n">
        <v>2</v>
      </c>
      <c r="CP250" t="n">
        <v>13</v>
      </c>
      <c r="CQ250" t="n">
        <v>2</v>
      </c>
      <c r="CR250" t="n">
        <v>49</v>
      </c>
      <c r="CS250" t="n">
        <v>5</v>
      </c>
      <c r="CT250" t="n">
        <v>0.4</v>
      </c>
      <c r="CU250" t="n">
        <v>1</v>
      </c>
      <c r="CW250" t="n">
        <v>13.66</v>
      </c>
      <c r="CX250" t="n">
        <v>1.287</v>
      </c>
      <c r="CY250" t="n">
        <v>0</v>
      </c>
      <c r="DB250" t="n">
        <v>0</v>
      </c>
      <c r="DF250" t="n">
        <v>2</v>
      </c>
      <c r="DG250" t="n">
        <v>0</v>
      </c>
      <c r="DH250" t="n">
        <v>24</v>
      </c>
      <c r="DI250" t="n">
        <v>7</v>
      </c>
      <c r="DL250" t="n">
        <v>15</v>
      </c>
      <c r="DM250" t="n">
        <v>7</v>
      </c>
      <c r="DN250" t="n">
        <v>3</v>
      </c>
      <c r="DO250" t="n">
        <v>0.2</v>
      </c>
      <c r="DP250" t="n">
        <v>28.76</v>
      </c>
      <c r="DQ250" t="n">
        <v>15.7</v>
      </c>
      <c r="DR250" t="n">
        <v>31.4</v>
      </c>
      <c r="DS250" t="n">
        <v>-2.64</v>
      </c>
      <c r="DT250" t="n">
        <v>277</v>
      </c>
      <c r="DU250" t="n">
        <v>7.29</v>
      </c>
      <c r="DV250" t="inlineStr">
        <is>
          <t>flat</t>
        </is>
      </c>
      <c r="DW250" t="n">
        <v>84.59999999999999</v>
      </c>
      <c r="DX250" t="n">
        <v>68.75</v>
      </c>
      <c r="DY250" t="n">
        <v>76.06</v>
      </c>
      <c r="DZ250" t="n">
        <v>-8.539999999999999</v>
      </c>
      <c r="EA250" t="n">
        <v>7</v>
      </c>
      <c r="EB250" t="n">
        <v>24.66</v>
      </c>
      <c r="EC250" t="n">
        <v>27</v>
      </c>
      <c r="ED250" t="n">
        <v>110</v>
      </c>
      <c r="EE250" t="n">
        <v>13</v>
      </c>
      <c r="EF250" t="b">
        <v>1</v>
      </c>
      <c r="EG250" t="n">
        <v>0.4</v>
      </c>
      <c r="EH250" t="n">
        <v>27.8</v>
      </c>
      <c r="EI250" t="n">
        <v>169</v>
      </c>
      <c r="EJ250" t="n">
        <v>79.59999999999999</v>
      </c>
      <c r="EK250" t="n">
        <v>31.8</v>
      </c>
      <c r="EL250" t="n">
        <v>191</v>
      </c>
      <c r="EM250" t="n">
        <v>716.9</v>
      </c>
      <c r="EN250" t="n">
        <v>2646.8</v>
      </c>
      <c r="EO250" t="n">
        <v>564.1</v>
      </c>
      <c r="EP250" t="n">
        <v>19.5</v>
      </c>
    </row>
    <row r="251">
      <c r="A251" t="inlineStr">
        <is>
          <t>Kevin</t>
        </is>
      </c>
      <c r="B251" t="inlineStr">
        <is>
          <t>FUL</t>
        </is>
      </c>
      <c r="C251" t="inlineStr">
        <is>
          <t>MID</t>
        </is>
      </c>
      <c r="D251" t="inlineStr">
        <is>
          <t>MID</t>
        </is>
      </c>
      <c r="E251" t="n">
        <v>5.5</v>
      </c>
      <c r="F251" t="b">
        <v>1</v>
      </c>
      <c r="G251" t="b">
        <v>1</v>
      </c>
      <c r="H251" t="n">
        <v>23.6</v>
      </c>
      <c r="I251" t="inlineStr">
        <is>
          <t>a</t>
        </is>
      </c>
      <c r="L251" t="inlineStr">
        <is>
          <t>p560552</t>
        </is>
      </c>
      <c r="M251" t="n">
        <v>263</v>
      </c>
      <c r="O251" t="n">
        <v>4</v>
      </c>
      <c r="Q251" t="n">
        <v>1030</v>
      </c>
      <c r="R251" t="n">
        <v>26</v>
      </c>
      <c r="S251" t="n">
        <v>9</v>
      </c>
      <c r="T251" t="n">
        <v>11.444</v>
      </c>
      <c r="U251" t="n">
        <v>39.6</v>
      </c>
      <c r="V251" t="n">
        <v>49</v>
      </c>
      <c r="W251" t="n">
        <v>4.282</v>
      </c>
      <c r="X251" t="n">
        <v>1</v>
      </c>
      <c r="Y251" t="n">
        <v>3</v>
      </c>
      <c r="Z251" t="n">
        <v>1</v>
      </c>
      <c r="AA251" t="n">
        <v>4</v>
      </c>
      <c r="AB251" t="n">
        <v>15</v>
      </c>
      <c r="AC251" t="n">
        <v>0</v>
      </c>
      <c r="AD251" t="n">
        <v>0</v>
      </c>
      <c r="AE251" t="n">
        <v>0</v>
      </c>
      <c r="AF251" t="n">
        <v>183</v>
      </c>
      <c r="AG251" t="n">
        <v>180</v>
      </c>
      <c r="AH251" t="n">
        <v>-3</v>
      </c>
      <c r="AI251" t="n">
        <v>49</v>
      </c>
      <c r="AJ251" t="n">
        <v>0</v>
      </c>
      <c r="AK251" t="n">
        <v>0</v>
      </c>
      <c r="AL251" t="n">
        <v>86</v>
      </c>
      <c r="AM251" t="n">
        <v>7.515</v>
      </c>
      <c r="AN251" t="n">
        <v>0</v>
      </c>
      <c r="AO251" t="n">
        <v>0</v>
      </c>
      <c r="AP251" t="n">
        <v>0</v>
      </c>
      <c r="AQ251" t="n">
        <v>0</v>
      </c>
      <c r="AR251" t="n">
        <v>0</v>
      </c>
      <c r="AS251" t="n">
        <v>0.237</v>
      </c>
      <c r="AT251" t="n">
        <v>0.231</v>
      </c>
      <c r="AU251" t="n">
        <v>19</v>
      </c>
      <c r="AV251" t="n">
        <v>0</v>
      </c>
      <c r="AW251" t="n">
        <v>1.59</v>
      </c>
      <c r="AX251" t="n">
        <v>6</v>
      </c>
      <c r="AY251" t="n">
        <v>1.21</v>
      </c>
      <c r="AZ251" t="n">
        <v>1.334</v>
      </c>
      <c r="BA251" t="n">
        <v>1.272</v>
      </c>
      <c r="BB251" t="n">
        <v>1.334</v>
      </c>
      <c r="BC251" t="n">
        <v>0.106</v>
      </c>
      <c r="BD251" t="n">
        <v>0.117</v>
      </c>
      <c r="BE251" t="n">
        <v>0.111</v>
      </c>
      <c r="BF251" t="n">
        <v>2</v>
      </c>
      <c r="BG251" t="n">
        <v>0.175</v>
      </c>
      <c r="BH251" t="n">
        <v>1.086</v>
      </c>
      <c r="BI251" t="n">
        <v>1.21</v>
      </c>
      <c r="BJ251" t="n">
        <v>1.314</v>
      </c>
      <c r="BK251" t="n">
        <v>0.115</v>
      </c>
      <c r="BL251" t="n">
        <v>-0.272</v>
      </c>
      <c r="BM251" t="n">
        <v>0.79</v>
      </c>
      <c r="BN251" t="n">
        <v>-1</v>
      </c>
      <c r="BO251" t="n">
        <v>-0.124</v>
      </c>
      <c r="BP251" t="n">
        <v>25</v>
      </c>
      <c r="BQ251" t="n">
        <v>10</v>
      </c>
      <c r="BR251" t="n">
        <v>1</v>
      </c>
      <c r="BS251" t="n">
        <v>61</v>
      </c>
      <c r="BT251" t="n">
        <v>5.33</v>
      </c>
      <c r="BW251" t="n">
        <v>1.47</v>
      </c>
      <c r="BX251" t="n">
        <v>1.24</v>
      </c>
      <c r="BY251" t="n">
        <v>1.355</v>
      </c>
      <c r="BZ251" t="n">
        <v>0.118</v>
      </c>
      <c r="CA251" t="n">
        <v>2.627</v>
      </c>
      <c r="CB251" t="n">
        <v>0.23</v>
      </c>
      <c r="CC251" t="n">
        <v>14</v>
      </c>
      <c r="CD251" t="n">
        <v>1</v>
      </c>
      <c r="CE251" t="n">
        <v>14</v>
      </c>
      <c r="CF251" t="n">
        <v>12</v>
      </c>
      <c r="CG251" t="n">
        <v>1</v>
      </c>
      <c r="CH251" t="n">
        <v>10</v>
      </c>
      <c r="CI251" t="n">
        <v>4.82</v>
      </c>
      <c r="CJ251" t="n">
        <v>2.892</v>
      </c>
      <c r="CK251" t="n">
        <v>17</v>
      </c>
      <c r="CL251" t="n">
        <v>48</v>
      </c>
      <c r="CM251" t="n">
        <v>21</v>
      </c>
      <c r="CN251" t="n">
        <v>11</v>
      </c>
      <c r="CO251" t="n">
        <v>9</v>
      </c>
      <c r="CP251" t="n">
        <v>8</v>
      </c>
      <c r="CR251" t="n">
        <v>90</v>
      </c>
      <c r="CS251" t="n">
        <v>8</v>
      </c>
      <c r="CT251" t="n">
        <v>0.6</v>
      </c>
      <c r="CW251" t="n">
        <v>14.57</v>
      </c>
      <c r="CX251" t="n">
        <v>1.273</v>
      </c>
      <c r="CY251" t="n">
        <v>0</v>
      </c>
      <c r="DB251" t="n">
        <v>0</v>
      </c>
      <c r="DE251" t="n">
        <v>6.62</v>
      </c>
      <c r="DF251" t="n">
        <v>1</v>
      </c>
      <c r="DG251" t="n">
        <v>0</v>
      </c>
      <c r="DH251" t="n">
        <v>14</v>
      </c>
      <c r="DI251" t="n">
        <v>17</v>
      </c>
      <c r="DJ251" t="n">
        <v>1</v>
      </c>
      <c r="DK251" t="n">
        <v>0</v>
      </c>
      <c r="DL251" t="n">
        <v>44</v>
      </c>
      <c r="DM251" t="n">
        <v>23</v>
      </c>
      <c r="DN251" t="n">
        <v>3</v>
      </c>
      <c r="DO251" t="n">
        <v>0.1</v>
      </c>
      <c r="DP251" t="n">
        <v>111.04</v>
      </c>
      <c r="DQ251" t="n">
        <v>55.55</v>
      </c>
      <c r="DR251" t="n">
        <v>111.1</v>
      </c>
      <c r="DS251" t="n">
        <v>-0.06</v>
      </c>
      <c r="DT251" t="n">
        <v>2519</v>
      </c>
      <c r="DU251" t="n">
        <v>66.3</v>
      </c>
      <c r="DV251" t="inlineStr">
        <is>
          <t>flat</t>
        </is>
      </c>
      <c r="DW251" t="n">
        <v>79.97</v>
      </c>
      <c r="DX251" t="n">
        <v>85.8</v>
      </c>
      <c r="DY251" t="n">
        <v>82.89</v>
      </c>
      <c r="DZ251" t="n">
        <v>2.92</v>
      </c>
      <c r="EA251" t="n">
        <v>17</v>
      </c>
      <c r="EB251" t="n">
        <v>27.79</v>
      </c>
      <c r="EC251" t="n">
        <v>14.22</v>
      </c>
      <c r="ED251" t="n">
        <v>116.67</v>
      </c>
      <c r="EE251" t="n">
        <v>28</v>
      </c>
      <c r="EF251" t="b">
        <v>1</v>
      </c>
      <c r="EG251" t="n">
        <v>0.7</v>
      </c>
      <c r="EH251" t="n">
        <v>15.2</v>
      </c>
      <c r="EI251" t="n">
        <v>168</v>
      </c>
      <c r="EJ251" t="n">
        <v>41.2</v>
      </c>
      <c r="EK251" t="n">
        <v>16.9</v>
      </c>
      <c r="EL251" t="n">
        <v>73.59999999999999</v>
      </c>
      <c r="EM251" t="n">
        <v>809.7</v>
      </c>
      <c r="EN251" t="n">
        <v>760</v>
      </c>
      <c r="EO251" t="n">
        <v>392.1</v>
      </c>
      <c r="EP251" t="n">
        <v>21</v>
      </c>
    </row>
    <row r="252">
      <c r="A252" t="inlineStr">
        <is>
          <t>Nicolás Domínguez</t>
        </is>
      </c>
      <c r="B252" t="inlineStr">
        <is>
          <t>NFO</t>
        </is>
      </c>
      <c r="C252" t="inlineStr">
        <is>
          <t>MID</t>
        </is>
      </c>
      <c r="D252" t="inlineStr">
        <is>
          <t>MID</t>
        </is>
      </c>
      <c r="E252" t="n">
        <v>5</v>
      </c>
      <c r="F252" t="b">
        <v>1</v>
      </c>
      <c r="G252" t="b">
        <v>1</v>
      </c>
      <c r="H252" t="n">
        <v>28.1</v>
      </c>
      <c r="I252" t="inlineStr">
        <is>
          <t>a</t>
        </is>
      </c>
      <c r="L252" t="inlineStr">
        <is>
          <t>p250199</t>
        </is>
      </c>
      <c r="M252" t="n">
        <v>487</v>
      </c>
      <c r="Q252" t="n">
        <v>1168</v>
      </c>
      <c r="R252" t="n">
        <v>27</v>
      </c>
      <c r="S252" t="n">
        <v>17</v>
      </c>
      <c r="T252" t="n">
        <v>12.978</v>
      </c>
      <c r="U252" t="n">
        <v>43.3</v>
      </c>
      <c r="V252" t="n">
        <v>48</v>
      </c>
      <c r="W252" t="n">
        <v>3.699</v>
      </c>
      <c r="X252" t="n">
        <v>1</v>
      </c>
      <c r="Y252" t="n">
        <v>1</v>
      </c>
      <c r="Z252" t="n">
        <v>1</v>
      </c>
      <c r="AA252" t="n">
        <v>3</v>
      </c>
      <c r="AB252" t="n">
        <v>20</v>
      </c>
      <c r="AC252" t="n">
        <v>3</v>
      </c>
      <c r="AD252" t="n">
        <v>3</v>
      </c>
      <c r="AE252" t="n">
        <v>0</v>
      </c>
      <c r="AF252" t="n">
        <v>229</v>
      </c>
      <c r="AG252" t="n">
        <v>224</v>
      </c>
      <c r="AH252" t="n">
        <v>-5</v>
      </c>
      <c r="AI252" t="n">
        <v>48</v>
      </c>
      <c r="AJ252" t="n">
        <v>0.062</v>
      </c>
      <c r="AK252" t="n">
        <v>0.067</v>
      </c>
      <c r="AL252" t="n">
        <v>143</v>
      </c>
      <c r="AM252" t="n">
        <v>11.019</v>
      </c>
      <c r="AN252" t="n">
        <v>1</v>
      </c>
      <c r="AO252" t="n">
        <v>2</v>
      </c>
      <c r="AP252" t="n">
        <v>0.059</v>
      </c>
      <c r="AQ252" t="n">
        <v>0.176</v>
      </c>
      <c r="AR252" t="n">
        <v>0.059</v>
      </c>
      <c r="AS252" t="n">
        <v>0.447</v>
      </c>
      <c r="AT252" t="n">
        <v>0.296</v>
      </c>
      <c r="AU252" t="n">
        <v>21</v>
      </c>
      <c r="AV252" t="n">
        <v>1</v>
      </c>
      <c r="AW252" t="n">
        <v>1.84</v>
      </c>
      <c r="AX252" t="n">
        <v>10</v>
      </c>
      <c r="AY252" t="n">
        <v>1.47</v>
      </c>
      <c r="AZ252" t="n">
        <v>1.012</v>
      </c>
      <c r="BA252" t="n">
        <v>1.241</v>
      </c>
      <c r="BB252" t="n">
        <v>1.012</v>
      </c>
      <c r="BC252" t="n">
        <v>0.113</v>
      </c>
      <c r="BD252" t="n">
        <v>0.078</v>
      </c>
      <c r="BE252" t="n">
        <v>0.096</v>
      </c>
      <c r="BF252" t="n">
        <v>1.7</v>
      </c>
      <c r="BG252" t="n">
        <v>0.131</v>
      </c>
      <c r="BH252" t="n">
        <v>1.012</v>
      </c>
      <c r="BI252" t="n">
        <v>4.35</v>
      </c>
      <c r="BJ252" t="n">
        <v>1.488</v>
      </c>
      <c r="BK252" t="n">
        <v>0.115</v>
      </c>
      <c r="BL252" t="n">
        <v>-0.241</v>
      </c>
      <c r="BM252" t="n">
        <v>0.23</v>
      </c>
      <c r="BN252" t="n">
        <v>-0.7</v>
      </c>
      <c r="BO252" t="n">
        <v>0.458</v>
      </c>
      <c r="BP252" t="n">
        <v>18</v>
      </c>
      <c r="BQ252" t="n">
        <v>5</v>
      </c>
      <c r="BR252" t="n">
        <v>1</v>
      </c>
      <c r="BS252" t="n">
        <v>17</v>
      </c>
      <c r="BT252" t="n">
        <v>1.31</v>
      </c>
      <c r="BV252" t="n">
        <v>1</v>
      </c>
      <c r="BW252" t="n">
        <v>0.77</v>
      </c>
      <c r="BX252" t="n">
        <v>1.28</v>
      </c>
      <c r="BY252" t="n">
        <v>1.025</v>
      </c>
      <c r="BZ252" t="n">
        <v>0.079</v>
      </c>
      <c r="CA252" t="n">
        <v>2.266</v>
      </c>
      <c r="CB252" t="n">
        <v>0.175</v>
      </c>
      <c r="CC252" t="n">
        <v>11</v>
      </c>
      <c r="CD252" t="n">
        <v>2</v>
      </c>
      <c r="CE252" t="n">
        <v>11</v>
      </c>
      <c r="CF252" t="n">
        <v>6</v>
      </c>
      <c r="CG252" t="n">
        <v>1</v>
      </c>
      <c r="CH252" t="n">
        <v>4</v>
      </c>
      <c r="CI252" t="n">
        <v>5.395</v>
      </c>
      <c r="CJ252" t="n">
        <v>4.229</v>
      </c>
      <c r="CK252" t="n">
        <v>29</v>
      </c>
      <c r="CL252" t="n">
        <v>58</v>
      </c>
      <c r="CM252" t="n">
        <v>56</v>
      </c>
      <c r="CN252" t="n">
        <v>30</v>
      </c>
      <c r="CO252" t="n">
        <v>7</v>
      </c>
      <c r="CP252" t="n">
        <v>17</v>
      </c>
      <c r="CQ252" t="n">
        <v>5</v>
      </c>
      <c r="CR252" t="n">
        <v>86</v>
      </c>
      <c r="CS252" t="n">
        <v>13</v>
      </c>
      <c r="CT252" t="n">
        <v>0.7</v>
      </c>
      <c r="CV252" t="n">
        <v>1</v>
      </c>
      <c r="CW252" t="n">
        <v>23.21</v>
      </c>
      <c r="CX252" t="n">
        <v>1.788</v>
      </c>
      <c r="CY252" t="n">
        <v>0</v>
      </c>
      <c r="DB252" t="n">
        <v>0</v>
      </c>
      <c r="DE252" t="n">
        <v>6.67</v>
      </c>
      <c r="DF252" t="n">
        <v>3</v>
      </c>
      <c r="DG252" t="n">
        <v>0</v>
      </c>
      <c r="DH252" t="n">
        <v>16</v>
      </c>
      <c r="DI252" t="n">
        <v>11</v>
      </c>
      <c r="DL252" t="n">
        <v>6</v>
      </c>
      <c r="DM252" t="n">
        <v>5</v>
      </c>
      <c r="DO252" t="n">
        <v>0.1</v>
      </c>
      <c r="DP252" t="n">
        <v>37.78</v>
      </c>
      <c r="DQ252" t="n">
        <v>18.89</v>
      </c>
      <c r="DR252" t="n">
        <v>37.78</v>
      </c>
      <c r="DS252" t="n">
        <v>0</v>
      </c>
      <c r="DT252" t="n">
        <v>752</v>
      </c>
      <c r="DU252" t="n">
        <v>19.8</v>
      </c>
      <c r="DV252" t="inlineStr">
        <is>
          <t>flat</t>
        </is>
      </c>
      <c r="DW252" t="n">
        <v>39.36</v>
      </c>
      <c r="DX252" t="n">
        <v>19</v>
      </c>
      <c r="DY252" t="n">
        <v>8</v>
      </c>
      <c r="DZ252" t="n">
        <v>-31.36</v>
      </c>
      <c r="EA252" t="n">
        <v>1</v>
      </c>
      <c r="EB252" t="n">
        <v>45.13</v>
      </c>
      <c r="EC252" t="n">
        <v>8</v>
      </c>
      <c r="ED252" t="n">
        <v>91.08</v>
      </c>
      <c r="EE252" t="n">
        <v>3</v>
      </c>
      <c r="EF252" t="b">
        <v>0</v>
      </c>
      <c r="EG252" t="n">
        <v>0.1</v>
      </c>
      <c r="EH252" t="n">
        <v>0</v>
      </c>
      <c r="EI252" t="n">
        <v>284</v>
      </c>
      <c r="EJ252" t="n">
        <v>64.90000000000001</v>
      </c>
      <c r="EK252" t="n">
        <v>68.7</v>
      </c>
      <c r="EL252" t="n">
        <v>106.2</v>
      </c>
      <c r="EM252" t="n">
        <v>941</v>
      </c>
      <c r="EN252" t="n">
        <v>1139.6</v>
      </c>
      <c r="EO252" t="n">
        <v>515.4</v>
      </c>
      <c r="EP252" t="n">
        <v>24.3</v>
      </c>
    </row>
    <row r="253">
      <c r="A253" t="inlineStr">
        <is>
          <t>Anthony Elanga</t>
        </is>
      </c>
      <c r="B253" t="inlineStr">
        <is>
          <t>NEW</t>
        </is>
      </c>
      <c r="C253" t="inlineStr">
        <is>
          <t>MID</t>
        </is>
      </c>
      <c r="D253" t="inlineStr">
        <is>
          <t>MID</t>
        </is>
      </c>
      <c r="E253" t="n">
        <v>6</v>
      </c>
      <c r="F253" t="b">
        <v>1</v>
      </c>
      <c r="G253" t="b">
        <v>1</v>
      </c>
      <c r="H253" t="n">
        <v>24.3</v>
      </c>
      <c r="I253" t="inlineStr">
        <is>
          <t>a</t>
        </is>
      </c>
      <c r="L253" t="inlineStr">
        <is>
          <t>p449434</t>
        </is>
      </c>
      <c r="M253" t="n">
        <v>454</v>
      </c>
      <c r="O253" t="n">
        <v>5</v>
      </c>
      <c r="Q253" t="n">
        <v>1302</v>
      </c>
      <c r="R253" t="n">
        <v>32</v>
      </c>
      <c r="S253" t="n">
        <v>14</v>
      </c>
      <c r="T253" t="n">
        <v>14.467</v>
      </c>
      <c r="U253" t="n">
        <v>40.7</v>
      </c>
      <c r="V253" t="n">
        <v>48</v>
      </c>
      <c r="W253" t="n">
        <v>3.318</v>
      </c>
      <c r="X253" t="n">
        <v>0</v>
      </c>
      <c r="Y253" t="n">
        <v>1</v>
      </c>
      <c r="Z253" t="n">
        <v>1</v>
      </c>
      <c r="AA253" t="n">
        <v>2</v>
      </c>
      <c r="AB253" t="n">
        <v>28</v>
      </c>
      <c r="AC253" t="n">
        <v>0</v>
      </c>
      <c r="AD253" t="n">
        <v>0</v>
      </c>
      <c r="AE253" t="n">
        <v>0</v>
      </c>
      <c r="AF253" t="n">
        <v>179</v>
      </c>
      <c r="AG253" t="n">
        <v>178</v>
      </c>
      <c r="AH253" t="n">
        <v>-1</v>
      </c>
      <c r="AI253" t="n">
        <v>48</v>
      </c>
      <c r="AJ253" t="n">
        <v>0</v>
      </c>
      <c r="AK253" t="n">
        <v>0</v>
      </c>
      <c r="AL253" t="n">
        <v>55</v>
      </c>
      <c r="AM253" t="n">
        <v>3.802</v>
      </c>
      <c r="AN253" t="n">
        <v>0</v>
      </c>
      <c r="AO253" t="n">
        <v>0</v>
      </c>
      <c r="AP253" t="n">
        <v>0</v>
      </c>
      <c r="AQ253" t="n">
        <v>0</v>
      </c>
      <c r="AR253" t="n">
        <v>0</v>
      </c>
      <c r="AS253" t="n">
        <v>0.368</v>
      </c>
      <c r="AT253" t="n">
        <v>0.344</v>
      </c>
      <c r="AU253" t="n">
        <v>29</v>
      </c>
      <c r="AV253" t="n">
        <v>0</v>
      </c>
      <c r="AW253" t="n">
        <v>0.98</v>
      </c>
      <c r="AX253" t="n">
        <v>5</v>
      </c>
      <c r="AY253" t="n">
        <v>1.65</v>
      </c>
      <c r="AZ253" t="n">
        <v>1.453</v>
      </c>
      <c r="BA253" t="n">
        <v>1.552</v>
      </c>
      <c r="BB253" t="n">
        <v>1.453</v>
      </c>
      <c r="BC253" t="n">
        <v>0.114</v>
      </c>
      <c r="BD253" t="n">
        <v>0.1</v>
      </c>
      <c r="BE253" t="n">
        <v>0.107</v>
      </c>
      <c r="BF253" t="n">
        <v>0.7</v>
      </c>
      <c r="BG253" t="n">
        <v>0.048</v>
      </c>
      <c r="BH253" t="n">
        <v>1.112</v>
      </c>
      <c r="BI253" t="n">
        <v>13.31</v>
      </c>
      <c r="BJ253" t="n">
        <v>1.835</v>
      </c>
      <c r="BK253" t="n">
        <v>0.127</v>
      </c>
      <c r="BL253" t="n">
        <v>-1.552</v>
      </c>
      <c r="BM253" t="n">
        <v>-0.95</v>
      </c>
      <c r="BN253" t="n">
        <v>-0.7</v>
      </c>
      <c r="BO253" t="n">
        <v>0.197</v>
      </c>
      <c r="BP253" t="n">
        <v>17</v>
      </c>
      <c r="BQ253" t="n">
        <v>4</v>
      </c>
      <c r="BR253" t="n">
        <v>1</v>
      </c>
      <c r="BS253" t="n">
        <v>59</v>
      </c>
      <c r="BT253" t="n">
        <v>4.078</v>
      </c>
      <c r="BW253" t="n">
        <v>1.74</v>
      </c>
      <c r="BX253" t="n">
        <v>1.75</v>
      </c>
      <c r="BY253" t="n">
        <v>1.745</v>
      </c>
      <c r="BZ253" t="n">
        <v>0.121</v>
      </c>
      <c r="CA253" t="n">
        <v>3.296</v>
      </c>
      <c r="CB253" t="n">
        <v>0.228</v>
      </c>
      <c r="CC253" t="n">
        <v>15</v>
      </c>
      <c r="CD253" t="n">
        <v>2</v>
      </c>
      <c r="CE253" t="n">
        <v>15</v>
      </c>
      <c r="CF253" t="n">
        <v>12</v>
      </c>
      <c r="CG253" t="n">
        <v>0</v>
      </c>
      <c r="CH253" t="n">
        <v>15</v>
      </c>
      <c r="CI253" t="n">
        <v>4.289</v>
      </c>
      <c r="CJ253" t="n">
        <v>1.843</v>
      </c>
      <c r="CK253" t="n">
        <v>9</v>
      </c>
      <c r="CL253" t="n">
        <v>32</v>
      </c>
      <c r="CM253" t="n">
        <v>14</v>
      </c>
      <c r="CN253" t="n">
        <v>11</v>
      </c>
      <c r="CO253" t="n">
        <v>3</v>
      </c>
      <c r="CP253" t="n">
        <v>6</v>
      </c>
      <c r="CR253" t="n">
        <v>65</v>
      </c>
      <c r="CS253" t="n">
        <v>13</v>
      </c>
      <c r="CT253" t="n">
        <v>0.2</v>
      </c>
      <c r="CW253" t="n">
        <v>21.11</v>
      </c>
      <c r="CX253" t="n">
        <v>1.459</v>
      </c>
      <c r="CY253" t="n">
        <v>0</v>
      </c>
      <c r="DB253" t="n">
        <v>0</v>
      </c>
      <c r="DE253" t="n">
        <v>6.39</v>
      </c>
      <c r="DF253" t="n">
        <v>0</v>
      </c>
      <c r="DG253" t="n">
        <v>0</v>
      </c>
      <c r="DH253" t="n">
        <v>8</v>
      </c>
      <c r="DI253" t="n">
        <v>25</v>
      </c>
      <c r="DL253" t="n">
        <v>13</v>
      </c>
      <c r="DM253" t="n">
        <v>18</v>
      </c>
      <c r="DN253" t="n">
        <v>2</v>
      </c>
      <c r="DO253" t="n">
        <v>0.7</v>
      </c>
      <c r="DP253" t="n">
        <v>67.38</v>
      </c>
      <c r="DQ253" t="n">
        <v>33.7</v>
      </c>
      <c r="DR253" t="n">
        <v>67.40000000000001</v>
      </c>
      <c r="DS253" t="n">
        <v>-0.02</v>
      </c>
      <c r="DT253" t="n">
        <v>1345</v>
      </c>
      <c r="DU253" t="n">
        <v>35.4</v>
      </c>
      <c r="DV253" t="inlineStr">
        <is>
          <t>flat</t>
        </is>
      </c>
      <c r="DW253" t="n">
        <v>77.98999999999999</v>
      </c>
      <c r="DX253" t="n">
        <v>83.70999999999999</v>
      </c>
      <c r="DY253" t="n">
        <v>76.77</v>
      </c>
      <c r="DZ253" t="n">
        <v>-1.22</v>
      </c>
      <c r="EA253" t="n">
        <v>268</v>
      </c>
      <c r="EB253" t="n">
        <v>21.02</v>
      </c>
      <c r="EC253" t="n">
        <v>20</v>
      </c>
      <c r="ED253" t="n">
        <v>120</v>
      </c>
      <c r="EE253" t="n">
        <v>457</v>
      </c>
      <c r="EF253" t="b">
        <v>1</v>
      </c>
      <c r="EG253" t="n">
        <v>10.2</v>
      </c>
      <c r="EH253" t="n">
        <v>8.199999999999999</v>
      </c>
      <c r="EI253" t="n">
        <v>98</v>
      </c>
      <c r="EJ253" t="n">
        <v>76.59999999999999</v>
      </c>
      <c r="EK253" t="n">
        <v>22.1</v>
      </c>
      <c r="EL253" t="n">
        <v>86.8</v>
      </c>
      <c r="EM253" t="n">
        <v>839.1</v>
      </c>
      <c r="EN253" t="n">
        <v>746.2</v>
      </c>
      <c r="EO253" t="n">
        <v>395</v>
      </c>
      <c r="EP253" t="n">
        <v>27.1</v>
      </c>
    </row>
    <row r="254">
      <c r="A254" t="inlineStr">
        <is>
          <t>Ryan Christie</t>
        </is>
      </c>
      <c r="B254" t="inlineStr">
        <is>
          <t>BOU</t>
        </is>
      </c>
      <c r="C254" t="inlineStr">
        <is>
          <t>MID</t>
        </is>
      </c>
      <c r="D254" t="inlineStr">
        <is>
          <t>MID</t>
        </is>
      </c>
      <c r="E254" t="n">
        <v>5</v>
      </c>
      <c r="F254" t="b">
        <v>1</v>
      </c>
      <c r="G254" t="b">
        <v>1</v>
      </c>
      <c r="H254" t="n">
        <v>31.5</v>
      </c>
      <c r="I254" t="inlineStr">
        <is>
          <t>s</t>
        </is>
      </c>
      <c r="J254" t="inlineStr">
        <is>
          <t>Suspended until 29 Aug</t>
        </is>
      </c>
      <c r="K254" t="n">
        <v>0</v>
      </c>
      <c r="L254" t="inlineStr">
        <is>
          <t>p158499</t>
        </is>
      </c>
      <c r="M254" t="n">
        <v>75</v>
      </c>
      <c r="O254" t="n">
        <v>6</v>
      </c>
      <c r="Q254" t="n">
        <v>978</v>
      </c>
      <c r="R254" t="n">
        <v>26</v>
      </c>
      <c r="S254" t="n">
        <v>9</v>
      </c>
      <c r="T254" t="n">
        <v>10.867</v>
      </c>
      <c r="U254" t="n">
        <v>37.6</v>
      </c>
      <c r="V254" t="n">
        <v>47</v>
      </c>
      <c r="W254" t="n">
        <v>4.325</v>
      </c>
      <c r="X254" t="n">
        <v>2</v>
      </c>
      <c r="Y254" t="n">
        <v>1</v>
      </c>
      <c r="AA254" t="n">
        <v>3</v>
      </c>
      <c r="AB254" t="n">
        <v>14</v>
      </c>
      <c r="AC254" t="n">
        <v>2</v>
      </c>
      <c r="AD254" t="n">
        <v>2</v>
      </c>
      <c r="AE254" t="n">
        <v>0</v>
      </c>
      <c r="AF254" t="n">
        <v>214</v>
      </c>
      <c r="AG254" t="n">
        <v>208</v>
      </c>
      <c r="AH254" t="n">
        <v>-6</v>
      </c>
      <c r="AI254" t="n">
        <v>47</v>
      </c>
      <c r="AJ254" t="n">
        <v>0.043</v>
      </c>
      <c r="AK254" t="n">
        <v>0.044</v>
      </c>
      <c r="AL254" t="n">
        <v>123</v>
      </c>
      <c r="AM254" t="n">
        <v>11.319</v>
      </c>
      <c r="AN254" t="n">
        <v>1</v>
      </c>
      <c r="AO254" t="n">
        <v>2</v>
      </c>
      <c r="AP254" t="n">
        <v>0.111</v>
      </c>
      <c r="AQ254" t="n">
        <v>0.333</v>
      </c>
      <c r="AR254" t="n">
        <v>0.111</v>
      </c>
      <c r="AS254" t="n">
        <v>0.237</v>
      </c>
      <c r="AT254" t="n">
        <v>0.269</v>
      </c>
      <c r="AU254" t="n">
        <v>21</v>
      </c>
      <c r="AV254" t="n">
        <v>0</v>
      </c>
      <c r="AW254" t="n">
        <v>1.9</v>
      </c>
      <c r="AX254" t="n">
        <v>9</v>
      </c>
      <c r="AY254" t="n">
        <v>1.81</v>
      </c>
      <c r="AZ254" t="n">
        <v>1.791</v>
      </c>
      <c r="BA254" t="n">
        <v>1.8</v>
      </c>
      <c r="BB254" t="n">
        <v>1.791</v>
      </c>
      <c r="BC254" t="n">
        <v>0.167</v>
      </c>
      <c r="BD254" t="n">
        <v>0.165</v>
      </c>
      <c r="BE254" t="n">
        <v>0.166</v>
      </c>
      <c r="BF254" t="n">
        <v>2.6</v>
      </c>
      <c r="BG254" t="n">
        <v>0.239</v>
      </c>
      <c r="BH254" t="n">
        <v>0.992</v>
      </c>
      <c r="BI254" t="n">
        <v>9.33</v>
      </c>
      <c r="BJ254" t="n">
        <v>1.796</v>
      </c>
      <c r="BK254" t="n">
        <v>0.165</v>
      </c>
      <c r="BL254" t="n">
        <v>0.2</v>
      </c>
      <c r="BM254" t="n">
        <v>0.79</v>
      </c>
      <c r="BN254" t="n">
        <v>-0.6</v>
      </c>
      <c r="BO254" t="n">
        <v>0.019</v>
      </c>
      <c r="BP254" t="n">
        <v>25</v>
      </c>
      <c r="BQ254" t="n">
        <v>8</v>
      </c>
      <c r="BR254" t="n">
        <v>1</v>
      </c>
      <c r="BS254" t="n">
        <v>27</v>
      </c>
      <c r="BT254" t="n">
        <v>2.485</v>
      </c>
      <c r="BW254" t="n">
        <v>0.79</v>
      </c>
      <c r="BX254" t="n">
        <v>1.62</v>
      </c>
      <c r="BY254" t="n">
        <v>1.205</v>
      </c>
      <c r="BZ254" t="n">
        <v>0.111</v>
      </c>
      <c r="CA254" t="n">
        <v>3.005</v>
      </c>
      <c r="CB254" t="n">
        <v>0.277</v>
      </c>
      <c r="CC254" t="n">
        <v>11</v>
      </c>
      <c r="CD254" t="n">
        <v>2</v>
      </c>
      <c r="CE254" t="n">
        <v>11</v>
      </c>
      <c r="CF254" t="n">
        <v>3</v>
      </c>
      <c r="CG254" t="n">
        <v>1</v>
      </c>
      <c r="CH254" t="n">
        <v>4</v>
      </c>
      <c r="CI254" t="n">
        <v>7.692</v>
      </c>
      <c r="CJ254" t="n">
        <v>4.515</v>
      </c>
      <c r="CK254" t="n">
        <v>34</v>
      </c>
      <c r="CL254" t="n">
        <v>62</v>
      </c>
      <c r="CM254" t="n">
        <v>27</v>
      </c>
      <c r="CN254" t="n">
        <v>17</v>
      </c>
      <c r="CO254" t="n">
        <v>12</v>
      </c>
      <c r="CP254" t="n">
        <v>18</v>
      </c>
      <c r="CQ254" t="n">
        <v>4</v>
      </c>
      <c r="CR254" t="n">
        <v>80</v>
      </c>
      <c r="CS254" t="n">
        <v>13</v>
      </c>
      <c r="CT254" t="n">
        <v>1</v>
      </c>
      <c r="CV254" t="n">
        <v>1</v>
      </c>
      <c r="CW254" t="n">
        <v>19.14</v>
      </c>
      <c r="CX254" t="n">
        <v>1.761</v>
      </c>
      <c r="CY254" t="n">
        <v>0</v>
      </c>
      <c r="DB254" t="n">
        <v>0</v>
      </c>
      <c r="DE254" t="n">
        <v>6.64</v>
      </c>
      <c r="DF254" t="n">
        <v>3</v>
      </c>
      <c r="DG254" t="n">
        <v>1</v>
      </c>
      <c r="DH254" t="n">
        <v>17</v>
      </c>
      <c r="DI254" t="n">
        <v>22</v>
      </c>
      <c r="DK254" t="n">
        <v>1</v>
      </c>
      <c r="DL254" t="n">
        <v>19</v>
      </c>
      <c r="DM254" t="n">
        <v>15</v>
      </c>
      <c r="DN254" t="n">
        <v>1</v>
      </c>
      <c r="DO254" t="n">
        <v>0</v>
      </c>
      <c r="DP254" t="n">
        <v>36.68</v>
      </c>
      <c r="DQ254" t="n">
        <v>18.42</v>
      </c>
      <c r="DR254" t="n">
        <v>36.84</v>
      </c>
      <c r="DS254" t="n">
        <v>-0.16</v>
      </c>
      <c r="DT254" t="n">
        <v>406</v>
      </c>
      <c r="DU254" t="n">
        <v>10.69</v>
      </c>
      <c r="DV254" t="inlineStr">
        <is>
          <t>flat</t>
        </is>
      </c>
      <c r="EJ254" t="n">
        <v>39.1</v>
      </c>
      <c r="EK254" t="n">
        <v>36.2</v>
      </c>
      <c r="EL254" t="n">
        <v>88.90000000000001</v>
      </c>
      <c r="EM254" t="n">
        <v>543.2</v>
      </c>
      <c r="EN254" t="n">
        <v>811.8</v>
      </c>
      <c r="EO254" t="n">
        <v>325.4</v>
      </c>
      <c r="EP254" t="n">
        <v>20.8</v>
      </c>
    </row>
    <row r="255">
      <c r="A255" t="inlineStr">
        <is>
          <t>Andrey Santos</t>
        </is>
      </c>
      <c r="B255" t="inlineStr">
        <is>
          <t>MUN</t>
        </is>
      </c>
      <c r="C255" t="inlineStr">
        <is>
          <t>MID</t>
        </is>
      </c>
      <c r="D255" t="inlineStr">
        <is>
          <t>MID</t>
        </is>
      </c>
      <c r="E255" t="n">
        <v>5</v>
      </c>
      <c r="F255" t="b">
        <v>1</v>
      </c>
      <c r="G255" t="b">
        <v>1</v>
      </c>
      <c r="H255" t="n">
        <v>22.3</v>
      </c>
      <c r="I255" t="inlineStr">
        <is>
          <t>a</t>
        </is>
      </c>
      <c r="L255" t="inlineStr">
        <is>
          <t>p532605</t>
        </is>
      </c>
      <c r="M255" t="n">
        <v>162</v>
      </c>
      <c r="Q255" t="n">
        <v>1247</v>
      </c>
      <c r="R255" t="n">
        <v>27</v>
      </c>
      <c r="S255" t="n">
        <v>13</v>
      </c>
      <c r="T255" t="n">
        <v>13.856</v>
      </c>
      <c r="U255" t="n">
        <v>46.2</v>
      </c>
      <c r="V255" t="n">
        <v>47</v>
      </c>
      <c r="W255" t="n">
        <v>3.392</v>
      </c>
      <c r="X255" t="n">
        <v>1</v>
      </c>
      <c r="Y255" t="n">
        <v>0</v>
      </c>
      <c r="AA255" t="n">
        <v>1</v>
      </c>
      <c r="AB255" t="n">
        <v>18</v>
      </c>
      <c r="AC255" t="n">
        <v>3</v>
      </c>
      <c r="AD255" t="n">
        <v>3</v>
      </c>
      <c r="AE255" t="n">
        <v>0</v>
      </c>
      <c r="AF255" t="n">
        <v>257</v>
      </c>
      <c r="AG255" t="n">
        <v>247</v>
      </c>
      <c r="AH255" t="n">
        <v>-10</v>
      </c>
      <c r="AI255" t="n">
        <v>47</v>
      </c>
      <c r="AJ255" t="n">
        <v>0.064</v>
      </c>
      <c r="AK255" t="n">
        <v>0.068</v>
      </c>
      <c r="AL255" t="n">
        <v>129</v>
      </c>
      <c r="AM255" t="n">
        <v>9.31</v>
      </c>
      <c r="AN255" t="n">
        <v>2</v>
      </c>
      <c r="AO255" t="n">
        <v>4</v>
      </c>
      <c r="AP255" t="n">
        <v>0.154</v>
      </c>
      <c r="AQ255" t="n">
        <v>0.154</v>
      </c>
      <c r="AR255" t="n">
        <v>0.154</v>
      </c>
      <c r="AS255" t="n">
        <v>0.342</v>
      </c>
      <c r="AT255" t="n">
        <v>0.407</v>
      </c>
      <c r="AU255" t="n">
        <v>24</v>
      </c>
      <c r="AV255" t="n">
        <v>1</v>
      </c>
      <c r="AW255" t="n">
        <v>1.81</v>
      </c>
      <c r="AX255" t="n">
        <v>10</v>
      </c>
      <c r="AY255" t="n">
        <v>2</v>
      </c>
      <c r="AZ255" t="n">
        <v>2.555</v>
      </c>
      <c r="BA255" t="n">
        <v>2.278</v>
      </c>
      <c r="BB255" t="n">
        <v>2.555</v>
      </c>
      <c r="BC255" t="n">
        <v>0.144</v>
      </c>
      <c r="BD255" t="n">
        <v>0.184</v>
      </c>
      <c r="BE255" t="n">
        <v>0.164</v>
      </c>
      <c r="BF255" t="n">
        <v>1.4</v>
      </c>
      <c r="BG255" t="n">
        <v>0.101</v>
      </c>
      <c r="BH255" t="n">
        <v>0.9340000000000001</v>
      </c>
      <c r="BI255" t="n">
        <v>2.06</v>
      </c>
      <c r="BJ255" t="n">
        <v>1.869</v>
      </c>
      <c r="BK255" t="n">
        <v>0.135</v>
      </c>
      <c r="BL255" t="n">
        <v>-1.278</v>
      </c>
      <c r="BM255" t="n">
        <v>-0.6</v>
      </c>
      <c r="BN255" t="n">
        <v>-0.4</v>
      </c>
      <c r="BO255" t="n">
        <v>-0.555</v>
      </c>
      <c r="BP255" t="n">
        <v>11</v>
      </c>
      <c r="BQ255" t="n">
        <v>2</v>
      </c>
      <c r="BR255" t="n">
        <v>3</v>
      </c>
      <c r="BS255" t="n">
        <v>20</v>
      </c>
      <c r="BT255" t="n">
        <v>1.443</v>
      </c>
      <c r="BW255" t="n">
        <v>0.88</v>
      </c>
      <c r="BX255" t="n">
        <v>0.6879999999999999</v>
      </c>
      <c r="BY255" t="n">
        <v>0.784</v>
      </c>
      <c r="BZ255" t="n">
        <v>0.057</v>
      </c>
      <c r="CA255" t="n">
        <v>3.062</v>
      </c>
      <c r="CB255" t="n">
        <v>0.221</v>
      </c>
      <c r="CC255" t="n">
        <v>8</v>
      </c>
      <c r="CD255" t="n">
        <v>1</v>
      </c>
      <c r="CE255" t="n">
        <v>8</v>
      </c>
      <c r="CG255" t="n">
        <v>1</v>
      </c>
      <c r="CI255" t="n">
        <v>6.325</v>
      </c>
      <c r="CJ255" t="n">
        <v>4.395</v>
      </c>
      <c r="CK255" t="n">
        <v>44</v>
      </c>
      <c r="CL255" t="n">
        <v>48</v>
      </c>
      <c r="CM255" t="n">
        <v>37</v>
      </c>
      <c r="CN255" t="n">
        <v>19</v>
      </c>
      <c r="CO255" t="n">
        <v>20</v>
      </c>
      <c r="CP255" t="n">
        <v>18</v>
      </c>
      <c r="CQ255" t="n">
        <v>6</v>
      </c>
      <c r="CR255" t="n">
        <v>75</v>
      </c>
      <c r="CS255" t="n">
        <v>14</v>
      </c>
      <c r="CT255" t="n">
        <v>0.5</v>
      </c>
      <c r="CV255" t="n">
        <v>1</v>
      </c>
      <c r="CW255" t="n">
        <v>18.91</v>
      </c>
      <c r="CX255" t="n">
        <v>1.365</v>
      </c>
      <c r="CY255" t="n">
        <v>0</v>
      </c>
      <c r="DB255" t="n">
        <v>0</v>
      </c>
      <c r="DE255" t="n">
        <v>6.73</v>
      </c>
      <c r="DF255" t="n">
        <v>4</v>
      </c>
      <c r="DG255" t="n">
        <v>0</v>
      </c>
      <c r="DH255" t="n">
        <v>13</v>
      </c>
      <c r="DI255" t="n">
        <v>22</v>
      </c>
      <c r="DL255" t="n">
        <v>2</v>
      </c>
      <c r="DM255" t="n">
        <v>2</v>
      </c>
      <c r="DN255" t="n">
        <v>1</v>
      </c>
      <c r="DO255" t="n">
        <v>1.3</v>
      </c>
      <c r="DP255" t="n">
        <v>117.06</v>
      </c>
      <c r="DQ255" t="n">
        <v>58.53</v>
      </c>
      <c r="DR255" t="n">
        <v>117.06</v>
      </c>
      <c r="DS255" t="n">
        <v>0</v>
      </c>
      <c r="DT255" t="n">
        <v>2861</v>
      </c>
      <c r="DU255" t="n">
        <v>75.3</v>
      </c>
      <c r="DV255" t="inlineStr">
        <is>
          <t>flat</t>
        </is>
      </c>
      <c r="DW255" t="n">
        <v>81.81</v>
      </c>
      <c r="DX255" t="n">
        <v>81.08</v>
      </c>
      <c r="DY255" t="n">
        <v>82.04000000000001</v>
      </c>
      <c r="DZ255" t="n">
        <v>0.24</v>
      </c>
      <c r="EA255" t="n">
        <v>53</v>
      </c>
      <c r="EB255" t="n">
        <v>24.82</v>
      </c>
      <c r="EC255" t="n">
        <v>14</v>
      </c>
      <c r="ED255" t="n">
        <v>120</v>
      </c>
      <c r="EE255" t="n">
        <v>110</v>
      </c>
      <c r="EF255" t="b">
        <v>1</v>
      </c>
      <c r="EG255" t="n">
        <v>2.7</v>
      </c>
      <c r="EH255" t="n">
        <v>15.4</v>
      </c>
      <c r="EI255" t="n">
        <v>286</v>
      </c>
      <c r="EJ255" t="n">
        <v>113.4</v>
      </c>
      <c r="EK255" t="n">
        <v>62.4</v>
      </c>
      <c r="EL255" t="n">
        <v>155.9</v>
      </c>
      <c r="EM255" t="n">
        <v>547.5</v>
      </c>
      <c r="EN255" t="n">
        <v>1590.2</v>
      </c>
      <c r="EO255" t="n">
        <v>407.3</v>
      </c>
      <c r="EP255" t="n">
        <v>26.5</v>
      </c>
    </row>
    <row r="256">
      <c r="A256" t="inlineStr">
        <is>
          <t>Bafodé Diakité</t>
        </is>
      </c>
      <c r="B256" t="inlineStr">
        <is>
          <t>BOU</t>
        </is>
      </c>
      <c r="C256" t="inlineStr">
        <is>
          <t>DEF</t>
        </is>
      </c>
      <c r="D256" t="inlineStr">
        <is>
          <t>DEF</t>
        </is>
      </c>
      <c r="E256" t="n">
        <v>5</v>
      </c>
      <c r="F256" t="b">
        <v>1</v>
      </c>
      <c r="G256" t="b">
        <v>1</v>
      </c>
      <c r="H256" t="n">
        <v>25.6</v>
      </c>
      <c r="I256" t="inlineStr">
        <is>
          <t>a</t>
        </is>
      </c>
      <c r="L256" t="inlineStr">
        <is>
          <t>p242882</t>
        </is>
      </c>
      <c r="M256" t="n">
        <v>62</v>
      </c>
      <c r="Q256" t="n">
        <v>1275</v>
      </c>
      <c r="R256" t="n">
        <v>18</v>
      </c>
      <c r="S256" t="n">
        <v>15</v>
      </c>
      <c r="T256" t="n">
        <v>14.167</v>
      </c>
      <c r="U256" t="n">
        <v>70.8</v>
      </c>
      <c r="V256" t="n">
        <v>46</v>
      </c>
      <c r="W256" t="n">
        <v>3.247</v>
      </c>
      <c r="X256" t="n">
        <v>0</v>
      </c>
      <c r="Y256" t="n">
        <v>0</v>
      </c>
      <c r="AA256" t="n">
        <v>4</v>
      </c>
      <c r="AB256" t="n">
        <v>27</v>
      </c>
      <c r="AC256" t="n">
        <v>2</v>
      </c>
      <c r="AD256" t="n">
        <v>2</v>
      </c>
      <c r="AE256" t="n">
        <v>0</v>
      </c>
      <c r="AF256" t="n">
        <v>164</v>
      </c>
      <c r="AG256" t="n">
        <v>146</v>
      </c>
      <c r="AH256" t="n">
        <v>-18</v>
      </c>
      <c r="AI256" t="n">
        <v>46</v>
      </c>
      <c r="AJ256" t="n">
        <v>0.043</v>
      </c>
      <c r="AK256" t="n">
        <v>0.045</v>
      </c>
      <c r="AL256" t="n">
        <v>117</v>
      </c>
      <c r="AM256" t="n">
        <v>8.259</v>
      </c>
      <c r="AN256" t="n">
        <v>4</v>
      </c>
      <c r="AO256" t="n">
        <v>8</v>
      </c>
      <c r="AP256" t="n">
        <v>0.267</v>
      </c>
      <c r="AQ256" t="n">
        <v>0.267</v>
      </c>
      <c r="AR256" t="n">
        <v>0.067</v>
      </c>
      <c r="AS256" t="n">
        <v>0.395</v>
      </c>
      <c r="AT256" t="n">
        <v>0.722</v>
      </c>
      <c r="AU256" t="n">
        <v>11</v>
      </c>
      <c r="AV256" t="n">
        <v>1</v>
      </c>
      <c r="AW256" t="n">
        <v>2.26</v>
      </c>
      <c r="AX256" t="n">
        <v>10</v>
      </c>
      <c r="AY256" t="n">
        <v>0.02</v>
      </c>
      <c r="AZ256" t="n">
        <v>0.014</v>
      </c>
      <c r="BA256" t="n">
        <v>0.017</v>
      </c>
      <c r="BB256" t="n">
        <v>0.014</v>
      </c>
      <c r="BC256" t="n">
        <v>0.001</v>
      </c>
      <c r="BD256" t="n">
        <v>0.001</v>
      </c>
      <c r="BE256" t="n">
        <v>0.001</v>
      </c>
      <c r="BH256" t="n">
        <v>0.998</v>
      </c>
      <c r="BI256" t="n">
        <v>0.02</v>
      </c>
      <c r="BJ256" t="n">
        <v>0.02</v>
      </c>
      <c r="BK256" t="n">
        <v>0.001</v>
      </c>
      <c r="BL256" t="n">
        <v>-0.017</v>
      </c>
      <c r="BO256" t="n">
        <v>0.006</v>
      </c>
      <c r="BP256" t="n">
        <v>1</v>
      </c>
      <c r="BS256" t="n">
        <v>10</v>
      </c>
      <c r="BT256" t="n">
        <v>0.706</v>
      </c>
      <c r="BW256" t="n">
        <v>0.19</v>
      </c>
      <c r="BX256" t="n">
        <v>0.08500000000000001</v>
      </c>
      <c r="BY256" t="n">
        <v>0.137</v>
      </c>
      <c r="BZ256" t="n">
        <v>0.01</v>
      </c>
      <c r="CA256" t="n">
        <v>0.154</v>
      </c>
      <c r="CB256" t="n">
        <v>0.011</v>
      </c>
      <c r="CC256" t="n">
        <v>2</v>
      </c>
      <c r="CE256" t="n">
        <v>3</v>
      </c>
      <c r="CI256" t="n">
        <v>3.927</v>
      </c>
      <c r="CJ256" t="n">
        <v>3.878</v>
      </c>
      <c r="CK256" t="n">
        <v>97</v>
      </c>
      <c r="CL256" t="n">
        <v>48</v>
      </c>
      <c r="CM256" t="n">
        <v>20</v>
      </c>
      <c r="CN256" t="n">
        <v>15</v>
      </c>
      <c r="CO256" t="n">
        <v>12</v>
      </c>
      <c r="CP256" t="n">
        <v>83</v>
      </c>
      <c r="CQ256" t="n">
        <v>5</v>
      </c>
      <c r="CR256" t="n">
        <v>60</v>
      </c>
      <c r="CS256" t="n">
        <v>35</v>
      </c>
      <c r="CV256" t="n">
        <v>1</v>
      </c>
      <c r="CW256" t="n">
        <v>22.47</v>
      </c>
      <c r="CX256" t="n">
        <v>1.586</v>
      </c>
      <c r="CY256" t="n">
        <v>0</v>
      </c>
      <c r="DB256" t="n">
        <v>0</v>
      </c>
      <c r="DF256" t="n">
        <v>1</v>
      </c>
      <c r="DG256" t="n">
        <v>0</v>
      </c>
      <c r="DH256" t="n">
        <v>8</v>
      </c>
      <c r="DI256" t="n">
        <v>5</v>
      </c>
      <c r="DK256" t="n">
        <v>1</v>
      </c>
      <c r="DM256" t="n">
        <v>1</v>
      </c>
      <c r="DN256" t="n">
        <v>2</v>
      </c>
      <c r="DO256" t="n">
        <v>0.2</v>
      </c>
      <c r="DP256" t="n">
        <v>8.48</v>
      </c>
      <c r="DQ256" t="n">
        <v>4.24</v>
      </c>
      <c r="DR256" t="n">
        <v>8.48</v>
      </c>
      <c r="DS256" t="n">
        <v>0</v>
      </c>
      <c r="DT256" t="n">
        <v>130</v>
      </c>
      <c r="DU256" t="n">
        <v>3.41</v>
      </c>
      <c r="DV256" t="inlineStr">
        <is>
          <t>flat</t>
        </is>
      </c>
      <c r="DW256" t="n">
        <v>103.42</v>
      </c>
      <c r="DX256" t="n">
        <v>104.22</v>
      </c>
      <c r="DY256" t="n">
        <v>104.13</v>
      </c>
      <c r="DZ256" t="n">
        <v>0.71</v>
      </c>
      <c r="EA256" t="n">
        <v>52</v>
      </c>
      <c r="EB256" t="n">
        <v>11.13</v>
      </c>
      <c r="EC256" t="n">
        <v>76.44</v>
      </c>
      <c r="ED256" t="n">
        <v>119.2</v>
      </c>
      <c r="EE256" t="n">
        <v>73</v>
      </c>
      <c r="EF256" t="b">
        <v>1</v>
      </c>
      <c r="EG256" t="n">
        <v>1.9</v>
      </c>
      <c r="EH256" t="n">
        <v>19.8</v>
      </c>
      <c r="EI256" t="n">
        <v>287</v>
      </c>
      <c r="EJ256" t="n">
        <v>1275</v>
      </c>
      <c r="EK256" t="n">
        <v>127.5</v>
      </c>
      <c r="EL256" t="n">
        <v>425</v>
      </c>
      <c r="EM256" t="n">
        <v>75292.89999999999</v>
      </c>
      <c r="EN256" t="n">
        <v>9287.4</v>
      </c>
      <c r="EO256" t="n">
        <v>8267.6</v>
      </c>
      <c r="EP256" t="n">
        <v>27.7</v>
      </c>
    </row>
    <row r="257">
      <c r="A257" t="inlineStr">
        <is>
          <t>Wilson Odobert</t>
        </is>
      </c>
      <c r="B257" t="inlineStr">
        <is>
          <t>TOT</t>
        </is>
      </c>
      <c r="C257" t="inlineStr">
        <is>
          <t>MID</t>
        </is>
      </c>
      <c r="D257" t="inlineStr">
        <is>
          <t>MID</t>
        </is>
      </c>
      <c r="E257" t="n">
        <v>5.5</v>
      </c>
      <c r="F257" t="b">
        <v>1</v>
      </c>
      <c r="G257" t="b">
        <v>1</v>
      </c>
      <c r="H257" t="n">
        <v>21.7</v>
      </c>
      <c r="I257" t="inlineStr">
        <is>
          <t>i</t>
        </is>
      </c>
      <c r="J257" t="inlineStr">
        <is>
          <t>Knee injury - Unknown return date</t>
        </is>
      </c>
      <c r="K257" t="n">
        <v>0</v>
      </c>
      <c r="L257" t="inlineStr">
        <is>
          <t>p550839</t>
        </is>
      </c>
      <c r="M257" t="n">
        <v>517</v>
      </c>
      <c r="Q257" t="n">
        <v>972</v>
      </c>
      <c r="R257" t="n">
        <v>24</v>
      </c>
      <c r="S257" t="n">
        <v>10</v>
      </c>
      <c r="T257" t="n">
        <v>10.8</v>
      </c>
      <c r="U257" t="n">
        <v>40.5</v>
      </c>
      <c r="V257" t="n">
        <v>46</v>
      </c>
      <c r="W257" t="n">
        <v>4.259</v>
      </c>
      <c r="X257" t="n">
        <v>0</v>
      </c>
      <c r="Y257" t="n">
        <v>2</v>
      </c>
      <c r="Z257" t="n">
        <v>2</v>
      </c>
      <c r="AA257" t="n">
        <v>2</v>
      </c>
      <c r="AB257" t="n">
        <v>13</v>
      </c>
      <c r="AC257" t="n">
        <v>6</v>
      </c>
      <c r="AD257" t="n">
        <v>6</v>
      </c>
      <c r="AE257" t="n">
        <v>0</v>
      </c>
      <c r="AF257" t="n">
        <v>176</v>
      </c>
      <c r="AG257" t="n">
        <v>174</v>
      </c>
      <c r="AH257" t="n">
        <v>-2</v>
      </c>
      <c r="AI257" t="n">
        <v>46</v>
      </c>
      <c r="AJ257" t="n">
        <v>0.13</v>
      </c>
      <c r="AK257" t="n">
        <v>0.15</v>
      </c>
      <c r="AL257" t="n">
        <v>77</v>
      </c>
      <c r="AM257" t="n">
        <v>7.13</v>
      </c>
      <c r="AN257" t="n">
        <v>0</v>
      </c>
      <c r="AO257" t="n">
        <v>0</v>
      </c>
      <c r="AP257" t="n">
        <v>0</v>
      </c>
      <c r="AQ257" t="n">
        <v>0.1</v>
      </c>
      <c r="AR257" t="n">
        <v>0</v>
      </c>
      <c r="AS257" t="n">
        <v>0.263</v>
      </c>
      <c r="AT257" t="n">
        <v>0.333</v>
      </c>
      <c r="AU257" t="n">
        <v>20</v>
      </c>
      <c r="AV257" t="n">
        <v>0</v>
      </c>
      <c r="AW257" t="n">
        <v>1.73</v>
      </c>
      <c r="AX257" t="n">
        <v>8</v>
      </c>
      <c r="AY257" t="n">
        <v>1.92</v>
      </c>
      <c r="AZ257" t="n">
        <v>2.46</v>
      </c>
      <c r="BA257" t="n">
        <v>2.19</v>
      </c>
      <c r="BB257" t="n">
        <v>2.46</v>
      </c>
      <c r="BC257" t="n">
        <v>0.178</v>
      </c>
      <c r="BD257" t="n">
        <v>0.228</v>
      </c>
      <c r="BE257" t="n">
        <v>0.203</v>
      </c>
      <c r="BF257" t="n">
        <v>1.5</v>
      </c>
      <c r="BG257" t="n">
        <v>0.139</v>
      </c>
      <c r="BH257" t="n">
        <v>0.902</v>
      </c>
      <c r="BI257" t="n">
        <v>6.3</v>
      </c>
      <c r="BJ257" t="n">
        <v>1.732</v>
      </c>
      <c r="BK257" t="n">
        <v>0.16</v>
      </c>
      <c r="BL257" t="n">
        <v>-2.19</v>
      </c>
      <c r="BM257" t="n">
        <v>-0.42</v>
      </c>
      <c r="BN257" t="n">
        <v>-1.5</v>
      </c>
      <c r="BO257" t="n">
        <v>-0.54</v>
      </c>
      <c r="BP257" t="n">
        <v>22</v>
      </c>
      <c r="BQ257" t="n">
        <v>8</v>
      </c>
      <c r="BR257" t="n">
        <v>4</v>
      </c>
      <c r="BS257" t="n">
        <v>41</v>
      </c>
      <c r="BT257" t="n">
        <v>3.796</v>
      </c>
      <c r="BW257" t="n">
        <v>1.21</v>
      </c>
      <c r="BX257" t="n">
        <v>1.952</v>
      </c>
      <c r="BY257" t="n">
        <v>1.581</v>
      </c>
      <c r="BZ257" t="n">
        <v>0.146</v>
      </c>
      <c r="CA257" t="n">
        <v>3.771</v>
      </c>
      <c r="CB257" t="n">
        <v>0.349</v>
      </c>
      <c r="CC257" t="n">
        <v>20</v>
      </c>
      <c r="CD257" t="n">
        <v>2</v>
      </c>
      <c r="CE257" t="n">
        <v>20</v>
      </c>
      <c r="CF257" t="n">
        <v>8</v>
      </c>
      <c r="CI257" t="n">
        <v>5.968</v>
      </c>
      <c r="CJ257" t="n">
        <v>2.883</v>
      </c>
      <c r="CK257" t="n">
        <v>14</v>
      </c>
      <c r="CL257" t="n">
        <v>53</v>
      </c>
      <c r="CM257" t="n">
        <v>10</v>
      </c>
      <c r="CN257" t="n">
        <v>9</v>
      </c>
      <c r="CO257" t="n">
        <v>1</v>
      </c>
      <c r="CP257" t="n">
        <v>13</v>
      </c>
      <c r="CR257" t="n">
        <v>49</v>
      </c>
      <c r="CS257" t="n">
        <v>5</v>
      </c>
      <c r="CT257" t="n">
        <v>0.6</v>
      </c>
      <c r="CV257" t="n">
        <v>1</v>
      </c>
      <c r="CW257" t="n">
        <v>14.24</v>
      </c>
      <c r="CX257" t="n">
        <v>1.319</v>
      </c>
      <c r="CY257" t="n">
        <v>0</v>
      </c>
      <c r="DB257" t="n">
        <v>0</v>
      </c>
      <c r="DE257" t="n">
        <v>6.56</v>
      </c>
      <c r="DF257" t="n">
        <v>0</v>
      </c>
      <c r="DG257" t="n">
        <v>0</v>
      </c>
      <c r="DH257" t="n">
        <v>2</v>
      </c>
      <c r="DI257" t="n">
        <v>10</v>
      </c>
      <c r="DL257" t="n">
        <v>24</v>
      </c>
      <c r="DM257" t="n">
        <v>21</v>
      </c>
      <c r="DN257" t="n">
        <v>2</v>
      </c>
      <c r="DO257" t="n">
        <v>0</v>
      </c>
      <c r="DP257" t="n">
        <v>33.37</v>
      </c>
      <c r="DQ257" t="n">
        <v>15.07</v>
      </c>
      <c r="DR257" t="n">
        <v>30.14</v>
      </c>
      <c r="DS257" t="n">
        <v>3.23</v>
      </c>
      <c r="DT257" t="n">
        <v>419</v>
      </c>
      <c r="DU257" t="n">
        <v>11.02</v>
      </c>
      <c r="DV257" t="inlineStr">
        <is>
          <t>flat</t>
        </is>
      </c>
      <c r="EF257" t="b">
        <v>0</v>
      </c>
      <c r="EG257" t="n">
        <v>0</v>
      </c>
      <c r="EH257" t="n">
        <v>100</v>
      </c>
      <c r="EI257" t="n">
        <v>170</v>
      </c>
      <c r="EJ257" t="n">
        <v>44.2</v>
      </c>
      <c r="EK257" t="n">
        <v>23.7</v>
      </c>
      <c r="EL257" t="n">
        <v>48.6</v>
      </c>
      <c r="EM257" t="n">
        <v>443.8</v>
      </c>
      <c r="EN257" t="n">
        <v>614.7</v>
      </c>
      <c r="EO257" t="n">
        <v>257.7</v>
      </c>
      <c r="EP257" t="n">
        <v>21.1</v>
      </c>
    </row>
    <row r="258">
      <c r="A258" t="inlineStr">
        <is>
          <t>Liam Delap</t>
        </is>
      </c>
      <c r="B258" t="inlineStr">
        <is>
          <t>CHE</t>
        </is>
      </c>
      <c r="C258" t="inlineStr">
        <is>
          <t>FWD</t>
        </is>
      </c>
      <c r="D258" t="inlineStr">
        <is>
          <t>FWD</t>
        </is>
      </c>
      <c r="E258" t="n">
        <v>5.5</v>
      </c>
      <c r="F258" t="b">
        <v>1</v>
      </c>
      <c r="G258" t="b">
        <v>1</v>
      </c>
      <c r="H258" t="n">
        <v>23.5</v>
      </c>
      <c r="I258" t="inlineStr">
        <is>
          <t>a</t>
        </is>
      </c>
      <c r="L258" t="inlineStr">
        <is>
          <t>p463034</t>
        </is>
      </c>
      <c r="M258" t="n">
        <v>167</v>
      </c>
      <c r="N258" t="n">
        <v>4</v>
      </c>
      <c r="Q258" t="n">
        <v>1092</v>
      </c>
      <c r="R258" t="n">
        <v>28</v>
      </c>
      <c r="S258" t="n">
        <v>12</v>
      </c>
      <c r="T258" t="n">
        <v>12.133</v>
      </c>
      <c r="U258" t="n">
        <v>39</v>
      </c>
      <c r="V258" t="n">
        <v>45</v>
      </c>
      <c r="W258" t="n">
        <v>3.709</v>
      </c>
      <c r="X258" t="n">
        <v>1</v>
      </c>
      <c r="Y258" t="n">
        <v>2</v>
      </c>
      <c r="AA258" t="n">
        <v>2</v>
      </c>
      <c r="AB258" t="n">
        <v>18</v>
      </c>
      <c r="AC258" t="n">
        <v>1</v>
      </c>
      <c r="AD258" t="n">
        <v>1</v>
      </c>
      <c r="AE258" t="n">
        <v>0</v>
      </c>
      <c r="AF258" t="n">
        <v>123</v>
      </c>
      <c r="AG258" t="n">
        <v>123</v>
      </c>
      <c r="AH258" t="n">
        <v>0</v>
      </c>
      <c r="AI258" t="n">
        <v>45</v>
      </c>
      <c r="AJ258" t="n">
        <v>0.022</v>
      </c>
      <c r="AK258" t="n">
        <v>0.023</v>
      </c>
      <c r="AL258" t="n">
        <v>42</v>
      </c>
      <c r="AM258" t="n">
        <v>3.462</v>
      </c>
      <c r="AN258" t="n">
        <v>0</v>
      </c>
      <c r="AO258" t="n">
        <v>0</v>
      </c>
      <c r="AP258" t="n">
        <v>0</v>
      </c>
      <c r="AQ258" t="n">
        <v>0</v>
      </c>
      <c r="AR258" t="n">
        <v>0</v>
      </c>
      <c r="AS258" t="n">
        <v>0.316</v>
      </c>
      <c r="AT258" t="n">
        <v>0.357</v>
      </c>
      <c r="AU258" t="n">
        <v>25</v>
      </c>
      <c r="AV258" t="n">
        <v>0</v>
      </c>
      <c r="AW258" t="n">
        <v>1.47</v>
      </c>
      <c r="AX258" t="n">
        <v>7</v>
      </c>
      <c r="AY258" t="n">
        <v>4.54</v>
      </c>
      <c r="AZ258" t="n">
        <v>5.03</v>
      </c>
      <c r="BA258" t="n">
        <v>4.785</v>
      </c>
      <c r="BB258" t="n">
        <v>5.03</v>
      </c>
      <c r="BC258" t="n">
        <v>0.374</v>
      </c>
      <c r="BD258" t="n">
        <v>0.415</v>
      </c>
      <c r="BE258" t="n">
        <v>0.394</v>
      </c>
      <c r="BF258" t="n">
        <v>3</v>
      </c>
      <c r="BG258" t="n">
        <v>0.247</v>
      </c>
      <c r="BH258" t="n">
        <v>0.992</v>
      </c>
      <c r="BI258" t="n">
        <v>13.98</v>
      </c>
      <c r="BJ258" t="n">
        <v>4.503</v>
      </c>
      <c r="BK258" t="n">
        <v>0.371</v>
      </c>
      <c r="BL258" t="n">
        <v>-3.785</v>
      </c>
      <c r="BM258" t="n">
        <v>-1.54</v>
      </c>
      <c r="BN258" t="n">
        <v>-2</v>
      </c>
      <c r="BO258" t="n">
        <v>-0.49</v>
      </c>
      <c r="BP258" t="n">
        <v>36</v>
      </c>
      <c r="BQ258" t="n">
        <v>11</v>
      </c>
      <c r="BR258" t="n">
        <v>4</v>
      </c>
      <c r="BS258" t="n">
        <v>66</v>
      </c>
      <c r="BT258" t="n">
        <v>5.44</v>
      </c>
      <c r="BW258" t="n">
        <v>0.23</v>
      </c>
      <c r="BX258" t="n">
        <v>0.169</v>
      </c>
      <c r="BY258" t="n">
        <v>0.2</v>
      </c>
      <c r="BZ258" t="n">
        <v>0.016</v>
      </c>
      <c r="CA258" t="n">
        <v>4.985</v>
      </c>
      <c r="CB258" t="n">
        <v>0.411</v>
      </c>
      <c r="CC258" t="n">
        <v>3</v>
      </c>
      <c r="CE258" t="n">
        <v>3</v>
      </c>
      <c r="CG258" t="n">
        <v>0</v>
      </c>
      <c r="CI258" t="n">
        <v>7.516</v>
      </c>
      <c r="CJ258" t="n">
        <v>3.401</v>
      </c>
      <c r="CK258" t="n">
        <v>12</v>
      </c>
      <c r="CL258" t="n">
        <v>25</v>
      </c>
      <c r="CM258" t="n">
        <v>5</v>
      </c>
      <c r="CN258" t="n">
        <v>3</v>
      </c>
      <c r="CO258" t="n">
        <v>1</v>
      </c>
      <c r="CP258" t="n">
        <v>11</v>
      </c>
      <c r="CQ258" t="n">
        <v>0</v>
      </c>
      <c r="CR258" t="n">
        <v>59</v>
      </c>
      <c r="CS258" t="n">
        <v>25</v>
      </c>
      <c r="CT258" t="n">
        <v>0.3</v>
      </c>
      <c r="CV258" t="n">
        <v>1</v>
      </c>
      <c r="CW258" t="n">
        <v>16.67</v>
      </c>
      <c r="CX258" t="n">
        <v>1.374</v>
      </c>
      <c r="CY258" t="n">
        <v>0</v>
      </c>
      <c r="DB258" t="n">
        <v>0</v>
      </c>
      <c r="DE258" t="n">
        <v>6.3</v>
      </c>
      <c r="DF258" t="n">
        <v>4</v>
      </c>
      <c r="DG258" t="n">
        <v>0</v>
      </c>
      <c r="DH258" t="n">
        <v>25</v>
      </c>
      <c r="DI258" t="n">
        <v>19</v>
      </c>
      <c r="DJ258" t="n">
        <v>1</v>
      </c>
      <c r="DL258" t="n">
        <v>10</v>
      </c>
      <c r="DM258" t="n">
        <v>22</v>
      </c>
      <c r="DN258" t="n">
        <v>5</v>
      </c>
      <c r="DO258" t="n">
        <v>0.5</v>
      </c>
      <c r="DP258" t="n">
        <v>20.35</v>
      </c>
      <c r="DQ258" t="n">
        <v>10.56</v>
      </c>
      <c r="DR258" t="n">
        <v>21.12</v>
      </c>
      <c r="DS258" t="n">
        <v>-0.77</v>
      </c>
      <c r="DT258" t="n">
        <v>21</v>
      </c>
      <c r="DU258" t="n">
        <v>0.54</v>
      </c>
      <c r="DV258" t="inlineStr">
        <is>
          <t>flat</t>
        </is>
      </c>
      <c r="DW258" t="n">
        <v>92.51000000000001</v>
      </c>
      <c r="DX258" t="n">
        <v>92.04000000000001</v>
      </c>
      <c r="DY258" t="n">
        <v>92.79000000000001</v>
      </c>
      <c r="DZ258" t="n">
        <v>0.28</v>
      </c>
      <c r="EA258" t="n">
        <v>238</v>
      </c>
      <c r="EB258" t="n">
        <v>21.29</v>
      </c>
      <c r="EC258" t="n">
        <v>12</v>
      </c>
      <c r="ED258" t="n">
        <v>120</v>
      </c>
      <c r="EE258" t="n">
        <v>386</v>
      </c>
      <c r="EF258" t="b">
        <v>1</v>
      </c>
      <c r="EG258" t="n">
        <v>9.699999999999999</v>
      </c>
      <c r="EH258" t="n">
        <v>18.2</v>
      </c>
      <c r="EI258" t="n">
        <v>172</v>
      </c>
      <c r="EJ258" t="n">
        <v>30.3</v>
      </c>
      <c r="EK258" t="n">
        <v>16.5</v>
      </c>
      <c r="EL258" t="n">
        <v>364</v>
      </c>
      <c r="EM258" t="n">
        <v>228.2</v>
      </c>
      <c r="EN258" t="n">
        <v>5470.2</v>
      </c>
      <c r="EO258" t="n">
        <v>219.1</v>
      </c>
      <c r="EP258" t="n">
        <v>24.3</v>
      </c>
    </row>
    <row r="259">
      <c r="A259" t="inlineStr">
        <is>
          <t>Will Hughes</t>
        </is>
      </c>
      <c r="B259" t="inlineStr">
        <is>
          <t>CRY</t>
        </is>
      </c>
      <c r="C259" t="inlineStr">
        <is>
          <t>MID</t>
        </is>
      </c>
      <c r="D259" t="inlineStr">
        <is>
          <t>MID</t>
        </is>
      </c>
      <c r="E259" t="n">
        <v>4.5</v>
      </c>
      <c r="F259" t="b">
        <v>1</v>
      </c>
      <c r="G259" t="b">
        <v>1</v>
      </c>
      <c r="H259" t="n">
        <v>31.3</v>
      </c>
      <c r="I259" t="inlineStr">
        <is>
          <t>a</t>
        </is>
      </c>
      <c r="L259" t="inlineStr">
        <is>
          <t>p108413</t>
        </is>
      </c>
      <c r="M259" t="n">
        <v>212</v>
      </c>
      <c r="O259" t="n">
        <v>3</v>
      </c>
      <c r="Q259" t="n">
        <v>1560</v>
      </c>
      <c r="R259" t="n">
        <v>31</v>
      </c>
      <c r="S259" t="n">
        <v>19</v>
      </c>
      <c r="T259" t="n">
        <v>17.333</v>
      </c>
      <c r="U259" t="n">
        <v>50.3</v>
      </c>
      <c r="V259" t="n">
        <v>45</v>
      </c>
      <c r="W259" t="n">
        <v>2.596</v>
      </c>
      <c r="X259" t="n">
        <v>0</v>
      </c>
      <c r="Y259" t="n">
        <v>1</v>
      </c>
      <c r="AA259" t="n">
        <v>5</v>
      </c>
      <c r="AB259" t="n">
        <v>18</v>
      </c>
      <c r="AC259" t="n">
        <v>0</v>
      </c>
      <c r="AD259" t="n">
        <v>0</v>
      </c>
      <c r="AE259" t="n">
        <v>0</v>
      </c>
      <c r="AF259" t="n">
        <v>217</v>
      </c>
      <c r="AG259" t="n">
        <v>205</v>
      </c>
      <c r="AH259" t="n">
        <v>-12</v>
      </c>
      <c r="AI259" t="n">
        <v>45</v>
      </c>
      <c r="AJ259" t="n">
        <v>0</v>
      </c>
      <c r="AK259" t="n">
        <v>0</v>
      </c>
      <c r="AL259" t="n">
        <v>148</v>
      </c>
      <c r="AM259" t="n">
        <v>8.538</v>
      </c>
      <c r="AN259" t="n">
        <v>0</v>
      </c>
      <c r="AO259" t="n">
        <v>0</v>
      </c>
      <c r="AP259" t="n">
        <v>0</v>
      </c>
      <c r="AQ259" t="n">
        <v>0.158</v>
      </c>
      <c r="AR259" t="n">
        <v>0</v>
      </c>
      <c r="AS259" t="n">
        <v>0.5</v>
      </c>
      <c r="AT259" t="n">
        <v>0.419</v>
      </c>
      <c r="AU259" t="n">
        <v>28</v>
      </c>
      <c r="AV259" t="n">
        <v>0</v>
      </c>
      <c r="AW259" t="n">
        <v>1.04</v>
      </c>
      <c r="AX259" t="n">
        <v>5</v>
      </c>
      <c r="AY259" t="n">
        <v>1.11</v>
      </c>
      <c r="AZ259" t="n">
        <v>1.281</v>
      </c>
      <c r="BA259" t="n">
        <v>1.196</v>
      </c>
      <c r="BB259" t="n">
        <v>1.281</v>
      </c>
      <c r="BC259" t="n">
        <v>0.064</v>
      </c>
      <c r="BD259" t="n">
        <v>0.074</v>
      </c>
      <c r="BE259" t="n">
        <v>0.06900000000000001</v>
      </c>
      <c r="BH259" t="n">
        <v>0.857</v>
      </c>
      <c r="BI259" t="n">
        <v>2.85</v>
      </c>
      <c r="BJ259" t="n">
        <v>0.951</v>
      </c>
      <c r="BK259" t="n">
        <v>0.055</v>
      </c>
      <c r="BL259" t="n">
        <v>-1.196</v>
      </c>
      <c r="BO259" t="n">
        <v>-0.171</v>
      </c>
      <c r="BP259" t="n">
        <v>17</v>
      </c>
      <c r="BR259" t="n">
        <v>1</v>
      </c>
      <c r="BS259" t="n">
        <v>28</v>
      </c>
      <c r="BT259" t="n">
        <v>1.615</v>
      </c>
      <c r="BW259" t="n">
        <v>1.94</v>
      </c>
      <c r="BX259" t="n">
        <v>1.927</v>
      </c>
      <c r="BY259" t="n">
        <v>1.933</v>
      </c>
      <c r="BZ259" t="n">
        <v>0.112</v>
      </c>
      <c r="CA259" t="n">
        <v>3.129</v>
      </c>
      <c r="CB259" t="n">
        <v>0.181</v>
      </c>
      <c r="CC259" t="n">
        <v>21</v>
      </c>
      <c r="CD259" t="n">
        <v>1</v>
      </c>
      <c r="CE259" t="n">
        <v>21</v>
      </c>
      <c r="CF259" t="n">
        <v>12</v>
      </c>
      <c r="CH259" t="n">
        <v>23</v>
      </c>
      <c r="CI259" t="n">
        <v>7.059</v>
      </c>
      <c r="CJ259" t="n">
        <v>5.383</v>
      </c>
      <c r="CK259" t="n">
        <v>54</v>
      </c>
      <c r="CL259" t="n">
        <v>66</v>
      </c>
      <c r="CM259" t="n">
        <v>28</v>
      </c>
      <c r="CN259" t="n">
        <v>15</v>
      </c>
      <c r="CO259" t="n">
        <v>15</v>
      </c>
      <c r="CP259" t="n">
        <v>28</v>
      </c>
      <c r="CQ259" t="n">
        <v>8</v>
      </c>
      <c r="CR259" t="n">
        <v>79</v>
      </c>
      <c r="CS259" t="n">
        <v>17</v>
      </c>
      <c r="CV259" t="n">
        <v>1</v>
      </c>
      <c r="CW259" t="n">
        <v>25.35</v>
      </c>
      <c r="CX259" t="n">
        <v>1.463</v>
      </c>
      <c r="CY259" t="n">
        <v>0</v>
      </c>
      <c r="DB259" t="n">
        <v>0</v>
      </c>
      <c r="DE259" t="n">
        <v>6.56</v>
      </c>
      <c r="DF259" t="n">
        <v>7</v>
      </c>
      <c r="DG259" t="n">
        <v>0</v>
      </c>
      <c r="DH259" t="n">
        <v>23</v>
      </c>
      <c r="DI259" t="n">
        <v>25</v>
      </c>
      <c r="DK259" t="n">
        <v>1</v>
      </c>
      <c r="DL259" t="n">
        <v>11</v>
      </c>
      <c r="DM259" t="n">
        <v>14</v>
      </c>
      <c r="DO259" t="n">
        <v>11.1</v>
      </c>
      <c r="DP259" t="n">
        <v>55</v>
      </c>
      <c r="DQ259" t="n">
        <v>27.5</v>
      </c>
      <c r="DR259" t="n">
        <v>55</v>
      </c>
      <c r="DS259" t="n">
        <v>0</v>
      </c>
      <c r="DT259" t="n">
        <v>1510</v>
      </c>
      <c r="DU259" t="n">
        <v>39.75</v>
      </c>
      <c r="DV259" t="inlineStr">
        <is>
          <t>flat</t>
        </is>
      </c>
      <c r="DW259" t="n">
        <v>79.87</v>
      </c>
      <c r="DX259" t="n">
        <v>76</v>
      </c>
      <c r="EB259" t="n">
        <v>16.84</v>
      </c>
      <c r="EC259" t="n">
        <v>54</v>
      </c>
      <c r="ED259" t="n">
        <v>104</v>
      </c>
      <c r="EE259" t="n">
        <v>10</v>
      </c>
      <c r="EF259" t="b">
        <v>1</v>
      </c>
      <c r="EG259" t="n">
        <v>0.3</v>
      </c>
      <c r="EH259" t="n">
        <v>23.1</v>
      </c>
      <c r="EI259" t="n">
        <v>426</v>
      </c>
      <c r="EJ259" t="n">
        <v>91.8</v>
      </c>
      <c r="EK259" t="n">
        <v>55.7</v>
      </c>
      <c r="EL259" t="n">
        <v>74.3</v>
      </c>
      <c r="EM259" t="n">
        <v>1304.8</v>
      </c>
      <c r="EN259" t="n">
        <v>806.9</v>
      </c>
      <c r="EO259" t="n">
        <v>498.6</v>
      </c>
      <c r="EP259" t="n">
        <v>34.7</v>
      </c>
    </row>
    <row r="260">
      <c r="A260" t="inlineStr">
        <is>
          <t>Ben White</t>
        </is>
      </c>
      <c r="B260" t="inlineStr">
        <is>
          <t>ARS</t>
        </is>
      </c>
      <c r="C260" t="inlineStr">
        <is>
          <t>DEF</t>
        </is>
      </c>
      <c r="D260" t="inlineStr">
        <is>
          <t>DEF</t>
        </is>
      </c>
      <c r="E260" t="n">
        <v>5.5</v>
      </c>
      <c r="F260" t="b">
        <v>1</v>
      </c>
      <c r="G260" t="b">
        <v>1</v>
      </c>
      <c r="H260" t="n">
        <v>28.9</v>
      </c>
      <c r="I260" t="inlineStr">
        <is>
          <t>a</t>
        </is>
      </c>
      <c r="K260" t="n">
        <v>100</v>
      </c>
      <c r="L260" t="inlineStr">
        <is>
          <t>p198869</t>
        </is>
      </c>
      <c r="M260" t="n">
        <v>10</v>
      </c>
      <c r="Q260" t="n">
        <v>699</v>
      </c>
      <c r="R260" t="n">
        <v>12</v>
      </c>
      <c r="S260" t="n">
        <v>9</v>
      </c>
      <c r="T260" t="n">
        <v>7.767</v>
      </c>
      <c r="U260" t="n">
        <v>58.2</v>
      </c>
      <c r="V260" t="n">
        <v>45</v>
      </c>
      <c r="W260" t="n">
        <v>5.794</v>
      </c>
      <c r="X260" t="n">
        <v>0</v>
      </c>
      <c r="Y260" t="n">
        <v>1</v>
      </c>
      <c r="Z260" t="n">
        <v>1</v>
      </c>
      <c r="AA260" t="n">
        <v>5</v>
      </c>
      <c r="AB260" t="n">
        <v>6</v>
      </c>
      <c r="AC260" t="n">
        <v>3</v>
      </c>
      <c r="AD260" t="n">
        <v>3</v>
      </c>
      <c r="AE260" t="n">
        <v>0</v>
      </c>
      <c r="AF260" t="n">
        <v>181</v>
      </c>
      <c r="AG260" t="n">
        <v>175</v>
      </c>
      <c r="AH260" t="n">
        <v>-6</v>
      </c>
      <c r="AI260" t="n">
        <v>45</v>
      </c>
      <c r="AJ260" t="n">
        <v>0.067</v>
      </c>
      <c r="AK260" t="n">
        <v>0.07099999999999999</v>
      </c>
      <c r="AL260" t="n">
        <v>53</v>
      </c>
      <c r="AM260" t="n">
        <v>6.824</v>
      </c>
      <c r="AN260" t="n">
        <v>1</v>
      </c>
      <c r="AO260" t="n">
        <v>2</v>
      </c>
      <c r="AP260" t="n">
        <v>0.111</v>
      </c>
      <c r="AQ260" t="n">
        <v>0.111</v>
      </c>
      <c r="AR260" t="n">
        <v>0.111</v>
      </c>
      <c r="AS260" t="n">
        <v>0.237</v>
      </c>
      <c r="AT260" t="n">
        <v>0.583</v>
      </c>
      <c r="AU260" t="n">
        <v>7</v>
      </c>
      <c r="AV260" t="n">
        <v>1</v>
      </c>
      <c r="AW260" t="n">
        <v>2.82</v>
      </c>
      <c r="AX260" t="n">
        <v>14</v>
      </c>
      <c r="AY260" t="n">
        <v>0.45</v>
      </c>
      <c r="AZ260" t="n">
        <v>0.283</v>
      </c>
      <c r="BA260" t="n">
        <v>0.366</v>
      </c>
      <c r="BB260" t="n">
        <v>0.283</v>
      </c>
      <c r="BC260" t="n">
        <v>0.058</v>
      </c>
      <c r="BD260" t="n">
        <v>0.036</v>
      </c>
      <c r="BE260" t="n">
        <v>0.047</v>
      </c>
      <c r="BF260" t="n">
        <v>0.3</v>
      </c>
      <c r="BG260" t="n">
        <v>0.039</v>
      </c>
      <c r="BH260" t="n">
        <v>0.997</v>
      </c>
      <c r="BI260" t="n">
        <v>3.43</v>
      </c>
      <c r="BJ260" t="n">
        <v>0.449</v>
      </c>
      <c r="BK260" t="n">
        <v>0.058</v>
      </c>
      <c r="BL260" t="n">
        <v>-0.366</v>
      </c>
      <c r="BM260" t="n">
        <v>-0.15</v>
      </c>
      <c r="BN260" t="n">
        <v>-0.3</v>
      </c>
      <c r="BO260" t="n">
        <v>0.167</v>
      </c>
      <c r="BP260" t="n">
        <v>5</v>
      </c>
      <c r="BQ260" t="n">
        <v>1</v>
      </c>
      <c r="BS260" t="n">
        <v>16</v>
      </c>
      <c r="BT260" t="n">
        <v>2.06</v>
      </c>
      <c r="BW260" t="n">
        <v>0.6899999999999999</v>
      </c>
      <c r="BX260" t="n">
        <v>1.558</v>
      </c>
      <c r="BY260" t="n">
        <v>1.124</v>
      </c>
      <c r="BZ260" t="n">
        <v>0.145</v>
      </c>
      <c r="CA260" t="n">
        <v>1.49</v>
      </c>
      <c r="CB260" t="n">
        <v>0.192</v>
      </c>
      <c r="CC260" t="n">
        <v>8</v>
      </c>
      <c r="CD260" t="n">
        <v>3</v>
      </c>
      <c r="CE260" t="n">
        <v>8</v>
      </c>
      <c r="CF260" t="n">
        <v>3</v>
      </c>
      <c r="CI260" t="n">
        <v>4.476</v>
      </c>
      <c r="CJ260" t="n">
        <v>3.179</v>
      </c>
      <c r="CK260" t="n">
        <v>38</v>
      </c>
      <c r="CL260" t="n">
        <v>28</v>
      </c>
      <c r="CM260" t="n">
        <v>15</v>
      </c>
      <c r="CN260" t="n">
        <v>9</v>
      </c>
      <c r="CO260" t="n">
        <v>9</v>
      </c>
      <c r="CP260" t="n">
        <v>25</v>
      </c>
      <c r="CQ260" t="n">
        <v>4</v>
      </c>
      <c r="CR260" t="n">
        <v>36</v>
      </c>
      <c r="CS260" t="n">
        <v>12</v>
      </c>
      <c r="CW260" t="n">
        <v>8.68</v>
      </c>
      <c r="CX260" t="n">
        <v>1.118</v>
      </c>
      <c r="CY260" t="n">
        <v>0</v>
      </c>
      <c r="DB260" t="n">
        <v>0</v>
      </c>
      <c r="DF260" t="n">
        <v>0</v>
      </c>
      <c r="DG260" t="n">
        <v>0</v>
      </c>
      <c r="DH260" t="n">
        <v>5</v>
      </c>
      <c r="DI260" t="n">
        <v>6</v>
      </c>
      <c r="DL260" t="n">
        <v>3</v>
      </c>
      <c r="DM260" t="n">
        <v>2</v>
      </c>
      <c r="DN260" t="n">
        <v>3</v>
      </c>
      <c r="DO260" t="n">
        <v>1.2</v>
      </c>
      <c r="DP260" t="n">
        <v>20.77</v>
      </c>
      <c r="DQ260" t="n">
        <v>13.02</v>
      </c>
      <c r="DR260" t="n">
        <v>26.04</v>
      </c>
      <c r="DS260" t="n">
        <v>-5.27</v>
      </c>
      <c r="DT260" t="n">
        <v>287</v>
      </c>
      <c r="DU260" t="n">
        <v>7.54</v>
      </c>
      <c r="DV260" t="inlineStr">
        <is>
          <t>fade (losing his place)</t>
        </is>
      </c>
      <c r="DW260" t="n">
        <v>86.64</v>
      </c>
      <c r="DX260" t="n">
        <v>89.04000000000001</v>
      </c>
      <c r="DY260" t="n">
        <v>84.05</v>
      </c>
      <c r="DZ260" t="n">
        <v>-2.59</v>
      </c>
      <c r="EA260" t="n">
        <v>949</v>
      </c>
      <c r="EB260" t="n">
        <v>20.41</v>
      </c>
      <c r="EC260" t="n">
        <v>8</v>
      </c>
      <c r="ED260" t="n">
        <v>120</v>
      </c>
      <c r="EE260" t="n">
        <v>1542</v>
      </c>
      <c r="EF260" t="b">
        <v>1</v>
      </c>
      <c r="EG260" t="n">
        <v>70.90000000000001</v>
      </c>
      <c r="EH260" t="n">
        <v>55.4</v>
      </c>
      <c r="EI260" t="n">
        <v>171</v>
      </c>
      <c r="EJ260" t="n">
        <v>139.8</v>
      </c>
      <c r="EK260" t="n">
        <v>43.7</v>
      </c>
      <c r="EL260" t="n">
        <v>87.40000000000001</v>
      </c>
      <c r="EM260" t="n">
        <v>1907.4</v>
      </c>
      <c r="EN260" t="n">
        <v>621.9</v>
      </c>
      <c r="EO260" t="n">
        <v>469</v>
      </c>
      <c r="EP260" t="n">
        <v>15.5</v>
      </c>
    </row>
    <row r="261">
      <c r="A261" t="inlineStr">
        <is>
          <t>Conor Gallagher</t>
        </is>
      </c>
      <c r="B261" t="inlineStr">
        <is>
          <t>TOT</t>
        </is>
      </c>
      <c r="C261" t="inlineStr">
        <is>
          <t>MID</t>
        </is>
      </c>
      <c r="D261" t="inlineStr">
        <is>
          <t>MID</t>
        </is>
      </c>
      <c r="E261" t="n">
        <v>5.5</v>
      </c>
      <c r="F261" t="b">
        <v>1</v>
      </c>
      <c r="G261" t="b">
        <v>1</v>
      </c>
      <c r="H261" t="n">
        <v>26.5</v>
      </c>
      <c r="I261" t="inlineStr">
        <is>
          <t>a</t>
        </is>
      </c>
      <c r="L261" t="inlineStr">
        <is>
          <t>p232787</t>
        </is>
      </c>
      <c r="M261" t="n">
        <v>519</v>
      </c>
      <c r="Q261" t="n">
        <v>1183</v>
      </c>
      <c r="R261" t="n">
        <v>16</v>
      </c>
      <c r="S261" t="n">
        <v>14</v>
      </c>
      <c r="T261" t="n">
        <v>13.144</v>
      </c>
      <c r="U261" t="n">
        <v>73.90000000000001</v>
      </c>
      <c r="V261" t="n">
        <v>44</v>
      </c>
      <c r="W261" t="n">
        <v>3.347</v>
      </c>
      <c r="X261" t="n">
        <v>1</v>
      </c>
      <c r="Y261" t="n">
        <v>1</v>
      </c>
      <c r="Z261" t="n">
        <v>1</v>
      </c>
      <c r="AA261" t="n">
        <v>2</v>
      </c>
      <c r="AB261" t="n">
        <v>23</v>
      </c>
      <c r="AC261" t="n">
        <v>3</v>
      </c>
      <c r="AD261" t="n">
        <v>3</v>
      </c>
      <c r="AE261" t="n">
        <v>0</v>
      </c>
      <c r="AF261" t="n">
        <v>211</v>
      </c>
      <c r="AG261" t="n">
        <v>205</v>
      </c>
      <c r="AH261" t="n">
        <v>-6</v>
      </c>
      <c r="AI261" t="n">
        <v>44</v>
      </c>
      <c r="AJ261" t="n">
        <v>0.068</v>
      </c>
      <c r="AK261" t="n">
        <v>0.073</v>
      </c>
      <c r="AL261" t="n">
        <v>124</v>
      </c>
      <c r="AM261" t="n">
        <v>9.433999999999999</v>
      </c>
      <c r="AN261" t="n">
        <v>2</v>
      </c>
      <c r="AO261" t="n">
        <v>4</v>
      </c>
      <c r="AP261" t="n">
        <v>0.143</v>
      </c>
      <c r="AQ261" t="n">
        <v>0.357</v>
      </c>
      <c r="AR261" t="n">
        <v>0.143</v>
      </c>
      <c r="AS261" t="n">
        <v>0.368</v>
      </c>
      <c r="AT261" t="n">
        <v>0.8120000000000001</v>
      </c>
      <c r="AU261" t="n">
        <v>12</v>
      </c>
      <c r="AV261" t="n">
        <v>0</v>
      </c>
      <c r="AW261" t="n">
        <v>2.24</v>
      </c>
      <c r="AX261" t="n">
        <v>9</v>
      </c>
      <c r="AY261" t="n">
        <v>1.23</v>
      </c>
      <c r="AZ261" t="n">
        <v>1.512</v>
      </c>
      <c r="BA261" t="n">
        <v>1.371</v>
      </c>
      <c r="BB261" t="n">
        <v>1.512</v>
      </c>
      <c r="BC261" t="n">
        <v>0.094</v>
      </c>
      <c r="BD261" t="n">
        <v>0.115</v>
      </c>
      <c r="BE261" t="n">
        <v>0.104</v>
      </c>
      <c r="BF261" t="n">
        <v>1.1</v>
      </c>
      <c r="BG261" t="n">
        <v>0.08400000000000001</v>
      </c>
      <c r="BH261" t="n">
        <v>0.982</v>
      </c>
      <c r="BI261" t="n">
        <v>7.79</v>
      </c>
      <c r="BJ261" t="n">
        <v>1.207</v>
      </c>
      <c r="BK261" t="n">
        <v>0.092</v>
      </c>
      <c r="BL261" t="n">
        <v>-0.371</v>
      </c>
      <c r="BM261" t="n">
        <v>-0.13</v>
      </c>
      <c r="BN261" t="n">
        <v>-0.1</v>
      </c>
      <c r="BO261" t="n">
        <v>-0.282</v>
      </c>
      <c r="BP261" t="n">
        <v>11</v>
      </c>
      <c r="BQ261" t="n">
        <v>4</v>
      </c>
      <c r="BR261" t="n">
        <v>2</v>
      </c>
      <c r="BS261" t="n">
        <v>35</v>
      </c>
      <c r="BT261" t="n">
        <v>2.663</v>
      </c>
      <c r="BW261" t="n">
        <v>0.7</v>
      </c>
      <c r="BX261" t="n">
        <v>0.855</v>
      </c>
      <c r="BY261" t="n">
        <v>0.778</v>
      </c>
      <c r="BZ261" t="n">
        <v>0.059</v>
      </c>
      <c r="CA261" t="n">
        <v>2.149</v>
      </c>
      <c r="CB261" t="n">
        <v>0.163</v>
      </c>
      <c r="CC261" t="n">
        <v>13</v>
      </c>
      <c r="CD261" t="n">
        <v>1</v>
      </c>
      <c r="CE261" t="n">
        <v>13</v>
      </c>
      <c r="CF261" t="n">
        <v>6</v>
      </c>
      <c r="CH261" t="n">
        <v>0</v>
      </c>
      <c r="CI261" t="n">
        <v>4.173</v>
      </c>
      <c r="CJ261" t="n">
        <v>2.554</v>
      </c>
      <c r="CK261" t="n">
        <v>29</v>
      </c>
      <c r="CL261" t="n">
        <v>73</v>
      </c>
      <c r="CM261" t="n">
        <v>22</v>
      </c>
      <c r="CN261" t="n">
        <v>16</v>
      </c>
      <c r="CO261" t="n">
        <v>18</v>
      </c>
      <c r="CP261" t="n">
        <v>6</v>
      </c>
      <c r="CQ261" t="n">
        <v>4</v>
      </c>
      <c r="CR261" t="n">
        <v>66</v>
      </c>
      <c r="CS261" t="n">
        <v>9</v>
      </c>
      <c r="CV261" t="n">
        <v>1</v>
      </c>
      <c r="CW261" t="n">
        <v>19.03</v>
      </c>
      <c r="CX261" t="n">
        <v>1.448</v>
      </c>
      <c r="CY261" t="n">
        <v>0</v>
      </c>
      <c r="DB261" t="n">
        <v>0</v>
      </c>
      <c r="DF261" t="n">
        <v>2</v>
      </c>
      <c r="DG261" t="n">
        <v>0</v>
      </c>
      <c r="DH261" t="n">
        <v>26</v>
      </c>
      <c r="DI261" t="n">
        <v>22</v>
      </c>
      <c r="DL261" t="n">
        <v>13</v>
      </c>
      <c r="DM261" t="n">
        <v>13</v>
      </c>
      <c r="DN261" t="n">
        <v>1</v>
      </c>
      <c r="DO261" t="n">
        <v>0.3</v>
      </c>
      <c r="DP261" t="n">
        <v>88.93000000000001</v>
      </c>
      <c r="DQ261" t="n">
        <v>46.96</v>
      </c>
      <c r="DR261" t="n">
        <v>93.92</v>
      </c>
      <c r="DS261" t="n">
        <v>-4.99</v>
      </c>
      <c r="DT261" t="n">
        <v>1858</v>
      </c>
      <c r="DU261" t="n">
        <v>48.9</v>
      </c>
      <c r="DV261" t="inlineStr">
        <is>
          <t>fade (losing his place)</t>
        </is>
      </c>
      <c r="DW261" t="n">
        <v>80.81</v>
      </c>
      <c r="DX261" t="n">
        <v>66.43000000000001</v>
      </c>
      <c r="DY261" t="n">
        <v>80.88</v>
      </c>
      <c r="DZ261" t="n">
        <v>0.07000000000000001</v>
      </c>
      <c r="EA261" t="n">
        <v>25</v>
      </c>
      <c r="EB261" t="n">
        <v>20.69</v>
      </c>
      <c r="EC261" t="n">
        <v>32</v>
      </c>
      <c r="ED261" t="n">
        <v>110.4</v>
      </c>
      <c r="EE261" t="n">
        <v>44</v>
      </c>
      <c r="EF261" t="b">
        <v>1</v>
      </c>
      <c r="EG261" t="n">
        <v>1.1</v>
      </c>
      <c r="EH261" t="n">
        <v>15.4</v>
      </c>
      <c r="EI261" t="n">
        <v>174</v>
      </c>
      <c r="EJ261" t="n">
        <v>107.5</v>
      </c>
      <c r="EK261" t="n">
        <v>33.8</v>
      </c>
      <c r="EL261" t="n">
        <v>91</v>
      </c>
      <c r="EM261" t="n">
        <v>862.7</v>
      </c>
      <c r="EN261" t="n">
        <v>1521.4</v>
      </c>
      <c r="EO261" t="n">
        <v>550.5</v>
      </c>
      <c r="EP261" t="n">
        <v>26.9</v>
      </c>
    </row>
    <row r="262">
      <c r="A262" t="inlineStr">
        <is>
          <t>Evann Guessand</t>
        </is>
      </c>
      <c r="B262" t="inlineStr">
        <is>
          <t>CRY</t>
        </is>
      </c>
      <c r="C262" t="inlineStr">
        <is>
          <t>MID</t>
        </is>
      </c>
      <c r="D262" t="inlineStr">
        <is>
          <t>MID</t>
        </is>
      </c>
      <c r="E262" t="n">
        <v>5.5</v>
      </c>
      <c r="F262" t="b">
        <v>1</v>
      </c>
      <c r="G262" t="b">
        <v>1</v>
      </c>
      <c r="H262" t="n">
        <v>25.1</v>
      </c>
      <c r="I262" t="inlineStr">
        <is>
          <t>a</t>
        </is>
      </c>
      <c r="L262" t="inlineStr">
        <is>
          <t>p485337</t>
        </is>
      </c>
      <c r="M262" t="n">
        <v>42</v>
      </c>
      <c r="Q262" t="n">
        <v>909</v>
      </c>
      <c r="R262" t="n">
        <v>21</v>
      </c>
      <c r="S262" t="n">
        <v>9</v>
      </c>
      <c r="T262" t="n">
        <v>10.1</v>
      </c>
      <c r="U262" t="n">
        <v>43.3</v>
      </c>
      <c r="V262" t="n">
        <v>44</v>
      </c>
      <c r="W262" t="n">
        <v>4.356</v>
      </c>
      <c r="X262" t="n">
        <v>1</v>
      </c>
      <c r="Y262" t="n">
        <v>3</v>
      </c>
      <c r="Z262" t="n">
        <v>2</v>
      </c>
      <c r="AA262" t="n">
        <v>2</v>
      </c>
      <c r="AB262" t="n">
        <v>15</v>
      </c>
      <c r="AC262" t="n">
        <v>0</v>
      </c>
      <c r="AD262" t="n">
        <v>0</v>
      </c>
      <c r="AE262" t="n">
        <v>0</v>
      </c>
      <c r="AF262" t="n">
        <v>143</v>
      </c>
      <c r="AG262" t="n">
        <v>141</v>
      </c>
      <c r="AH262" t="n">
        <v>-2</v>
      </c>
      <c r="AI262" t="n">
        <v>44</v>
      </c>
      <c r="AJ262" t="n">
        <v>0</v>
      </c>
      <c r="AK262" t="n">
        <v>0</v>
      </c>
      <c r="AL262" t="n">
        <v>83</v>
      </c>
      <c r="AM262" t="n">
        <v>8.218</v>
      </c>
      <c r="AN262" t="n">
        <v>0</v>
      </c>
      <c r="AO262" t="n">
        <v>0</v>
      </c>
      <c r="AP262" t="n">
        <v>0</v>
      </c>
      <c r="AQ262" t="n">
        <v>0</v>
      </c>
      <c r="AR262" t="n">
        <v>0</v>
      </c>
      <c r="AS262" t="n">
        <v>0.237</v>
      </c>
      <c r="AT262" t="n">
        <v>0.333</v>
      </c>
      <c r="AU262" t="n">
        <v>16</v>
      </c>
      <c r="AV262" t="n">
        <v>0</v>
      </c>
      <c r="AW262" t="n">
        <v>1.73</v>
      </c>
      <c r="AX262" t="n">
        <v>8</v>
      </c>
      <c r="AY262" t="n">
        <v>1.56</v>
      </c>
      <c r="AZ262" t="n">
        <v>1.854</v>
      </c>
      <c r="BA262" t="n">
        <v>1.707</v>
      </c>
      <c r="BB262" t="n">
        <v>1.854</v>
      </c>
      <c r="BC262" t="n">
        <v>0.154</v>
      </c>
      <c r="BD262" t="n">
        <v>0.184</v>
      </c>
      <c r="BE262" t="n">
        <v>0.169</v>
      </c>
      <c r="BF262" t="n">
        <v>1.6</v>
      </c>
      <c r="BG262" t="n">
        <v>0.158</v>
      </c>
      <c r="BH262" t="n">
        <v>1.004</v>
      </c>
      <c r="BI262" t="n">
        <v>1.56</v>
      </c>
      <c r="BJ262" t="n">
        <v>1.567</v>
      </c>
      <c r="BK262" t="n">
        <v>0.155</v>
      </c>
      <c r="BL262" t="n">
        <v>-0.707</v>
      </c>
      <c r="BM262" t="n">
        <v>0.04</v>
      </c>
      <c r="BN262" t="n">
        <v>-0.6</v>
      </c>
      <c r="BO262" t="n">
        <v>-0.294</v>
      </c>
      <c r="BP262" t="n">
        <v>11</v>
      </c>
      <c r="BQ262" t="n">
        <v>6</v>
      </c>
      <c r="BR262" t="n">
        <v>3</v>
      </c>
      <c r="BS262" t="n">
        <v>40</v>
      </c>
      <c r="BT262" t="n">
        <v>3.96</v>
      </c>
      <c r="BW262" t="n">
        <v>0.85</v>
      </c>
      <c r="BX262" t="n">
        <v>1.238</v>
      </c>
      <c r="BY262" t="n">
        <v>1.044</v>
      </c>
      <c r="BZ262" t="n">
        <v>0.103</v>
      </c>
      <c r="CA262" t="n">
        <v>2.751</v>
      </c>
      <c r="CB262" t="n">
        <v>0.272</v>
      </c>
      <c r="CC262" t="n">
        <v>5</v>
      </c>
      <c r="CD262" t="n">
        <v>2</v>
      </c>
      <c r="CE262" t="n">
        <v>5</v>
      </c>
      <c r="CH262" t="n">
        <v>0</v>
      </c>
      <c r="CI262" t="n">
        <v>3.779</v>
      </c>
      <c r="CJ262" t="n">
        <v>1.303</v>
      </c>
      <c r="CK262" t="n">
        <v>16</v>
      </c>
      <c r="CL262" t="n">
        <v>43</v>
      </c>
      <c r="CM262" t="n">
        <v>24</v>
      </c>
      <c r="CN262" t="n">
        <v>13</v>
      </c>
      <c r="CO262" t="n">
        <v>5</v>
      </c>
      <c r="CP262" t="n">
        <v>10</v>
      </c>
      <c r="CQ262" t="n">
        <v>3</v>
      </c>
      <c r="CR262" t="n">
        <v>69</v>
      </c>
      <c r="CS262" t="n">
        <v>11</v>
      </c>
      <c r="CT262" t="n">
        <v>0.3</v>
      </c>
      <c r="CU262" t="n">
        <v>1</v>
      </c>
      <c r="CW262" t="n">
        <v>14.48</v>
      </c>
      <c r="CX262" t="n">
        <v>1.434</v>
      </c>
      <c r="CY262" t="n">
        <v>0</v>
      </c>
      <c r="DB262" t="n">
        <v>0</v>
      </c>
      <c r="DF262" t="n">
        <v>0</v>
      </c>
      <c r="DG262" t="n">
        <v>0</v>
      </c>
      <c r="DH262" t="n">
        <v>15</v>
      </c>
      <c r="DI262" t="n">
        <v>20</v>
      </c>
      <c r="DL262" t="n">
        <v>14</v>
      </c>
      <c r="DM262" t="n">
        <v>28</v>
      </c>
      <c r="DN262" t="n">
        <v>1</v>
      </c>
      <c r="DO262" t="n">
        <v>0</v>
      </c>
      <c r="DP262" t="n">
        <v>48.9</v>
      </c>
      <c r="DQ262" t="n">
        <v>24.45</v>
      </c>
      <c r="DR262" t="n">
        <v>48.9</v>
      </c>
      <c r="DS262" t="n">
        <v>0</v>
      </c>
      <c r="DT262" t="n">
        <v>832</v>
      </c>
      <c r="DU262" t="n">
        <v>21.89</v>
      </c>
      <c r="DV262" t="inlineStr">
        <is>
          <t>flat</t>
        </is>
      </c>
      <c r="DW262" t="n">
        <v>67.98</v>
      </c>
      <c r="DX262" t="n">
        <v>51</v>
      </c>
      <c r="DY262" t="n">
        <v>66.36</v>
      </c>
      <c r="DZ262" t="n">
        <v>-1.62</v>
      </c>
      <c r="EA262" t="n">
        <v>8</v>
      </c>
      <c r="EB262" t="n">
        <v>36.54</v>
      </c>
      <c r="EC262" t="n">
        <v>16.67</v>
      </c>
      <c r="ED262" t="n">
        <v>117.09</v>
      </c>
      <c r="EE262" t="n">
        <v>10</v>
      </c>
      <c r="EF262" t="b">
        <v>1</v>
      </c>
      <c r="EG262" t="n">
        <v>0.2</v>
      </c>
      <c r="EH262" t="n">
        <v>16.7</v>
      </c>
      <c r="EI262" t="n">
        <v>173</v>
      </c>
      <c r="EJ262" t="n">
        <v>82.59999999999999</v>
      </c>
      <c r="EK262" t="n">
        <v>22.7</v>
      </c>
      <c r="EL262" t="n">
        <v>181.8</v>
      </c>
      <c r="EM262" t="n">
        <v>532.5</v>
      </c>
      <c r="EN262" t="n">
        <v>870.8</v>
      </c>
      <c r="EO262" t="n">
        <v>330.4</v>
      </c>
      <c r="EP262" t="n">
        <v>20.7</v>
      </c>
    </row>
    <row r="263">
      <c r="A263" t="inlineStr">
        <is>
          <t>Savinho</t>
        </is>
      </c>
      <c r="B263" t="inlineStr">
        <is>
          <t>MCI</t>
        </is>
      </c>
      <c r="C263" t="inlineStr">
        <is>
          <t>MID</t>
        </is>
      </c>
      <c r="D263" t="inlineStr">
        <is>
          <t>MID</t>
        </is>
      </c>
      <c r="E263" t="n">
        <v>6.5</v>
      </c>
      <c r="F263" t="b">
        <v>1</v>
      </c>
      <c r="G263" t="b">
        <v>1</v>
      </c>
      <c r="H263" t="n">
        <v>22.4</v>
      </c>
      <c r="I263" t="inlineStr">
        <is>
          <t>a</t>
        </is>
      </c>
      <c r="L263" t="inlineStr">
        <is>
          <t>p510281</t>
        </is>
      </c>
      <c r="M263" t="n">
        <v>403</v>
      </c>
      <c r="Q263" t="n">
        <v>817</v>
      </c>
      <c r="R263" t="n">
        <v>24</v>
      </c>
      <c r="S263" t="n">
        <v>7</v>
      </c>
      <c r="T263" t="n">
        <v>9.077999999999999</v>
      </c>
      <c r="U263" t="n">
        <v>34</v>
      </c>
      <c r="V263" t="n">
        <v>43</v>
      </c>
      <c r="W263" t="n">
        <v>4.737</v>
      </c>
      <c r="X263" t="n">
        <v>1</v>
      </c>
      <c r="Y263" t="n">
        <v>2</v>
      </c>
      <c r="Z263" t="n">
        <v>1</v>
      </c>
      <c r="AA263" t="n">
        <v>3</v>
      </c>
      <c r="AB263" t="n">
        <v>7</v>
      </c>
      <c r="AC263" t="n">
        <v>1</v>
      </c>
      <c r="AD263" t="n">
        <v>1</v>
      </c>
      <c r="AE263" t="n">
        <v>0</v>
      </c>
      <c r="AF263" t="n">
        <v>140</v>
      </c>
      <c r="AG263" t="n">
        <v>137</v>
      </c>
      <c r="AH263" t="n">
        <v>-3</v>
      </c>
      <c r="AI263" t="n">
        <v>43</v>
      </c>
      <c r="AJ263" t="n">
        <v>0.023</v>
      </c>
      <c r="AK263" t="n">
        <v>0.024</v>
      </c>
      <c r="AL263" t="n">
        <v>59</v>
      </c>
      <c r="AM263" t="n">
        <v>6.499</v>
      </c>
      <c r="AN263" t="n">
        <v>0</v>
      </c>
      <c r="AO263" t="n">
        <v>0</v>
      </c>
      <c r="AP263" t="n">
        <v>0</v>
      </c>
      <c r="AQ263" t="n">
        <v>0</v>
      </c>
      <c r="AR263" t="n">
        <v>0</v>
      </c>
      <c r="AS263" t="n">
        <v>0.184</v>
      </c>
      <c r="AT263" t="n">
        <v>0.25</v>
      </c>
      <c r="AU263" t="n">
        <v>20</v>
      </c>
      <c r="AV263" t="n">
        <v>0</v>
      </c>
      <c r="AW263" t="n">
        <v>1.79</v>
      </c>
      <c r="AX263" t="n">
        <v>9</v>
      </c>
      <c r="AY263" t="n">
        <v>2.5</v>
      </c>
      <c r="AZ263" t="n">
        <v>3.27</v>
      </c>
      <c r="BA263" t="n">
        <v>2.885</v>
      </c>
      <c r="BB263" t="n">
        <v>3.27</v>
      </c>
      <c r="BC263" t="n">
        <v>0.275</v>
      </c>
      <c r="BD263" t="n">
        <v>0.36</v>
      </c>
      <c r="BE263" t="n">
        <v>0.318</v>
      </c>
      <c r="BF263" t="n">
        <v>1.6</v>
      </c>
      <c r="BG263" t="n">
        <v>0.176</v>
      </c>
      <c r="BH263" t="n">
        <v>0.96</v>
      </c>
      <c r="BI263" t="n">
        <v>7.52</v>
      </c>
      <c r="BJ263" t="n">
        <v>2.4</v>
      </c>
      <c r="BK263" t="n">
        <v>0.264</v>
      </c>
      <c r="BL263" t="n">
        <v>-1.885</v>
      </c>
      <c r="BM263" t="n">
        <v>-0.9</v>
      </c>
      <c r="BN263" t="n">
        <v>-0.6</v>
      </c>
      <c r="BO263" t="n">
        <v>-0.77</v>
      </c>
      <c r="BP263" t="n">
        <v>20</v>
      </c>
      <c r="BQ263" t="n">
        <v>11</v>
      </c>
      <c r="BR263" t="n">
        <v>6</v>
      </c>
      <c r="BS263" t="n">
        <v>79</v>
      </c>
      <c r="BT263" t="n">
        <v>8.702999999999999</v>
      </c>
      <c r="BW263" t="n">
        <v>1.59</v>
      </c>
      <c r="BX263" t="n">
        <v>0.931</v>
      </c>
      <c r="BY263" t="n">
        <v>1.261</v>
      </c>
      <c r="BZ263" t="n">
        <v>0.139</v>
      </c>
      <c r="CA263" t="n">
        <v>4.145</v>
      </c>
      <c r="CB263" t="n">
        <v>0.457</v>
      </c>
      <c r="CC263" t="n">
        <v>9</v>
      </c>
      <c r="CD263" t="n">
        <v>0</v>
      </c>
      <c r="CE263" t="n">
        <v>9</v>
      </c>
      <c r="CF263" t="n">
        <v>7</v>
      </c>
      <c r="CG263" t="n">
        <v>2</v>
      </c>
      <c r="CH263" t="n">
        <v>4</v>
      </c>
      <c r="CI263" t="n">
        <v>5.624</v>
      </c>
      <c r="CJ263" t="n">
        <v>2.62</v>
      </c>
      <c r="CK263" t="n">
        <v>11</v>
      </c>
      <c r="CL263" t="n">
        <v>39</v>
      </c>
      <c r="CM263" t="n">
        <v>9</v>
      </c>
      <c r="CN263" t="n">
        <v>5</v>
      </c>
      <c r="CO263" t="n">
        <v>5</v>
      </c>
      <c r="CP263" t="n">
        <v>6</v>
      </c>
      <c r="CQ263" t="n">
        <v>0</v>
      </c>
      <c r="CR263" t="n">
        <v>41</v>
      </c>
      <c r="CS263" t="n">
        <v>0</v>
      </c>
      <c r="CT263" t="n">
        <v>0.4</v>
      </c>
      <c r="CW263" t="n">
        <v>11.24</v>
      </c>
      <c r="CX263" t="n">
        <v>1.238</v>
      </c>
      <c r="CY263" t="n">
        <v>0</v>
      </c>
      <c r="DB263" t="n">
        <v>0</v>
      </c>
      <c r="DF263" t="n">
        <v>2</v>
      </c>
      <c r="DG263" t="n">
        <v>0</v>
      </c>
      <c r="DH263" t="n">
        <v>9</v>
      </c>
      <c r="DI263" t="n">
        <v>15</v>
      </c>
      <c r="DJ263" t="n">
        <v>1</v>
      </c>
      <c r="DL263" t="n">
        <v>17</v>
      </c>
      <c r="DM263" t="n">
        <v>9</v>
      </c>
      <c r="DN263" t="n">
        <v>4</v>
      </c>
      <c r="DO263" t="n">
        <v>0.1</v>
      </c>
      <c r="DP263" t="n">
        <v>37.88</v>
      </c>
      <c r="DQ263" t="n">
        <v>19.23</v>
      </c>
      <c r="DR263" t="n">
        <v>38.46</v>
      </c>
      <c r="DS263" t="n">
        <v>-0.58</v>
      </c>
      <c r="DT263" t="n">
        <v>419</v>
      </c>
      <c r="DU263" t="n">
        <v>11.03</v>
      </c>
      <c r="DV263" t="inlineStr">
        <is>
          <t>flat</t>
        </is>
      </c>
      <c r="DW263" t="n">
        <v>73</v>
      </c>
      <c r="DX263" t="n">
        <v>76.92</v>
      </c>
      <c r="DY263" t="n">
        <v>71.06999999999999</v>
      </c>
      <c r="DZ263" t="n">
        <v>-1.93</v>
      </c>
      <c r="EA263" t="n">
        <v>390</v>
      </c>
      <c r="EB263" t="n">
        <v>23.49</v>
      </c>
      <c r="EC263" t="n">
        <v>8.800000000000001</v>
      </c>
      <c r="ED263" t="n">
        <v>120</v>
      </c>
      <c r="EE263" t="n">
        <v>663</v>
      </c>
      <c r="EF263" t="b">
        <v>1</v>
      </c>
      <c r="EG263" t="n">
        <v>25.2</v>
      </c>
      <c r="EH263" t="n">
        <v>46</v>
      </c>
      <c r="EI263" t="n">
        <v>50</v>
      </c>
      <c r="EJ263" t="n">
        <v>40.8</v>
      </c>
      <c r="EK263" t="n">
        <v>10.3</v>
      </c>
      <c r="EL263" t="n">
        <v>90.8</v>
      </c>
      <c r="EM263" t="n">
        <v>283.2</v>
      </c>
      <c r="EN263" t="n">
        <v>648.1</v>
      </c>
      <c r="EO263" t="n">
        <v>197.1</v>
      </c>
      <c r="EP263" t="n">
        <v>19</v>
      </c>
    </row>
    <row r="264">
      <c r="A264" t="inlineStr">
        <is>
          <t>Rio Ngumoha</t>
        </is>
      </c>
      <c r="B264" t="inlineStr">
        <is>
          <t>LIV</t>
        </is>
      </c>
      <c r="C264" t="inlineStr">
        <is>
          <t>MID</t>
        </is>
      </c>
      <c r="D264" t="inlineStr">
        <is>
          <t>MID</t>
        </is>
      </c>
      <c r="E264" t="n">
        <v>6</v>
      </c>
      <c r="F264" t="b">
        <v>1</v>
      </c>
      <c r="G264" t="b">
        <v>1</v>
      </c>
      <c r="H264" t="n">
        <v>18</v>
      </c>
      <c r="I264" t="inlineStr">
        <is>
          <t>a</t>
        </is>
      </c>
      <c r="L264" t="inlineStr">
        <is>
          <t>p611922</t>
        </is>
      </c>
      <c r="M264" t="n">
        <v>369</v>
      </c>
      <c r="Q264" t="n">
        <v>547</v>
      </c>
      <c r="R264" t="n">
        <v>19</v>
      </c>
      <c r="S264" t="n">
        <v>5</v>
      </c>
      <c r="T264" t="n">
        <v>6.078</v>
      </c>
      <c r="U264" t="n">
        <v>28.8</v>
      </c>
      <c r="V264" t="n">
        <v>43</v>
      </c>
      <c r="W264" t="n">
        <v>7.075</v>
      </c>
      <c r="X264" t="n">
        <v>2</v>
      </c>
      <c r="Y264" t="n">
        <v>1</v>
      </c>
      <c r="Z264" t="n">
        <v>1</v>
      </c>
      <c r="AA264" t="n">
        <v>2</v>
      </c>
      <c r="AB264" t="n">
        <v>12</v>
      </c>
      <c r="AC264" t="n">
        <v>4</v>
      </c>
      <c r="AD264" t="n">
        <v>4</v>
      </c>
      <c r="AE264" t="n">
        <v>0</v>
      </c>
      <c r="AF264" t="n">
        <v>188</v>
      </c>
      <c r="AG264" t="n">
        <v>186</v>
      </c>
      <c r="AH264" t="n">
        <v>-2</v>
      </c>
      <c r="AI264" t="n">
        <v>43</v>
      </c>
      <c r="AJ264" t="n">
        <v>0.093</v>
      </c>
      <c r="AK264" t="n">
        <v>0.103</v>
      </c>
      <c r="AL264" t="n">
        <v>30</v>
      </c>
      <c r="AM264" t="n">
        <v>4.936</v>
      </c>
      <c r="AN264" t="n">
        <v>0</v>
      </c>
      <c r="AO264" t="n">
        <v>0</v>
      </c>
      <c r="AP264" t="n">
        <v>0</v>
      </c>
      <c r="AQ264" t="n">
        <v>0</v>
      </c>
      <c r="AR264" t="n">
        <v>0</v>
      </c>
      <c r="AS264" t="n">
        <v>0.132</v>
      </c>
      <c r="AT264" t="n">
        <v>0.263</v>
      </c>
      <c r="AU264" t="n">
        <v>15</v>
      </c>
      <c r="AV264" t="n">
        <v>1</v>
      </c>
      <c r="AW264" t="n">
        <v>2.17</v>
      </c>
      <c r="AX264" t="n">
        <v>11</v>
      </c>
      <c r="AY264" t="n">
        <v>1.34</v>
      </c>
      <c r="AZ264" t="n">
        <v>1.221</v>
      </c>
      <c r="BA264" t="n">
        <v>1.281</v>
      </c>
      <c r="BB264" t="n">
        <v>1.221</v>
      </c>
      <c r="BC264" t="n">
        <v>0.22</v>
      </c>
      <c r="BD264" t="n">
        <v>0.201</v>
      </c>
      <c r="BE264" t="n">
        <v>0.211</v>
      </c>
      <c r="BF264" t="n">
        <v>1.9</v>
      </c>
      <c r="BG264" t="n">
        <v>0.313</v>
      </c>
      <c r="BH264" t="n">
        <v>1.06</v>
      </c>
      <c r="BI264" t="n">
        <v>1.34</v>
      </c>
      <c r="BJ264" t="n">
        <v>1.42</v>
      </c>
      <c r="BK264" t="n">
        <v>0.234</v>
      </c>
      <c r="BL264" t="n">
        <v>0.719</v>
      </c>
      <c r="BM264" t="n">
        <v>0.5600000000000001</v>
      </c>
      <c r="BN264" t="n">
        <v>0.1</v>
      </c>
      <c r="BO264" t="n">
        <v>0.119</v>
      </c>
      <c r="BP264" t="n">
        <v>16</v>
      </c>
      <c r="BQ264" t="n">
        <v>6</v>
      </c>
      <c r="BS264" t="n">
        <v>53</v>
      </c>
      <c r="BT264" t="n">
        <v>8.720000000000001</v>
      </c>
      <c r="BW264" t="n">
        <v>2.01</v>
      </c>
      <c r="BX264" t="n">
        <v>2.126</v>
      </c>
      <c r="BY264" t="n">
        <v>2.068</v>
      </c>
      <c r="BZ264" t="n">
        <v>0.34</v>
      </c>
      <c r="CA264" t="n">
        <v>3.349</v>
      </c>
      <c r="CB264" t="n">
        <v>0.551</v>
      </c>
      <c r="CC264" t="n">
        <v>16</v>
      </c>
      <c r="CD264" t="n">
        <v>3</v>
      </c>
      <c r="CE264" t="n">
        <v>16</v>
      </c>
      <c r="CF264" t="n">
        <v>7</v>
      </c>
      <c r="CI264" t="n">
        <v>4.779</v>
      </c>
      <c r="CJ264" t="n">
        <v>1.654</v>
      </c>
      <c r="CK264" t="n">
        <v>7</v>
      </c>
      <c r="CL264" t="n">
        <v>19</v>
      </c>
      <c r="CM264" t="n">
        <v>4</v>
      </c>
      <c r="CN264" t="n">
        <v>2</v>
      </c>
      <c r="CO264" t="n">
        <v>3</v>
      </c>
      <c r="CP264" t="n">
        <v>3</v>
      </c>
      <c r="CQ264" t="n">
        <v>1</v>
      </c>
      <c r="CR264" t="n">
        <v>46</v>
      </c>
      <c r="CT264" t="n">
        <v>0.5</v>
      </c>
      <c r="CW264" t="n">
        <v>8.92</v>
      </c>
      <c r="CX264" t="n">
        <v>1.468</v>
      </c>
      <c r="CY264" t="n">
        <v>0</v>
      </c>
      <c r="DB264" t="n">
        <v>0</v>
      </c>
      <c r="DF264" t="n">
        <v>0</v>
      </c>
      <c r="DG264" t="n">
        <v>0</v>
      </c>
      <c r="DH264" t="n">
        <v>4</v>
      </c>
      <c r="DI264" t="n">
        <v>12</v>
      </c>
      <c r="DL264" t="n">
        <v>30</v>
      </c>
      <c r="DM264" t="n">
        <v>12</v>
      </c>
      <c r="DO264" t="n">
        <v>1.4</v>
      </c>
      <c r="DP264" t="n">
        <v>123.4</v>
      </c>
      <c r="DQ264" t="n">
        <v>61.99</v>
      </c>
      <c r="DR264" t="n">
        <v>123.98</v>
      </c>
      <c r="DS264" t="n">
        <v>-0.58</v>
      </c>
      <c r="DT264" t="n">
        <v>2269</v>
      </c>
      <c r="DU264" t="n">
        <v>59.7</v>
      </c>
      <c r="DV264" t="inlineStr">
        <is>
          <t>flat</t>
        </is>
      </c>
      <c r="DW264" t="n">
        <v>74.43000000000001</v>
      </c>
      <c r="DX264" t="n">
        <v>75.90000000000001</v>
      </c>
      <c r="DY264" t="n">
        <v>75.03</v>
      </c>
      <c r="DZ264" t="n">
        <v>0.6</v>
      </c>
      <c r="EA264" t="n">
        <v>477</v>
      </c>
      <c r="EB264" t="n">
        <v>24.62</v>
      </c>
      <c r="EC264" t="n">
        <v>2.29</v>
      </c>
      <c r="ED264" t="n">
        <v>120</v>
      </c>
      <c r="EE264" t="n">
        <v>920</v>
      </c>
      <c r="EF264" t="b">
        <v>1</v>
      </c>
      <c r="EG264" t="n">
        <v>21.3</v>
      </c>
      <c r="EH264" t="n">
        <v>11.4</v>
      </c>
      <c r="EI264" t="n">
        <v>99</v>
      </c>
      <c r="EJ264" t="n">
        <v>34.2</v>
      </c>
      <c r="EK264" t="n">
        <v>10.3</v>
      </c>
      <c r="EL264" t="n">
        <v>34.2</v>
      </c>
      <c r="EM264" t="n">
        <v>427.1</v>
      </c>
      <c r="EN264" t="n">
        <v>264.5</v>
      </c>
      <c r="EO264" t="n">
        <v>163.3</v>
      </c>
      <c r="EP264" t="n">
        <v>12.7</v>
      </c>
    </row>
    <row r="265">
      <c r="A265" t="inlineStr">
        <is>
          <t>Taiwo Awoniyi</t>
        </is>
      </c>
      <c r="B265" t="inlineStr">
        <is>
          <t>NFO</t>
        </is>
      </c>
      <c r="C265" t="inlineStr">
        <is>
          <t>FWD</t>
        </is>
      </c>
      <c r="D265" t="inlineStr">
        <is>
          <t>FWD</t>
        </is>
      </c>
      <c r="E265" t="n">
        <v>5.5</v>
      </c>
      <c r="F265" t="b">
        <v>1</v>
      </c>
      <c r="G265" t="b">
        <v>1</v>
      </c>
      <c r="H265" t="n">
        <v>29</v>
      </c>
      <c r="I265" t="inlineStr">
        <is>
          <t>a</t>
        </is>
      </c>
      <c r="L265" t="inlineStr">
        <is>
          <t>p210156</t>
        </is>
      </c>
      <c r="M265" t="n">
        <v>492</v>
      </c>
      <c r="Q265" t="n">
        <v>480</v>
      </c>
      <c r="R265" t="n">
        <v>17</v>
      </c>
      <c r="S265" t="n">
        <v>3</v>
      </c>
      <c r="T265" t="n">
        <v>5.333</v>
      </c>
      <c r="U265" t="n">
        <v>28.2</v>
      </c>
      <c r="V265" t="n">
        <v>43</v>
      </c>
      <c r="W265" t="n">
        <v>8.061999999999999</v>
      </c>
      <c r="X265" t="n">
        <v>4</v>
      </c>
      <c r="Y265" t="n">
        <v>2</v>
      </c>
      <c r="Z265" t="n">
        <v>1</v>
      </c>
      <c r="AA265" t="n">
        <v>1</v>
      </c>
      <c r="AB265" t="n">
        <v>4</v>
      </c>
      <c r="AC265" t="n">
        <v>4</v>
      </c>
      <c r="AD265" t="n">
        <v>4</v>
      </c>
      <c r="AE265" t="n">
        <v>0</v>
      </c>
      <c r="AF265" t="n">
        <v>170</v>
      </c>
      <c r="AG265" t="n">
        <v>169</v>
      </c>
      <c r="AH265" t="n">
        <v>-1</v>
      </c>
      <c r="AI265" t="n">
        <v>43</v>
      </c>
      <c r="AJ265" t="n">
        <v>0.093</v>
      </c>
      <c r="AK265" t="n">
        <v>0.103</v>
      </c>
      <c r="AL265" t="n">
        <v>26</v>
      </c>
      <c r="AM265" t="n">
        <v>4.875</v>
      </c>
      <c r="AN265" t="n">
        <v>0</v>
      </c>
      <c r="AO265" t="n">
        <v>0</v>
      </c>
      <c r="AP265" t="n">
        <v>0</v>
      </c>
      <c r="AQ265" t="n">
        <v>0</v>
      </c>
      <c r="AR265" t="n">
        <v>0</v>
      </c>
      <c r="AS265" t="n">
        <v>0.079</v>
      </c>
      <c r="AT265" t="n">
        <v>0.118</v>
      </c>
      <c r="AU265" t="n">
        <v>13</v>
      </c>
      <c r="AV265" t="n">
        <v>1</v>
      </c>
      <c r="AW265" t="n">
        <v>2.8</v>
      </c>
      <c r="AX265" t="n">
        <v>16</v>
      </c>
      <c r="AY265" t="n">
        <v>3.68</v>
      </c>
      <c r="AZ265" t="n">
        <v>4.347</v>
      </c>
      <c r="BA265" t="n">
        <v>4.013</v>
      </c>
      <c r="BB265" t="n">
        <v>4.347</v>
      </c>
      <c r="BC265" t="n">
        <v>0.6899999999999999</v>
      </c>
      <c r="BD265" t="n">
        <v>0.8149999999999999</v>
      </c>
      <c r="BE265" t="n">
        <v>0.753</v>
      </c>
      <c r="BF265" t="n">
        <v>3.6</v>
      </c>
      <c r="BG265" t="n">
        <v>0.675</v>
      </c>
      <c r="BH265" t="n">
        <v>0.869</v>
      </c>
      <c r="BI265" t="n">
        <v>17.54</v>
      </c>
      <c r="BJ265" t="n">
        <v>3.199</v>
      </c>
      <c r="BK265" t="n">
        <v>0.6</v>
      </c>
      <c r="BL265" t="n">
        <v>-0.013</v>
      </c>
      <c r="BM265" t="n">
        <v>-0.08</v>
      </c>
      <c r="BN265" t="n">
        <v>0.4</v>
      </c>
      <c r="BO265" t="n">
        <v>-0.667</v>
      </c>
      <c r="BP265" t="n">
        <v>15</v>
      </c>
      <c r="BQ265" t="n">
        <v>8</v>
      </c>
      <c r="BR265" t="n">
        <v>3</v>
      </c>
      <c r="BS265" t="n">
        <v>25</v>
      </c>
      <c r="BT265" t="n">
        <v>4.688</v>
      </c>
      <c r="BV265" t="n">
        <v>1</v>
      </c>
      <c r="BW265" t="n">
        <v>0.77</v>
      </c>
      <c r="BX265" t="n">
        <v>1.32</v>
      </c>
      <c r="BY265" t="n">
        <v>1.045</v>
      </c>
      <c r="BZ265" t="n">
        <v>0.196</v>
      </c>
      <c r="CA265" t="n">
        <v>5.058</v>
      </c>
      <c r="CB265" t="n">
        <v>0.948</v>
      </c>
      <c r="CC265" t="n">
        <v>6</v>
      </c>
      <c r="CD265" t="n">
        <v>2</v>
      </c>
      <c r="CE265" t="n">
        <v>6</v>
      </c>
      <c r="CG265" t="n">
        <v>1</v>
      </c>
      <c r="CI265" t="n">
        <v>5.522</v>
      </c>
      <c r="CJ265" t="n">
        <v>1.534</v>
      </c>
      <c r="CK265" t="n">
        <v>6</v>
      </c>
      <c r="CL265" t="n">
        <v>18</v>
      </c>
      <c r="CM265" t="n">
        <v>2</v>
      </c>
      <c r="CN265" t="n">
        <v>1</v>
      </c>
      <c r="CO265" t="n">
        <v>1</v>
      </c>
      <c r="CP265" t="n">
        <v>4</v>
      </c>
      <c r="CQ265" t="n">
        <v>1</v>
      </c>
      <c r="CR265" t="n">
        <v>20</v>
      </c>
      <c r="CS265" t="n">
        <v>9</v>
      </c>
      <c r="CW265" t="n">
        <v>10.35</v>
      </c>
      <c r="CX265" t="n">
        <v>1.941</v>
      </c>
      <c r="CY265" t="n">
        <v>0</v>
      </c>
      <c r="DB265" t="n">
        <v>0</v>
      </c>
      <c r="DF265" t="n">
        <v>2</v>
      </c>
      <c r="DG265" t="n">
        <v>0</v>
      </c>
      <c r="DH265" t="n">
        <v>10</v>
      </c>
      <c r="DI265" t="n">
        <v>7</v>
      </c>
      <c r="DJ265" t="n">
        <v>1</v>
      </c>
      <c r="DL265" t="n">
        <v>2</v>
      </c>
      <c r="DM265" t="n">
        <v>5</v>
      </c>
      <c r="DN265" t="n">
        <v>6</v>
      </c>
      <c r="DO265" t="n">
        <v>0.4</v>
      </c>
      <c r="DP265" t="n">
        <v>17.78</v>
      </c>
      <c r="DQ265" t="n">
        <v>8.890000000000001</v>
      </c>
      <c r="DR265" t="n">
        <v>17.78</v>
      </c>
      <c r="DS265" t="n">
        <v>0</v>
      </c>
      <c r="DT265" t="n">
        <v>72</v>
      </c>
      <c r="DU265" t="n">
        <v>1.89</v>
      </c>
      <c r="DV265" t="inlineStr">
        <is>
          <t>flat</t>
        </is>
      </c>
      <c r="DW265" t="n">
        <v>96.84</v>
      </c>
      <c r="DX265" t="n">
        <v>97.22</v>
      </c>
      <c r="DY265" t="n">
        <v>95.43000000000001</v>
      </c>
      <c r="DZ265" t="n">
        <v>-1.4</v>
      </c>
      <c r="EA265" t="n">
        <v>133</v>
      </c>
      <c r="EB265" t="n">
        <v>18.66</v>
      </c>
      <c r="EC265" t="n">
        <v>2.5</v>
      </c>
      <c r="ED265" t="n">
        <v>120</v>
      </c>
      <c r="EE265" t="n">
        <v>199</v>
      </c>
      <c r="EF265" t="b">
        <v>1</v>
      </c>
      <c r="EG265" t="n">
        <v>5.1</v>
      </c>
      <c r="EH265" t="n">
        <v>20.1</v>
      </c>
      <c r="EI265" t="n">
        <v>175</v>
      </c>
      <c r="EJ265" t="n">
        <v>32</v>
      </c>
      <c r="EK265" t="n">
        <v>19.2</v>
      </c>
      <c r="EL265" t="n">
        <v>80</v>
      </c>
      <c r="EM265" t="n">
        <v>119.6</v>
      </c>
      <c r="EN265" t="n">
        <v>459.4</v>
      </c>
      <c r="EO265" t="n">
        <v>94.90000000000001</v>
      </c>
      <c r="EP265" t="n">
        <v>11.2</v>
      </c>
    </row>
    <row r="266">
      <c r="A266" t="inlineStr">
        <is>
          <t>Matthijs de Ligt</t>
        </is>
      </c>
      <c r="B266" t="inlineStr">
        <is>
          <t>MUN</t>
        </is>
      </c>
      <c r="C266" t="inlineStr">
        <is>
          <t>DEF</t>
        </is>
      </c>
      <c r="D266" t="inlineStr">
        <is>
          <t>DEF</t>
        </is>
      </c>
      <c r="E266" t="n">
        <v>5</v>
      </c>
      <c r="F266" t="b">
        <v>1</v>
      </c>
      <c r="G266" t="b">
        <v>1</v>
      </c>
      <c r="H266" t="n">
        <v>27</v>
      </c>
      <c r="I266" t="inlineStr">
        <is>
          <t>i</t>
        </is>
      </c>
      <c r="J266" t="inlineStr">
        <is>
          <t>Back injury - Unknown return date</t>
        </is>
      </c>
      <c r="K266" t="n">
        <v>0</v>
      </c>
      <c r="L266" t="inlineStr">
        <is>
          <t>p209365</t>
        </is>
      </c>
      <c r="M266" t="n">
        <v>416</v>
      </c>
      <c r="Q266" t="n">
        <v>1170</v>
      </c>
      <c r="R266" t="n">
        <v>13</v>
      </c>
      <c r="S266" t="n">
        <v>13</v>
      </c>
      <c r="T266" t="n">
        <v>13</v>
      </c>
      <c r="U266" t="n">
        <v>90</v>
      </c>
      <c r="V266" t="n">
        <v>43</v>
      </c>
      <c r="W266" t="n">
        <v>3.308</v>
      </c>
      <c r="X266" t="n">
        <v>1</v>
      </c>
      <c r="Y266" t="n">
        <v>0</v>
      </c>
      <c r="AA266" t="n">
        <v>1</v>
      </c>
      <c r="AB266" t="n">
        <v>20</v>
      </c>
      <c r="AC266" t="n">
        <v>5</v>
      </c>
      <c r="AD266" t="n">
        <v>3</v>
      </c>
      <c r="AE266" t="n">
        <v>-2</v>
      </c>
      <c r="AF266" t="n">
        <v>169</v>
      </c>
      <c r="AG266" t="n">
        <v>153</v>
      </c>
      <c r="AH266" t="n">
        <v>-16</v>
      </c>
      <c r="AI266" t="n">
        <v>41</v>
      </c>
      <c r="AJ266" t="n">
        <v>0.116</v>
      </c>
      <c r="AK266" t="n">
        <v>0.132</v>
      </c>
      <c r="AL266" t="n">
        <v>107</v>
      </c>
      <c r="AM266" t="n">
        <v>8.231</v>
      </c>
      <c r="AN266" t="n">
        <v>4</v>
      </c>
      <c r="AO266" t="n">
        <v>8</v>
      </c>
      <c r="AP266" t="n">
        <v>0.308</v>
      </c>
      <c r="AQ266" t="n">
        <v>0.308</v>
      </c>
      <c r="AR266" t="n">
        <v>0</v>
      </c>
      <c r="AS266" t="n">
        <v>0.342</v>
      </c>
      <c r="AT266" t="n">
        <v>1</v>
      </c>
      <c r="AU266" t="n">
        <v>8</v>
      </c>
      <c r="AV266" t="n">
        <v>0</v>
      </c>
      <c r="AW266" t="n">
        <v>2.27</v>
      </c>
      <c r="AX266" t="n">
        <v>9</v>
      </c>
      <c r="AY266" t="n">
        <v>1.38</v>
      </c>
      <c r="AZ266" t="n">
        <v>1.323</v>
      </c>
      <c r="BA266" t="n">
        <v>1.352</v>
      </c>
      <c r="BB266" t="n">
        <v>1.323</v>
      </c>
      <c r="BC266" t="n">
        <v>0.106</v>
      </c>
      <c r="BD266" t="n">
        <v>0.102</v>
      </c>
      <c r="BE266" t="n">
        <v>0.104</v>
      </c>
      <c r="BF266" t="n">
        <v>1.5</v>
      </c>
      <c r="BG266" t="n">
        <v>0.115</v>
      </c>
      <c r="BH266" t="n">
        <v>1.096</v>
      </c>
      <c r="BI266" t="n">
        <v>3.86</v>
      </c>
      <c r="BJ266" t="n">
        <v>1.513</v>
      </c>
      <c r="BK266" t="n">
        <v>0.116</v>
      </c>
      <c r="BL266" t="n">
        <v>-0.352</v>
      </c>
      <c r="BM266" t="n">
        <v>0.12</v>
      </c>
      <c r="BN266" t="n">
        <v>-0.5</v>
      </c>
      <c r="BO266" t="n">
        <v>0.057</v>
      </c>
      <c r="BP266" t="n">
        <v>11</v>
      </c>
      <c r="BQ266" t="n">
        <v>3</v>
      </c>
      <c r="BR266" t="n">
        <v>1</v>
      </c>
      <c r="BS266" t="n">
        <v>18</v>
      </c>
      <c r="BT266" t="n">
        <v>1.385</v>
      </c>
      <c r="BV266" t="n">
        <v>1</v>
      </c>
      <c r="BW266" t="n">
        <v>0.83</v>
      </c>
      <c r="BX266" t="n">
        <v>0.428</v>
      </c>
      <c r="BY266" t="n">
        <v>0.629</v>
      </c>
      <c r="BZ266" t="n">
        <v>0.048</v>
      </c>
      <c r="CA266" t="n">
        <v>1.981</v>
      </c>
      <c r="CB266" t="n">
        <v>0.152</v>
      </c>
      <c r="CC266" t="n">
        <v>3</v>
      </c>
      <c r="CD266" t="n">
        <v>2</v>
      </c>
      <c r="CE266" t="n">
        <v>3</v>
      </c>
      <c r="CF266" t="n">
        <v>4</v>
      </c>
      <c r="CG266" t="n">
        <v>2</v>
      </c>
      <c r="CI266" t="n">
        <v>2.832</v>
      </c>
      <c r="CJ266" t="n">
        <v>2.389</v>
      </c>
      <c r="CK266" t="n">
        <v>88</v>
      </c>
      <c r="CL266" t="n">
        <v>40</v>
      </c>
      <c r="CM266" t="n">
        <v>19</v>
      </c>
      <c r="CN266" t="n">
        <v>13</v>
      </c>
      <c r="CO266" t="n">
        <v>15</v>
      </c>
      <c r="CP266" t="n">
        <v>68</v>
      </c>
      <c r="CQ266" t="n">
        <v>7</v>
      </c>
      <c r="CR266" t="n">
        <v>74</v>
      </c>
      <c r="CS266" t="n">
        <v>50</v>
      </c>
      <c r="CV266" t="n">
        <v>1</v>
      </c>
      <c r="CW266" t="n">
        <v>18.73</v>
      </c>
      <c r="CX266" t="n">
        <v>1.441</v>
      </c>
      <c r="CY266" t="n">
        <v>0</v>
      </c>
      <c r="DB266" t="n">
        <v>0</v>
      </c>
      <c r="DF266" t="n">
        <v>0</v>
      </c>
      <c r="DG266" t="n">
        <v>0</v>
      </c>
      <c r="DH266" t="n">
        <v>6</v>
      </c>
      <c r="DI266" t="n">
        <v>5</v>
      </c>
      <c r="DL266" t="n">
        <v>1</v>
      </c>
      <c r="DM266" t="n">
        <v>1</v>
      </c>
      <c r="DO266" t="n">
        <v>0</v>
      </c>
      <c r="DP266" t="n">
        <v>41.46</v>
      </c>
      <c r="DQ266" t="n">
        <v>17.73</v>
      </c>
      <c r="DR266" t="n">
        <v>35.46</v>
      </c>
      <c r="DS266" t="n">
        <v>6</v>
      </c>
      <c r="DT266" t="n">
        <v>1026</v>
      </c>
      <c r="DU266" t="n">
        <v>27</v>
      </c>
      <c r="DV266" t="inlineStr">
        <is>
          <t>flat</t>
        </is>
      </c>
      <c r="DW266" t="n">
        <v>100.92</v>
      </c>
      <c r="DX266" t="n">
        <v>87.12</v>
      </c>
      <c r="DY266" t="n">
        <v>106.09</v>
      </c>
      <c r="DZ266" t="n">
        <v>5.16</v>
      </c>
      <c r="EA266" t="n">
        <v>23</v>
      </c>
      <c r="EB266" t="n">
        <v>15.54</v>
      </c>
      <c r="EC266" t="n">
        <v>39</v>
      </c>
      <c r="ED266" t="n">
        <v>116.8</v>
      </c>
      <c r="EE266" t="n">
        <v>35</v>
      </c>
      <c r="EF266" t="b">
        <v>1</v>
      </c>
      <c r="EG266" t="n">
        <v>1.1</v>
      </c>
      <c r="EH266" t="n">
        <v>32.7</v>
      </c>
      <c r="EI266" t="n">
        <v>288</v>
      </c>
      <c r="EJ266" t="n">
        <v>106.4</v>
      </c>
      <c r="EK266" t="n">
        <v>65</v>
      </c>
      <c r="EL266" t="n">
        <v>390</v>
      </c>
      <c r="EM266" t="n">
        <v>865.6</v>
      </c>
      <c r="EN266" t="n">
        <v>1859.8</v>
      </c>
      <c r="EO266" t="n">
        <v>590.7</v>
      </c>
      <c r="EP266" t="n">
        <v>27.2</v>
      </c>
    </row>
    <row r="267">
      <c r="A267" t="inlineStr">
        <is>
          <t>Lucas Perri</t>
        </is>
      </c>
      <c r="B267" t="inlineStr">
        <is>
          <t>LEE</t>
        </is>
      </c>
      <c r="C267" t="inlineStr">
        <is>
          <t>GKP</t>
        </is>
      </c>
      <c r="D267" t="inlineStr">
        <is>
          <t>GKP</t>
        </is>
      </c>
      <c r="E267" t="n">
        <v>4.5</v>
      </c>
      <c r="F267" t="b">
        <v>1</v>
      </c>
      <c r="G267" t="b">
        <v>1</v>
      </c>
      <c r="H267" t="n">
        <v>28.7</v>
      </c>
      <c r="I267" t="inlineStr">
        <is>
          <t>a</t>
        </is>
      </c>
      <c r="L267" t="inlineStr">
        <is>
          <t>p201595</t>
        </is>
      </c>
      <c r="M267" t="n">
        <v>326</v>
      </c>
      <c r="Q267" t="n">
        <v>1440</v>
      </c>
      <c r="R267" t="n">
        <v>16</v>
      </c>
      <c r="S267" t="n">
        <v>16</v>
      </c>
      <c r="T267" t="n">
        <v>16</v>
      </c>
      <c r="U267" t="n">
        <v>90</v>
      </c>
      <c r="V267" t="n">
        <v>43</v>
      </c>
      <c r="W267" t="n">
        <v>2.688</v>
      </c>
      <c r="X267" t="n">
        <v>0</v>
      </c>
      <c r="Y267" t="n">
        <v>0</v>
      </c>
      <c r="AA267" t="n">
        <v>3</v>
      </c>
      <c r="AB267" t="n">
        <v>29</v>
      </c>
      <c r="AC267" t="n">
        <v>3</v>
      </c>
      <c r="AD267" t="n">
        <v>3</v>
      </c>
      <c r="AE267" t="n">
        <v>0</v>
      </c>
      <c r="AF267" t="n">
        <v>153</v>
      </c>
      <c r="AG267" t="n">
        <v>150</v>
      </c>
      <c r="AH267" t="n">
        <v>-3</v>
      </c>
      <c r="AI267" t="n">
        <v>43</v>
      </c>
      <c r="AJ267" t="n">
        <v>0.07000000000000001</v>
      </c>
      <c r="AK267" t="n">
        <v>0.075</v>
      </c>
      <c r="AL267" t="n">
        <v>0</v>
      </c>
      <c r="AM267" t="n">
        <v>0</v>
      </c>
      <c r="AN267" t="n">
        <v>0</v>
      </c>
      <c r="AO267" t="n">
        <v>0</v>
      </c>
      <c r="AP267" t="n">
        <v>0</v>
      </c>
      <c r="AQ267" t="n">
        <v>0</v>
      </c>
      <c r="AR267" t="n">
        <v>0</v>
      </c>
      <c r="AS267" t="n">
        <v>0.421</v>
      </c>
      <c r="AT267" t="n">
        <v>1</v>
      </c>
      <c r="AU267" t="n">
        <v>12</v>
      </c>
      <c r="AV267" t="n">
        <v>1</v>
      </c>
      <c r="AW267" t="n">
        <v>2.11</v>
      </c>
      <c r="AX267" t="n">
        <v>10</v>
      </c>
      <c r="AY267" t="n">
        <v>0</v>
      </c>
      <c r="AZ267" t="n">
        <v>0</v>
      </c>
      <c r="BA267" t="n">
        <v>0</v>
      </c>
      <c r="BB267" t="n">
        <v>0</v>
      </c>
      <c r="BC267" t="n">
        <v>0</v>
      </c>
      <c r="BD267" t="n">
        <v>0</v>
      </c>
      <c r="BE267" t="n">
        <v>0</v>
      </c>
      <c r="BH267" t="n">
        <v>1</v>
      </c>
      <c r="BI267" t="n">
        <v>0</v>
      </c>
      <c r="BJ267" t="n">
        <v>0</v>
      </c>
      <c r="BK267" t="n">
        <v>0</v>
      </c>
      <c r="BL267" t="n">
        <v>0</v>
      </c>
      <c r="BO267" t="n">
        <v>0</v>
      </c>
      <c r="BS267" t="n">
        <v>0</v>
      </c>
      <c r="BT267" t="n">
        <v>0</v>
      </c>
      <c r="BW267" t="n">
        <v>0</v>
      </c>
      <c r="BX267" t="n">
        <v>0</v>
      </c>
      <c r="BY267" t="n">
        <v>0</v>
      </c>
      <c r="BZ267" t="n">
        <v>0</v>
      </c>
      <c r="CA267" t="n">
        <v>0</v>
      </c>
      <c r="CB267" t="n">
        <v>0</v>
      </c>
      <c r="CC267" t="n">
        <v>0</v>
      </c>
      <c r="CI267" t="n">
        <v>2.474</v>
      </c>
      <c r="CJ267" t="n">
        <v>2.474</v>
      </c>
      <c r="CK267" t="n">
        <v>16</v>
      </c>
      <c r="CL267" t="n">
        <v>100</v>
      </c>
      <c r="CM267" t="n">
        <v>0</v>
      </c>
      <c r="CP267" t="n">
        <v>16</v>
      </c>
      <c r="CR267" t="n">
        <v>7</v>
      </c>
      <c r="CS267" t="n">
        <v>5</v>
      </c>
      <c r="CW267" t="n">
        <v>26.68</v>
      </c>
      <c r="CX267" t="n">
        <v>1.668</v>
      </c>
      <c r="CY267" t="n">
        <v>38</v>
      </c>
      <c r="DB267" t="n">
        <v>0</v>
      </c>
      <c r="DC267" t="n">
        <v>9</v>
      </c>
      <c r="DD267" t="n">
        <v>6</v>
      </c>
      <c r="DF267" t="n">
        <v>2</v>
      </c>
      <c r="DG267" t="n">
        <v>0</v>
      </c>
      <c r="DH267" t="n">
        <v>1</v>
      </c>
      <c r="DI267" t="n">
        <v>3</v>
      </c>
      <c r="DK267" t="n">
        <v>1</v>
      </c>
      <c r="DO267" t="n">
        <v>0.7</v>
      </c>
      <c r="DP267" t="n">
        <v>1.46</v>
      </c>
      <c r="DQ267" t="n">
        <v>0.73</v>
      </c>
      <c r="DR267" t="n">
        <v>1.46</v>
      </c>
      <c r="DS267" t="n">
        <v>0</v>
      </c>
      <c r="DT267" t="n">
        <v>35</v>
      </c>
      <c r="DU267" t="n">
        <v>0.91</v>
      </c>
      <c r="DV267" t="inlineStr">
        <is>
          <t>flat</t>
        </is>
      </c>
      <c r="DW267" t="n">
        <v>114.41</v>
      </c>
      <c r="DX267" t="n">
        <v>111.11</v>
      </c>
      <c r="DY267" t="n">
        <v>114.95</v>
      </c>
      <c r="DZ267" t="n">
        <v>0.54</v>
      </c>
      <c r="EA267" t="n">
        <v>102</v>
      </c>
      <c r="EB267" t="n">
        <v>10.87</v>
      </c>
      <c r="EC267" t="n">
        <v>20.8</v>
      </c>
      <c r="ED267" t="n">
        <v>120</v>
      </c>
      <c r="EE267" t="n">
        <v>153</v>
      </c>
      <c r="EF267" t="b">
        <v>1</v>
      </c>
      <c r="EG267" t="n">
        <v>3.8</v>
      </c>
      <c r="EH267" t="n">
        <v>18.2</v>
      </c>
      <c r="EI267" t="n">
        <v>427</v>
      </c>
      <c r="EP267" t="n">
        <v>33.5</v>
      </c>
    </row>
    <row r="268">
      <c r="A268" t="inlineStr">
        <is>
          <t>Oscar Bobb</t>
        </is>
      </c>
      <c r="B268" t="inlineStr">
        <is>
          <t>FUL</t>
        </is>
      </c>
      <c r="C268" t="inlineStr">
        <is>
          <t>MID</t>
        </is>
      </c>
      <c r="D268" t="inlineStr">
        <is>
          <t>MID</t>
        </is>
      </c>
      <c r="E268" t="n">
        <v>5.5</v>
      </c>
      <c r="F268" t="b">
        <v>1</v>
      </c>
      <c r="G268" t="b">
        <v>1</v>
      </c>
      <c r="H268" t="n">
        <v>23.1</v>
      </c>
      <c r="I268" t="inlineStr">
        <is>
          <t>a</t>
        </is>
      </c>
      <c r="L268" t="inlineStr">
        <is>
          <t>p477555</t>
        </is>
      </c>
      <c r="M268" t="n">
        <v>264</v>
      </c>
      <c r="O268" t="n">
        <v>3</v>
      </c>
      <c r="Q268" t="n">
        <v>1030</v>
      </c>
      <c r="R268" t="n">
        <v>23</v>
      </c>
      <c r="S268" t="n">
        <v>11</v>
      </c>
      <c r="T268" t="n">
        <v>11.444</v>
      </c>
      <c r="U268" t="n">
        <v>44.8</v>
      </c>
      <c r="V268" t="n">
        <v>42</v>
      </c>
      <c r="W268" t="n">
        <v>3.67</v>
      </c>
      <c r="X268" t="n">
        <v>0</v>
      </c>
      <c r="Y268" t="n">
        <v>2</v>
      </c>
      <c r="Z268" t="n">
        <v>1</v>
      </c>
      <c r="AA268" t="n">
        <v>4</v>
      </c>
      <c r="AB268" t="n">
        <v>13</v>
      </c>
      <c r="AC268" t="n">
        <v>0</v>
      </c>
      <c r="AD268" t="n">
        <v>0</v>
      </c>
      <c r="AE268" t="n">
        <v>0</v>
      </c>
      <c r="AF268" t="n">
        <v>182</v>
      </c>
      <c r="AG268" t="n">
        <v>178</v>
      </c>
      <c r="AH268" t="n">
        <v>-4</v>
      </c>
      <c r="AI268" t="n">
        <v>42</v>
      </c>
      <c r="AJ268" t="n">
        <v>0</v>
      </c>
      <c r="AK268" t="n">
        <v>0</v>
      </c>
      <c r="AL268" t="n">
        <v>76</v>
      </c>
      <c r="AM268" t="n">
        <v>6.641</v>
      </c>
      <c r="AN268" t="n">
        <v>0</v>
      </c>
      <c r="AO268" t="n">
        <v>0</v>
      </c>
      <c r="AP268" t="n">
        <v>0</v>
      </c>
      <c r="AQ268" t="n">
        <v>0</v>
      </c>
      <c r="AR268" t="n">
        <v>0</v>
      </c>
      <c r="AS268" t="n">
        <v>0.289</v>
      </c>
      <c r="AT268" t="n">
        <v>0.435</v>
      </c>
      <c r="AU268" t="n">
        <v>18</v>
      </c>
      <c r="AV268" t="n">
        <v>0</v>
      </c>
      <c r="AW268" t="n">
        <v>1.41</v>
      </c>
      <c r="AX268" t="n">
        <v>6</v>
      </c>
      <c r="AY268" t="n">
        <v>1.47</v>
      </c>
      <c r="AZ268" t="n">
        <v>1.429</v>
      </c>
      <c r="BA268" t="n">
        <v>1.45</v>
      </c>
      <c r="BB268" t="n">
        <v>1.429</v>
      </c>
      <c r="BC268" t="n">
        <v>0.128</v>
      </c>
      <c r="BD268" t="n">
        <v>0.125</v>
      </c>
      <c r="BE268" t="n">
        <v>0.127</v>
      </c>
      <c r="BF268" t="n">
        <v>1.3</v>
      </c>
      <c r="BG268" t="n">
        <v>0.114</v>
      </c>
      <c r="BH268" t="n">
        <v>0.9389999999999999</v>
      </c>
      <c r="BI268" t="n">
        <v>2.97</v>
      </c>
      <c r="BJ268" t="n">
        <v>1.38</v>
      </c>
      <c r="BK268" t="n">
        <v>0.121</v>
      </c>
      <c r="BL268" t="n">
        <v>-1.45</v>
      </c>
      <c r="BM268" t="n">
        <v>-0.17</v>
      </c>
      <c r="BN268" t="n">
        <v>-1.3</v>
      </c>
      <c r="BO268" t="n">
        <v>0.041</v>
      </c>
      <c r="BP268" t="n">
        <v>12</v>
      </c>
      <c r="BQ268" t="n">
        <v>3</v>
      </c>
      <c r="BR268" t="n">
        <v>1</v>
      </c>
      <c r="BS268" t="n">
        <v>69</v>
      </c>
      <c r="BT268" t="n">
        <v>6.029</v>
      </c>
      <c r="BW268" t="n">
        <v>2.1</v>
      </c>
      <c r="BX268" t="n">
        <v>2.017</v>
      </c>
      <c r="BY268" t="n">
        <v>2.059</v>
      </c>
      <c r="BZ268" t="n">
        <v>0.18</v>
      </c>
      <c r="CA268" t="n">
        <v>3.508</v>
      </c>
      <c r="CB268" t="n">
        <v>0.307</v>
      </c>
      <c r="CC268" t="n">
        <v>22</v>
      </c>
      <c r="CD268" t="n">
        <v>1</v>
      </c>
      <c r="CE268" t="n">
        <v>22</v>
      </c>
      <c r="CF268" t="n">
        <v>4</v>
      </c>
      <c r="CG268" t="n">
        <v>2</v>
      </c>
      <c r="CH268" t="n">
        <v>5</v>
      </c>
      <c r="CI268" t="n">
        <v>5.76</v>
      </c>
      <c r="CJ268" t="n">
        <v>3.545</v>
      </c>
      <c r="CK268" t="n">
        <v>12</v>
      </c>
      <c r="CL268" t="n">
        <v>43</v>
      </c>
      <c r="CM268" t="n">
        <v>21</v>
      </c>
      <c r="CN268" t="n">
        <v>12</v>
      </c>
      <c r="CO268" t="n">
        <v>9</v>
      </c>
      <c r="CP268" t="n">
        <v>3</v>
      </c>
      <c r="CR268" t="n">
        <v>71</v>
      </c>
      <c r="CS268" t="n">
        <v>6</v>
      </c>
      <c r="CT268" t="n">
        <v>0.7</v>
      </c>
      <c r="CV268" t="n">
        <v>1</v>
      </c>
      <c r="CW268" t="n">
        <v>12.71</v>
      </c>
      <c r="CX268" t="n">
        <v>1.111</v>
      </c>
      <c r="CY268" t="n">
        <v>0</v>
      </c>
      <c r="DB268" t="n">
        <v>0</v>
      </c>
      <c r="DE268" t="n">
        <v>6.69</v>
      </c>
      <c r="DF268" t="n">
        <v>1</v>
      </c>
      <c r="DG268" t="n">
        <v>0</v>
      </c>
      <c r="DH268" t="n">
        <v>9</v>
      </c>
      <c r="DI268" t="n">
        <v>17</v>
      </c>
      <c r="DL268" t="n">
        <v>27</v>
      </c>
      <c r="DM268" t="n">
        <v>23</v>
      </c>
      <c r="DO268" t="n">
        <v>0.4</v>
      </c>
      <c r="DP268" t="n">
        <v>115.22</v>
      </c>
      <c r="DQ268" t="n">
        <v>57.63</v>
      </c>
      <c r="DR268" t="n">
        <v>115.26</v>
      </c>
      <c r="DS268" t="n">
        <v>-0.04</v>
      </c>
      <c r="DT268" t="n">
        <v>2645</v>
      </c>
      <c r="DU268" t="n">
        <v>69.59999999999999</v>
      </c>
      <c r="DV268" t="inlineStr">
        <is>
          <t>flat</t>
        </is>
      </c>
      <c r="DW268" t="n">
        <v>85.58</v>
      </c>
      <c r="DX268" t="n">
        <v>86.11</v>
      </c>
      <c r="DY268" t="n">
        <v>88.19</v>
      </c>
      <c r="DZ268" t="n">
        <v>2.61</v>
      </c>
      <c r="EA268" t="n">
        <v>74</v>
      </c>
      <c r="EB268" t="n">
        <v>19.55</v>
      </c>
      <c r="EC268" t="n">
        <v>21</v>
      </c>
      <c r="ED268" t="n">
        <v>120</v>
      </c>
      <c r="EE268" t="n">
        <v>132</v>
      </c>
      <c r="EF268" t="b">
        <v>1</v>
      </c>
      <c r="EG268" t="n">
        <v>3</v>
      </c>
      <c r="EH268" t="n">
        <v>10.8</v>
      </c>
      <c r="EI268" t="n">
        <v>176</v>
      </c>
      <c r="EJ268" t="n">
        <v>85.8</v>
      </c>
      <c r="EK268" t="n">
        <v>14.9</v>
      </c>
      <c r="EL268" t="n">
        <v>46.8</v>
      </c>
      <c r="EM268" t="n">
        <v>710.6</v>
      </c>
      <c r="EN268" t="n">
        <v>500.4</v>
      </c>
      <c r="EO268" t="n">
        <v>293.6</v>
      </c>
      <c r="EP268" t="n">
        <v>24.5</v>
      </c>
    </row>
    <row r="269">
      <c r="A269" t="inlineStr">
        <is>
          <t>Ayden Heaven</t>
        </is>
      </c>
      <c r="B269" t="inlineStr">
        <is>
          <t>MUN</t>
        </is>
      </c>
      <c r="C269" t="inlineStr">
        <is>
          <t>DEF</t>
        </is>
      </c>
      <c r="D269" t="inlineStr">
        <is>
          <t>DEF</t>
        </is>
      </c>
      <c r="E269" t="n">
        <v>4.5</v>
      </c>
      <c r="F269" t="b">
        <v>1</v>
      </c>
      <c r="G269" t="b">
        <v>1</v>
      </c>
      <c r="H269" t="n">
        <v>19.9</v>
      </c>
      <c r="I269" t="inlineStr">
        <is>
          <t>a</t>
        </is>
      </c>
      <c r="L269" t="inlineStr">
        <is>
          <t>p606745</t>
        </is>
      </c>
      <c r="M269" t="n">
        <v>421</v>
      </c>
      <c r="Q269" t="n">
        <v>920</v>
      </c>
      <c r="R269" t="n">
        <v>17</v>
      </c>
      <c r="S269" t="n">
        <v>11</v>
      </c>
      <c r="T269" t="n">
        <v>10.222</v>
      </c>
      <c r="U269" t="n">
        <v>54.1</v>
      </c>
      <c r="V269" t="n">
        <v>42</v>
      </c>
      <c r="W269" t="n">
        <v>4.109</v>
      </c>
      <c r="X269" t="n">
        <v>0</v>
      </c>
      <c r="Y269" t="n">
        <v>1</v>
      </c>
      <c r="Z269" t="n">
        <v>1</v>
      </c>
      <c r="AA269" t="n">
        <v>2</v>
      </c>
      <c r="AB269" t="n">
        <v>15</v>
      </c>
      <c r="AC269" t="n">
        <v>3</v>
      </c>
      <c r="AD269" t="n">
        <v>0</v>
      </c>
      <c r="AE269" t="n">
        <v>-3</v>
      </c>
      <c r="AF269" t="n">
        <v>164</v>
      </c>
      <c r="AG269" t="n">
        <v>152</v>
      </c>
      <c r="AH269" t="n">
        <v>-12</v>
      </c>
      <c r="AI269" t="n">
        <v>39</v>
      </c>
      <c r="AJ269" t="n">
        <v>0.07099999999999999</v>
      </c>
      <c r="AK269" t="n">
        <v>0.077</v>
      </c>
      <c r="AL269" t="n">
        <v>93</v>
      </c>
      <c r="AM269" t="n">
        <v>9.098000000000001</v>
      </c>
      <c r="AN269" t="n">
        <v>5</v>
      </c>
      <c r="AO269" t="n">
        <v>10</v>
      </c>
      <c r="AP269" t="n">
        <v>0.455</v>
      </c>
      <c r="AQ269" t="n">
        <v>0.455</v>
      </c>
      <c r="AR269" t="n">
        <v>0.091</v>
      </c>
      <c r="AS269" t="n">
        <v>0.289</v>
      </c>
      <c r="AT269" t="n">
        <v>0.588</v>
      </c>
      <c r="AU269" t="n">
        <v>12</v>
      </c>
      <c r="AV269" t="n">
        <v>1</v>
      </c>
      <c r="AW269" t="n">
        <v>2.29</v>
      </c>
      <c r="AX269" t="n">
        <v>11</v>
      </c>
      <c r="AY269" t="n">
        <v>0.34</v>
      </c>
      <c r="AZ269" t="n">
        <v>0.215</v>
      </c>
      <c r="BA269" t="n">
        <v>0.278</v>
      </c>
      <c r="BB269" t="n">
        <v>0.215</v>
      </c>
      <c r="BC269" t="n">
        <v>0.033</v>
      </c>
      <c r="BD269" t="n">
        <v>0.021</v>
      </c>
      <c r="BE269" t="n">
        <v>0.027</v>
      </c>
      <c r="BH269" t="n">
        <v>0.946</v>
      </c>
      <c r="BI269" t="n">
        <v>0.46</v>
      </c>
      <c r="BJ269" t="n">
        <v>0.322</v>
      </c>
      <c r="BK269" t="n">
        <v>0.032</v>
      </c>
      <c r="BL269" t="n">
        <v>-0.278</v>
      </c>
      <c r="BO269" t="n">
        <v>0.125</v>
      </c>
      <c r="BP269" t="n">
        <v>3</v>
      </c>
      <c r="BR269" t="n">
        <v>1</v>
      </c>
      <c r="BS269" t="n">
        <v>8</v>
      </c>
      <c r="BT269" t="n">
        <v>0.783</v>
      </c>
      <c r="BW269" t="n">
        <v>0.18</v>
      </c>
      <c r="BX269" t="n">
        <v>0.365</v>
      </c>
      <c r="BY269" t="n">
        <v>0.273</v>
      </c>
      <c r="BZ269" t="n">
        <v>0.027</v>
      </c>
      <c r="CA269" t="n">
        <v>0.55</v>
      </c>
      <c r="CB269" t="n">
        <v>0.054</v>
      </c>
      <c r="CC269" t="n">
        <v>2</v>
      </c>
      <c r="CD269" t="n">
        <v>1</v>
      </c>
      <c r="CE269" t="n">
        <v>2</v>
      </c>
      <c r="CI269" t="n">
        <v>4.165</v>
      </c>
      <c r="CJ269" t="n">
        <v>3.711</v>
      </c>
      <c r="CK269" t="n">
        <v>71</v>
      </c>
      <c r="CL269" t="n">
        <v>39</v>
      </c>
      <c r="CM269" t="n">
        <v>22</v>
      </c>
      <c r="CN269" t="n">
        <v>13</v>
      </c>
      <c r="CO269" t="n">
        <v>1</v>
      </c>
      <c r="CP269" t="n">
        <v>60</v>
      </c>
      <c r="CQ269" t="n">
        <v>11</v>
      </c>
      <c r="CR269" t="n">
        <v>55</v>
      </c>
      <c r="CS269" t="n">
        <v>18</v>
      </c>
      <c r="CW269" t="n">
        <v>11.95</v>
      </c>
      <c r="CX269" t="n">
        <v>1.169</v>
      </c>
      <c r="CY269" t="n">
        <v>0</v>
      </c>
      <c r="DB269" t="n">
        <v>0</v>
      </c>
      <c r="DF269" t="n">
        <v>2</v>
      </c>
      <c r="DG269" t="n">
        <v>0</v>
      </c>
      <c r="DH269" t="n">
        <v>7</v>
      </c>
      <c r="DI269" t="n">
        <v>9</v>
      </c>
      <c r="DL269" t="n">
        <v>6</v>
      </c>
      <c r="DM269" t="n">
        <v>1</v>
      </c>
      <c r="DO269" t="n">
        <v>0.3</v>
      </c>
      <c r="DP269" t="n">
        <v>19.29</v>
      </c>
      <c r="DQ269" t="n">
        <v>11.82</v>
      </c>
      <c r="DR269" t="n">
        <v>23.64</v>
      </c>
      <c r="DS269" t="n">
        <v>-4.35</v>
      </c>
      <c r="DT269" t="n">
        <v>176</v>
      </c>
      <c r="DU269" t="n">
        <v>4.63</v>
      </c>
      <c r="DV269" t="inlineStr">
        <is>
          <t>fade (losing his place)</t>
        </is>
      </c>
      <c r="DW269" t="n">
        <v>97.67</v>
      </c>
      <c r="DX269" t="n">
        <v>101.38</v>
      </c>
      <c r="DY269" t="n">
        <v>94.93000000000001</v>
      </c>
      <c r="DZ269" t="n">
        <v>-2.74</v>
      </c>
      <c r="EA269" t="n">
        <v>37</v>
      </c>
      <c r="EB269" t="n">
        <v>17.63</v>
      </c>
      <c r="EC269" t="n">
        <v>44</v>
      </c>
      <c r="ED269" t="n">
        <v>119</v>
      </c>
      <c r="EE269" t="n">
        <v>55</v>
      </c>
      <c r="EF269" t="b">
        <v>1</v>
      </c>
      <c r="EG269" t="n">
        <v>1.3</v>
      </c>
      <c r="EH269" t="n">
        <v>12.7</v>
      </c>
      <c r="EI269" t="n">
        <v>428</v>
      </c>
      <c r="EJ269" t="n">
        <v>306.7</v>
      </c>
      <c r="EK269" t="n">
        <v>115</v>
      </c>
      <c r="EL269" t="n">
        <v>460</v>
      </c>
      <c r="EM269" t="n">
        <v>3315</v>
      </c>
      <c r="EN269" t="n">
        <v>3373.2</v>
      </c>
      <c r="EO269" t="n">
        <v>1671.9</v>
      </c>
      <c r="EP269" t="n">
        <v>21.9</v>
      </c>
    </row>
    <row r="270">
      <c r="A270" t="inlineStr">
        <is>
          <t>Conor Bradley</t>
        </is>
      </c>
      <c r="B270" t="inlineStr">
        <is>
          <t>LIV</t>
        </is>
      </c>
      <c r="C270" t="inlineStr">
        <is>
          <t>DEF</t>
        </is>
      </c>
      <c r="D270" t="inlineStr">
        <is>
          <t>DEF</t>
        </is>
      </c>
      <c r="E270" t="n">
        <v>5</v>
      </c>
      <c r="F270" t="b">
        <v>1</v>
      </c>
      <c r="G270" t="b">
        <v>1</v>
      </c>
      <c r="H270" t="n">
        <v>23.1</v>
      </c>
      <c r="I270" t="inlineStr">
        <is>
          <t>i</t>
        </is>
      </c>
      <c r="J270" t="inlineStr">
        <is>
          <t>Knee injury - Unknown return date</t>
        </is>
      </c>
      <c r="K270" t="n">
        <v>0</v>
      </c>
      <c r="L270" t="inlineStr">
        <is>
          <t>p492777</t>
        </is>
      </c>
      <c r="M270" t="n">
        <v>360</v>
      </c>
      <c r="Q270" t="n">
        <v>928</v>
      </c>
      <c r="R270" t="n">
        <v>15</v>
      </c>
      <c r="S270" t="n">
        <v>12</v>
      </c>
      <c r="T270" t="n">
        <v>10.311</v>
      </c>
      <c r="U270" t="n">
        <v>61.9</v>
      </c>
      <c r="V270" t="n">
        <v>42</v>
      </c>
      <c r="W270" t="n">
        <v>4.073</v>
      </c>
      <c r="X270" t="n">
        <v>0</v>
      </c>
      <c r="Y270" t="n">
        <v>2</v>
      </c>
      <c r="Z270" t="n">
        <v>1</v>
      </c>
      <c r="AA270" t="n">
        <v>4</v>
      </c>
      <c r="AB270" t="n">
        <v>13</v>
      </c>
      <c r="AC270" t="n">
        <v>2</v>
      </c>
      <c r="AD270" t="n">
        <v>0</v>
      </c>
      <c r="AE270" t="n">
        <v>-2</v>
      </c>
      <c r="AF270" t="n">
        <v>157</v>
      </c>
      <c r="AG270" t="n">
        <v>147</v>
      </c>
      <c r="AH270" t="n">
        <v>-10</v>
      </c>
      <c r="AI270" t="n">
        <v>40</v>
      </c>
      <c r="AJ270" t="n">
        <v>0.048</v>
      </c>
      <c r="AK270" t="n">
        <v>0.05</v>
      </c>
      <c r="AL270" t="n">
        <v>65</v>
      </c>
      <c r="AM270" t="n">
        <v>6.304</v>
      </c>
      <c r="AN270" t="n">
        <v>1</v>
      </c>
      <c r="AO270" t="n">
        <v>2</v>
      </c>
      <c r="AP270" t="n">
        <v>0.083</v>
      </c>
      <c r="AQ270" t="n">
        <v>0.083</v>
      </c>
      <c r="AR270" t="n">
        <v>0</v>
      </c>
      <c r="AS270" t="n">
        <v>0.316</v>
      </c>
      <c r="AT270" t="n">
        <v>0.6</v>
      </c>
      <c r="AU270" t="n">
        <v>9</v>
      </c>
      <c r="AV270" t="n">
        <v>0</v>
      </c>
      <c r="AW270" t="n">
        <v>2.19</v>
      </c>
      <c r="AX270" t="n">
        <v>8</v>
      </c>
      <c r="AY270" t="n">
        <v>0.18</v>
      </c>
      <c r="AZ270" t="n">
        <v>0.22</v>
      </c>
      <c r="BA270" t="n">
        <v>0.2</v>
      </c>
      <c r="BB270" t="n">
        <v>0.22</v>
      </c>
      <c r="BC270" t="n">
        <v>0.017</v>
      </c>
      <c r="BD270" t="n">
        <v>0.021</v>
      </c>
      <c r="BE270" t="n">
        <v>0.019</v>
      </c>
      <c r="BH270" t="n">
        <v>1.062</v>
      </c>
      <c r="BI270" t="n">
        <v>1.79</v>
      </c>
      <c r="BJ270" t="n">
        <v>0.191</v>
      </c>
      <c r="BK270" t="n">
        <v>0.019</v>
      </c>
      <c r="BL270" t="n">
        <v>-0.2</v>
      </c>
      <c r="BO270" t="n">
        <v>-0.04</v>
      </c>
      <c r="BP270" t="n">
        <v>6</v>
      </c>
      <c r="BS270" t="n">
        <v>28</v>
      </c>
      <c r="BT270" t="n">
        <v>2.716</v>
      </c>
      <c r="BW270" t="n">
        <v>0.84</v>
      </c>
      <c r="BX270" t="n">
        <v>1.194</v>
      </c>
      <c r="BY270" t="n">
        <v>1.017</v>
      </c>
      <c r="BZ270" t="n">
        <v>0.099</v>
      </c>
      <c r="CA270" t="n">
        <v>1.217</v>
      </c>
      <c r="CB270" t="n">
        <v>0.118</v>
      </c>
      <c r="CC270" t="n">
        <v>4</v>
      </c>
      <c r="CD270" t="n">
        <v>3</v>
      </c>
      <c r="CE270" t="n">
        <v>4</v>
      </c>
      <c r="CF270" t="n">
        <v>4</v>
      </c>
      <c r="CH270" t="n">
        <v>1</v>
      </c>
      <c r="CI270" t="n">
        <v>3.412</v>
      </c>
      <c r="CJ270" t="n">
        <v>2.405</v>
      </c>
      <c r="CK270" t="n">
        <v>46</v>
      </c>
      <c r="CL270" t="n">
        <v>43</v>
      </c>
      <c r="CM270" t="n">
        <v>19</v>
      </c>
      <c r="CN270" t="n">
        <v>15</v>
      </c>
      <c r="CO270" t="n">
        <v>13</v>
      </c>
      <c r="CP270" t="n">
        <v>29</v>
      </c>
      <c r="CQ270" t="n">
        <v>4</v>
      </c>
      <c r="CR270" t="n">
        <v>61</v>
      </c>
      <c r="CS270" t="n">
        <v>15</v>
      </c>
      <c r="CW270" t="n">
        <v>10.77</v>
      </c>
      <c r="CX270" t="n">
        <v>1.045</v>
      </c>
      <c r="CY270" t="n">
        <v>0</v>
      </c>
      <c r="DB270" t="n">
        <v>0</v>
      </c>
      <c r="DF270" t="n">
        <v>5</v>
      </c>
      <c r="DG270" t="n">
        <v>0</v>
      </c>
      <c r="DH270" t="n">
        <v>18</v>
      </c>
      <c r="DI270" t="n">
        <v>20</v>
      </c>
      <c r="DL270" t="n">
        <v>7</v>
      </c>
      <c r="DM270" t="n">
        <v>11</v>
      </c>
      <c r="DN270" t="n">
        <v>1</v>
      </c>
      <c r="DO270" t="n">
        <v>0</v>
      </c>
      <c r="DP270" t="n">
        <v>50.67</v>
      </c>
      <c r="DQ270" t="n">
        <v>21.31</v>
      </c>
      <c r="DR270" t="n">
        <v>42.62</v>
      </c>
      <c r="DS270" t="n">
        <v>8.050000000000001</v>
      </c>
      <c r="DT270" t="n">
        <v>1328</v>
      </c>
      <c r="DU270" t="n">
        <v>34.95</v>
      </c>
      <c r="DV270" t="inlineStr">
        <is>
          <t>ramp-up (injury / late WC return)</t>
        </is>
      </c>
      <c r="DW270" t="n">
        <v>99.94</v>
      </c>
      <c r="DX270" t="n">
        <v>93.5</v>
      </c>
      <c r="DY270" t="n">
        <v>100.58</v>
      </c>
      <c r="DZ270" t="n">
        <v>0.64</v>
      </c>
      <c r="EA270" t="n">
        <v>11</v>
      </c>
      <c r="EB270" t="n">
        <v>18.65</v>
      </c>
      <c r="EC270" t="n">
        <v>48</v>
      </c>
      <c r="ED270" t="n">
        <v>119</v>
      </c>
      <c r="EE270" t="n">
        <v>20</v>
      </c>
      <c r="EF270" t="b">
        <v>1</v>
      </c>
      <c r="EG270" t="n">
        <v>0.8</v>
      </c>
      <c r="EH270" t="n">
        <v>45.9</v>
      </c>
      <c r="EI270" t="n">
        <v>289</v>
      </c>
      <c r="EJ270" t="n">
        <v>154.7</v>
      </c>
      <c r="EK270" t="n">
        <v>33.1</v>
      </c>
      <c r="EL270" t="n">
        <v>232</v>
      </c>
      <c r="EM270" t="n">
        <v>4642</v>
      </c>
      <c r="EN270" t="n">
        <v>912.6</v>
      </c>
      <c r="EO270" t="n">
        <v>762.7</v>
      </c>
      <c r="EP270" t="n">
        <v>22.1</v>
      </c>
    </row>
    <row r="271">
      <c r="A271" t="inlineStr">
        <is>
          <t>Joshua Zirkzee</t>
        </is>
      </c>
      <c r="B271" t="inlineStr">
        <is>
          <t>MUN</t>
        </is>
      </c>
      <c r="C271" t="inlineStr">
        <is>
          <t>FWD</t>
        </is>
      </c>
      <c r="D271" t="inlineStr">
        <is>
          <t>FWD</t>
        </is>
      </c>
      <c r="E271" t="n">
        <v>5.5</v>
      </c>
      <c r="F271" t="b">
        <v>1</v>
      </c>
      <c r="G271" t="b">
        <v>1</v>
      </c>
      <c r="H271" t="n">
        <v>25.2</v>
      </c>
      <c r="I271" t="inlineStr">
        <is>
          <t>a</t>
        </is>
      </c>
      <c r="L271" t="inlineStr">
        <is>
          <t>p458249</t>
        </is>
      </c>
      <c r="M271" t="n">
        <v>440</v>
      </c>
      <c r="Q271" t="n">
        <v>607</v>
      </c>
      <c r="R271" t="n">
        <v>24</v>
      </c>
      <c r="S271" t="n">
        <v>5</v>
      </c>
      <c r="T271" t="n">
        <v>6.744</v>
      </c>
      <c r="U271" t="n">
        <v>25.3</v>
      </c>
      <c r="V271" t="n">
        <v>42</v>
      </c>
      <c r="W271" t="n">
        <v>6.227</v>
      </c>
      <c r="X271" t="n">
        <v>2</v>
      </c>
      <c r="Y271" t="n">
        <v>1</v>
      </c>
      <c r="Z271" t="n">
        <v>1</v>
      </c>
      <c r="AA271" t="n">
        <v>2</v>
      </c>
      <c r="AB271" t="n">
        <v>8</v>
      </c>
      <c r="AC271" t="n">
        <v>6</v>
      </c>
      <c r="AD271" t="n">
        <v>6</v>
      </c>
      <c r="AE271" t="n">
        <v>0</v>
      </c>
      <c r="AF271" t="n">
        <v>146</v>
      </c>
      <c r="AG271" t="n">
        <v>141</v>
      </c>
      <c r="AH271" t="n">
        <v>-5</v>
      </c>
      <c r="AI271" t="n">
        <v>42</v>
      </c>
      <c r="AJ271" t="n">
        <v>0.143</v>
      </c>
      <c r="AK271" t="n">
        <v>0.167</v>
      </c>
      <c r="AL271" t="n">
        <v>44</v>
      </c>
      <c r="AM271" t="n">
        <v>6.524</v>
      </c>
      <c r="AN271" t="n">
        <v>0</v>
      </c>
      <c r="AO271" t="n">
        <v>0</v>
      </c>
      <c r="AP271" t="n">
        <v>0</v>
      </c>
      <c r="AQ271" t="n">
        <v>0</v>
      </c>
      <c r="AR271" t="n">
        <v>0</v>
      </c>
      <c r="AS271" t="n">
        <v>0.132</v>
      </c>
      <c r="AT271" t="n">
        <v>0.167</v>
      </c>
      <c r="AU271" t="n">
        <v>21</v>
      </c>
      <c r="AV271" t="n">
        <v>0</v>
      </c>
      <c r="AW271" t="n">
        <v>1.94</v>
      </c>
      <c r="AX271" t="n">
        <v>9</v>
      </c>
      <c r="AY271" t="n">
        <v>2.74</v>
      </c>
      <c r="AZ271" t="n">
        <v>3.847</v>
      </c>
      <c r="BA271" t="n">
        <v>3.293</v>
      </c>
      <c r="BB271" t="n">
        <v>3.847</v>
      </c>
      <c r="BC271" t="n">
        <v>0.406</v>
      </c>
      <c r="BD271" t="n">
        <v>0.57</v>
      </c>
      <c r="BE271" t="n">
        <v>0.488</v>
      </c>
      <c r="BF271" t="n">
        <v>2</v>
      </c>
      <c r="BG271" t="n">
        <v>0.297</v>
      </c>
      <c r="BH271" t="n">
        <v>1.021</v>
      </c>
      <c r="BI271" t="n">
        <v>7.38</v>
      </c>
      <c r="BJ271" t="n">
        <v>2.797</v>
      </c>
      <c r="BK271" t="n">
        <v>0.415</v>
      </c>
      <c r="BL271" t="n">
        <v>-1.293</v>
      </c>
      <c r="BM271" t="n">
        <v>-0.74</v>
      </c>
      <c r="BN271" t="n">
        <v>0</v>
      </c>
      <c r="BO271" t="n">
        <v>-1.107</v>
      </c>
      <c r="BP271" t="n">
        <v>25</v>
      </c>
      <c r="BQ271" t="n">
        <v>9</v>
      </c>
      <c r="BR271" t="n">
        <v>5</v>
      </c>
      <c r="BS271" t="n">
        <v>48</v>
      </c>
      <c r="BT271" t="n">
        <v>7.117</v>
      </c>
      <c r="BW271" t="n">
        <v>0.34</v>
      </c>
      <c r="BX271" t="n">
        <v>1.216</v>
      </c>
      <c r="BY271" t="n">
        <v>0.778</v>
      </c>
      <c r="BZ271" t="n">
        <v>0.115</v>
      </c>
      <c r="CA271" t="n">
        <v>4.071</v>
      </c>
      <c r="CB271" t="n">
        <v>0.604</v>
      </c>
      <c r="CC271" t="n">
        <v>11</v>
      </c>
      <c r="CD271" t="n">
        <v>2</v>
      </c>
      <c r="CE271" t="n">
        <v>11</v>
      </c>
      <c r="CF271" t="n">
        <v>2</v>
      </c>
      <c r="CI271" t="n">
        <v>6.71</v>
      </c>
      <c r="CJ271" t="n">
        <v>2.602</v>
      </c>
      <c r="CK271" t="n">
        <v>14</v>
      </c>
      <c r="CL271" t="n">
        <v>21</v>
      </c>
      <c r="CM271" t="n">
        <v>9</v>
      </c>
      <c r="CN271" t="n">
        <v>6</v>
      </c>
      <c r="CO271" t="n">
        <v>1</v>
      </c>
      <c r="CP271" t="n">
        <v>11</v>
      </c>
      <c r="CQ271" t="n">
        <v>2</v>
      </c>
      <c r="CR271" t="n">
        <v>40</v>
      </c>
      <c r="CS271" t="n">
        <v>20</v>
      </c>
      <c r="CT271" t="n">
        <v>0.3</v>
      </c>
      <c r="CW271" t="n">
        <v>9.41</v>
      </c>
      <c r="CX271" t="n">
        <v>1.395</v>
      </c>
      <c r="CY271" t="n">
        <v>0</v>
      </c>
      <c r="DB271" t="n">
        <v>0</v>
      </c>
      <c r="DF271" t="n">
        <v>3</v>
      </c>
      <c r="DG271" t="n">
        <v>0</v>
      </c>
      <c r="DH271" t="n">
        <v>9</v>
      </c>
      <c r="DI271" t="n">
        <v>6</v>
      </c>
      <c r="DL271" t="n">
        <v>5</v>
      </c>
      <c r="DM271" t="n">
        <v>13</v>
      </c>
      <c r="DN271" t="n">
        <v>1</v>
      </c>
      <c r="DO271" t="n">
        <v>0.7</v>
      </c>
      <c r="DP271" t="n">
        <v>12.84</v>
      </c>
      <c r="DQ271" t="n">
        <v>6.57</v>
      </c>
      <c r="DR271" t="n">
        <v>13.14</v>
      </c>
      <c r="DS271" t="n">
        <v>-0.3</v>
      </c>
      <c r="DT271" t="n">
        <v>59</v>
      </c>
      <c r="DU271" t="n">
        <v>1.55</v>
      </c>
      <c r="DV271" t="inlineStr">
        <is>
          <t>flat</t>
        </is>
      </c>
      <c r="DW271" t="n">
        <v>94.20999999999999</v>
      </c>
      <c r="DX271" t="n">
        <v>95.26000000000001</v>
      </c>
      <c r="DY271" t="n">
        <v>93.81</v>
      </c>
      <c r="DZ271" t="n">
        <v>-0.4</v>
      </c>
      <c r="EA271" t="n">
        <v>197</v>
      </c>
      <c r="EB271" t="n">
        <v>21.22</v>
      </c>
      <c r="EC271" t="n">
        <v>10.4</v>
      </c>
      <c r="ED271" t="n">
        <v>120</v>
      </c>
      <c r="EE271" t="n">
        <v>339</v>
      </c>
      <c r="EF271" t="b">
        <v>1</v>
      </c>
      <c r="EG271" t="n">
        <v>8</v>
      </c>
      <c r="EH271" t="n">
        <v>13.5</v>
      </c>
      <c r="EI271" t="n">
        <v>177</v>
      </c>
      <c r="EJ271" t="n">
        <v>24.3</v>
      </c>
      <c r="EK271" t="n">
        <v>12.6</v>
      </c>
      <c r="EL271" t="n">
        <v>55.2</v>
      </c>
      <c r="EM271" t="n">
        <v>184.3</v>
      </c>
      <c r="EN271" t="n">
        <v>780.1</v>
      </c>
      <c r="EO271" t="n">
        <v>149.1</v>
      </c>
      <c r="EP271" t="n">
        <v>14.5</v>
      </c>
    </row>
    <row r="272">
      <c r="A272" t="inlineStr">
        <is>
          <t>Justin Kluivert</t>
        </is>
      </c>
      <c r="B272" t="inlineStr">
        <is>
          <t>BOU</t>
        </is>
      </c>
      <c r="C272" t="inlineStr">
        <is>
          <t>MID</t>
        </is>
      </c>
      <c r="D272" t="inlineStr">
        <is>
          <t>MID</t>
        </is>
      </c>
      <c r="E272" t="n">
        <v>6</v>
      </c>
      <c r="F272" t="b">
        <v>1</v>
      </c>
      <c r="G272" t="b">
        <v>1</v>
      </c>
      <c r="H272" t="n">
        <v>27.3</v>
      </c>
      <c r="I272" t="inlineStr">
        <is>
          <t>a</t>
        </is>
      </c>
      <c r="L272" t="inlineStr">
        <is>
          <t>p222683</t>
        </is>
      </c>
      <c r="M272" t="n">
        <v>70</v>
      </c>
      <c r="N272" t="n">
        <v>2</v>
      </c>
      <c r="O272" t="n">
        <v>3</v>
      </c>
      <c r="P272" t="n">
        <v>2</v>
      </c>
      <c r="Q272" t="n">
        <v>945</v>
      </c>
      <c r="R272" t="n">
        <v>20</v>
      </c>
      <c r="S272" t="n">
        <v>10</v>
      </c>
      <c r="T272" t="n">
        <v>10.5</v>
      </c>
      <c r="U272" t="n">
        <v>47.2</v>
      </c>
      <c r="V272" t="n">
        <v>41</v>
      </c>
      <c r="W272" t="n">
        <v>3.905</v>
      </c>
      <c r="X272" t="n">
        <v>2</v>
      </c>
      <c r="Y272" t="n">
        <v>0</v>
      </c>
      <c r="AA272" t="n">
        <v>4</v>
      </c>
      <c r="AB272" t="n">
        <v>19</v>
      </c>
      <c r="AC272" t="n">
        <v>3</v>
      </c>
      <c r="AD272" t="n">
        <v>3</v>
      </c>
      <c r="AE272" t="n">
        <v>0</v>
      </c>
      <c r="AF272" t="n">
        <v>147</v>
      </c>
      <c r="AG272" t="n">
        <v>146</v>
      </c>
      <c r="AH272" t="n">
        <v>-1</v>
      </c>
      <c r="AI272" t="n">
        <v>41</v>
      </c>
      <c r="AJ272" t="n">
        <v>0.073</v>
      </c>
      <c r="AK272" t="n">
        <v>0.079</v>
      </c>
      <c r="AL272" t="n">
        <v>65</v>
      </c>
      <c r="AM272" t="n">
        <v>6.19</v>
      </c>
      <c r="AN272" t="n">
        <v>0</v>
      </c>
      <c r="AO272" t="n">
        <v>0</v>
      </c>
      <c r="AP272" t="n">
        <v>0</v>
      </c>
      <c r="AQ272" t="n">
        <v>0.1</v>
      </c>
      <c r="AR272" t="n">
        <v>0</v>
      </c>
      <c r="AS272" t="n">
        <v>0.263</v>
      </c>
      <c r="AT272" t="n">
        <v>0.45</v>
      </c>
      <c r="AU272" t="n">
        <v>16</v>
      </c>
      <c r="AV272" t="n">
        <v>0</v>
      </c>
      <c r="AW272" t="n">
        <v>1.91</v>
      </c>
      <c r="AX272" t="n">
        <v>9</v>
      </c>
      <c r="AY272" t="n">
        <v>2.31</v>
      </c>
      <c r="AZ272" t="n">
        <v>2.293</v>
      </c>
      <c r="BA272" t="n">
        <v>2.302</v>
      </c>
      <c r="BB272" t="n">
        <v>2.293</v>
      </c>
      <c r="BC272" t="n">
        <v>0.22</v>
      </c>
      <c r="BD272" t="n">
        <v>0.218</v>
      </c>
      <c r="BE272" t="n">
        <v>0.219</v>
      </c>
      <c r="BF272" t="n">
        <v>0.7</v>
      </c>
      <c r="BG272" t="n">
        <v>0.067</v>
      </c>
      <c r="BH272" t="n">
        <v>1.022</v>
      </c>
      <c r="BI272" t="n">
        <v>18.12</v>
      </c>
      <c r="BJ272" t="n">
        <v>2.361</v>
      </c>
      <c r="BK272" t="n">
        <v>0.225</v>
      </c>
      <c r="BL272" t="n">
        <v>-0.302</v>
      </c>
      <c r="BM272" t="n">
        <v>-1.61</v>
      </c>
      <c r="BN272" t="n">
        <v>1.3</v>
      </c>
      <c r="BO272" t="n">
        <v>0.017</v>
      </c>
      <c r="BP272" t="n">
        <v>17</v>
      </c>
      <c r="BQ272" t="n">
        <v>4</v>
      </c>
      <c r="BR272" t="n">
        <v>1</v>
      </c>
      <c r="BS272" t="n">
        <v>31</v>
      </c>
      <c r="BT272" t="n">
        <v>2.952</v>
      </c>
      <c r="BW272" t="n">
        <v>1.55</v>
      </c>
      <c r="BX272" t="n">
        <v>2.295</v>
      </c>
      <c r="BY272" t="n">
        <v>1.922</v>
      </c>
      <c r="BZ272" t="n">
        <v>0.183</v>
      </c>
      <c r="CA272" t="n">
        <v>4.224</v>
      </c>
      <c r="CB272" t="n">
        <v>0.402</v>
      </c>
      <c r="CC272" t="n">
        <v>22</v>
      </c>
      <c r="CD272" t="n">
        <v>3</v>
      </c>
      <c r="CE272" t="n">
        <v>21</v>
      </c>
      <c r="CF272" t="n">
        <v>8</v>
      </c>
      <c r="CG272" t="n">
        <v>1</v>
      </c>
      <c r="CH272" t="n">
        <v>20</v>
      </c>
      <c r="CI272" t="n">
        <v>5.312</v>
      </c>
      <c r="CJ272" t="n">
        <v>2.318</v>
      </c>
      <c r="CK272" t="n">
        <v>9</v>
      </c>
      <c r="CL272" t="n">
        <v>46</v>
      </c>
      <c r="CM272" t="n">
        <v>10</v>
      </c>
      <c r="CN272" t="n">
        <v>6</v>
      </c>
      <c r="CO272" t="n">
        <v>4</v>
      </c>
      <c r="CP272" t="n">
        <v>2</v>
      </c>
      <c r="CQ272" t="n">
        <v>2</v>
      </c>
      <c r="CR272" t="n">
        <v>37</v>
      </c>
      <c r="CS272" t="n">
        <v>6</v>
      </c>
      <c r="CT272" t="n">
        <v>0.9</v>
      </c>
      <c r="CW272" t="n">
        <v>17.96</v>
      </c>
      <c r="CX272" t="n">
        <v>1.71</v>
      </c>
      <c r="CY272" t="n">
        <v>0</v>
      </c>
      <c r="DB272" t="n">
        <v>0</v>
      </c>
      <c r="DE272" t="n">
        <v>6.53</v>
      </c>
      <c r="DF272" t="n">
        <v>5</v>
      </c>
      <c r="DG272" t="n">
        <v>0</v>
      </c>
      <c r="DH272" t="n">
        <v>18</v>
      </c>
      <c r="DI272" t="n">
        <v>10</v>
      </c>
      <c r="DL272" t="n">
        <v>11</v>
      </c>
      <c r="DM272" t="n">
        <v>15</v>
      </c>
      <c r="DN272" t="n">
        <v>2</v>
      </c>
      <c r="DO272" t="n">
        <v>1.1</v>
      </c>
      <c r="DP272" t="n">
        <v>65.56</v>
      </c>
      <c r="DQ272" t="n">
        <v>41.25</v>
      </c>
      <c r="DR272" t="n">
        <v>82.5</v>
      </c>
      <c r="DS272" t="n">
        <v>-16.94</v>
      </c>
      <c r="DT272" t="n">
        <v>935</v>
      </c>
      <c r="DU272" t="n">
        <v>24.6</v>
      </c>
      <c r="DV272" t="inlineStr">
        <is>
          <t>fade (losing his place)</t>
        </is>
      </c>
      <c r="DW272" t="n">
        <v>76.84999999999999</v>
      </c>
      <c r="DX272" t="n">
        <v>81.5</v>
      </c>
      <c r="DY272" t="n">
        <v>76.14</v>
      </c>
      <c r="DZ272" t="n">
        <v>-0.71</v>
      </c>
      <c r="EA272" t="n">
        <v>463</v>
      </c>
      <c r="EB272" t="n">
        <v>21.65</v>
      </c>
      <c r="EC272" t="n">
        <v>9.140000000000001</v>
      </c>
      <c r="ED272" t="n">
        <v>120</v>
      </c>
      <c r="EE272" t="n">
        <v>899</v>
      </c>
      <c r="EF272" t="b">
        <v>1</v>
      </c>
      <c r="EG272" t="n">
        <v>20.6</v>
      </c>
      <c r="EH272" t="n">
        <v>10.5</v>
      </c>
      <c r="EI272" t="n">
        <v>100</v>
      </c>
      <c r="EJ272" t="n">
        <v>55.6</v>
      </c>
      <c r="EK272" t="n">
        <v>30.5</v>
      </c>
      <c r="EL272" t="n">
        <v>45</v>
      </c>
      <c r="EM272" t="n">
        <v>410.6</v>
      </c>
      <c r="EN272" t="n">
        <v>491.6</v>
      </c>
      <c r="EO272" t="n">
        <v>223.7</v>
      </c>
      <c r="EP272" t="n">
        <v>23</v>
      </c>
    </row>
    <row r="273">
      <c r="A273" t="inlineStr">
        <is>
          <t>Tom Cairney</t>
        </is>
      </c>
      <c r="B273" t="inlineStr">
        <is>
          <t>FUL</t>
        </is>
      </c>
      <c r="C273" t="inlineStr">
        <is>
          <t>MID</t>
        </is>
      </c>
      <c r="D273" t="inlineStr">
        <is>
          <t>MID</t>
        </is>
      </c>
      <c r="E273" t="n">
        <v>5</v>
      </c>
      <c r="F273" t="b">
        <v>1</v>
      </c>
      <c r="G273" t="b">
        <v>1</v>
      </c>
      <c r="H273" t="n">
        <v>35.6</v>
      </c>
      <c r="I273" t="inlineStr">
        <is>
          <t>i</t>
        </is>
      </c>
      <c r="J273" t="inlineStr">
        <is>
          <t>Knee injury - Expected back 10 Oct</t>
        </is>
      </c>
      <c r="K273" t="n">
        <v>0</v>
      </c>
      <c r="L273" t="inlineStr">
        <is>
          <t>p76357</t>
        </is>
      </c>
      <c r="M273" t="n">
        <v>266</v>
      </c>
      <c r="Q273" t="n">
        <v>756</v>
      </c>
      <c r="R273" t="n">
        <v>24</v>
      </c>
      <c r="S273" t="n">
        <v>6</v>
      </c>
      <c r="T273" t="n">
        <v>8.4</v>
      </c>
      <c r="U273" t="n">
        <v>31.5</v>
      </c>
      <c r="V273" t="n">
        <v>41</v>
      </c>
      <c r="W273" t="n">
        <v>4.881</v>
      </c>
      <c r="X273" t="n">
        <v>2</v>
      </c>
      <c r="Y273" t="n">
        <v>0</v>
      </c>
      <c r="AA273" t="n">
        <v>2</v>
      </c>
      <c r="AB273" t="n">
        <v>10</v>
      </c>
      <c r="AC273" t="n">
        <v>1</v>
      </c>
      <c r="AD273" t="n">
        <v>1</v>
      </c>
      <c r="AE273" t="n">
        <v>0</v>
      </c>
      <c r="AF273" t="n">
        <v>181</v>
      </c>
      <c r="AG273" t="n">
        <v>177</v>
      </c>
      <c r="AH273" t="n">
        <v>-4</v>
      </c>
      <c r="AI273" t="n">
        <v>41</v>
      </c>
      <c r="AJ273" t="n">
        <v>0.024</v>
      </c>
      <c r="AK273" t="n">
        <v>0.025</v>
      </c>
      <c r="AL273" t="n">
        <v>61</v>
      </c>
      <c r="AM273" t="n">
        <v>7.262</v>
      </c>
      <c r="AN273" t="n">
        <v>0</v>
      </c>
      <c r="AO273" t="n">
        <v>0</v>
      </c>
      <c r="AP273" t="n">
        <v>0</v>
      </c>
      <c r="AQ273" t="n">
        <v>0</v>
      </c>
      <c r="AR273" t="n">
        <v>0</v>
      </c>
      <c r="AS273" t="n">
        <v>0.158</v>
      </c>
      <c r="AT273" t="n">
        <v>0.292</v>
      </c>
      <c r="AU273" t="n">
        <v>20</v>
      </c>
      <c r="AV273" t="n">
        <v>0</v>
      </c>
      <c r="AW273" t="n">
        <v>1.46</v>
      </c>
      <c r="AX273" t="n">
        <v>6</v>
      </c>
      <c r="AY273" t="n">
        <v>1.21</v>
      </c>
      <c r="AZ273" t="n">
        <v>0.8120000000000001</v>
      </c>
      <c r="BA273" t="n">
        <v>1.011</v>
      </c>
      <c r="BB273" t="n">
        <v>0.8120000000000001</v>
      </c>
      <c r="BC273" t="n">
        <v>0.144</v>
      </c>
      <c r="BD273" t="n">
        <v>0.097</v>
      </c>
      <c r="BE273" t="n">
        <v>0.12</v>
      </c>
      <c r="BF273" t="n">
        <v>0.9</v>
      </c>
      <c r="BG273" t="n">
        <v>0.107</v>
      </c>
      <c r="BH273" t="n">
        <v>1.023</v>
      </c>
      <c r="BI273" t="n">
        <v>4.41</v>
      </c>
      <c r="BJ273" t="n">
        <v>1.238</v>
      </c>
      <c r="BK273" t="n">
        <v>0.147</v>
      </c>
      <c r="BL273" t="n">
        <v>0.989</v>
      </c>
      <c r="BM273" t="n">
        <v>-0.31</v>
      </c>
      <c r="BN273" t="n">
        <v>1.1</v>
      </c>
      <c r="BO273" t="n">
        <v>0.398</v>
      </c>
      <c r="BP273" t="n">
        <v>17</v>
      </c>
      <c r="BQ273" t="n">
        <v>2</v>
      </c>
      <c r="BS273" t="n">
        <v>11</v>
      </c>
      <c r="BT273" t="n">
        <v>1.31</v>
      </c>
      <c r="BW273" t="n">
        <v>0.8100000000000001</v>
      </c>
      <c r="BX273" t="n">
        <v>0.6889999999999999</v>
      </c>
      <c r="BY273" t="n">
        <v>0.749</v>
      </c>
      <c r="BZ273" t="n">
        <v>0.089</v>
      </c>
      <c r="CA273" t="n">
        <v>1.761</v>
      </c>
      <c r="CB273" t="n">
        <v>0.21</v>
      </c>
      <c r="CC273" t="n">
        <v>11</v>
      </c>
      <c r="CE273" t="n">
        <v>11</v>
      </c>
      <c r="CF273" t="n">
        <v>2</v>
      </c>
      <c r="CG273" t="n">
        <v>2</v>
      </c>
      <c r="CH273" t="n">
        <v>4</v>
      </c>
      <c r="CI273" t="n">
        <v>4.333</v>
      </c>
      <c r="CJ273" t="n">
        <v>3.376</v>
      </c>
      <c r="CK273" t="n">
        <v>12</v>
      </c>
      <c r="CL273" t="n">
        <v>42</v>
      </c>
      <c r="CM273" t="n">
        <v>7</v>
      </c>
      <c r="CN273" t="n">
        <v>3</v>
      </c>
      <c r="CO273" t="n">
        <v>4</v>
      </c>
      <c r="CP273" t="n">
        <v>7</v>
      </c>
      <c r="CQ273" t="n">
        <v>1</v>
      </c>
      <c r="CR273" t="n">
        <v>32</v>
      </c>
      <c r="CS273" t="n">
        <v>10</v>
      </c>
      <c r="CT273" t="n">
        <v>0.4</v>
      </c>
      <c r="CW273" t="n">
        <v>11.67</v>
      </c>
      <c r="CX273" t="n">
        <v>1.389</v>
      </c>
      <c r="CY273" t="n">
        <v>0</v>
      </c>
      <c r="DB273" t="n">
        <v>0</v>
      </c>
      <c r="DF273" t="n">
        <v>3</v>
      </c>
      <c r="DG273" t="n">
        <v>0</v>
      </c>
      <c r="DH273" t="n">
        <v>10</v>
      </c>
      <c r="DI273" t="n">
        <v>11</v>
      </c>
      <c r="DJ273" t="n">
        <v>0</v>
      </c>
      <c r="DL273" t="n">
        <v>4</v>
      </c>
      <c r="DM273" t="n">
        <v>4</v>
      </c>
      <c r="DO273" t="n">
        <v>0</v>
      </c>
      <c r="DP273" t="n">
        <v>26.88</v>
      </c>
      <c r="DQ273" t="n">
        <v>13.48</v>
      </c>
      <c r="DR273" t="n">
        <v>26.96</v>
      </c>
      <c r="DS273" t="n">
        <v>-0.08</v>
      </c>
      <c r="DT273" t="n">
        <v>324</v>
      </c>
      <c r="DU273" t="n">
        <v>8.529999999999999</v>
      </c>
      <c r="DV273" t="inlineStr">
        <is>
          <t>flat</t>
        </is>
      </c>
      <c r="DW273" t="n">
        <v>72</v>
      </c>
      <c r="EC273" t="n">
        <v>72</v>
      </c>
      <c r="ED273" t="n">
        <v>72</v>
      </c>
      <c r="EE273" t="n">
        <v>1</v>
      </c>
      <c r="EF273" t="b">
        <v>0</v>
      </c>
      <c r="EG273" t="n">
        <v>0</v>
      </c>
      <c r="EH273" t="n">
        <v>0</v>
      </c>
      <c r="EI273" t="n">
        <v>290</v>
      </c>
      <c r="EJ273" t="n">
        <v>44.5</v>
      </c>
      <c r="EK273" t="n">
        <v>68.7</v>
      </c>
      <c r="EL273" t="n">
        <v>68.7</v>
      </c>
      <c r="EM273" t="n">
        <v>747.6</v>
      </c>
      <c r="EN273" t="n">
        <v>1008.8</v>
      </c>
      <c r="EO273" t="n">
        <v>429.4</v>
      </c>
      <c r="EP273" t="n">
        <v>18.4</v>
      </c>
    </row>
    <row r="274">
      <c r="A274" t="inlineStr">
        <is>
          <t>Chris Wood</t>
        </is>
      </c>
      <c r="B274" t="inlineStr">
        <is>
          <t>NFO</t>
        </is>
      </c>
      <c r="C274" t="inlineStr">
        <is>
          <t>FWD</t>
        </is>
      </c>
      <c r="D274" t="inlineStr">
        <is>
          <t>FWD</t>
        </is>
      </c>
      <c r="E274" t="n">
        <v>6</v>
      </c>
      <c r="F274" t="b">
        <v>1</v>
      </c>
      <c r="G274" t="b">
        <v>1</v>
      </c>
      <c r="H274" t="n">
        <v>34.7</v>
      </c>
      <c r="I274" t="inlineStr">
        <is>
          <t>a</t>
        </is>
      </c>
      <c r="L274" t="inlineStr">
        <is>
          <t>p60689</t>
        </is>
      </c>
      <c r="M274" t="n">
        <v>490</v>
      </c>
      <c r="N274" t="n">
        <v>1</v>
      </c>
      <c r="Q274" t="n">
        <v>896</v>
      </c>
      <c r="R274" t="n">
        <v>15</v>
      </c>
      <c r="S274" t="n">
        <v>11</v>
      </c>
      <c r="T274" t="n">
        <v>9.956</v>
      </c>
      <c r="U274" t="n">
        <v>59.7</v>
      </c>
      <c r="V274" t="n">
        <v>41</v>
      </c>
      <c r="W274" t="n">
        <v>4.118</v>
      </c>
      <c r="X274" t="n">
        <v>3</v>
      </c>
      <c r="Y274" t="n">
        <v>0</v>
      </c>
      <c r="AA274" t="n">
        <v>2</v>
      </c>
      <c r="AB274" t="n">
        <v>14</v>
      </c>
      <c r="AC274" t="n">
        <v>4</v>
      </c>
      <c r="AD274" t="n">
        <v>4</v>
      </c>
      <c r="AE274" t="n">
        <v>0</v>
      </c>
      <c r="AF274" t="n">
        <v>145</v>
      </c>
      <c r="AG274" t="n">
        <v>141</v>
      </c>
      <c r="AH274" t="n">
        <v>-4</v>
      </c>
      <c r="AI274" t="n">
        <v>41</v>
      </c>
      <c r="AJ274" t="n">
        <v>0.098</v>
      </c>
      <c r="AK274" t="n">
        <v>0.108</v>
      </c>
      <c r="AL274" t="n">
        <v>29</v>
      </c>
      <c r="AM274" t="n">
        <v>2.913</v>
      </c>
      <c r="AN274" t="n">
        <v>0</v>
      </c>
      <c r="AO274" t="n">
        <v>0</v>
      </c>
      <c r="AP274" t="n">
        <v>0</v>
      </c>
      <c r="AQ274" t="n">
        <v>0</v>
      </c>
      <c r="AR274" t="n">
        <v>0</v>
      </c>
      <c r="AS274" t="n">
        <v>0.289</v>
      </c>
      <c r="AT274" t="n">
        <v>0.667</v>
      </c>
      <c r="AU274" t="n">
        <v>13</v>
      </c>
      <c r="AV274" t="n">
        <v>1</v>
      </c>
      <c r="AW274" t="n">
        <v>2.39</v>
      </c>
      <c r="AX274" t="n">
        <v>13</v>
      </c>
      <c r="AY274" t="n">
        <v>4.29</v>
      </c>
      <c r="AZ274" t="n">
        <v>3.365</v>
      </c>
      <c r="BA274" t="n">
        <v>3.828</v>
      </c>
      <c r="BB274" t="n">
        <v>3.365</v>
      </c>
      <c r="BC274" t="n">
        <v>0.431</v>
      </c>
      <c r="BD274" t="n">
        <v>0.338</v>
      </c>
      <c r="BE274" t="n">
        <v>0.384</v>
      </c>
      <c r="BF274" t="n">
        <v>2.6</v>
      </c>
      <c r="BG274" t="n">
        <v>0.261</v>
      </c>
      <c r="BH274" t="n">
        <v>1.004</v>
      </c>
      <c r="BI274" t="n">
        <v>32.13</v>
      </c>
      <c r="BJ274" t="n">
        <v>4.308</v>
      </c>
      <c r="BK274" t="n">
        <v>0.433</v>
      </c>
      <c r="BL274" t="n">
        <v>-0.828</v>
      </c>
      <c r="BM274" t="n">
        <v>-1.69</v>
      </c>
      <c r="BN274" t="n">
        <v>0.4</v>
      </c>
      <c r="BO274" t="n">
        <v>0.925</v>
      </c>
      <c r="BP274" t="n">
        <v>23</v>
      </c>
      <c r="BQ274" t="n">
        <v>9</v>
      </c>
      <c r="BR274" t="n">
        <v>4</v>
      </c>
      <c r="BS274" t="n">
        <v>37</v>
      </c>
      <c r="BT274" t="n">
        <v>3.717</v>
      </c>
      <c r="BW274" t="n">
        <v>0.32</v>
      </c>
      <c r="BX274" t="n">
        <v>0.322</v>
      </c>
      <c r="BY274" t="n">
        <v>0.321</v>
      </c>
      <c r="BZ274" t="n">
        <v>0.032</v>
      </c>
      <c r="CA274" t="n">
        <v>4.148</v>
      </c>
      <c r="CB274" t="n">
        <v>0.417</v>
      </c>
      <c r="CC274" t="n">
        <v>5</v>
      </c>
      <c r="CE274" t="n">
        <v>5</v>
      </c>
      <c r="CI274" t="n">
        <v>3.268</v>
      </c>
      <c r="CJ274" t="n">
        <v>0.507</v>
      </c>
      <c r="CK274" t="n">
        <v>14</v>
      </c>
      <c r="CL274" t="n">
        <v>14</v>
      </c>
      <c r="CM274" t="n">
        <v>1</v>
      </c>
      <c r="CN274" t="n">
        <v>1</v>
      </c>
      <c r="CO274" t="n">
        <v>1</v>
      </c>
      <c r="CP274" t="n">
        <v>9</v>
      </c>
      <c r="CQ274" t="n">
        <v>4</v>
      </c>
      <c r="CR274" t="n">
        <v>34</v>
      </c>
      <c r="CS274" t="n">
        <v>26</v>
      </c>
      <c r="CV274" t="n">
        <v>1</v>
      </c>
      <c r="CW274" t="n">
        <v>14.44</v>
      </c>
      <c r="CX274" t="n">
        <v>1.45</v>
      </c>
      <c r="CY274" t="n">
        <v>0</v>
      </c>
      <c r="DB274" t="n">
        <v>0</v>
      </c>
      <c r="DF274" t="n">
        <v>0</v>
      </c>
      <c r="DG274" t="n">
        <v>0</v>
      </c>
      <c r="DH274" t="n">
        <v>6</v>
      </c>
      <c r="DI274" t="n">
        <v>6</v>
      </c>
      <c r="DL274" t="n">
        <v>1</v>
      </c>
      <c r="DM274" t="n">
        <v>2</v>
      </c>
      <c r="DN274" t="n">
        <v>4</v>
      </c>
      <c r="DO274" t="n">
        <v>1.7</v>
      </c>
      <c r="DP274" t="n">
        <v>54.04</v>
      </c>
      <c r="DQ274" t="n">
        <v>27.02</v>
      </c>
      <c r="DR274" t="n">
        <v>54.04</v>
      </c>
      <c r="DS274" t="n">
        <v>0</v>
      </c>
      <c r="DT274" t="n">
        <v>523</v>
      </c>
      <c r="DU274" t="n">
        <v>13.77</v>
      </c>
      <c r="DV274" t="inlineStr">
        <is>
          <t>flat</t>
        </is>
      </c>
      <c r="DW274" t="n">
        <v>76.11</v>
      </c>
      <c r="DX274" t="n">
        <v>83.61</v>
      </c>
      <c r="DY274" t="n">
        <v>71.04000000000001</v>
      </c>
      <c r="DZ274" t="n">
        <v>-5.06</v>
      </c>
      <c r="EA274" t="n">
        <v>1036</v>
      </c>
      <c r="EB274" t="n">
        <v>25.74</v>
      </c>
      <c r="EC274" t="n">
        <v>8</v>
      </c>
      <c r="ED274" t="n">
        <v>120</v>
      </c>
      <c r="EE274" t="n">
        <v>2105</v>
      </c>
      <c r="EF274" t="b">
        <v>1</v>
      </c>
      <c r="EG274" t="n">
        <v>63.1</v>
      </c>
      <c r="EH274" t="n">
        <v>31.5</v>
      </c>
      <c r="EI274" t="n">
        <v>101</v>
      </c>
      <c r="EJ274" t="n">
        <v>39</v>
      </c>
      <c r="EK274" t="n">
        <v>24.2</v>
      </c>
      <c r="EL274" t="n">
        <v>179.2</v>
      </c>
      <c r="EM274" t="n">
        <v>234.1</v>
      </c>
      <c r="EN274" t="n">
        <v>2792.6</v>
      </c>
      <c r="EO274" t="n">
        <v>216</v>
      </c>
      <c r="EP274" t="n">
        <v>21.9</v>
      </c>
    </row>
    <row r="275">
      <c r="A275" t="inlineStr">
        <is>
          <t>Alexander Isak</t>
        </is>
      </c>
      <c r="B275" t="inlineStr">
        <is>
          <t>LIV</t>
        </is>
      </c>
      <c r="C275" t="inlineStr">
        <is>
          <t>FWD</t>
        </is>
      </c>
      <c r="D275" t="inlineStr">
        <is>
          <t>FWD</t>
        </is>
      </c>
      <c r="E275" t="n">
        <v>9</v>
      </c>
      <c r="F275" t="b">
        <v>1</v>
      </c>
      <c r="G275" t="b">
        <v>1</v>
      </c>
      <c r="H275" t="n">
        <v>26.9</v>
      </c>
      <c r="I275" t="inlineStr">
        <is>
          <t>a</t>
        </is>
      </c>
      <c r="L275" t="inlineStr">
        <is>
          <t>p219168</t>
        </is>
      </c>
      <c r="M275" t="n">
        <v>379</v>
      </c>
      <c r="N275" t="n">
        <v>1</v>
      </c>
      <c r="Q275" t="n">
        <v>694</v>
      </c>
      <c r="R275" t="n">
        <v>14</v>
      </c>
      <c r="S275" t="n">
        <v>8</v>
      </c>
      <c r="T275" t="n">
        <v>7.711</v>
      </c>
      <c r="U275" t="n">
        <v>49.6</v>
      </c>
      <c r="V275" t="n">
        <v>41</v>
      </c>
      <c r="W275" t="n">
        <v>5.317</v>
      </c>
      <c r="X275" t="n">
        <v>3</v>
      </c>
      <c r="Y275" t="n">
        <v>1</v>
      </c>
      <c r="Z275" t="n">
        <v>1</v>
      </c>
      <c r="AA275" t="n">
        <v>1</v>
      </c>
      <c r="AB275" t="n">
        <v>9</v>
      </c>
      <c r="AC275" t="n">
        <v>4</v>
      </c>
      <c r="AD275" t="n">
        <v>4</v>
      </c>
      <c r="AE275" t="n">
        <v>0</v>
      </c>
      <c r="AF275" t="n">
        <v>140</v>
      </c>
      <c r="AG275" t="n">
        <v>137</v>
      </c>
      <c r="AH275" t="n">
        <v>-3</v>
      </c>
      <c r="AI275" t="n">
        <v>41</v>
      </c>
      <c r="AJ275" t="n">
        <v>0.098</v>
      </c>
      <c r="AK275" t="n">
        <v>0.108</v>
      </c>
      <c r="AL275" t="n">
        <v>30</v>
      </c>
      <c r="AM275" t="n">
        <v>3.89</v>
      </c>
      <c r="AN275" t="n">
        <v>0</v>
      </c>
      <c r="AO275" t="n">
        <v>0</v>
      </c>
      <c r="AP275" t="n">
        <v>0</v>
      </c>
      <c r="AQ275" t="n">
        <v>0</v>
      </c>
      <c r="AR275" t="n">
        <v>0</v>
      </c>
      <c r="AS275" t="n">
        <v>0.211</v>
      </c>
      <c r="AT275" t="n">
        <v>0.571</v>
      </c>
      <c r="AU275" t="n">
        <v>10</v>
      </c>
      <c r="AV275" t="n">
        <v>0</v>
      </c>
      <c r="AW275" t="n">
        <v>2.05</v>
      </c>
      <c r="AX275" t="n">
        <v>8</v>
      </c>
      <c r="AY275" t="n">
        <v>2.59</v>
      </c>
      <c r="AZ275" t="n">
        <v>3.245</v>
      </c>
      <c r="BA275" t="n">
        <v>2.918</v>
      </c>
      <c r="BB275" t="n">
        <v>3.245</v>
      </c>
      <c r="BC275" t="n">
        <v>0.336</v>
      </c>
      <c r="BD275" t="n">
        <v>0.421</v>
      </c>
      <c r="BE275" t="n">
        <v>0.378</v>
      </c>
      <c r="BF275" t="n">
        <v>2.8</v>
      </c>
      <c r="BG275" t="n">
        <v>0.363</v>
      </c>
      <c r="BH275" t="n">
        <v>1.056</v>
      </c>
      <c r="BI275" t="n">
        <v>51.25</v>
      </c>
      <c r="BJ275" t="n">
        <v>2.736</v>
      </c>
      <c r="BK275" t="n">
        <v>0.355</v>
      </c>
      <c r="BL275" t="n">
        <v>0.082</v>
      </c>
      <c r="BM275" t="n">
        <v>0.21</v>
      </c>
      <c r="BN275" t="n">
        <v>0.2</v>
      </c>
      <c r="BO275" t="n">
        <v>-0.655</v>
      </c>
      <c r="BP275" t="n">
        <v>17</v>
      </c>
      <c r="BQ275" t="n">
        <v>6</v>
      </c>
      <c r="BR275" t="n">
        <v>5</v>
      </c>
      <c r="BS275" t="n">
        <v>30</v>
      </c>
      <c r="BT275" t="n">
        <v>3.89</v>
      </c>
      <c r="BW275" t="n">
        <v>0.08</v>
      </c>
      <c r="BX275" t="n">
        <v>0.846</v>
      </c>
      <c r="BY275" t="n">
        <v>0.463</v>
      </c>
      <c r="BZ275" t="n">
        <v>0.06</v>
      </c>
      <c r="CA275" t="n">
        <v>3.381</v>
      </c>
      <c r="CB275" t="n">
        <v>0.438</v>
      </c>
      <c r="CC275" t="n">
        <v>2</v>
      </c>
      <c r="CD275" t="n">
        <v>1</v>
      </c>
      <c r="CE275" t="n">
        <v>2</v>
      </c>
      <c r="CI275" t="n">
        <v>4.253</v>
      </c>
      <c r="CJ275" t="n">
        <v>0.98</v>
      </c>
      <c r="CK275" t="n">
        <v>10</v>
      </c>
      <c r="CL275" t="n">
        <v>13</v>
      </c>
      <c r="CM275" t="n">
        <v>7</v>
      </c>
      <c r="CN275" t="n">
        <v>6</v>
      </c>
      <c r="CP275" t="n">
        <v>9</v>
      </c>
      <c r="CQ275" t="n">
        <v>1</v>
      </c>
      <c r="CR275" t="n">
        <v>17</v>
      </c>
      <c r="CS275" t="n">
        <v>8</v>
      </c>
      <c r="CW275" t="n">
        <v>8.380000000000001</v>
      </c>
      <c r="CX275" t="n">
        <v>1.087</v>
      </c>
      <c r="CY275" t="n">
        <v>0</v>
      </c>
      <c r="DB275" t="n">
        <v>0</v>
      </c>
      <c r="DF275" t="n">
        <v>0</v>
      </c>
      <c r="DG275" t="n">
        <v>0</v>
      </c>
      <c r="DH275" t="n">
        <v>5</v>
      </c>
      <c r="DI275" t="n">
        <v>1</v>
      </c>
      <c r="DL275" t="n">
        <v>1</v>
      </c>
      <c r="DM275" t="n">
        <v>7</v>
      </c>
      <c r="DO275" t="n">
        <v>13.9</v>
      </c>
      <c r="DP275" t="n">
        <v>159.04</v>
      </c>
      <c r="DQ275" t="n">
        <v>83.47</v>
      </c>
      <c r="DR275" t="n">
        <v>166.94</v>
      </c>
      <c r="DS275" t="n">
        <v>-7.9</v>
      </c>
      <c r="DT275" t="n">
        <v>2177</v>
      </c>
      <c r="DU275" t="n">
        <v>57.3</v>
      </c>
      <c r="DV275" t="inlineStr">
        <is>
          <t>flat</t>
        </is>
      </c>
      <c r="DW275" t="n">
        <v>6.69</v>
      </c>
      <c r="DX275" t="n">
        <v>5.63</v>
      </c>
      <c r="DY275" t="n">
        <v>5.81</v>
      </c>
      <c r="DZ275" t="n">
        <v>-0.89</v>
      </c>
      <c r="EA275" t="n">
        <v>1505</v>
      </c>
      <c r="EB275" t="n">
        <v>7.7</v>
      </c>
      <c r="EC275" t="n">
        <v>0.8</v>
      </c>
      <c r="ED275" t="n">
        <v>105.14</v>
      </c>
      <c r="EE275" t="n">
        <v>3101</v>
      </c>
      <c r="EF275" t="b">
        <v>1</v>
      </c>
      <c r="EG275" t="n">
        <v>99.90000000000001</v>
      </c>
      <c r="EH275" t="n">
        <v>36.3</v>
      </c>
      <c r="EI275" t="n">
        <v>5</v>
      </c>
      <c r="EJ275" t="n">
        <v>40.8</v>
      </c>
      <c r="EK275" t="n">
        <v>23.1</v>
      </c>
      <c r="EL275" t="n">
        <v>347</v>
      </c>
      <c r="EM275" t="n">
        <v>237.9</v>
      </c>
      <c r="EN275" t="n">
        <v>1498.7</v>
      </c>
      <c r="EO275" t="n">
        <v>205.3</v>
      </c>
      <c r="EP275" t="n">
        <v>16.9</v>
      </c>
    </row>
    <row r="276">
      <c r="A276" t="inlineStr">
        <is>
          <t>Lamare Bogarde</t>
        </is>
      </c>
      <c r="B276" t="inlineStr">
        <is>
          <t>AVL</t>
        </is>
      </c>
      <c r="C276" t="inlineStr">
        <is>
          <t>MID</t>
        </is>
      </c>
      <c r="D276" t="inlineStr">
        <is>
          <t>DEF</t>
        </is>
      </c>
      <c r="E276" t="n">
        <v>5</v>
      </c>
      <c r="F276" t="b">
        <v>1</v>
      </c>
      <c r="G276" t="b">
        <v>1</v>
      </c>
      <c r="H276" t="n">
        <v>22.6</v>
      </c>
      <c r="I276" t="inlineStr">
        <is>
          <t>a</t>
        </is>
      </c>
      <c r="L276" t="inlineStr">
        <is>
          <t>p515597</t>
        </is>
      </c>
      <c r="M276" t="n">
        <v>35</v>
      </c>
      <c r="Q276" t="n">
        <v>1042</v>
      </c>
      <c r="R276" t="n">
        <v>28</v>
      </c>
      <c r="S276" t="n">
        <v>11</v>
      </c>
      <c r="T276" t="n">
        <v>11.578</v>
      </c>
      <c r="U276" t="n">
        <v>37.2</v>
      </c>
      <c r="V276" t="n">
        <v>40</v>
      </c>
      <c r="W276" t="n">
        <v>3.455</v>
      </c>
      <c r="X276" t="n">
        <v>0</v>
      </c>
      <c r="Y276" t="n">
        <v>0</v>
      </c>
      <c r="AA276" t="n">
        <v>2</v>
      </c>
      <c r="AB276" t="n">
        <v>17</v>
      </c>
      <c r="AC276" t="n">
        <v>4</v>
      </c>
      <c r="AD276" t="n">
        <v>4</v>
      </c>
      <c r="AE276" t="n">
        <v>0</v>
      </c>
      <c r="AF276" t="n">
        <v>121</v>
      </c>
      <c r="AG276" t="n">
        <v>117</v>
      </c>
      <c r="AH276" t="n">
        <v>-4</v>
      </c>
      <c r="AI276" t="n">
        <v>40</v>
      </c>
      <c r="AJ276" t="n">
        <v>0.1</v>
      </c>
      <c r="AK276" t="n">
        <v>0.111</v>
      </c>
      <c r="AL276" t="n">
        <v>60</v>
      </c>
      <c r="AM276" t="n">
        <v>5.182</v>
      </c>
      <c r="AN276" t="n">
        <v>0</v>
      </c>
      <c r="AO276" t="n">
        <v>0</v>
      </c>
      <c r="AP276" t="n">
        <v>0</v>
      </c>
      <c r="AQ276" t="n">
        <v>0</v>
      </c>
      <c r="AR276" t="n">
        <v>0</v>
      </c>
      <c r="AS276" t="n">
        <v>0.289</v>
      </c>
      <c r="AT276" t="n">
        <v>0.357</v>
      </c>
      <c r="AU276" t="n">
        <v>26</v>
      </c>
      <c r="AV276" t="n">
        <v>0</v>
      </c>
      <c r="AW276" t="n">
        <v>1.82</v>
      </c>
      <c r="AX276" t="n">
        <v>9</v>
      </c>
      <c r="AY276" t="n">
        <v>0</v>
      </c>
      <c r="AZ276" t="n">
        <v>0</v>
      </c>
      <c r="BA276" t="n">
        <v>0</v>
      </c>
      <c r="BB276" t="n">
        <v>0</v>
      </c>
      <c r="BC276" t="n">
        <v>0</v>
      </c>
      <c r="BD276" t="n">
        <v>0</v>
      </c>
      <c r="BE276" t="n">
        <v>0</v>
      </c>
      <c r="BH276" t="n">
        <v>1.008</v>
      </c>
      <c r="BI276" t="n">
        <v>0.04</v>
      </c>
      <c r="BJ276" t="n">
        <v>0</v>
      </c>
      <c r="BK276" t="n">
        <v>0</v>
      </c>
      <c r="BL276" t="n">
        <v>0</v>
      </c>
      <c r="BO276" t="n">
        <v>0</v>
      </c>
      <c r="BS276" t="n">
        <v>7</v>
      </c>
      <c r="BT276" t="n">
        <v>0.605</v>
      </c>
      <c r="BW276" t="n">
        <v>0.2</v>
      </c>
      <c r="BX276" t="n">
        <v>0.041</v>
      </c>
      <c r="BY276" t="n">
        <v>0.121</v>
      </c>
      <c r="BZ276" t="n">
        <v>0.01</v>
      </c>
      <c r="CA276" t="n">
        <v>0.121</v>
      </c>
      <c r="CB276" t="n">
        <v>0.01</v>
      </c>
      <c r="CC276" t="n">
        <v>2</v>
      </c>
      <c r="CE276" t="n">
        <v>2</v>
      </c>
      <c r="CF276" t="n">
        <v>1</v>
      </c>
      <c r="CI276" t="n">
        <v>1.957</v>
      </c>
      <c r="CJ276" t="n">
        <v>1.916</v>
      </c>
      <c r="CK276" t="n">
        <v>34</v>
      </c>
      <c r="CL276" t="n">
        <v>43</v>
      </c>
      <c r="CM276" t="n">
        <v>26</v>
      </c>
      <c r="CN276" t="n">
        <v>18</v>
      </c>
      <c r="CO276" t="n">
        <v>5</v>
      </c>
      <c r="CP276" t="n">
        <v>23</v>
      </c>
      <c r="CQ276" t="n">
        <v>6</v>
      </c>
      <c r="CR276" t="n">
        <v>57</v>
      </c>
      <c r="CS276" t="n">
        <v>9</v>
      </c>
      <c r="CT276" t="n">
        <v>0.3</v>
      </c>
      <c r="CU276" t="n">
        <v>1</v>
      </c>
      <c r="CV276" t="n">
        <v>2</v>
      </c>
      <c r="CW276" t="n">
        <v>15.38</v>
      </c>
      <c r="CX276" t="n">
        <v>1.328</v>
      </c>
      <c r="CY276" t="n">
        <v>0</v>
      </c>
      <c r="DB276" t="n">
        <v>0</v>
      </c>
      <c r="DF276" t="n">
        <v>5</v>
      </c>
      <c r="DG276" t="n">
        <v>0</v>
      </c>
      <c r="DH276" t="n">
        <v>17</v>
      </c>
      <c r="DI276" t="n">
        <v>20</v>
      </c>
      <c r="DL276" t="n">
        <v>2</v>
      </c>
      <c r="DM276" t="n">
        <v>10</v>
      </c>
      <c r="DO276" t="n">
        <v>0.1</v>
      </c>
      <c r="DP276" t="n">
        <v>24.43</v>
      </c>
      <c r="DQ276" t="n">
        <v>13.9</v>
      </c>
      <c r="DR276" t="n">
        <v>27.8</v>
      </c>
      <c r="DS276" t="n">
        <v>-3.37</v>
      </c>
      <c r="DT276" t="n">
        <v>272</v>
      </c>
      <c r="DU276" t="n">
        <v>7.16</v>
      </c>
      <c r="DV276" t="inlineStr">
        <is>
          <t>flat</t>
        </is>
      </c>
      <c r="DW276" t="n">
        <v>100.4</v>
      </c>
      <c r="DX276" t="n">
        <v>107</v>
      </c>
      <c r="DY276" t="n">
        <v>87.2</v>
      </c>
      <c r="DZ276" t="n">
        <v>-13.2</v>
      </c>
      <c r="EA276" t="n">
        <v>1</v>
      </c>
      <c r="EB276" t="n">
        <v>11.82</v>
      </c>
      <c r="EC276" t="n">
        <v>87.2</v>
      </c>
      <c r="ED276" t="n">
        <v>110</v>
      </c>
      <c r="EE276" t="n">
        <v>3</v>
      </c>
      <c r="EF276" t="b">
        <v>0</v>
      </c>
      <c r="EG276" t="n">
        <v>0.1</v>
      </c>
      <c r="EH276" t="n">
        <v>25</v>
      </c>
      <c r="EI276" t="n">
        <v>291</v>
      </c>
      <c r="EK276" t="n">
        <v>148.9</v>
      </c>
      <c r="EL276" t="n">
        <v>521</v>
      </c>
      <c r="EN276" t="n">
        <v>8641.799999999999</v>
      </c>
      <c r="EO276" t="n">
        <v>8641.799999999999</v>
      </c>
      <c r="EP276" t="n">
        <v>26</v>
      </c>
    </row>
    <row r="277">
      <c r="A277" t="inlineStr">
        <is>
          <t>Cristhian Mosquera</t>
        </is>
      </c>
      <c r="B277" t="inlineStr">
        <is>
          <t>ARS</t>
        </is>
      </c>
      <c r="C277" t="inlineStr">
        <is>
          <t>DEF</t>
        </is>
      </c>
      <c r="D277" t="inlineStr">
        <is>
          <t>DEF</t>
        </is>
      </c>
      <c r="E277" t="n">
        <v>5.5</v>
      </c>
      <c r="F277" t="b">
        <v>1</v>
      </c>
      <c r="G277" t="b">
        <v>1</v>
      </c>
      <c r="H277" t="n">
        <v>22.1</v>
      </c>
      <c r="I277" t="inlineStr">
        <is>
          <t>a</t>
        </is>
      </c>
      <c r="L277" t="inlineStr">
        <is>
          <t>p500040</t>
        </is>
      </c>
      <c r="M277" t="n">
        <v>11</v>
      </c>
      <c r="Q277" t="n">
        <v>986</v>
      </c>
      <c r="R277" t="n">
        <v>20</v>
      </c>
      <c r="S277" t="n">
        <v>9</v>
      </c>
      <c r="T277" t="n">
        <v>10.956</v>
      </c>
      <c r="U277" t="n">
        <v>49.3</v>
      </c>
      <c r="V277" t="n">
        <v>40</v>
      </c>
      <c r="W277" t="n">
        <v>3.651</v>
      </c>
      <c r="X277" t="n">
        <v>0</v>
      </c>
      <c r="Y277" t="n">
        <v>0</v>
      </c>
      <c r="AA277" t="n">
        <v>3</v>
      </c>
      <c r="AB277" t="n">
        <v>8</v>
      </c>
      <c r="AC277" t="n">
        <v>1</v>
      </c>
      <c r="AD277" t="n">
        <v>1</v>
      </c>
      <c r="AE277" t="n">
        <v>0</v>
      </c>
      <c r="AF277" t="n">
        <v>195</v>
      </c>
      <c r="AG277" t="n">
        <v>183</v>
      </c>
      <c r="AH277" t="n">
        <v>-12</v>
      </c>
      <c r="AI277" t="n">
        <v>40</v>
      </c>
      <c r="AJ277" t="n">
        <v>0.025</v>
      </c>
      <c r="AK277" t="n">
        <v>0.026</v>
      </c>
      <c r="AL277" t="n">
        <v>95</v>
      </c>
      <c r="AM277" t="n">
        <v>8.670999999999999</v>
      </c>
      <c r="AN277" t="n">
        <v>2</v>
      </c>
      <c r="AO277" t="n">
        <v>4</v>
      </c>
      <c r="AP277" t="n">
        <v>0.222</v>
      </c>
      <c r="AQ277" t="n">
        <v>0.222</v>
      </c>
      <c r="AR277" t="n">
        <v>0.111</v>
      </c>
      <c r="AS277" t="n">
        <v>0.237</v>
      </c>
      <c r="AT277" t="n">
        <v>0.4</v>
      </c>
      <c r="AU277" t="n">
        <v>15</v>
      </c>
      <c r="AV277" t="n">
        <v>0</v>
      </c>
      <c r="AW277" t="n">
        <v>1.77</v>
      </c>
      <c r="AX277" t="n">
        <v>7</v>
      </c>
      <c r="AY277" t="n">
        <v>0.1</v>
      </c>
      <c r="AZ277" t="n">
        <v>0.08599999999999999</v>
      </c>
      <c r="BA277" t="n">
        <v>0.093</v>
      </c>
      <c r="BB277" t="n">
        <v>0.08599999999999999</v>
      </c>
      <c r="BC277" t="n">
        <v>0.008999999999999999</v>
      </c>
      <c r="BD277" t="n">
        <v>0.008</v>
      </c>
      <c r="BE277" t="n">
        <v>0.008</v>
      </c>
      <c r="BH277" t="n">
        <v>0.988</v>
      </c>
      <c r="BI277" t="n">
        <v>0.1</v>
      </c>
      <c r="BJ277" t="n">
        <v>0.099</v>
      </c>
      <c r="BK277" t="n">
        <v>0.008999999999999999</v>
      </c>
      <c r="BL277" t="n">
        <v>-0.093</v>
      </c>
      <c r="BO277" t="n">
        <v>0.014</v>
      </c>
      <c r="BP277" t="n">
        <v>1</v>
      </c>
      <c r="BS277" t="n">
        <v>9</v>
      </c>
      <c r="BT277" t="n">
        <v>0.822</v>
      </c>
      <c r="BW277" t="n">
        <v>0.63</v>
      </c>
      <c r="BX277" t="n">
        <v>0.293</v>
      </c>
      <c r="BY277" t="n">
        <v>0.462</v>
      </c>
      <c r="BZ277" t="n">
        <v>0.042</v>
      </c>
      <c r="CA277" t="n">
        <v>0.555</v>
      </c>
      <c r="CB277" t="n">
        <v>0.051</v>
      </c>
      <c r="CC277" t="n">
        <v>5</v>
      </c>
      <c r="CE277" t="n">
        <v>5</v>
      </c>
      <c r="CF277" t="n">
        <v>1</v>
      </c>
      <c r="CG277" t="n">
        <v>1</v>
      </c>
      <c r="CI277" t="n">
        <v>5.388</v>
      </c>
      <c r="CJ277" t="n">
        <v>5.185</v>
      </c>
      <c r="CK277" t="n">
        <v>63</v>
      </c>
      <c r="CL277" t="n">
        <v>35</v>
      </c>
      <c r="CM277" t="n">
        <v>32</v>
      </c>
      <c r="CN277" t="n">
        <v>19</v>
      </c>
      <c r="CO277" t="n">
        <v>8</v>
      </c>
      <c r="CP277" t="n">
        <v>47</v>
      </c>
      <c r="CQ277" t="n">
        <v>7</v>
      </c>
      <c r="CR277" t="n">
        <v>60</v>
      </c>
      <c r="CS277" t="n">
        <v>20</v>
      </c>
      <c r="CV277" t="n">
        <v>1</v>
      </c>
      <c r="CW277" t="n">
        <v>9.039999999999999</v>
      </c>
      <c r="CX277" t="n">
        <v>0.825</v>
      </c>
      <c r="CY277" t="n">
        <v>0</v>
      </c>
      <c r="DB277" t="n">
        <v>0</v>
      </c>
      <c r="DF277" t="n">
        <v>4</v>
      </c>
      <c r="DG277" t="n">
        <v>0</v>
      </c>
      <c r="DH277" t="n">
        <v>17</v>
      </c>
      <c r="DI277" t="n">
        <v>7</v>
      </c>
      <c r="DL277" t="n">
        <v>1</v>
      </c>
      <c r="DM277" t="n">
        <v>8</v>
      </c>
      <c r="DN277" t="n">
        <v>1</v>
      </c>
      <c r="DO277" t="n">
        <v>13.7</v>
      </c>
      <c r="DP277" t="n">
        <v>37.43</v>
      </c>
      <c r="DQ277" t="n">
        <v>29.03</v>
      </c>
      <c r="DR277" t="n">
        <v>58.06</v>
      </c>
      <c r="DS277" t="n">
        <v>-20.63</v>
      </c>
      <c r="DT277" t="n">
        <v>295</v>
      </c>
      <c r="DU277" t="n">
        <v>7.77</v>
      </c>
      <c r="DV277" t="inlineStr">
        <is>
          <t>fade (losing his place)</t>
        </is>
      </c>
      <c r="DW277" t="n">
        <v>72.59999999999999</v>
      </c>
      <c r="DX277" t="n">
        <v>75.73999999999999</v>
      </c>
      <c r="DY277" t="n">
        <v>71.01000000000001</v>
      </c>
      <c r="DZ277" t="n">
        <v>-1.59</v>
      </c>
      <c r="EA277" t="n">
        <v>1270</v>
      </c>
      <c r="EB277" t="n">
        <v>23.59</v>
      </c>
      <c r="EC277" t="n">
        <v>4</v>
      </c>
      <c r="ED277" t="n">
        <v>120</v>
      </c>
      <c r="EE277" t="n">
        <v>2883</v>
      </c>
      <c r="EF277" t="b">
        <v>1</v>
      </c>
      <c r="EG277" t="n">
        <v>85.59999999999999</v>
      </c>
      <c r="EH277" t="n">
        <v>30.9</v>
      </c>
      <c r="EI277" t="n">
        <v>178</v>
      </c>
      <c r="EJ277" t="n">
        <v>986</v>
      </c>
      <c r="EK277" t="n">
        <v>109.6</v>
      </c>
      <c r="EL277" t="n">
        <v>197.2</v>
      </c>
      <c r="EM277" t="n">
        <v>10610.5</v>
      </c>
      <c r="EN277" t="n">
        <v>2135.5</v>
      </c>
      <c r="EO277" t="n">
        <v>1777.7</v>
      </c>
      <c r="EP277" t="n">
        <v>24.6</v>
      </c>
    </row>
    <row r="278">
      <c r="A278" t="inlineStr">
        <is>
          <t>Dominic Solanke</t>
        </is>
      </c>
      <c r="B278" t="inlineStr">
        <is>
          <t>TOT</t>
        </is>
      </c>
      <c r="C278" t="inlineStr">
        <is>
          <t>FWD</t>
        </is>
      </c>
      <c r="D278" t="inlineStr">
        <is>
          <t>FWD</t>
        </is>
      </c>
      <c r="E278" t="n">
        <v>6</v>
      </c>
      <c r="F278" t="b">
        <v>1</v>
      </c>
      <c r="G278" t="b">
        <v>1</v>
      </c>
      <c r="H278" t="n">
        <v>28.9</v>
      </c>
      <c r="I278" t="inlineStr">
        <is>
          <t>a</t>
        </is>
      </c>
      <c r="L278" t="inlineStr">
        <is>
          <t>p154566</t>
        </is>
      </c>
      <c r="M278" t="n">
        <v>526</v>
      </c>
      <c r="N278" t="n">
        <v>1</v>
      </c>
      <c r="Q278" t="n">
        <v>997</v>
      </c>
      <c r="R278" t="n">
        <v>15</v>
      </c>
      <c r="S278" t="n">
        <v>11</v>
      </c>
      <c r="T278" t="n">
        <v>11.078</v>
      </c>
      <c r="U278" t="n">
        <v>66.5</v>
      </c>
      <c r="V278" t="n">
        <v>40</v>
      </c>
      <c r="W278" t="n">
        <v>3.611</v>
      </c>
      <c r="X278" t="n">
        <v>3</v>
      </c>
      <c r="Y278" t="n">
        <v>0</v>
      </c>
      <c r="AA278" t="n">
        <v>0</v>
      </c>
      <c r="AB278" t="n">
        <v>21</v>
      </c>
      <c r="AC278" t="n">
        <v>4</v>
      </c>
      <c r="AD278" t="n">
        <v>4</v>
      </c>
      <c r="AE278" t="n">
        <v>0</v>
      </c>
      <c r="AF278" t="n">
        <v>187</v>
      </c>
      <c r="AG278" t="n">
        <v>182</v>
      </c>
      <c r="AH278" t="n">
        <v>-5</v>
      </c>
      <c r="AI278" t="n">
        <v>40</v>
      </c>
      <c r="AJ278" t="n">
        <v>0.1</v>
      </c>
      <c r="AK278" t="n">
        <v>0.111</v>
      </c>
      <c r="AL278" t="n">
        <v>71</v>
      </c>
      <c r="AM278" t="n">
        <v>6.409</v>
      </c>
      <c r="AN278" t="n">
        <v>0</v>
      </c>
      <c r="AO278" t="n">
        <v>0</v>
      </c>
      <c r="AP278" t="n">
        <v>0</v>
      </c>
      <c r="AQ278" t="n">
        <v>0</v>
      </c>
      <c r="AR278" t="n">
        <v>0</v>
      </c>
      <c r="AS278" t="n">
        <v>0.289</v>
      </c>
      <c r="AT278" t="n">
        <v>0.667</v>
      </c>
      <c r="AU278" t="n">
        <v>13</v>
      </c>
      <c r="AV278" t="n">
        <v>1</v>
      </c>
      <c r="AW278" t="n">
        <v>2.25</v>
      </c>
      <c r="AX278" t="n">
        <v>12</v>
      </c>
      <c r="AY278" t="n">
        <v>2.97</v>
      </c>
      <c r="AZ278" t="n">
        <v>3.586</v>
      </c>
      <c r="BA278" t="n">
        <v>3.278</v>
      </c>
      <c r="BB278" t="n">
        <v>3.586</v>
      </c>
      <c r="BC278" t="n">
        <v>0.268</v>
      </c>
      <c r="BD278" t="n">
        <v>0.324</v>
      </c>
      <c r="BE278" t="n">
        <v>0.296</v>
      </c>
      <c r="BF278" t="n">
        <v>4.1</v>
      </c>
      <c r="BG278" t="n">
        <v>0.37</v>
      </c>
      <c r="BH278" t="n">
        <v>0.917</v>
      </c>
      <c r="BI278" t="n">
        <v>42.59</v>
      </c>
      <c r="BJ278" t="n">
        <v>2.724</v>
      </c>
      <c r="BK278" t="n">
        <v>0.246</v>
      </c>
      <c r="BL278" t="n">
        <v>-0.278</v>
      </c>
      <c r="BM278" t="n">
        <v>1.13</v>
      </c>
      <c r="BN278" t="n">
        <v>-1.1</v>
      </c>
      <c r="BO278" t="n">
        <v>-0.616</v>
      </c>
      <c r="BP278" t="n">
        <v>20</v>
      </c>
      <c r="BQ278" t="n">
        <v>11</v>
      </c>
      <c r="BR278" t="n">
        <v>3</v>
      </c>
      <c r="BS278" t="n">
        <v>55</v>
      </c>
      <c r="BT278" t="n">
        <v>4.965</v>
      </c>
      <c r="BW278" t="n">
        <v>0.34</v>
      </c>
      <c r="BX278" t="n">
        <v>0.598</v>
      </c>
      <c r="BY278" t="n">
        <v>0.469</v>
      </c>
      <c r="BZ278" t="n">
        <v>0.042</v>
      </c>
      <c r="CA278" t="n">
        <v>3.747</v>
      </c>
      <c r="CB278" t="n">
        <v>0.338</v>
      </c>
      <c r="CC278" t="n">
        <v>6</v>
      </c>
      <c r="CD278" t="n">
        <v>1</v>
      </c>
      <c r="CE278" t="n">
        <v>6</v>
      </c>
      <c r="CH278" t="n">
        <v>0</v>
      </c>
      <c r="CI278" t="n">
        <v>4.705</v>
      </c>
      <c r="CJ278" t="n">
        <v>1.691</v>
      </c>
      <c r="CK278" t="n">
        <v>16</v>
      </c>
      <c r="CL278" t="n">
        <v>33</v>
      </c>
      <c r="CM278" t="n">
        <v>22</v>
      </c>
      <c r="CN278" t="n">
        <v>16</v>
      </c>
      <c r="CO278" t="n">
        <v>3</v>
      </c>
      <c r="CP278" t="n">
        <v>11</v>
      </c>
      <c r="CQ278" t="n">
        <v>2</v>
      </c>
      <c r="CR278" t="n">
        <v>64</v>
      </c>
      <c r="CS278" t="n">
        <v>20</v>
      </c>
      <c r="CV278" t="n">
        <v>1</v>
      </c>
      <c r="CW278" t="n">
        <v>17.8</v>
      </c>
      <c r="CX278" t="n">
        <v>1.607</v>
      </c>
      <c r="CY278" t="n">
        <v>0</v>
      </c>
      <c r="DB278" t="n">
        <v>0</v>
      </c>
      <c r="DF278" t="n">
        <v>1</v>
      </c>
      <c r="DG278" t="n">
        <v>0</v>
      </c>
      <c r="DH278" t="n">
        <v>12</v>
      </c>
      <c r="DI278" t="n">
        <v>9</v>
      </c>
      <c r="DL278" t="n">
        <v>13</v>
      </c>
      <c r="DM278" t="n">
        <v>13</v>
      </c>
      <c r="DN278" t="n">
        <v>3</v>
      </c>
      <c r="DO278" t="n">
        <v>2.1</v>
      </c>
      <c r="DP278" t="n">
        <v>148.36</v>
      </c>
      <c r="DQ278" t="n">
        <v>70.88</v>
      </c>
      <c r="DR278" t="n">
        <v>141.76</v>
      </c>
      <c r="DS278" t="n">
        <v>6.6</v>
      </c>
      <c r="DT278" t="n">
        <v>2747</v>
      </c>
      <c r="DU278" t="n">
        <v>72.3</v>
      </c>
      <c r="DV278" t="inlineStr">
        <is>
          <t>flat</t>
        </is>
      </c>
      <c r="DW278" t="n">
        <v>69.45</v>
      </c>
      <c r="DX278" t="n">
        <v>75.79000000000001</v>
      </c>
      <c r="DY278" t="n">
        <v>62.4</v>
      </c>
      <c r="DZ278" t="n">
        <v>-7.06</v>
      </c>
      <c r="EA278" t="n">
        <v>1263</v>
      </c>
      <c r="EB278" t="n">
        <v>27.48</v>
      </c>
      <c r="EC278" t="n">
        <v>4.8</v>
      </c>
      <c r="ED278" t="n">
        <v>120</v>
      </c>
      <c r="EE278" t="n">
        <v>2970</v>
      </c>
      <c r="EF278" t="b">
        <v>1</v>
      </c>
      <c r="EG278" t="n">
        <v>74.09999999999999</v>
      </c>
      <c r="EH278" t="n">
        <v>17.8</v>
      </c>
      <c r="EI278" t="n">
        <v>102</v>
      </c>
      <c r="EJ278" t="n">
        <v>49.8</v>
      </c>
      <c r="EK278" t="n">
        <v>18.1</v>
      </c>
      <c r="EL278" t="n">
        <v>166.2</v>
      </c>
      <c r="EM278" t="n">
        <v>304.1</v>
      </c>
      <c r="EN278" t="n">
        <v>2126.6</v>
      </c>
      <c r="EO278" t="n">
        <v>266.1</v>
      </c>
      <c r="EP278" t="n">
        <v>24.9</v>
      </c>
    </row>
    <row r="279">
      <c r="A279" t="inlineStr">
        <is>
          <t>Lewis Cook</t>
        </is>
      </c>
      <c r="B279" t="inlineStr">
        <is>
          <t>BOU</t>
        </is>
      </c>
      <c r="C279" t="inlineStr">
        <is>
          <t>MID</t>
        </is>
      </c>
      <c r="D279" t="inlineStr">
        <is>
          <t>MID</t>
        </is>
      </c>
      <c r="E279" t="n">
        <v>5</v>
      </c>
      <c r="F279" t="b">
        <v>1</v>
      </c>
      <c r="G279" t="b">
        <v>1</v>
      </c>
      <c r="H279" t="n">
        <v>29.5</v>
      </c>
      <c r="I279" t="inlineStr">
        <is>
          <t>a</t>
        </is>
      </c>
      <c r="L279" t="inlineStr">
        <is>
          <t>p155408</t>
        </is>
      </c>
      <c r="M279" t="n">
        <v>71</v>
      </c>
      <c r="O279" t="n">
        <v>5</v>
      </c>
      <c r="Q279" t="n">
        <v>872</v>
      </c>
      <c r="R279" t="n">
        <v>18</v>
      </c>
      <c r="S279" t="n">
        <v>8</v>
      </c>
      <c r="T279" t="n">
        <v>9.689</v>
      </c>
      <c r="U279" t="n">
        <v>48.4</v>
      </c>
      <c r="V279" t="n">
        <v>40</v>
      </c>
      <c r="W279" t="n">
        <v>4.128</v>
      </c>
      <c r="X279" t="n">
        <v>0</v>
      </c>
      <c r="Y279" t="n">
        <v>1</v>
      </c>
      <c r="Z279" t="n">
        <v>1</v>
      </c>
      <c r="AA279" t="n">
        <v>1</v>
      </c>
      <c r="AB279" t="n">
        <v>19</v>
      </c>
      <c r="AC279" t="n">
        <v>0</v>
      </c>
      <c r="AD279" t="n">
        <v>0</v>
      </c>
      <c r="AE279" t="n">
        <v>0</v>
      </c>
      <c r="AF279" t="n">
        <v>190</v>
      </c>
      <c r="AG279" t="n">
        <v>181</v>
      </c>
      <c r="AH279" t="n">
        <v>-9</v>
      </c>
      <c r="AI279" t="n">
        <v>40</v>
      </c>
      <c r="AJ279" t="n">
        <v>0</v>
      </c>
      <c r="AK279" t="n">
        <v>0</v>
      </c>
      <c r="AL279" t="n">
        <v>143</v>
      </c>
      <c r="AM279" t="n">
        <v>14.759</v>
      </c>
      <c r="AN279" t="n">
        <v>7</v>
      </c>
      <c r="AO279" t="n">
        <v>14</v>
      </c>
      <c r="AP279" t="n">
        <v>0.875</v>
      </c>
      <c r="AQ279" t="n">
        <v>0.875</v>
      </c>
      <c r="AR279" t="n">
        <v>0.875</v>
      </c>
      <c r="AS279" t="n">
        <v>0.211</v>
      </c>
      <c r="AT279" t="n">
        <v>0.444</v>
      </c>
      <c r="AU279" t="n">
        <v>9</v>
      </c>
      <c r="AV279" t="n">
        <v>0</v>
      </c>
      <c r="AW279" t="n">
        <v>1.64</v>
      </c>
      <c r="AX279" t="n">
        <v>4</v>
      </c>
      <c r="AY279" t="n">
        <v>0.07000000000000001</v>
      </c>
      <c r="AZ279" t="n">
        <v>0.06</v>
      </c>
      <c r="BA279" t="n">
        <v>0.065</v>
      </c>
      <c r="BB279" t="n">
        <v>0.06</v>
      </c>
      <c r="BC279" t="n">
        <v>0.007</v>
      </c>
      <c r="BD279" t="n">
        <v>0.006</v>
      </c>
      <c r="BE279" t="n">
        <v>0.007</v>
      </c>
      <c r="BH279" t="n">
        <v>0.993</v>
      </c>
      <c r="BI279" t="n">
        <v>1.67</v>
      </c>
      <c r="BJ279" t="n">
        <v>0.06900000000000001</v>
      </c>
      <c r="BK279" t="n">
        <v>0.007</v>
      </c>
      <c r="BL279" t="n">
        <v>-0.065</v>
      </c>
      <c r="BO279" t="n">
        <v>0.01</v>
      </c>
      <c r="BP279" t="n">
        <v>3</v>
      </c>
      <c r="BS279" t="n">
        <v>4</v>
      </c>
      <c r="BT279" t="n">
        <v>0.413</v>
      </c>
      <c r="BW279" t="n">
        <v>0.52</v>
      </c>
      <c r="BX279" t="n">
        <v>0.347</v>
      </c>
      <c r="BY279" t="n">
        <v>0.433</v>
      </c>
      <c r="BZ279" t="n">
        <v>0.045</v>
      </c>
      <c r="CA279" t="n">
        <v>0.498</v>
      </c>
      <c r="CB279" t="n">
        <v>0.051</v>
      </c>
      <c r="CC279" t="n">
        <v>11</v>
      </c>
      <c r="CD279" t="n">
        <v>0</v>
      </c>
      <c r="CE279" t="n">
        <v>11</v>
      </c>
      <c r="CF279" t="n">
        <v>10</v>
      </c>
      <c r="CH279" t="n">
        <v>26</v>
      </c>
      <c r="CI279" t="n">
        <v>2.539</v>
      </c>
      <c r="CJ279" t="n">
        <v>2.387</v>
      </c>
      <c r="CK279" t="n">
        <v>56</v>
      </c>
      <c r="CL279" t="n">
        <v>62</v>
      </c>
      <c r="CM279" t="n">
        <v>25</v>
      </c>
      <c r="CN279" t="n">
        <v>16</v>
      </c>
      <c r="CO279" t="n">
        <v>24</v>
      </c>
      <c r="CP279" t="n">
        <v>26</v>
      </c>
      <c r="CQ279" t="n">
        <v>6</v>
      </c>
      <c r="CR279" t="n">
        <v>42</v>
      </c>
      <c r="CS279" t="n">
        <v>9</v>
      </c>
      <c r="CW279" t="n">
        <v>14</v>
      </c>
      <c r="CX279" t="n">
        <v>1.445</v>
      </c>
      <c r="CY279" t="n">
        <v>0</v>
      </c>
      <c r="DB279" t="n">
        <v>0</v>
      </c>
      <c r="DF279" t="n">
        <v>1</v>
      </c>
      <c r="DG279" t="n">
        <v>1</v>
      </c>
      <c r="DH279" t="n">
        <v>8</v>
      </c>
      <c r="DI279" t="n">
        <v>5</v>
      </c>
      <c r="DL279" t="n">
        <v>3</v>
      </c>
      <c r="DM279" t="n">
        <v>3</v>
      </c>
      <c r="DO279" t="n">
        <v>0.1</v>
      </c>
      <c r="DP279" t="n">
        <v>39.27</v>
      </c>
      <c r="DQ279" t="n">
        <v>20.06</v>
      </c>
      <c r="DR279" t="n">
        <v>40.12</v>
      </c>
      <c r="DS279" t="n">
        <v>-0.85</v>
      </c>
      <c r="DT279" t="n">
        <v>451</v>
      </c>
      <c r="DU279" t="n">
        <v>11.87</v>
      </c>
      <c r="DV279" t="inlineStr">
        <is>
          <t>flat</t>
        </is>
      </c>
      <c r="DW279" t="n">
        <v>103.11</v>
      </c>
      <c r="DY279" t="n">
        <v>103.11</v>
      </c>
      <c r="DZ279" t="n">
        <v>0</v>
      </c>
      <c r="EA279" t="n">
        <v>1</v>
      </c>
      <c r="EC279" t="n">
        <v>103.11</v>
      </c>
      <c r="ED279" t="n">
        <v>103.11</v>
      </c>
      <c r="EE279" t="n">
        <v>1</v>
      </c>
      <c r="EF279" t="b">
        <v>0</v>
      </c>
      <c r="EG279" t="n">
        <v>0</v>
      </c>
      <c r="EH279" t="n">
        <v>0</v>
      </c>
      <c r="EI279" t="n">
        <v>292</v>
      </c>
      <c r="EJ279" t="n">
        <v>290.7</v>
      </c>
      <c r="EK279" t="n">
        <v>218</v>
      </c>
      <c r="EL279" t="n">
        <v>79.3</v>
      </c>
      <c r="EM279" t="n">
        <v>13452</v>
      </c>
      <c r="EN279" t="n">
        <v>2011.7</v>
      </c>
      <c r="EO279" t="n">
        <v>1750</v>
      </c>
      <c r="EP279" t="n">
        <v>21.8</v>
      </c>
    </row>
    <row r="280">
      <c r="A280" t="inlineStr">
        <is>
          <t>Josh Acheampong</t>
        </is>
      </c>
      <c r="B280" t="inlineStr">
        <is>
          <t>CHE</t>
        </is>
      </c>
      <c r="C280" t="inlineStr">
        <is>
          <t>DEF</t>
        </is>
      </c>
      <c r="D280" t="inlineStr">
        <is>
          <t>DEF</t>
        </is>
      </c>
      <c r="E280" t="n">
        <v>4.5</v>
      </c>
      <c r="F280" t="b">
        <v>1</v>
      </c>
      <c r="G280" t="b">
        <v>1</v>
      </c>
      <c r="H280" t="n">
        <v>20.3</v>
      </c>
      <c r="I280" t="inlineStr">
        <is>
          <t>a</t>
        </is>
      </c>
      <c r="L280" t="inlineStr">
        <is>
          <t>p577016</t>
        </is>
      </c>
      <c r="M280" t="n">
        <v>151</v>
      </c>
      <c r="Q280" t="n">
        <v>657</v>
      </c>
      <c r="R280" t="n">
        <v>17</v>
      </c>
      <c r="S280" t="n">
        <v>8</v>
      </c>
      <c r="T280" t="n">
        <v>7.3</v>
      </c>
      <c r="U280" t="n">
        <v>38.6</v>
      </c>
      <c r="V280" t="n">
        <v>39</v>
      </c>
      <c r="W280" t="n">
        <v>5.342</v>
      </c>
      <c r="X280" t="n">
        <v>1</v>
      </c>
      <c r="Y280" t="n">
        <v>0</v>
      </c>
      <c r="AA280" t="n">
        <v>2</v>
      </c>
      <c r="AB280" t="n">
        <v>13</v>
      </c>
      <c r="AC280" t="n">
        <v>5</v>
      </c>
      <c r="AD280" t="n">
        <v>5</v>
      </c>
      <c r="AE280" t="n">
        <v>0</v>
      </c>
      <c r="AF280" t="n">
        <v>118</v>
      </c>
      <c r="AG280" t="n">
        <v>113</v>
      </c>
      <c r="AH280" t="n">
        <v>-5</v>
      </c>
      <c r="AI280" t="n">
        <v>39</v>
      </c>
      <c r="AJ280" t="n">
        <v>0.128</v>
      </c>
      <c r="AK280" t="n">
        <v>0.147</v>
      </c>
      <c r="AL280" t="n">
        <v>44</v>
      </c>
      <c r="AM280" t="n">
        <v>6.027</v>
      </c>
      <c r="AN280" t="n">
        <v>0</v>
      </c>
      <c r="AO280" t="n">
        <v>0</v>
      </c>
      <c r="AP280" t="n">
        <v>0</v>
      </c>
      <c r="AQ280" t="n">
        <v>0</v>
      </c>
      <c r="AR280" t="n">
        <v>0</v>
      </c>
      <c r="AS280" t="n">
        <v>0.211</v>
      </c>
      <c r="AT280" t="n">
        <v>0.412</v>
      </c>
      <c r="AU280" t="n">
        <v>15</v>
      </c>
      <c r="AV280" t="n">
        <v>1</v>
      </c>
      <c r="AW280" t="n">
        <v>2.66</v>
      </c>
      <c r="AX280" t="n">
        <v>14</v>
      </c>
      <c r="AY280" t="n">
        <v>0.62</v>
      </c>
      <c r="AZ280" t="n">
        <v>0.671</v>
      </c>
      <c r="BA280" t="n">
        <v>0.645</v>
      </c>
      <c r="BB280" t="n">
        <v>0.671</v>
      </c>
      <c r="BC280" t="n">
        <v>0.08500000000000001</v>
      </c>
      <c r="BD280" t="n">
        <v>0.092</v>
      </c>
      <c r="BE280" t="n">
        <v>0.08799999999999999</v>
      </c>
      <c r="BF280" t="n">
        <v>1</v>
      </c>
      <c r="BG280" t="n">
        <v>0.137</v>
      </c>
      <c r="BH280" t="n">
        <v>1.018</v>
      </c>
      <c r="BI280" t="n">
        <v>0.84</v>
      </c>
      <c r="BJ280" t="n">
        <v>0.631</v>
      </c>
      <c r="BK280" t="n">
        <v>0.08599999999999999</v>
      </c>
      <c r="BL280" t="n">
        <v>0.355</v>
      </c>
      <c r="BM280" t="n">
        <v>0.38</v>
      </c>
      <c r="BN280" t="n">
        <v>0</v>
      </c>
      <c r="BO280" t="n">
        <v>-0.051</v>
      </c>
      <c r="BP280" t="n">
        <v>4</v>
      </c>
      <c r="BQ280" t="n">
        <v>2</v>
      </c>
      <c r="BS280" t="n">
        <v>8</v>
      </c>
      <c r="BT280" t="n">
        <v>1.096</v>
      </c>
      <c r="BV280" t="n">
        <v>1</v>
      </c>
      <c r="BW280" t="n">
        <v>0.13</v>
      </c>
      <c r="BX280" t="n">
        <v>0.138</v>
      </c>
      <c r="BY280" t="n">
        <v>0.134</v>
      </c>
      <c r="BZ280" t="n">
        <v>0.018</v>
      </c>
      <c r="CA280" t="n">
        <v>0.779</v>
      </c>
      <c r="CB280" t="n">
        <v>0.107</v>
      </c>
      <c r="CC280" t="n">
        <v>2</v>
      </c>
      <c r="CE280" t="n">
        <v>2</v>
      </c>
      <c r="CF280" t="n">
        <v>1</v>
      </c>
      <c r="CI280" t="n">
        <v>2.122</v>
      </c>
      <c r="CJ280" t="n">
        <v>2.05</v>
      </c>
      <c r="CK280" t="n">
        <v>33</v>
      </c>
      <c r="CL280" t="n">
        <v>26</v>
      </c>
      <c r="CM280" t="n">
        <v>11</v>
      </c>
      <c r="CN280" t="n">
        <v>8</v>
      </c>
      <c r="CO280" t="n">
        <v>11</v>
      </c>
      <c r="CP280" t="n">
        <v>20</v>
      </c>
      <c r="CQ280" t="n">
        <v>2</v>
      </c>
      <c r="CR280" t="n">
        <v>42</v>
      </c>
      <c r="CS280" t="n">
        <v>11</v>
      </c>
      <c r="CU280" t="n">
        <v>2</v>
      </c>
      <c r="CV280" t="n">
        <v>3</v>
      </c>
      <c r="CW280" t="n">
        <v>15.66</v>
      </c>
      <c r="CX280" t="n">
        <v>2.145</v>
      </c>
      <c r="CY280" t="n">
        <v>0</v>
      </c>
      <c r="DB280" t="n">
        <v>0</v>
      </c>
      <c r="DF280" t="n">
        <v>1</v>
      </c>
      <c r="DG280" t="n">
        <v>0</v>
      </c>
      <c r="DH280" t="n">
        <v>2</v>
      </c>
      <c r="DI280" t="n">
        <v>9</v>
      </c>
      <c r="DL280" t="n">
        <v>11</v>
      </c>
      <c r="DM280" t="n">
        <v>8</v>
      </c>
      <c r="DN280" t="n">
        <v>2</v>
      </c>
      <c r="DO280" t="n">
        <v>0.3</v>
      </c>
      <c r="DP280" t="n">
        <v>9.32</v>
      </c>
      <c r="DQ280" t="n">
        <v>5.01</v>
      </c>
      <c r="DR280" t="n">
        <v>10.02</v>
      </c>
      <c r="DS280" t="n">
        <v>-0.7</v>
      </c>
      <c r="DT280" t="n">
        <v>136</v>
      </c>
      <c r="DU280" t="n">
        <v>3.58</v>
      </c>
      <c r="DV280" t="inlineStr">
        <is>
          <t>flat</t>
        </is>
      </c>
      <c r="DW280" t="n">
        <v>99.90000000000001</v>
      </c>
      <c r="DX280" t="n">
        <v>115.5</v>
      </c>
      <c r="DY280" t="n">
        <v>105.51</v>
      </c>
      <c r="DZ280" t="n">
        <v>5.62</v>
      </c>
      <c r="EA280" t="n">
        <v>5</v>
      </c>
      <c r="EB280" t="n">
        <v>14.46</v>
      </c>
      <c r="EC280" t="n">
        <v>78.67</v>
      </c>
      <c r="ED280" t="n">
        <v>117</v>
      </c>
      <c r="EE280" t="n">
        <v>12</v>
      </c>
      <c r="EF280" t="b">
        <v>1</v>
      </c>
      <c r="EG280" t="n">
        <v>0.3</v>
      </c>
      <c r="EH280" t="n">
        <v>14.3</v>
      </c>
      <c r="EI280" t="n">
        <v>430</v>
      </c>
      <c r="EJ280" t="n">
        <v>164.2</v>
      </c>
      <c r="EK280" t="n">
        <v>82.09999999999999</v>
      </c>
      <c r="EL280" t="n">
        <v>328.5</v>
      </c>
      <c r="EM280" t="n">
        <v>1017.9</v>
      </c>
      <c r="EN280" t="n">
        <v>4903.6</v>
      </c>
      <c r="EO280" t="n">
        <v>842.9</v>
      </c>
      <c r="EP280" t="n">
        <v>16.8</v>
      </c>
    </row>
    <row r="281">
      <c r="A281" t="inlineStr">
        <is>
          <t>Nicolò Savona</t>
        </is>
      </c>
      <c r="B281" t="inlineStr">
        <is>
          <t>NFO</t>
        </is>
      </c>
      <c r="C281" t="inlineStr">
        <is>
          <t>DEF</t>
        </is>
      </c>
      <c r="D281" t="inlineStr">
        <is>
          <t>DEF</t>
        </is>
      </c>
      <c r="E281" t="n">
        <v>4.5</v>
      </c>
      <c r="F281" t="b">
        <v>1</v>
      </c>
      <c r="G281" t="b">
        <v>1</v>
      </c>
      <c r="H281" t="n">
        <v>23.4</v>
      </c>
      <c r="I281" t="inlineStr">
        <is>
          <t>i</t>
        </is>
      </c>
      <c r="J281" t="inlineStr">
        <is>
          <t>Knee injury - Unknown return date</t>
        </is>
      </c>
      <c r="K281" t="n">
        <v>0</v>
      </c>
      <c r="L281" t="inlineStr">
        <is>
          <t>p500151</t>
        </is>
      </c>
      <c r="M281" t="n">
        <v>475</v>
      </c>
      <c r="Q281" t="n">
        <v>1025</v>
      </c>
      <c r="R281" t="n">
        <v>14</v>
      </c>
      <c r="S281" t="n">
        <v>11</v>
      </c>
      <c r="T281" t="n">
        <v>11.389</v>
      </c>
      <c r="U281" t="n">
        <v>73.2</v>
      </c>
      <c r="V281" t="n">
        <v>39</v>
      </c>
      <c r="W281" t="n">
        <v>3.424</v>
      </c>
      <c r="X281" t="n">
        <v>2</v>
      </c>
      <c r="Y281" t="n">
        <v>0</v>
      </c>
      <c r="AA281" t="n">
        <v>3</v>
      </c>
      <c r="AB281" t="n">
        <v>18</v>
      </c>
      <c r="AC281" t="n">
        <v>0</v>
      </c>
      <c r="AD281" t="n">
        <v>0</v>
      </c>
      <c r="AE281" t="n">
        <v>0</v>
      </c>
      <c r="AF281" t="n">
        <v>131</v>
      </c>
      <c r="AG281" t="n">
        <v>127</v>
      </c>
      <c r="AH281" t="n">
        <v>-4</v>
      </c>
      <c r="AI281" t="n">
        <v>39</v>
      </c>
      <c r="AJ281" t="n">
        <v>0</v>
      </c>
      <c r="AK281" t="n">
        <v>0</v>
      </c>
      <c r="AL281" t="n">
        <v>57</v>
      </c>
      <c r="AM281" t="n">
        <v>5.005</v>
      </c>
      <c r="AN281" t="n">
        <v>0</v>
      </c>
      <c r="AO281" t="n">
        <v>0</v>
      </c>
      <c r="AP281" t="n">
        <v>0</v>
      </c>
      <c r="AQ281" t="n">
        <v>0</v>
      </c>
      <c r="AR281" t="n">
        <v>0</v>
      </c>
      <c r="AS281" t="n">
        <v>0.289</v>
      </c>
      <c r="AT281" t="n">
        <v>0.714</v>
      </c>
      <c r="AU281" t="n">
        <v>10</v>
      </c>
      <c r="AV281" t="n">
        <v>1</v>
      </c>
      <c r="AW281" t="n">
        <v>2.58</v>
      </c>
      <c r="AX281" t="n">
        <v>12</v>
      </c>
      <c r="AY281" t="n">
        <v>1.34</v>
      </c>
      <c r="AZ281" t="n">
        <v>1.235</v>
      </c>
      <c r="BA281" t="n">
        <v>1.288</v>
      </c>
      <c r="BB281" t="n">
        <v>1.235</v>
      </c>
      <c r="BC281" t="n">
        <v>0.118</v>
      </c>
      <c r="BD281" t="n">
        <v>0.108</v>
      </c>
      <c r="BE281" t="n">
        <v>0.113</v>
      </c>
      <c r="BF281" t="n">
        <v>1.6</v>
      </c>
      <c r="BG281" t="n">
        <v>0.14</v>
      </c>
      <c r="BH281" t="n">
        <v>1.028</v>
      </c>
      <c r="BI281" t="n">
        <v>1.34</v>
      </c>
      <c r="BJ281" t="n">
        <v>1.377</v>
      </c>
      <c r="BK281" t="n">
        <v>0.121</v>
      </c>
      <c r="BL281" t="n">
        <v>0.712</v>
      </c>
      <c r="BM281" t="n">
        <v>0.26</v>
      </c>
      <c r="BN281" t="n">
        <v>0.4</v>
      </c>
      <c r="BO281" t="n">
        <v>0.105</v>
      </c>
      <c r="BP281" t="n">
        <v>5</v>
      </c>
      <c r="BQ281" t="n">
        <v>3</v>
      </c>
      <c r="BS281" t="n">
        <v>15</v>
      </c>
      <c r="BT281" t="n">
        <v>1.317</v>
      </c>
      <c r="BW281" t="n">
        <v>0.45</v>
      </c>
      <c r="BX281" t="n">
        <v>0.594</v>
      </c>
      <c r="BY281" t="n">
        <v>0.522</v>
      </c>
      <c r="BZ281" t="n">
        <v>0.046</v>
      </c>
      <c r="CA281" t="n">
        <v>1.81</v>
      </c>
      <c r="CB281" t="n">
        <v>0.159</v>
      </c>
      <c r="CC281" t="n">
        <v>6</v>
      </c>
      <c r="CD281" t="n">
        <v>1</v>
      </c>
      <c r="CE281" t="n">
        <v>7</v>
      </c>
      <c r="CF281" t="n">
        <v>8</v>
      </c>
      <c r="CI281" t="n">
        <v>3.006</v>
      </c>
      <c r="CJ281" t="n">
        <v>1.537</v>
      </c>
      <c r="CK281" t="n">
        <v>37</v>
      </c>
      <c r="CL281" t="n">
        <v>27</v>
      </c>
      <c r="CM281" t="n">
        <v>20</v>
      </c>
      <c r="CN281" t="n">
        <v>12</v>
      </c>
      <c r="CO281" t="n">
        <v>4</v>
      </c>
      <c r="CP281" t="n">
        <v>29</v>
      </c>
      <c r="CQ281" t="n">
        <v>3</v>
      </c>
      <c r="CR281" t="n">
        <v>34</v>
      </c>
      <c r="CS281" t="n">
        <v>7</v>
      </c>
      <c r="CW281" t="n">
        <v>15.04</v>
      </c>
      <c r="CX281" t="n">
        <v>1.321</v>
      </c>
      <c r="CY281" t="n">
        <v>0</v>
      </c>
      <c r="DB281" t="n">
        <v>0</v>
      </c>
      <c r="DF281" t="n">
        <v>2</v>
      </c>
      <c r="DG281" t="n">
        <v>0</v>
      </c>
      <c r="DH281" t="n">
        <v>12</v>
      </c>
      <c r="DI281" t="n">
        <v>5</v>
      </c>
      <c r="DL281" t="n">
        <v>2</v>
      </c>
      <c r="DM281" t="n">
        <v>2</v>
      </c>
      <c r="DN281" t="n">
        <v>1</v>
      </c>
      <c r="DO281" t="n">
        <v>0</v>
      </c>
      <c r="DP281" t="n">
        <v>25.74</v>
      </c>
      <c r="DQ281" t="n">
        <v>12.64</v>
      </c>
      <c r="DR281" t="n">
        <v>25.28</v>
      </c>
      <c r="DS281" t="n">
        <v>0.46</v>
      </c>
      <c r="DT281" t="n">
        <v>395</v>
      </c>
      <c r="DU281" t="n">
        <v>10.4</v>
      </c>
      <c r="DV281" t="inlineStr">
        <is>
          <t>flat</t>
        </is>
      </c>
      <c r="EJ281" t="n">
        <v>205</v>
      </c>
      <c r="EK281" t="n">
        <v>68.3</v>
      </c>
      <c r="EL281" t="n">
        <v>146.4</v>
      </c>
      <c r="EM281" t="n">
        <v>796</v>
      </c>
      <c r="EN281" t="n">
        <v>1962.7</v>
      </c>
      <c r="EO281" t="n">
        <v>566.3</v>
      </c>
      <c r="EP281" t="n">
        <v>26.3</v>
      </c>
    </row>
    <row r="282">
      <c r="A282" t="inlineStr">
        <is>
          <t>Jorge Cuenca</t>
        </is>
      </c>
      <c r="B282" t="inlineStr">
        <is>
          <t>FUL</t>
        </is>
      </c>
      <c r="C282" t="inlineStr">
        <is>
          <t>DEF</t>
        </is>
      </c>
      <c r="D282" t="inlineStr">
        <is>
          <t>DEF</t>
        </is>
      </c>
      <c r="E282" t="n">
        <v>4.5</v>
      </c>
      <c r="F282" t="b">
        <v>1</v>
      </c>
      <c r="G282" t="b">
        <v>1</v>
      </c>
      <c r="H282" t="n">
        <v>26.8</v>
      </c>
      <c r="I282" t="inlineStr">
        <is>
          <t>a</t>
        </is>
      </c>
      <c r="L282" t="inlineStr">
        <is>
          <t>p246301</t>
        </is>
      </c>
      <c r="M282" t="n">
        <v>255</v>
      </c>
      <c r="Q282" t="n">
        <v>935</v>
      </c>
      <c r="R282" t="n">
        <v>15</v>
      </c>
      <c r="S282" t="n">
        <v>11</v>
      </c>
      <c r="T282" t="n">
        <v>10.389</v>
      </c>
      <c r="U282" t="n">
        <v>62.3</v>
      </c>
      <c r="V282" t="n">
        <v>39</v>
      </c>
      <c r="W282" t="n">
        <v>3.754</v>
      </c>
      <c r="X282" t="n">
        <v>0</v>
      </c>
      <c r="Y282" t="n">
        <v>0</v>
      </c>
      <c r="AA282" t="n">
        <v>2</v>
      </c>
      <c r="AB282" t="n">
        <v>11</v>
      </c>
      <c r="AC282" t="n">
        <v>1</v>
      </c>
      <c r="AD282" t="n">
        <v>1</v>
      </c>
      <c r="AE282" t="n">
        <v>0</v>
      </c>
      <c r="AF282" t="n">
        <v>155</v>
      </c>
      <c r="AG282" t="n">
        <v>138</v>
      </c>
      <c r="AH282" t="n">
        <v>-17</v>
      </c>
      <c r="AI282" t="n">
        <v>39</v>
      </c>
      <c r="AJ282" t="n">
        <v>0.026</v>
      </c>
      <c r="AK282" t="n">
        <v>0.026</v>
      </c>
      <c r="AL282" t="n">
        <v>117</v>
      </c>
      <c r="AM282" t="n">
        <v>11.262</v>
      </c>
      <c r="AN282" t="n">
        <v>7</v>
      </c>
      <c r="AO282" t="n">
        <v>14</v>
      </c>
      <c r="AP282" t="n">
        <v>0.636</v>
      </c>
      <c r="AQ282" t="n">
        <v>0.636</v>
      </c>
      <c r="AR282" t="n">
        <v>0.364</v>
      </c>
      <c r="AS282" t="n">
        <v>0.289</v>
      </c>
      <c r="AT282" t="n">
        <v>0.667</v>
      </c>
      <c r="AU282" t="n">
        <v>8</v>
      </c>
      <c r="AV282" t="n">
        <v>0</v>
      </c>
      <c r="AW282" t="n">
        <v>1.92</v>
      </c>
      <c r="AX282" t="n">
        <v>9</v>
      </c>
      <c r="AY282" t="n">
        <v>0.05</v>
      </c>
      <c r="AZ282" t="n">
        <v>0.051</v>
      </c>
      <c r="BA282" t="n">
        <v>0.05</v>
      </c>
      <c r="BB282" t="n">
        <v>0.051</v>
      </c>
      <c r="BC282" t="n">
        <v>0.005</v>
      </c>
      <c r="BD282" t="n">
        <v>0.005</v>
      </c>
      <c r="BE282" t="n">
        <v>0.005</v>
      </c>
      <c r="BH282" t="n">
        <v>0.991</v>
      </c>
      <c r="BI282" t="n">
        <v>0.07000000000000001</v>
      </c>
      <c r="BJ282" t="n">
        <v>0.05</v>
      </c>
      <c r="BK282" t="n">
        <v>0.005</v>
      </c>
      <c r="BL282" t="n">
        <v>-0.05</v>
      </c>
      <c r="BO282" t="n">
        <v>-0.001</v>
      </c>
      <c r="BP282" t="n">
        <v>1</v>
      </c>
      <c r="BQ282" t="n">
        <v>0</v>
      </c>
      <c r="BS282" t="n">
        <v>6</v>
      </c>
      <c r="BT282" t="n">
        <v>0.578</v>
      </c>
      <c r="BW282" t="n">
        <v>0.53</v>
      </c>
      <c r="BX282" t="n">
        <v>0.516</v>
      </c>
      <c r="BY282" t="n">
        <v>0.523</v>
      </c>
      <c r="BZ282" t="n">
        <v>0.05</v>
      </c>
      <c r="CA282" t="n">
        <v>0.573</v>
      </c>
      <c r="CB282" t="n">
        <v>0.055</v>
      </c>
      <c r="CC282" t="n">
        <v>3</v>
      </c>
      <c r="CD282" t="n">
        <v>1</v>
      </c>
      <c r="CE282" t="n">
        <v>3</v>
      </c>
      <c r="CF282" t="n">
        <v>1</v>
      </c>
      <c r="CI282" t="n">
        <v>2.31</v>
      </c>
      <c r="CJ282" t="n">
        <v>2.31</v>
      </c>
      <c r="CK282" t="n">
        <v>101</v>
      </c>
      <c r="CL282" t="n">
        <v>40</v>
      </c>
      <c r="CM282" t="n">
        <v>16</v>
      </c>
      <c r="CN282" t="n">
        <v>9</v>
      </c>
      <c r="CO282" t="n">
        <v>16</v>
      </c>
      <c r="CP282" t="n">
        <v>75</v>
      </c>
      <c r="CQ282" t="n">
        <v>10</v>
      </c>
      <c r="CR282" t="n">
        <v>36</v>
      </c>
      <c r="CS282" t="n">
        <v>17</v>
      </c>
      <c r="CW282" t="n">
        <v>14.7</v>
      </c>
      <c r="CX282" t="n">
        <v>1.415</v>
      </c>
      <c r="CY282" t="n">
        <v>0</v>
      </c>
      <c r="DB282" t="n">
        <v>0</v>
      </c>
      <c r="DF282" t="n">
        <v>6</v>
      </c>
      <c r="DG282" t="n">
        <v>0</v>
      </c>
      <c r="DH282" t="n">
        <v>10</v>
      </c>
      <c r="DI282" t="n">
        <v>1</v>
      </c>
      <c r="DK282" t="n">
        <v>0</v>
      </c>
      <c r="DL282" t="n">
        <v>2</v>
      </c>
      <c r="DN282" t="n">
        <v>1</v>
      </c>
      <c r="DO282" t="n">
        <v>0</v>
      </c>
      <c r="DP282" t="n">
        <v>39.81</v>
      </c>
      <c r="DQ282" t="n">
        <v>20.87</v>
      </c>
      <c r="DR282" t="n">
        <v>41.74</v>
      </c>
      <c r="DS282" t="n">
        <v>-1.93</v>
      </c>
      <c r="DT282" t="n">
        <v>889</v>
      </c>
      <c r="DU282" t="n">
        <v>23.4</v>
      </c>
      <c r="DV282" t="inlineStr">
        <is>
          <t>fade (losing his place)</t>
        </is>
      </c>
      <c r="DW282" t="n">
        <v>95.67</v>
      </c>
      <c r="DY282" t="n">
        <v>95.67</v>
      </c>
      <c r="DZ282" t="n">
        <v>0</v>
      </c>
      <c r="EA282" t="n">
        <v>2</v>
      </c>
      <c r="EB282" t="n">
        <v>11.79</v>
      </c>
      <c r="EC282" t="n">
        <v>87.33</v>
      </c>
      <c r="ED282" t="n">
        <v>104</v>
      </c>
      <c r="EE282" t="n">
        <v>2</v>
      </c>
      <c r="EF282" t="b">
        <v>0</v>
      </c>
      <c r="EG282" t="n">
        <v>0</v>
      </c>
      <c r="EH282" t="n">
        <v>0</v>
      </c>
      <c r="EI282" t="n">
        <v>431</v>
      </c>
      <c r="EJ282" t="n">
        <v>935</v>
      </c>
      <c r="EK282" t="n">
        <v>155.8</v>
      </c>
      <c r="EL282" t="n">
        <v>311.7</v>
      </c>
      <c r="EM282" t="n">
        <v>18547.6</v>
      </c>
      <c r="EN282" t="n">
        <v>1788</v>
      </c>
      <c r="EO282" t="n">
        <v>1630.8</v>
      </c>
      <c r="EP282" t="n">
        <v>24</v>
      </c>
    </row>
    <row r="283">
      <c r="A283" t="inlineStr">
        <is>
          <t>Olivier Boscagli</t>
        </is>
      </c>
      <c r="B283" t="inlineStr">
        <is>
          <t>BHA</t>
        </is>
      </c>
      <c r="C283" t="inlineStr">
        <is>
          <t>DEF</t>
        </is>
      </c>
      <c r="D283" t="inlineStr">
        <is>
          <t>DEF</t>
        </is>
      </c>
      <c r="E283" t="n">
        <v>4.5</v>
      </c>
      <c r="F283" t="b">
        <v>1</v>
      </c>
      <c r="G283" t="b">
        <v>1</v>
      </c>
      <c r="H283" t="n">
        <v>28.8</v>
      </c>
      <c r="I283" t="inlineStr">
        <is>
          <t>a</t>
        </is>
      </c>
      <c r="L283" t="inlineStr">
        <is>
          <t>p204120</t>
        </is>
      </c>
      <c r="M283" t="n">
        <v>114</v>
      </c>
      <c r="Q283" t="n">
        <v>799</v>
      </c>
      <c r="R283" t="n">
        <v>12</v>
      </c>
      <c r="S283" t="n">
        <v>9</v>
      </c>
      <c r="T283" t="n">
        <v>8.878</v>
      </c>
      <c r="U283" t="n">
        <v>66.59999999999999</v>
      </c>
      <c r="V283" t="n">
        <v>39</v>
      </c>
      <c r="W283" t="n">
        <v>4.393</v>
      </c>
      <c r="X283" t="n">
        <v>0</v>
      </c>
      <c r="Y283" t="n">
        <v>1</v>
      </c>
      <c r="Z283" t="n">
        <v>1</v>
      </c>
      <c r="AA283" t="n">
        <v>3</v>
      </c>
      <c r="AB283" t="n">
        <v>10</v>
      </c>
      <c r="AC283" t="n">
        <v>4</v>
      </c>
      <c r="AD283" t="n">
        <v>3</v>
      </c>
      <c r="AE283" t="n">
        <v>-1</v>
      </c>
      <c r="AF283" t="n">
        <v>171</v>
      </c>
      <c r="AG283" t="n">
        <v>159</v>
      </c>
      <c r="AH283" t="n">
        <v>-12</v>
      </c>
      <c r="AI283" t="n">
        <v>38</v>
      </c>
      <c r="AJ283" t="n">
        <v>0.103</v>
      </c>
      <c r="AK283" t="n">
        <v>0.114</v>
      </c>
      <c r="AL283" t="n">
        <v>78</v>
      </c>
      <c r="AM283" t="n">
        <v>8.786</v>
      </c>
      <c r="AN283" t="n">
        <v>2</v>
      </c>
      <c r="AO283" t="n">
        <v>4</v>
      </c>
      <c r="AP283" t="n">
        <v>0.222</v>
      </c>
      <c r="AQ283" t="n">
        <v>0.222</v>
      </c>
      <c r="AR283" t="n">
        <v>0.111</v>
      </c>
      <c r="AS283" t="n">
        <v>0.237</v>
      </c>
      <c r="AT283" t="n">
        <v>0.667</v>
      </c>
      <c r="AU283" t="n">
        <v>7</v>
      </c>
      <c r="AV283" t="n">
        <v>1</v>
      </c>
      <c r="AW283" t="n">
        <v>2.37</v>
      </c>
      <c r="AX283" t="n">
        <v>10</v>
      </c>
      <c r="AY283" t="n">
        <v>0.05</v>
      </c>
      <c r="AZ283" t="n">
        <v>0.021</v>
      </c>
      <c r="BA283" t="n">
        <v>0.035</v>
      </c>
      <c r="BB283" t="n">
        <v>0.021</v>
      </c>
      <c r="BC283" t="n">
        <v>0.006</v>
      </c>
      <c r="BD283" t="n">
        <v>0.002</v>
      </c>
      <c r="BE283" t="n">
        <v>0.004</v>
      </c>
      <c r="BH283" t="n">
        <v>0.994</v>
      </c>
      <c r="BI283" t="n">
        <v>0.05</v>
      </c>
      <c r="BJ283" t="n">
        <v>0.05</v>
      </c>
      <c r="BK283" t="n">
        <v>0.006</v>
      </c>
      <c r="BL283" t="n">
        <v>-0.035</v>
      </c>
      <c r="BO283" t="n">
        <v>0.029</v>
      </c>
      <c r="BP283" t="n">
        <v>1</v>
      </c>
      <c r="BS283" t="n">
        <v>5</v>
      </c>
      <c r="BT283" t="n">
        <v>0.5629999999999999</v>
      </c>
      <c r="BW283" t="n">
        <v>0.47</v>
      </c>
      <c r="BX283" t="n">
        <v>0.148</v>
      </c>
      <c r="BY283" t="n">
        <v>0.309</v>
      </c>
      <c r="BZ283" t="n">
        <v>0.035</v>
      </c>
      <c r="CA283" t="n">
        <v>0.344</v>
      </c>
      <c r="CB283" t="n">
        <v>0.039</v>
      </c>
      <c r="CC283" t="n">
        <v>3</v>
      </c>
      <c r="CE283" t="n">
        <v>4</v>
      </c>
      <c r="CF283" t="n">
        <v>5</v>
      </c>
      <c r="CH283" t="n">
        <v>4</v>
      </c>
      <c r="CI283" t="n">
        <v>3.546</v>
      </c>
      <c r="CJ283" t="n">
        <v>3.509</v>
      </c>
      <c r="CK283" t="n">
        <v>62</v>
      </c>
      <c r="CL283" t="n">
        <v>54</v>
      </c>
      <c r="CM283" t="n">
        <v>16</v>
      </c>
      <c r="CN283" t="n">
        <v>9</v>
      </c>
      <c r="CO283" t="n">
        <v>18</v>
      </c>
      <c r="CP283" t="n">
        <v>42</v>
      </c>
      <c r="CQ283" t="n">
        <v>2</v>
      </c>
      <c r="CR283" t="n">
        <v>46</v>
      </c>
      <c r="CS283" t="n">
        <v>17</v>
      </c>
      <c r="CW283" t="n">
        <v>10.87</v>
      </c>
      <c r="CX283" t="n">
        <v>1.224</v>
      </c>
      <c r="CY283" t="n">
        <v>0</v>
      </c>
      <c r="DB283" t="n">
        <v>0</v>
      </c>
      <c r="DF283" t="n">
        <v>2</v>
      </c>
      <c r="DG283" t="n">
        <v>0</v>
      </c>
      <c r="DH283" t="n">
        <v>7</v>
      </c>
      <c r="DI283" t="n">
        <v>11</v>
      </c>
      <c r="DL283" t="n">
        <v>2</v>
      </c>
      <c r="DM283" t="n">
        <v>1</v>
      </c>
      <c r="DO283" t="n">
        <v>0.2</v>
      </c>
      <c r="DP283" t="n">
        <v>43.26</v>
      </c>
      <c r="DQ283" t="n">
        <v>23.19</v>
      </c>
      <c r="DR283" t="n">
        <v>46.38</v>
      </c>
      <c r="DS283" t="n">
        <v>-3.12</v>
      </c>
      <c r="DT283" t="n">
        <v>826</v>
      </c>
      <c r="DU283" t="n">
        <v>21.75</v>
      </c>
      <c r="DV283" t="inlineStr">
        <is>
          <t>fade (losing his place)</t>
        </is>
      </c>
      <c r="DW283" t="n">
        <v>99.53</v>
      </c>
      <c r="DX283" t="n">
        <v>101.67</v>
      </c>
      <c r="DY283" t="n">
        <v>96.44</v>
      </c>
      <c r="DZ283" t="n">
        <v>-3.09</v>
      </c>
      <c r="EA283" t="n">
        <v>5</v>
      </c>
      <c r="EB283" t="n">
        <v>15.8</v>
      </c>
      <c r="EC283" t="n">
        <v>76</v>
      </c>
      <c r="ED283" t="n">
        <v>118</v>
      </c>
      <c r="EE283" t="n">
        <v>6</v>
      </c>
      <c r="EF283" t="b">
        <v>0</v>
      </c>
      <c r="EG283" t="n">
        <v>0.2</v>
      </c>
      <c r="EH283" t="n">
        <v>25</v>
      </c>
      <c r="EI283" t="n">
        <v>429</v>
      </c>
      <c r="EJ283" t="n">
        <v>799</v>
      </c>
      <c r="EK283" t="n">
        <v>159.8</v>
      </c>
      <c r="EL283" t="n">
        <v>199.8</v>
      </c>
      <c r="EM283" t="n">
        <v>22597.7</v>
      </c>
      <c r="EN283" t="n">
        <v>2587.5</v>
      </c>
      <c r="EO283" t="n">
        <v>2321.7</v>
      </c>
      <c r="EP283" t="n">
        <v>20.5</v>
      </c>
    </row>
    <row r="284">
      <c r="A284" t="inlineStr">
        <is>
          <t>Joe Willock</t>
        </is>
      </c>
      <c r="B284" t="inlineStr">
        <is>
          <t>NEW</t>
        </is>
      </c>
      <c r="C284" t="inlineStr">
        <is>
          <t>MID</t>
        </is>
      </c>
      <c r="D284" t="inlineStr">
        <is>
          <t>MID</t>
        </is>
      </c>
      <c r="E284" t="n">
        <v>5</v>
      </c>
      <c r="F284" t="b">
        <v>1</v>
      </c>
      <c r="G284" t="b">
        <v>1</v>
      </c>
      <c r="H284" t="n">
        <v>27</v>
      </c>
      <c r="I284" t="inlineStr">
        <is>
          <t>a</t>
        </is>
      </c>
      <c r="L284" t="inlineStr">
        <is>
          <t>p200089</t>
        </is>
      </c>
      <c r="M284" t="n">
        <v>460</v>
      </c>
      <c r="Q284" t="n">
        <v>972</v>
      </c>
      <c r="R284" t="n">
        <v>24</v>
      </c>
      <c r="S284" t="n">
        <v>10</v>
      </c>
      <c r="T284" t="n">
        <v>10.8</v>
      </c>
      <c r="U284" t="n">
        <v>40.5</v>
      </c>
      <c r="V284" t="n">
        <v>38</v>
      </c>
      <c r="W284" t="n">
        <v>3.519</v>
      </c>
      <c r="X284" t="n">
        <v>0</v>
      </c>
      <c r="Y284" t="n">
        <v>2</v>
      </c>
      <c r="Z284" t="n">
        <v>2</v>
      </c>
      <c r="AA284" t="n">
        <v>3</v>
      </c>
      <c r="AB284" t="n">
        <v>18</v>
      </c>
      <c r="AC284" t="n">
        <v>0</v>
      </c>
      <c r="AD284" t="n">
        <v>0</v>
      </c>
      <c r="AE284" t="n">
        <v>0</v>
      </c>
      <c r="AF284" t="n">
        <v>166</v>
      </c>
      <c r="AG284" t="n">
        <v>164</v>
      </c>
      <c r="AH284" t="n">
        <v>-2</v>
      </c>
      <c r="AI284" t="n">
        <v>38</v>
      </c>
      <c r="AJ284" t="n">
        <v>0</v>
      </c>
      <c r="AK284" t="n">
        <v>0</v>
      </c>
      <c r="AL284" t="n">
        <v>89</v>
      </c>
      <c r="AM284" t="n">
        <v>8.241</v>
      </c>
      <c r="AN284" t="n">
        <v>0</v>
      </c>
      <c r="AO284" t="n">
        <v>0</v>
      </c>
      <c r="AP284" t="n">
        <v>0</v>
      </c>
      <c r="AQ284" t="n">
        <v>0</v>
      </c>
      <c r="AR284" t="n">
        <v>0</v>
      </c>
      <c r="AS284" t="n">
        <v>0.263</v>
      </c>
      <c r="AT284" t="n">
        <v>0.333</v>
      </c>
      <c r="AU284" t="n">
        <v>20</v>
      </c>
      <c r="AV284" t="n">
        <v>0</v>
      </c>
      <c r="AW284" t="n">
        <v>1.32</v>
      </c>
      <c r="AX284" t="n">
        <v>6</v>
      </c>
      <c r="AY284" t="n">
        <v>1.26</v>
      </c>
      <c r="AZ284" t="n">
        <v>1.386</v>
      </c>
      <c r="BA284" t="n">
        <v>1.323</v>
      </c>
      <c r="BB284" t="n">
        <v>1.386</v>
      </c>
      <c r="BC284" t="n">
        <v>0.117</v>
      </c>
      <c r="BD284" t="n">
        <v>0.128</v>
      </c>
      <c r="BE284" t="n">
        <v>0.122</v>
      </c>
      <c r="BF284" t="n">
        <v>0.8</v>
      </c>
      <c r="BG284" t="n">
        <v>0.074</v>
      </c>
      <c r="BH284" t="n">
        <v>0.922</v>
      </c>
      <c r="BI284" t="n">
        <v>11.09</v>
      </c>
      <c r="BJ284" t="n">
        <v>1.162</v>
      </c>
      <c r="BK284" t="n">
        <v>0.108</v>
      </c>
      <c r="BL284" t="n">
        <v>-1.323</v>
      </c>
      <c r="BM284" t="n">
        <v>-0.46</v>
      </c>
      <c r="BN284" t="n">
        <v>-0.8</v>
      </c>
      <c r="BO284" t="n">
        <v>-0.126</v>
      </c>
      <c r="BP284" t="n">
        <v>17</v>
      </c>
      <c r="BQ284" t="n">
        <v>6</v>
      </c>
      <c r="BR284" t="n">
        <v>1</v>
      </c>
      <c r="BS284" t="n">
        <v>43</v>
      </c>
      <c r="BT284" t="n">
        <v>3.981</v>
      </c>
      <c r="BW284" t="n">
        <v>1.07</v>
      </c>
      <c r="BX284" t="n">
        <v>2.098</v>
      </c>
      <c r="BY284" t="n">
        <v>1.584</v>
      </c>
      <c r="BZ284" t="n">
        <v>0.147</v>
      </c>
      <c r="CA284" t="n">
        <v>2.907</v>
      </c>
      <c r="CB284" t="n">
        <v>0.269</v>
      </c>
      <c r="CC284" t="n">
        <v>14</v>
      </c>
      <c r="CD284" t="n">
        <v>4</v>
      </c>
      <c r="CE284" t="n">
        <v>14</v>
      </c>
      <c r="CF284" t="n">
        <v>3</v>
      </c>
      <c r="CG284" t="n">
        <v>1</v>
      </c>
      <c r="CI284" t="n">
        <v>5.043</v>
      </c>
      <c r="CJ284" t="n">
        <v>3.406</v>
      </c>
      <c r="CK284" t="n">
        <v>17</v>
      </c>
      <c r="CL284" t="n">
        <v>52</v>
      </c>
      <c r="CM284" t="n">
        <v>20</v>
      </c>
      <c r="CN284" t="n">
        <v>14</v>
      </c>
      <c r="CO284" t="n">
        <v>9</v>
      </c>
      <c r="CP284" t="n">
        <v>6</v>
      </c>
      <c r="CQ284" t="n">
        <v>2</v>
      </c>
      <c r="CR284" t="n">
        <v>48</v>
      </c>
      <c r="CS284" t="n">
        <v>10</v>
      </c>
      <c r="CT284" t="n">
        <v>0.8</v>
      </c>
      <c r="CW284" t="n">
        <v>17.83</v>
      </c>
      <c r="CX284" t="n">
        <v>1.651</v>
      </c>
      <c r="CY284" t="n">
        <v>0</v>
      </c>
      <c r="DB284" t="n">
        <v>0</v>
      </c>
      <c r="DE284" t="n">
        <v>6.57</v>
      </c>
      <c r="DF284" t="n">
        <v>3</v>
      </c>
      <c r="DG284" t="n">
        <v>0</v>
      </c>
      <c r="DH284" t="n">
        <v>16</v>
      </c>
      <c r="DI284" t="n">
        <v>11</v>
      </c>
      <c r="DL284" t="n">
        <v>7</v>
      </c>
      <c r="DM284" t="n">
        <v>12</v>
      </c>
      <c r="DN284" t="n">
        <v>2</v>
      </c>
      <c r="DO284" t="n">
        <v>0.1</v>
      </c>
      <c r="DP284" t="n">
        <v>40.64</v>
      </c>
      <c r="DQ284" t="n">
        <v>20.34</v>
      </c>
      <c r="DR284" t="n">
        <v>40.68</v>
      </c>
      <c r="DS284" t="n">
        <v>-0.04</v>
      </c>
      <c r="DT284" t="n">
        <v>912</v>
      </c>
      <c r="DU284" t="n">
        <v>24</v>
      </c>
      <c r="DV284" t="inlineStr">
        <is>
          <t>flat</t>
        </is>
      </c>
      <c r="DW284" t="n">
        <v>83.79000000000001</v>
      </c>
      <c r="DY284" t="n">
        <v>66.17</v>
      </c>
      <c r="DZ284" t="n">
        <v>-17.62</v>
      </c>
      <c r="EA284" t="n">
        <v>2</v>
      </c>
      <c r="EB284" t="n">
        <v>33.04</v>
      </c>
      <c r="EC284" t="n">
        <v>35.33</v>
      </c>
      <c r="ED284" t="n">
        <v>109.5</v>
      </c>
      <c r="EE284" t="n">
        <v>4</v>
      </c>
      <c r="EF284" t="b">
        <v>0</v>
      </c>
      <c r="EG284" t="n">
        <v>0.1</v>
      </c>
      <c r="EH284" t="n">
        <v>20</v>
      </c>
      <c r="EI284" t="n">
        <v>294</v>
      </c>
      <c r="EJ284" t="n">
        <v>57.2</v>
      </c>
      <c r="EK284" t="n">
        <v>22.6</v>
      </c>
      <c r="EL284" t="n">
        <v>69.40000000000001</v>
      </c>
      <c r="EM284" t="n">
        <v>734.7</v>
      </c>
      <c r="EN284" t="n">
        <v>613.7</v>
      </c>
      <c r="EO284" t="n">
        <v>334.4</v>
      </c>
      <c r="EP284" t="n">
        <v>25.6</v>
      </c>
    </row>
    <row r="285">
      <c r="A285" t="inlineStr">
        <is>
          <t>Manuel Ugarte</t>
        </is>
      </c>
      <c r="B285" t="inlineStr">
        <is>
          <t>MUN</t>
        </is>
      </c>
      <c r="C285" t="inlineStr">
        <is>
          <t>MID</t>
        </is>
      </c>
      <c r="D285" t="inlineStr">
        <is>
          <t>MID</t>
        </is>
      </c>
      <c r="E285" t="n">
        <v>5</v>
      </c>
      <c r="F285" t="b">
        <v>1</v>
      </c>
      <c r="G285" t="b">
        <v>1</v>
      </c>
      <c r="H285" t="n">
        <v>25.4</v>
      </c>
      <c r="I285" t="inlineStr">
        <is>
          <t>i</t>
        </is>
      </c>
      <c r="J285" t="inlineStr">
        <is>
          <t>Knee injury - Unknown return date</t>
        </is>
      </c>
      <c r="K285" t="n">
        <v>0</v>
      </c>
      <c r="L285" t="inlineStr">
        <is>
          <t>p232112</t>
        </is>
      </c>
      <c r="M285" t="n">
        <v>433</v>
      </c>
      <c r="Q285" t="n">
        <v>876</v>
      </c>
      <c r="R285" t="n">
        <v>22</v>
      </c>
      <c r="S285" t="n">
        <v>8</v>
      </c>
      <c r="T285" t="n">
        <v>9.733000000000001</v>
      </c>
      <c r="U285" t="n">
        <v>39.8</v>
      </c>
      <c r="V285" t="n">
        <v>38</v>
      </c>
      <c r="W285" t="n">
        <v>3.904</v>
      </c>
      <c r="X285" t="n">
        <v>0</v>
      </c>
      <c r="Y285" t="n">
        <v>0</v>
      </c>
      <c r="AA285" t="n">
        <v>1</v>
      </c>
      <c r="AB285" t="n">
        <v>23</v>
      </c>
      <c r="AC285" t="n">
        <v>0</v>
      </c>
      <c r="AD285" t="n">
        <v>0</v>
      </c>
      <c r="AE285" t="n">
        <v>0</v>
      </c>
      <c r="AF285" t="n">
        <v>183</v>
      </c>
      <c r="AG285" t="n">
        <v>174</v>
      </c>
      <c r="AH285" t="n">
        <v>-9</v>
      </c>
      <c r="AI285" t="n">
        <v>38</v>
      </c>
      <c r="AJ285" t="n">
        <v>0</v>
      </c>
      <c r="AK285" t="n">
        <v>0</v>
      </c>
      <c r="AL285" t="n">
        <v>142</v>
      </c>
      <c r="AM285" t="n">
        <v>14.589</v>
      </c>
      <c r="AN285" t="n">
        <v>4</v>
      </c>
      <c r="AO285" t="n">
        <v>8</v>
      </c>
      <c r="AP285" t="n">
        <v>0.5</v>
      </c>
      <c r="AQ285" t="n">
        <v>0.75</v>
      </c>
      <c r="AR285" t="n">
        <v>0.5</v>
      </c>
      <c r="AS285" t="n">
        <v>0.211</v>
      </c>
      <c r="AT285" t="n">
        <v>0.364</v>
      </c>
      <c r="AU285" t="n">
        <v>18</v>
      </c>
      <c r="AV285" t="n">
        <v>0</v>
      </c>
      <c r="AW285" t="n">
        <v>1.29</v>
      </c>
      <c r="AX285" t="n">
        <v>5</v>
      </c>
      <c r="AY285" t="n">
        <v>0.72</v>
      </c>
      <c r="AZ285" t="n">
        <v>0.838</v>
      </c>
      <c r="BA285" t="n">
        <v>0.779</v>
      </c>
      <c r="BB285" t="n">
        <v>0.838</v>
      </c>
      <c r="BC285" t="n">
        <v>0.074</v>
      </c>
      <c r="BD285" t="n">
        <v>0.08599999999999999</v>
      </c>
      <c r="BE285" t="n">
        <v>0.08</v>
      </c>
      <c r="BF285" t="n">
        <v>0</v>
      </c>
      <c r="BG285" t="n">
        <v>0</v>
      </c>
      <c r="BH285" t="n">
        <v>0.864</v>
      </c>
      <c r="BI285" t="n">
        <v>1.72</v>
      </c>
      <c r="BJ285" t="n">
        <v>0.622</v>
      </c>
      <c r="BK285" t="n">
        <v>0.064</v>
      </c>
      <c r="BL285" t="n">
        <v>-0.779</v>
      </c>
      <c r="BM285" t="n">
        <v>-0.72</v>
      </c>
      <c r="BN285" t="n">
        <v>0</v>
      </c>
      <c r="BO285" t="n">
        <v>-0.118</v>
      </c>
      <c r="BP285" t="n">
        <v>13</v>
      </c>
      <c r="BQ285" t="n">
        <v>1</v>
      </c>
      <c r="BR285" t="n">
        <v>1</v>
      </c>
      <c r="BS285" t="n">
        <v>9</v>
      </c>
      <c r="BT285" t="n">
        <v>0.925</v>
      </c>
      <c r="BW285" t="n">
        <v>0.16</v>
      </c>
      <c r="BX285" t="n">
        <v>0.129</v>
      </c>
      <c r="BY285" t="n">
        <v>0.144</v>
      </c>
      <c r="BZ285" t="n">
        <v>0.015</v>
      </c>
      <c r="CA285" t="n">
        <v>0.923</v>
      </c>
      <c r="CB285" t="n">
        <v>0.095</v>
      </c>
      <c r="CC285" t="n">
        <v>3</v>
      </c>
      <c r="CE285" t="n">
        <v>3</v>
      </c>
      <c r="CI285" t="n">
        <v>3.853</v>
      </c>
      <c r="CJ285" t="n">
        <v>3.155</v>
      </c>
      <c r="CK285" t="n">
        <v>45</v>
      </c>
      <c r="CL285" t="n">
        <v>51</v>
      </c>
      <c r="CM285" t="n">
        <v>46</v>
      </c>
      <c r="CN285" t="n">
        <v>29</v>
      </c>
      <c r="CO285" t="n">
        <v>20</v>
      </c>
      <c r="CP285" t="n">
        <v>20</v>
      </c>
      <c r="CQ285" t="n">
        <v>5</v>
      </c>
      <c r="CR285" t="n">
        <v>79</v>
      </c>
      <c r="CS285" t="n">
        <v>11</v>
      </c>
      <c r="CT285" t="n">
        <v>0.1</v>
      </c>
      <c r="CV285" t="n">
        <v>1</v>
      </c>
      <c r="CW285" t="n">
        <v>18.22</v>
      </c>
      <c r="CX285" t="n">
        <v>1.872</v>
      </c>
      <c r="CY285" t="n">
        <v>0</v>
      </c>
      <c r="DB285" t="n">
        <v>0</v>
      </c>
      <c r="DF285" t="n">
        <v>1</v>
      </c>
      <c r="DG285" t="n">
        <v>0</v>
      </c>
      <c r="DH285" t="n">
        <v>24</v>
      </c>
      <c r="DI285" t="n">
        <v>15</v>
      </c>
      <c r="DL285" t="n">
        <v>7</v>
      </c>
      <c r="DM285" t="n">
        <v>11</v>
      </c>
      <c r="DO285" t="n">
        <v>0</v>
      </c>
      <c r="DP285" t="n">
        <v>19.94</v>
      </c>
      <c r="DQ285" t="n">
        <v>9.869999999999999</v>
      </c>
      <c r="DR285" t="n">
        <v>19.74</v>
      </c>
      <c r="DS285" t="n">
        <v>0.2</v>
      </c>
      <c r="DT285" t="n">
        <v>89</v>
      </c>
      <c r="DU285" t="n">
        <v>2.34</v>
      </c>
      <c r="DV285" t="inlineStr">
        <is>
          <t>flat</t>
        </is>
      </c>
      <c r="DW285" t="n">
        <v>14.22</v>
      </c>
      <c r="EC285" t="n">
        <v>14.22</v>
      </c>
      <c r="ED285" t="n">
        <v>14.22</v>
      </c>
      <c r="EE285" t="n">
        <v>1</v>
      </c>
      <c r="EF285" t="b">
        <v>0</v>
      </c>
      <c r="EG285" t="n">
        <v>0.1</v>
      </c>
      <c r="EH285" t="n">
        <v>66.7</v>
      </c>
      <c r="EI285" t="n">
        <v>293</v>
      </c>
      <c r="EJ285" t="n">
        <v>67.40000000000001</v>
      </c>
      <c r="EK285" t="n">
        <v>97.3</v>
      </c>
      <c r="EL285" t="n">
        <v>292</v>
      </c>
      <c r="EM285" t="n">
        <v>1124.6</v>
      </c>
      <c r="EN285" t="n">
        <v>6066.6</v>
      </c>
      <c r="EO285" t="n">
        <v>948.7</v>
      </c>
      <c r="EP285" t="n">
        <v>23.1</v>
      </c>
    </row>
    <row r="286">
      <c r="A286" t="inlineStr">
        <is>
          <t>Federico Chiesa</t>
        </is>
      </c>
      <c r="B286" t="inlineStr">
        <is>
          <t>LIV</t>
        </is>
      </c>
      <c r="C286" t="inlineStr">
        <is>
          <t>MID</t>
        </is>
      </c>
      <c r="D286" t="inlineStr">
        <is>
          <t>MID</t>
        </is>
      </c>
      <c r="E286" t="n">
        <v>5.5</v>
      </c>
      <c r="F286" t="b">
        <v>1</v>
      </c>
      <c r="G286" t="b">
        <v>1</v>
      </c>
      <c r="H286" t="n">
        <v>28.8</v>
      </c>
      <c r="I286" t="inlineStr">
        <is>
          <t>a</t>
        </is>
      </c>
      <c r="L286" t="inlineStr">
        <is>
          <t>p223541</t>
        </is>
      </c>
      <c r="M286" t="n">
        <v>370</v>
      </c>
      <c r="Q286" t="n">
        <v>317</v>
      </c>
      <c r="R286" t="n">
        <v>26</v>
      </c>
      <c r="S286" t="n">
        <v>1</v>
      </c>
      <c r="T286" t="n">
        <v>3.522</v>
      </c>
      <c r="U286" t="n">
        <v>12.2</v>
      </c>
      <c r="V286" t="n">
        <v>37</v>
      </c>
      <c r="W286" t="n">
        <v>10.505</v>
      </c>
      <c r="X286" t="n">
        <v>2</v>
      </c>
      <c r="Y286" t="n">
        <v>1</v>
      </c>
      <c r="Z286" t="n">
        <v>1</v>
      </c>
      <c r="AA286" t="n">
        <v>0</v>
      </c>
      <c r="AB286" t="n">
        <v>9</v>
      </c>
      <c r="AC286" t="n">
        <v>0</v>
      </c>
      <c r="AD286" t="n">
        <v>0</v>
      </c>
      <c r="AE286" t="n">
        <v>0</v>
      </c>
      <c r="AF286" t="n">
        <v>135</v>
      </c>
      <c r="AG286" t="n">
        <v>135</v>
      </c>
      <c r="AH286" t="n">
        <v>0</v>
      </c>
      <c r="AI286" t="n">
        <v>37</v>
      </c>
      <c r="AJ286" t="n">
        <v>0</v>
      </c>
      <c r="AK286" t="n">
        <v>0</v>
      </c>
      <c r="AL286" t="n">
        <v>30</v>
      </c>
      <c r="AM286" t="n">
        <v>8.516999999999999</v>
      </c>
      <c r="AN286" t="n">
        <v>0</v>
      </c>
      <c r="AO286" t="n">
        <v>0</v>
      </c>
      <c r="AP286" t="n">
        <v>0</v>
      </c>
      <c r="AQ286" t="n">
        <v>0</v>
      </c>
      <c r="AR286" t="n">
        <v>0</v>
      </c>
      <c r="AS286" t="n">
        <v>0.026</v>
      </c>
      <c r="AT286" t="n">
        <v>0.038</v>
      </c>
      <c r="AU286" t="n">
        <v>23</v>
      </c>
      <c r="AV286" t="n">
        <v>0</v>
      </c>
      <c r="AW286" t="n">
        <v>1.33</v>
      </c>
      <c r="AX286" t="n">
        <v>6</v>
      </c>
      <c r="AY286" t="n">
        <v>1.45</v>
      </c>
      <c r="AZ286" t="n">
        <v>1.666</v>
      </c>
      <c r="BA286" t="n">
        <v>1.558</v>
      </c>
      <c r="BB286" t="n">
        <v>1.666</v>
      </c>
      <c r="BC286" t="n">
        <v>0.412</v>
      </c>
      <c r="BD286" t="n">
        <v>0.473</v>
      </c>
      <c r="BE286" t="n">
        <v>0.442</v>
      </c>
      <c r="BF286" t="n">
        <v>2</v>
      </c>
      <c r="BG286" t="n">
        <v>0.5679999999999999</v>
      </c>
      <c r="BH286" t="n">
        <v>1.042</v>
      </c>
      <c r="BI286" t="n">
        <v>1.79</v>
      </c>
      <c r="BJ286" t="n">
        <v>1.511</v>
      </c>
      <c r="BK286" t="n">
        <v>0.429</v>
      </c>
      <c r="BL286" t="n">
        <v>0.442</v>
      </c>
      <c r="BM286" t="n">
        <v>0.55</v>
      </c>
      <c r="BN286" t="n">
        <v>0</v>
      </c>
      <c r="BO286" t="n">
        <v>-0.216</v>
      </c>
      <c r="BP286" t="n">
        <v>17</v>
      </c>
      <c r="BQ286" t="n">
        <v>5</v>
      </c>
      <c r="BR286" t="n">
        <v>1</v>
      </c>
      <c r="BS286" t="n">
        <v>36</v>
      </c>
      <c r="BT286" t="n">
        <v>10.221</v>
      </c>
      <c r="BW286" t="n">
        <v>0.61</v>
      </c>
      <c r="BX286" t="n">
        <v>1.472</v>
      </c>
      <c r="BY286" t="n">
        <v>1.041</v>
      </c>
      <c r="BZ286" t="n">
        <v>0.296</v>
      </c>
      <c r="CA286" t="n">
        <v>2.599</v>
      </c>
      <c r="CB286" t="n">
        <v>0.738</v>
      </c>
      <c r="CC286" t="n">
        <v>3</v>
      </c>
      <c r="CD286" t="n">
        <v>2</v>
      </c>
      <c r="CE286" t="n">
        <v>3</v>
      </c>
      <c r="CI286" t="n">
        <v>3.723</v>
      </c>
      <c r="CJ286" t="n">
        <v>0.754</v>
      </c>
      <c r="CK286" t="n">
        <v>13</v>
      </c>
      <c r="CL286" t="n">
        <v>9</v>
      </c>
      <c r="CM286" t="n">
        <v>8</v>
      </c>
      <c r="CN286" t="n">
        <v>6</v>
      </c>
      <c r="CO286" t="n">
        <v>4</v>
      </c>
      <c r="CP286" t="n">
        <v>7</v>
      </c>
      <c r="CQ286" t="n">
        <v>2</v>
      </c>
      <c r="CR286" t="n">
        <v>20</v>
      </c>
      <c r="CS286" t="n">
        <v>3</v>
      </c>
      <c r="CT286" t="n">
        <v>0.3</v>
      </c>
      <c r="CW286" t="n">
        <v>6.5</v>
      </c>
      <c r="CX286" t="n">
        <v>1.845</v>
      </c>
      <c r="CY286" t="n">
        <v>0</v>
      </c>
      <c r="DB286" t="n">
        <v>0</v>
      </c>
      <c r="DF286" t="n">
        <v>3</v>
      </c>
      <c r="DG286" t="n">
        <v>0</v>
      </c>
      <c r="DH286" t="n">
        <v>11</v>
      </c>
      <c r="DI286" t="n">
        <v>7</v>
      </c>
      <c r="DL286" t="n">
        <v>2</v>
      </c>
      <c r="DM286" t="n">
        <v>4</v>
      </c>
      <c r="DN286" t="n">
        <v>2</v>
      </c>
      <c r="DO286" t="n">
        <v>0.2</v>
      </c>
      <c r="DP286" t="n">
        <v>19.45</v>
      </c>
      <c r="DQ286" t="n">
        <v>10.6</v>
      </c>
      <c r="DR286" t="n">
        <v>21.2</v>
      </c>
      <c r="DS286" t="n">
        <v>-1.75</v>
      </c>
      <c r="DT286" t="n">
        <v>40</v>
      </c>
      <c r="DU286" t="n">
        <v>1.06</v>
      </c>
      <c r="DV286" t="inlineStr">
        <is>
          <t>flat</t>
        </is>
      </c>
      <c r="DW286" t="n">
        <v>79.15000000000001</v>
      </c>
      <c r="DX286" t="n">
        <v>80.08</v>
      </c>
      <c r="DY286" t="n">
        <v>79.7</v>
      </c>
      <c r="DZ286" t="n">
        <v>0.55</v>
      </c>
      <c r="EA286" t="n">
        <v>21</v>
      </c>
      <c r="EB286" t="n">
        <v>24.7</v>
      </c>
      <c r="EC286" t="n">
        <v>32</v>
      </c>
      <c r="ED286" t="n">
        <v>120</v>
      </c>
      <c r="EE286" t="n">
        <v>40</v>
      </c>
      <c r="EF286" t="b">
        <v>1</v>
      </c>
      <c r="EG286" t="n">
        <v>1.1</v>
      </c>
      <c r="EH286" t="n">
        <v>24.5</v>
      </c>
      <c r="EI286" t="n">
        <v>179</v>
      </c>
      <c r="EJ286" t="n">
        <v>18.6</v>
      </c>
      <c r="EK286" t="n">
        <v>8.800000000000001</v>
      </c>
      <c r="EL286" t="n">
        <v>105.7</v>
      </c>
      <c r="EM286" t="n">
        <v>203.5</v>
      </c>
      <c r="EN286" t="n">
        <v>304.5</v>
      </c>
      <c r="EO286" t="n">
        <v>122</v>
      </c>
      <c r="EP286" t="n">
        <v>8.6</v>
      </c>
    </row>
    <row r="287">
      <c r="A287" t="inlineStr">
        <is>
          <t>Aaron Hickey</t>
        </is>
      </c>
      <c r="B287" t="inlineStr">
        <is>
          <t>BRE</t>
        </is>
      </c>
      <c r="C287" t="inlineStr">
        <is>
          <t>DEF</t>
        </is>
      </c>
      <c r="D287" t="inlineStr">
        <is>
          <t>DEF</t>
        </is>
      </c>
      <c r="E287" t="n">
        <v>4.5</v>
      </c>
      <c r="F287" t="b">
        <v>1</v>
      </c>
      <c r="G287" t="b">
        <v>1</v>
      </c>
      <c r="H287" t="n">
        <v>24.2</v>
      </c>
      <c r="I287" t="inlineStr">
        <is>
          <t>a</t>
        </is>
      </c>
      <c r="L287" t="inlineStr">
        <is>
          <t>p472713</t>
        </is>
      </c>
      <c r="M287" t="n">
        <v>90</v>
      </c>
      <c r="Q287" t="n">
        <v>679</v>
      </c>
      <c r="R287" t="n">
        <v>21</v>
      </c>
      <c r="S287" t="n">
        <v>8</v>
      </c>
      <c r="T287" t="n">
        <v>7.544</v>
      </c>
      <c r="U287" t="n">
        <v>32.3</v>
      </c>
      <c r="V287" t="n">
        <v>37</v>
      </c>
      <c r="W287" t="n">
        <v>4.904</v>
      </c>
      <c r="X287" t="n">
        <v>0</v>
      </c>
      <c r="Y287" t="n">
        <v>0</v>
      </c>
      <c r="AA287" t="n">
        <v>2</v>
      </c>
      <c r="AB287" t="n">
        <v>9</v>
      </c>
      <c r="AC287" t="n">
        <v>0</v>
      </c>
      <c r="AD287" t="n">
        <v>0</v>
      </c>
      <c r="AE287" t="n">
        <v>0</v>
      </c>
      <c r="AF287" t="n">
        <v>105</v>
      </c>
      <c r="AG287" t="n">
        <v>98</v>
      </c>
      <c r="AH287" t="n">
        <v>-7</v>
      </c>
      <c r="AI287" t="n">
        <v>37</v>
      </c>
      <c r="AJ287" t="n">
        <v>0</v>
      </c>
      <c r="AK287" t="n">
        <v>0</v>
      </c>
      <c r="AL287" t="n">
        <v>51</v>
      </c>
      <c r="AM287" t="n">
        <v>6.76</v>
      </c>
      <c r="AN287" t="n">
        <v>1</v>
      </c>
      <c r="AO287" t="n">
        <v>2</v>
      </c>
      <c r="AP287" t="n">
        <v>0.125</v>
      </c>
      <c r="AQ287" t="n">
        <v>0.125</v>
      </c>
      <c r="AR287" t="n">
        <v>0</v>
      </c>
      <c r="AS287" t="n">
        <v>0.211</v>
      </c>
      <c r="AT287" t="n">
        <v>0.333</v>
      </c>
      <c r="AU287" t="n">
        <v>19</v>
      </c>
      <c r="AV287" t="n">
        <v>0</v>
      </c>
      <c r="AW287" t="n">
        <v>1.62</v>
      </c>
      <c r="AX287" t="n">
        <v>8</v>
      </c>
      <c r="AY287" t="n">
        <v>0.44</v>
      </c>
      <c r="AZ287" t="n">
        <v>0.55</v>
      </c>
      <c r="BA287" t="n">
        <v>0.495</v>
      </c>
      <c r="BB287" t="n">
        <v>0.55</v>
      </c>
      <c r="BC287" t="n">
        <v>0.058</v>
      </c>
      <c r="BD287" t="n">
        <v>0.073</v>
      </c>
      <c r="BE287" t="n">
        <v>0.066</v>
      </c>
      <c r="BF287" t="n">
        <v>0.2</v>
      </c>
      <c r="BG287" t="n">
        <v>0.027</v>
      </c>
      <c r="BH287" t="n">
        <v>0.9419999999999999</v>
      </c>
      <c r="BI287" t="n">
        <v>1.02</v>
      </c>
      <c r="BJ287" t="n">
        <v>0.415</v>
      </c>
      <c r="BK287" t="n">
        <v>0.055</v>
      </c>
      <c r="BL287" t="n">
        <v>-0.495</v>
      </c>
      <c r="BM287" t="n">
        <v>-0.24</v>
      </c>
      <c r="BN287" t="n">
        <v>-0.2</v>
      </c>
      <c r="BO287" t="n">
        <v>-0.11</v>
      </c>
      <c r="BP287" t="n">
        <v>6</v>
      </c>
      <c r="BQ287" t="n">
        <v>1</v>
      </c>
      <c r="BR287" t="n">
        <v>1</v>
      </c>
      <c r="BS287" t="n">
        <v>10</v>
      </c>
      <c r="BT287" t="n">
        <v>1.325</v>
      </c>
      <c r="BW287" t="n">
        <v>0.17</v>
      </c>
      <c r="BX287" t="n">
        <v>0.604</v>
      </c>
      <c r="BY287" t="n">
        <v>0.387</v>
      </c>
      <c r="BZ287" t="n">
        <v>0.051</v>
      </c>
      <c r="CA287" t="n">
        <v>0.882</v>
      </c>
      <c r="CB287" t="n">
        <v>0.117</v>
      </c>
      <c r="CC287" t="n">
        <v>1</v>
      </c>
      <c r="CD287" t="n">
        <v>0</v>
      </c>
      <c r="CE287" t="n">
        <v>0</v>
      </c>
      <c r="CI287" t="n">
        <v>2.696</v>
      </c>
      <c r="CJ287" t="n">
        <v>2.248</v>
      </c>
      <c r="CK287" t="n">
        <v>36</v>
      </c>
      <c r="CL287" t="n">
        <v>35</v>
      </c>
      <c r="CM287" t="n">
        <v>15</v>
      </c>
      <c r="CN287" t="n">
        <v>7</v>
      </c>
      <c r="CO287" t="n">
        <v>8</v>
      </c>
      <c r="CP287" t="n">
        <v>23</v>
      </c>
      <c r="CQ287" t="n">
        <v>6</v>
      </c>
      <c r="CR287" t="n">
        <v>33</v>
      </c>
      <c r="CS287" t="n">
        <v>9</v>
      </c>
      <c r="CW287" t="n">
        <v>9.029999999999999</v>
      </c>
      <c r="CX287" t="n">
        <v>1.197</v>
      </c>
      <c r="CY287" t="n">
        <v>0</v>
      </c>
      <c r="DB287" t="n">
        <v>0</v>
      </c>
      <c r="DF287" t="n">
        <v>1</v>
      </c>
      <c r="DG287" t="n">
        <v>0</v>
      </c>
      <c r="DH287" t="n">
        <v>7</v>
      </c>
      <c r="DI287" t="n">
        <v>9</v>
      </c>
      <c r="DL287" t="n">
        <v>0</v>
      </c>
      <c r="DM287" t="n">
        <v>5</v>
      </c>
      <c r="DO287" t="n">
        <v>0.1</v>
      </c>
      <c r="DP287" t="n">
        <v>23.18</v>
      </c>
      <c r="DQ287" t="n">
        <v>11.79</v>
      </c>
      <c r="DR287" t="n">
        <v>23.58</v>
      </c>
      <c r="DS287" t="n">
        <v>-0.4</v>
      </c>
      <c r="DT287" t="n">
        <v>166</v>
      </c>
      <c r="DU287" t="n">
        <v>4.38</v>
      </c>
      <c r="DV287" t="inlineStr">
        <is>
          <t>flat</t>
        </is>
      </c>
      <c r="DW287" t="n">
        <v>105.33</v>
      </c>
      <c r="DY287" t="n">
        <v>108.26</v>
      </c>
      <c r="DZ287" t="n">
        <v>2.93</v>
      </c>
      <c r="EA287" t="n">
        <v>5</v>
      </c>
      <c r="EB287" t="n">
        <v>8.65</v>
      </c>
      <c r="EC287" t="n">
        <v>90.67</v>
      </c>
      <c r="ED287" t="n">
        <v>114.13</v>
      </c>
      <c r="EE287" t="n">
        <v>6</v>
      </c>
      <c r="EF287" t="b">
        <v>0</v>
      </c>
      <c r="EG287" t="n">
        <v>0.1</v>
      </c>
      <c r="EH287" t="n">
        <v>0</v>
      </c>
      <c r="EI287" t="n">
        <v>433</v>
      </c>
      <c r="EJ287" t="n">
        <v>113.2</v>
      </c>
      <c r="EK287" t="n">
        <v>67.90000000000001</v>
      </c>
      <c r="EM287" t="n">
        <v>1371.9</v>
      </c>
      <c r="EN287" t="n">
        <v>1754.9</v>
      </c>
      <c r="EO287" t="n">
        <v>770</v>
      </c>
      <c r="EP287" t="n">
        <v>18.4</v>
      </c>
    </row>
    <row r="288">
      <c r="A288" t="inlineStr">
        <is>
          <t>Chris Rigg</t>
        </is>
      </c>
      <c r="B288" t="inlineStr">
        <is>
          <t>SUN</t>
        </is>
      </c>
      <c r="C288" t="inlineStr">
        <is>
          <t>MID</t>
        </is>
      </c>
      <c r="D288" t="inlineStr">
        <is>
          <t>MID</t>
        </is>
      </c>
      <c r="E288" t="n">
        <v>5</v>
      </c>
      <c r="F288" t="b">
        <v>1</v>
      </c>
      <c r="G288" t="b">
        <v>1</v>
      </c>
      <c r="H288" t="n">
        <v>19.2</v>
      </c>
      <c r="I288" t="inlineStr">
        <is>
          <t>a</t>
        </is>
      </c>
      <c r="L288" t="inlineStr">
        <is>
          <t>p554197</t>
        </is>
      </c>
      <c r="M288" t="n">
        <v>548</v>
      </c>
      <c r="Q288" t="n">
        <v>758</v>
      </c>
      <c r="R288" t="n">
        <v>18</v>
      </c>
      <c r="S288" t="n">
        <v>11</v>
      </c>
      <c r="T288" t="n">
        <v>8.422000000000001</v>
      </c>
      <c r="U288" t="n">
        <v>42.1</v>
      </c>
      <c r="V288" t="n">
        <v>36</v>
      </c>
      <c r="W288" t="n">
        <v>4.274</v>
      </c>
      <c r="X288" t="n">
        <v>1</v>
      </c>
      <c r="Y288" t="n">
        <v>1</v>
      </c>
      <c r="Z288" t="n">
        <v>1</v>
      </c>
      <c r="AA288" t="n">
        <v>3</v>
      </c>
      <c r="AB288" t="n">
        <v>11</v>
      </c>
      <c r="AC288" t="n">
        <v>1</v>
      </c>
      <c r="AD288" t="n">
        <v>0</v>
      </c>
      <c r="AE288" t="n">
        <v>-1</v>
      </c>
      <c r="AF288" t="n">
        <v>136</v>
      </c>
      <c r="AG288" t="n">
        <v>133</v>
      </c>
      <c r="AH288" t="n">
        <v>-3</v>
      </c>
      <c r="AI288" t="n">
        <v>35</v>
      </c>
      <c r="AJ288" t="n">
        <v>0.028</v>
      </c>
      <c r="AK288" t="n">
        <v>0.029</v>
      </c>
      <c r="AL288" t="n">
        <v>57</v>
      </c>
      <c r="AM288" t="n">
        <v>6.768</v>
      </c>
      <c r="AN288" t="n">
        <v>0</v>
      </c>
      <c r="AO288" t="n">
        <v>0</v>
      </c>
      <c r="AP288" t="n">
        <v>0</v>
      </c>
      <c r="AQ288" t="n">
        <v>0.091</v>
      </c>
      <c r="AR288" t="n">
        <v>0</v>
      </c>
      <c r="AS288" t="n">
        <v>0.289</v>
      </c>
      <c r="AT288" t="n">
        <v>0.389</v>
      </c>
      <c r="AU288" t="n">
        <v>13</v>
      </c>
      <c r="AV288" t="n">
        <v>0</v>
      </c>
      <c r="AW288" t="n">
        <v>1.47</v>
      </c>
      <c r="AX288" t="n">
        <v>7</v>
      </c>
      <c r="AY288" t="n">
        <v>0.86</v>
      </c>
      <c r="AZ288" t="n">
        <v>0.8</v>
      </c>
      <c r="BA288" t="n">
        <v>0.83</v>
      </c>
      <c r="BB288" t="n">
        <v>0.8</v>
      </c>
      <c r="BC288" t="n">
        <v>0.102</v>
      </c>
      <c r="BD288" t="n">
        <v>0.095</v>
      </c>
      <c r="BE288" t="n">
        <v>0.099</v>
      </c>
      <c r="BF288" t="n">
        <v>0.9</v>
      </c>
      <c r="BG288" t="n">
        <v>0.107</v>
      </c>
      <c r="BH288" t="n">
        <v>1.004</v>
      </c>
      <c r="BI288" t="n">
        <v>0.86</v>
      </c>
      <c r="BJ288" t="n">
        <v>0.864</v>
      </c>
      <c r="BK288" t="n">
        <v>0.103</v>
      </c>
      <c r="BL288" t="n">
        <v>0.17</v>
      </c>
      <c r="BM288" t="n">
        <v>0.04</v>
      </c>
      <c r="BN288" t="n">
        <v>0.1</v>
      </c>
      <c r="BO288" t="n">
        <v>0.06</v>
      </c>
      <c r="BP288" t="n">
        <v>12</v>
      </c>
      <c r="BQ288" t="n">
        <v>3</v>
      </c>
      <c r="BS288" t="n">
        <v>20</v>
      </c>
      <c r="BT288" t="n">
        <v>2.375</v>
      </c>
      <c r="BW288" t="n">
        <v>0.93</v>
      </c>
      <c r="BX288" t="n">
        <v>1.189</v>
      </c>
      <c r="BY288" t="n">
        <v>1.06</v>
      </c>
      <c r="BZ288" t="n">
        <v>0.126</v>
      </c>
      <c r="CA288" t="n">
        <v>1.89</v>
      </c>
      <c r="CB288" t="n">
        <v>0.224</v>
      </c>
      <c r="CC288" t="n">
        <v>9</v>
      </c>
      <c r="CD288" t="n">
        <v>2</v>
      </c>
      <c r="CE288" t="n">
        <v>9</v>
      </c>
      <c r="CF288" t="n">
        <v>4</v>
      </c>
      <c r="CG288" t="n">
        <v>1</v>
      </c>
      <c r="CI288" t="n">
        <v>1.969</v>
      </c>
      <c r="CJ288" t="n">
        <v>0.725</v>
      </c>
      <c r="CK288" t="n">
        <v>15</v>
      </c>
      <c r="CL288" t="n">
        <v>29</v>
      </c>
      <c r="CM288" t="n">
        <v>13</v>
      </c>
      <c r="CN288" t="n">
        <v>8</v>
      </c>
      <c r="CO288" t="n">
        <v>4</v>
      </c>
      <c r="CP288" t="n">
        <v>10</v>
      </c>
      <c r="CQ288" t="n">
        <v>1</v>
      </c>
      <c r="CR288" t="n">
        <v>32</v>
      </c>
      <c r="CS288" t="n">
        <v>4</v>
      </c>
      <c r="CV288" t="n">
        <v>1</v>
      </c>
      <c r="CW288" t="n">
        <v>12.46</v>
      </c>
      <c r="CX288" t="n">
        <v>1.479</v>
      </c>
      <c r="CY288" t="n">
        <v>0</v>
      </c>
      <c r="DB288" t="n">
        <v>0</v>
      </c>
      <c r="DF288" t="n">
        <v>1</v>
      </c>
      <c r="DG288" t="n">
        <v>0</v>
      </c>
      <c r="DH288" t="n">
        <v>8</v>
      </c>
      <c r="DI288" t="n">
        <v>8</v>
      </c>
      <c r="DL288" t="n">
        <v>7</v>
      </c>
      <c r="DM288" t="n">
        <v>5</v>
      </c>
      <c r="DN288" t="n">
        <v>2</v>
      </c>
      <c r="DO288" t="n">
        <v>0.1</v>
      </c>
      <c r="DP288" t="n">
        <v>11.82</v>
      </c>
      <c r="DQ288" t="n">
        <v>5.91</v>
      </c>
      <c r="DR288" t="n">
        <v>11.82</v>
      </c>
      <c r="DS288" t="n">
        <v>0</v>
      </c>
      <c r="DT288" t="n">
        <v>144</v>
      </c>
      <c r="DU288" t="n">
        <v>3.78</v>
      </c>
      <c r="DV288" t="inlineStr">
        <is>
          <t>flat</t>
        </is>
      </c>
      <c r="DW288" t="n">
        <v>80.08</v>
      </c>
      <c r="DX288" t="n">
        <v>71</v>
      </c>
      <c r="DY288" t="n">
        <v>59</v>
      </c>
      <c r="DZ288" t="n">
        <v>-21.08</v>
      </c>
      <c r="EA288" t="n">
        <v>1</v>
      </c>
      <c r="EB288" t="n">
        <v>33.18</v>
      </c>
      <c r="EC288" t="n">
        <v>47</v>
      </c>
      <c r="ED288" t="n">
        <v>119.33</v>
      </c>
      <c r="EE288" t="n">
        <v>4</v>
      </c>
      <c r="EF288" t="b">
        <v>0</v>
      </c>
      <c r="EG288" t="n">
        <v>0.1</v>
      </c>
      <c r="EH288" t="n">
        <v>0</v>
      </c>
      <c r="EI288" t="n">
        <v>297</v>
      </c>
      <c r="EJ288" t="n">
        <v>63.2</v>
      </c>
      <c r="EK288" t="n">
        <v>37.9</v>
      </c>
      <c r="EL288" t="n">
        <v>84.2</v>
      </c>
      <c r="EM288" t="n">
        <v>913.2</v>
      </c>
      <c r="EN288" t="n">
        <v>715.4</v>
      </c>
      <c r="EO288" t="n">
        <v>401.1</v>
      </c>
      <c r="EP288" t="n">
        <v>21.1</v>
      </c>
    </row>
    <row r="289">
      <c r="A289" t="inlineStr">
        <is>
          <t>Rodrigo Muniz</t>
        </is>
      </c>
      <c r="B289" t="inlineStr">
        <is>
          <t>FUL</t>
        </is>
      </c>
      <c r="C289" t="inlineStr">
        <is>
          <t>FWD</t>
        </is>
      </c>
      <c r="D289" t="inlineStr">
        <is>
          <t>FWD</t>
        </is>
      </c>
      <c r="E289" t="n">
        <v>5.5</v>
      </c>
      <c r="F289" t="b">
        <v>1</v>
      </c>
      <c r="G289" t="b">
        <v>1</v>
      </c>
      <c r="H289" t="n">
        <v>25.3</v>
      </c>
      <c r="I289" t="inlineStr">
        <is>
          <t>a</t>
        </is>
      </c>
      <c r="L289" t="inlineStr">
        <is>
          <t>p244042</t>
        </is>
      </c>
      <c r="M289" t="n">
        <v>271</v>
      </c>
      <c r="Q289" t="n">
        <v>987</v>
      </c>
      <c r="R289" t="n">
        <v>21</v>
      </c>
      <c r="S289" t="n">
        <v>10</v>
      </c>
      <c r="T289" t="n">
        <v>10.967</v>
      </c>
      <c r="U289" t="n">
        <v>47</v>
      </c>
      <c r="V289" t="n">
        <v>36</v>
      </c>
      <c r="W289" t="n">
        <v>3.283</v>
      </c>
      <c r="X289" t="n">
        <v>1</v>
      </c>
      <c r="Y289" t="n">
        <v>1</v>
      </c>
      <c r="Z289" t="n">
        <v>1</v>
      </c>
      <c r="AA289" t="n">
        <v>3</v>
      </c>
      <c r="AB289" t="n">
        <v>13</v>
      </c>
      <c r="AC289" t="n">
        <v>3</v>
      </c>
      <c r="AD289" t="n">
        <v>3</v>
      </c>
      <c r="AE289" t="n">
        <v>0</v>
      </c>
      <c r="AF289" t="n">
        <v>94</v>
      </c>
      <c r="AG289" t="n">
        <v>89</v>
      </c>
      <c r="AH289" t="n">
        <v>-5</v>
      </c>
      <c r="AI289" t="n">
        <v>36</v>
      </c>
      <c r="AJ289" t="n">
        <v>0.083</v>
      </c>
      <c r="AK289" t="n">
        <v>0.091</v>
      </c>
      <c r="AL289" t="n">
        <v>52</v>
      </c>
      <c r="AM289" t="n">
        <v>4.742</v>
      </c>
      <c r="AN289" t="n">
        <v>0</v>
      </c>
      <c r="AO289" t="n">
        <v>0</v>
      </c>
      <c r="AP289" t="n">
        <v>0</v>
      </c>
      <c r="AQ289" t="n">
        <v>0</v>
      </c>
      <c r="AR289" t="n">
        <v>0</v>
      </c>
      <c r="AS289" t="n">
        <v>0.263</v>
      </c>
      <c r="AT289" t="n">
        <v>0.429</v>
      </c>
      <c r="AU289" t="n">
        <v>19</v>
      </c>
      <c r="AV289" t="n">
        <v>0</v>
      </c>
      <c r="AW289" t="n">
        <v>1.43</v>
      </c>
      <c r="AX289" t="n">
        <v>7</v>
      </c>
      <c r="AY289" t="n">
        <v>3.3</v>
      </c>
      <c r="AZ289" t="n">
        <v>4.545</v>
      </c>
      <c r="BA289" t="n">
        <v>3.923</v>
      </c>
      <c r="BB289" t="n">
        <v>4.545</v>
      </c>
      <c r="BC289" t="n">
        <v>0.301</v>
      </c>
      <c r="BD289" t="n">
        <v>0.414</v>
      </c>
      <c r="BE289" t="n">
        <v>0.358</v>
      </c>
      <c r="BF289" t="n">
        <v>0.8</v>
      </c>
      <c r="BG289" t="n">
        <v>0.073</v>
      </c>
      <c r="BH289" t="n">
        <v>0.994</v>
      </c>
      <c r="BI289" t="n">
        <v>17.97</v>
      </c>
      <c r="BJ289" t="n">
        <v>3.278</v>
      </c>
      <c r="BK289" t="n">
        <v>0.299</v>
      </c>
      <c r="BL289" t="n">
        <v>-2.923</v>
      </c>
      <c r="BM289" t="n">
        <v>-2.5</v>
      </c>
      <c r="BN289" t="n">
        <v>0.2</v>
      </c>
      <c r="BO289" t="n">
        <v>-1.245</v>
      </c>
      <c r="BP289" t="n">
        <v>32</v>
      </c>
      <c r="BQ289" t="n">
        <v>5</v>
      </c>
      <c r="BR289" t="n">
        <v>6</v>
      </c>
      <c r="BS289" t="n">
        <v>61</v>
      </c>
      <c r="BT289" t="n">
        <v>5.562</v>
      </c>
      <c r="BW289" t="n">
        <v>0.15</v>
      </c>
      <c r="BX289" t="n">
        <v>0.961</v>
      </c>
      <c r="BY289" t="n">
        <v>0.556</v>
      </c>
      <c r="BZ289" t="n">
        <v>0.051</v>
      </c>
      <c r="CA289" t="n">
        <v>4.478</v>
      </c>
      <c r="CB289" t="n">
        <v>0.408</v>
      </c>
      <c r="CC289" t="n">
        <v>8</v>
      </c>
      <c r="CD289" t="n">
        <v>1</v>
      </c>
      <c r="CE289" t="n">
        <v>8</v>
      </c>
      <c r="CI289" t="n">
        <v>4.831</v>
      </c>
      <c r="CJ289" t="n">
        <v>1.298</v>
      </c>
      <c r="CK289" t="n">
        <v>29</v>
      </c>
      <c r="CL289" t="n">
        <v>15</v>
      </c>
      <c r="CM289" t="n">
        <v>8</v>
      </c>
      <c r="CN289" t="n">
        <v>3</v>
      </c>
      <c r="CO289" t="n">
        <v>2</v>
      </c>
      <c r="CP289" t="n">
        <v>24</v>
      </c>
      <c r="CQ289" t="n">
        <v>3</v>
      </c>
      <c r="CR289" t="n">
        <v>108</v>
      </c>
      <c r="CS289" t="n">
        <v>78</v>
      </c>
      <c r="CT289" t="n">
        <v>0.5</v>
      </c>
      <c r="CW289" t="n">
        <v>13.83</v>
      </c>
      <c r="CX289" t="n">
        <v>1.261</v>
      </c>
      <c r="CY289" t="n">
        <v>0</v>
      </c>
      <c r="DB289" t="n">
        <v>0</v>
      </c>
      <c r="DE289" t="n">
        <v>6.33</v>
      </c>
      <c r="DF289" t="n">
        <v>2</v>
      </c>
      <c r="DG289" t="n">
        <v>0</v>
      </c>
      <c r="DH289" t="n">
        <v>21</v>
      </c>
      <c r="DI289" t="n">
        <v>18</v>
      </c>
      <c r="DL289" t="n">
        <v>5</v>
      </c>
      <c r="DM289" t="n">
        <v>12</v>
      </c>
      <c r="DN289" t="n">
        <v>5</v>
      </c>
      <c r="DO289" t="n">
        <v>0.7</v>
      </c>
      <c r="DP289" t="n">
        <v>50.42</v>
      </c>
      <c r="DQ289" t="n">
        <v>25.21</v>
      </c>
      <c r="DR289" t="n">
        <v>50.42</v>
      </c>
      <c r="DS289" t="n">
        <v>0</v>
      </c>
      <c r="DT289" t="n">
        <v>540</v>
      </c>
      <c r="DU289" t="n">
        <v>14.2</v>
      </c>
      <c r="DV289" t="inlineStr">
        <is>
          <t>flat</t>
        </is>
      </c>
      <c r="DW289" t="n">
        <v>91.05</v>
      </c>
      <c r="DX289" t="n">
        <v>94.18000000000001</v>
      </c>
      <c r="DY289" t="n">
        <v>90.59999999999999</v>
      </c>
      <c r="DZ289" t="n">
        <v>-0.45</v>
      </c>
      <c r="EA289" t="n">
        <v>294</v>
      </c>
      <c r="EB289" t="n">
        <v>21.95</v>
      </c>
      <c r="EC289" t="n">
        <v>12.67</v>
      </c>
      <c r="ED289" t="n">
        <v>120</v>
      </c>
      <c r="EE289" t="n">
        <v>544</v>
      </c>
      <c r="EF289" t="b">
        <v>1</v>
      </c>
      <c r="EG289" t="n">
        <v>12.6</v>
      </c>
      <c r="EH289" t="n">
        <v>11.4</v>
      </c>
      <c r="EI289" t="n">
        <v>180</v>
      </c>
      <c r="EJ289" t="n">
        <v>30.8</v>
      </c>
      <c r="EK289" t="n">
        <v>16.2</v>
      </c>
      <c r="EL289" t="n">
        <v>123.4</v>
      </c>
      <c r="EM289" t="n">
        <v>251.6</v>
      </c>
      <c r="EN289" t="n">
        <v>1776</v>
      </c>
      <c r="EO289" t="n">
        <v>220.4</v>
      </c>
      <c r="EP289" t="n">
        <v>27.4</v>
      </c>
    </row>
    <row r="290">
      <c r="A290" t="inlineStr">
        <is>
          <t>Kai Havertz</t>
        </is>
      </c>
      <c r="B290" t="inlineStr">
        <is>
          <t>ARS</t>
        </is>
      </c>
      <c r="C290" t="inlineStr">
        <is>
          <t>FWD</t>
        </is>
      </c>
      <c r="D290" t="inlineStr">
        <is>
          <t>FWD</t>
        </is>
      </c>
      <c r="E290" t="n">
        <v>7.5</v>
      </c>
      <c r="F290" t="b">
        <v>1</v>
      </c>
      <c r="G290" t="b">
        <v>1</v>
      </c>
      <c r="H290" t="n">
        <v>27.2</v>
      </c>
      <c r="I290" t="inlineStr">
        <is>
          <t>a</t>
        </is>
      </c>
      <c r="L290" t="inlineStr">
        <is>
          <t>p219847</t>
        </is>
      </c>
      <c r="M290" t="n">
        <v>26</v>
      </c>
      <c r="Q290" t="n">
        <v>577</v>
      </c>
      <c r="R290" t="n">
        <v>12</v>
      </c>
      <c r="S290" t="n">
        <v>7</v>
      </c>
      <c r="T290" t="n">
        <v>6.411</v>
      </c>
      <c r="U290" t="n">
        <v>48.1</v>
      </c>
      <c r="V290" t="n">
        <v>36</v>
      </c>
      <c r="W290" t="n">
        <v>5.615</v>
      </c>
      <c r="X290" t="n">
        <v>2</v>
      </c>
      <c r="Y290" t="n">
        <v>3</v>
      </c>
      <c r="Z290" t="n">
        <v>3</v>
      </c>
      <c r="AA290" t="n">
        <v>4</v>
      </c>
      <c r="AB290" t="n">
        <v>4</v>
      </c>
      <c r="AC290" t="n">
        <v>3</v>
      </c>
      <c r="AD290" t="n">
        <v>3</v>
      </c>
      <c r="AE290" t="n">
        <v>0</v>
      </c>
      <c r="AF290" t="n">
        <v>143</v>
      </c>
      <c r="AG290" t="n">
        <v>139</v>
      </c>
      <c r="AH290" t="n">
        <v>-4</v>
      </c>
      <c r="AI290" t="n">
        <v>36</v>
      </c>
      <c r="AJ290" t="n">
        <v>0.083</v>
      </c>
      <c r="AK290" t="n">
        <v>0.091</v>
      </c>
      <c r="AL290" t="n">
        <v>32</v>
      </c>
      <c r="AM290" t="n">
        <v>4.991</v>
      </c>
      <c r="AN290" t="n">
        <v>0</v>
      </c>
      <c r="AO290" t="n">
        <v>0</v>
      </c>
      <c r="AP290" t="n">
        <v>0</v>
      </c>
      <c r="AQ290" t="n">
        <v>0</v>
      </c>
      <c r="AR290" t="n">
        <v>0</v>
      </c>
      <c r="AS290" t="n">
        <v>0.184</v>
      </c>
      <c r="AT290" t="n">
        <v>0.417</v>
      </c>
      <c r="AU290" t="n">
        <v>7</v>
      </c>
      <c r="AV290" t="n">
        <v>0</v>
      </c>
      <c r="AW290" t="n">
        <v>1.92</v>
      </c>
      <c r="AX290" t="n">
        <v>8</v>
      </c>
      <c r="AY290" t="n">
        <v>3.31</v>
      </c>
      <c r="AZ290" t="n">
        <v>4.896</v>
      </c>
      <c r="BA290" t="n">
        <v>4.103</v>
      </c>
      <c r="BB290" t="n">
        <v>4.896</v>
      </c>
      <c r="BC290" t="n">
        <v>0.516</v>
      </c>
      <c r="BD290" t="n">
        <v>0.764</v>
      </c>
      <c r="BE290" t="n">
        <v>0.64</v>
      </c>
      <c r="BF290" t="n">
        <v>2.3</v>
      </c>
      <c r="BG290" t="n">
        <v>0.359</v>
      </c>
      <c r="BH290" t="n">
        <v>0.92</v>
      </c>
      <c r="BI290" t="n">
        <v>36.78</v>
      </c>
      <c r="BJ290" t="n">
        <v>3.045</v>
      </c>
      <c r="BK290" t="n">
        <v>0.475</v>
      </c>
      <c r="BL290" t="n">
        <v>-2.103</v>
      </c>
      <c r="BM290" t="n">
        <v>-1.01</v>
      </c>
      <c r="BN290" t="n">
        <v>-0.3</v>
      </c>
      <c r="BO290" t="n">
        <v>-1.586</v>
      </c>
      <c r="BP290" t="n">
        <v>18</v>
      </c>
      <c r="BQ290" t="n">
        <v>4</v>
      </c>
      <c r="BR290" t="n">
        <v>6</v>
      </c>
      <c r="BS290" t="n">
        <v>39</v>
      </c>
      <c r="BT290" t="n">
        <v>6.083</v>
      </c>
      <c r="BV290" t="n">
        <v>1</v>
      </c>
      <c r="BW290" t="n">
        <v>0.64</v>
      </c>
      <c r="BX290" t="n">
        <v>1.457</v>
      </c>
      <c r="BY290" t="n">
        <v>1.048</v>
      </c>
      <c r="BZ290" t="n">
        <v>0.164</v>
      </c>
      <c r="CA290" t="n">
        <v>5.151</v>
      </c>
      <c r="CB290" t="n">
        <v>0.803</v>
      </c>
      <c r="CC290" t="n">
        <v>11</v>
      </c>
      <c r="CD290" t="n">
        <v>2</v>
      </c>
      <c r="CE290" t="n">
        <v>11</v>
      </c>
      <c r="CG290" t="n">
        <v>1</v>
      </c>
      <c r="CI290" t="n">
        <v>4.522</v>
      </c>
      <c r="CJ290" t="n">
        <v>0.752</v>
      </c>
      <c r="CK290" t="n">
        <v>10</v>
      </c>
      <c r="CL290" t="n">
        <v>14</v>
      </c>
      <c r="CM290" t="n">
        <v>8</v>
      </c>
      <c r="CN290" t="n">
        <v>5</v>
      </c>
      <c r="CO290" t="n">
        <v>1</v>
      </c>
      <c r="CP290" t="n">
        <v>8</v>
      </c>
      <c r="CQ290" t="n">
        <v>1</v>
      </c>
      <c r="CR290" t="n">
        <v>36</v>
      </c>
      <c r="CS290" t="n">
        <v>17</v>
      </c>
      <c r="CW290" t="n">
        <v>6.68</v>
      </c>
      <c r="CX290" t="n">
        <v>1.042</v>
      </c>
      <c r="CY290" t="n">
        <v>0</v>
      </c>
      <c r="DB290" t="n">
        <v>0</v>
      </c>
      <c r="DF290" t="n">
        <v>1</v>
      </c>
      <c r="DG290" t="n">
        <v>0</v>
      </c>
      <c r="DH290" t="n">
        <v>8</v>
      </c>
      <c r="DI290" t="n">
        <v>8</v>
      </c>
      <c r="DL290" t="n">
        <v>3</v>
      </c>
      <c r="DM290" t="n">
        <v>8</v>
      </c>
      <c r="DN290" t="n">
        <v>3</v>
      </c>
      <c r="DO290" t="n">
        <v>3.3</v>
      </c>
      <c r="DP290" t="n">
        <v>133.33</v>
      </c>
      <c r="DQ290" t="n">
        <v>66.68000000000001</v>
      </c>
      <c r="DR290" t="n">
        <v>133.36</v>
      </c>
      <c r="DS290" t="n">
        <v>-0.03</v>
      </c>
      <c r="DT290" t="n">
        <v>2394</v>
      </c>
      <c r="DU290" t="n">
        <v>63</v>
      </c>
      <c r="DV290" t="inlineStr">
        <is>
          <t>flat</t>
        </is>
      </c>
      <c r="DW290" t="n">
        <v>33.53</v>
      </c>
      <c r="DX290" t="n">
        <v>30.02</v>
      </c>
      <c r="DY290" t="n">
        <v>33.84</v>
      </c>
      <c r="DZ290" t="n">
        <v>0.31</v>
      </c>
      <c r="EA290" t="n">
        <v>1444</v>
      </c>
      <c r="EB290" t="n">
        <v>22.44</v>
      </c>
      <c r="EC290" t="n">
        <v>1.33</v>
      </c>
      <c r="ED290" t="n">
        <v>120</v>
      </c>
      <c r="EE290" t="n">
        <v>2630</v>
      </c>
      <c r="EF290" t="b">
        <v>1</v>
      </c>
      <c r="EG290" t="n">
        <v>98.59999999999999</v>
      </c>
      <c r="EH290" t="n">
        <v>45.3</v>
      </c>
      <c r="EI290" t="n">
        <v>22</v>
      </c>
      <c r="EJ290" t="n">
        <v>32.1</v>
      </c>
      <c r="EK290" t="n">
        <v>14.8</v>
      </c>
      <c r="EL290" t="n">
        <v>52.5</v>
      </c>
      <c r="EM290" t="n">
        <v>140.6</v>
      </c>
      <c r="EN290" t="n">
        <v>550.3</v>
      </c>
      <c r="EO290" t="n">
        <v>112</v>
      </c>
      <c r="EP290" t="n">
        <v>16</v>
      </c>
    </row>
    <row r="291">
      <c r="A291" t="inlineStr">
        <is>
          <t>Justin Devenny</t>
        </is>
      </c>
      <c r="B291" t="inlineStr">
        <is>
          <t>CRY</t>
        </is>
      </c>
      <c r="C291" t="inlineStr">
        <is>
          <t>MID</t>
        </is>
      </c>
      <c r="D291" t="inlineStr">
        <is>
          <t>MID</t>
        </is>
      </c>
      <c r="E291" t="n">
        <v>5</v>
      </c>
      <c r="F291" t="b">
        <v>1</v>
      </c>
      <c r="G291" t="b">
        <v>1</v>
      </c>
      <c r="H291" t="n">
        <v>22.9</v>
      </c>
      <c r="I291" t="inlineStr">
        <is>
          <t>a</t>
        </is>
      </c>
      <c r="L291" t="inlineStr">
        <is>
          <t>p489706</t>
        </is>
      </c>
      <c r="M291" t="n">
        <v>215</v>
      </c>
      <c r="N291" t="n">
        <v>3</v>
      </c>
      <c r="P291" t="n">
        <v>2</v>
      </c>
      <c r="Q291" t="n">
        <v>785</v>
      </c>
      <c r="R291" t="n">
        <v>21</v>
      </c>
      <c r="S291" t="n">
        <v>7</v>
      </c>
      <c r="T291" t="n">
        <v>8.722</v>
      </c>
      <c r="U291" t="n">
        <v>37.4</v>
      </c>
      <c r="V291" t="n">
        <v>36</v>
      </c>
      <c r="W291" t="n">
        <v>4.127</v>
      </c>
      <c r="X291" t="n">
        <v>1</v>
      </c>
      <c r="Y291" t="n">
        <v>0</v>
      </c>
      <c r="AA291" t="n">
        <v>1</v>
      </c>
      <c r="AB291" t="n">
        <v>15</v>
      </c>
      <c r="AC291" t="n">
        <v>0</v>
      </c>
      <c r="AD291" t="n">
        <v>0</v>
      </c>
      <c r="AE291" t="n">
        <v>0</v>
      </c>
      <c r="AF291" t="n">
        <v>108</v>
      </c>
      <c r="AG291" t="n">
        <v>106</v>
      </c>
      <c r="AH291" t="n">
        <v>-2</v>
      </c>
      <c r="AI291" t="n">
        <v>36</v>
      </c>
      <c r="AJ291" t="n">
        <v>0</v>
      </c>
      <c r="AK291" t="n">
        <v>0</v>
      </c>
      <c r="AL291" t="n">
        <v>72</v>
      </c>
      <c r="AM291" t="n">
        <v>8.255000000000001</v>
      </c>
      <c r="AN291" t="n">
        <v>1</v>
      </c>
      <c r="AO291" t="n">
        <v>2</v>
      </c>
      <c r="AP291" t="n">
        <v>0.143</v>
      </c>
      <c r="AQ291" t="n">
        <v>0.143</v>
      </c>
      <c r="AR291" t="n">
        <v>0.143</v>
      </c>
      <c r="AS291" t="n">
        <v>0.184</v>
      </c>
      <c r="AT291" t="n">
        <v>0.333</v>
      </c>
      <c r="AU291" t="n">
        <v>18</v>
      </c>
      <c r="AV291" t="n">
        <v>0</v>
      </c>
      <c r="AW291" t="n">
        <v>1.27</v>
      </c>
      <c r="AX291" t="n">
        <v>6</v>
      </c>
      <c r="AY291" t="n">
        <v>2.38</v>
      </c>
      <c r="AZ291" t="n">
        <v>2.245</v>
      </c>
      <c r="BA291" t="n">
        <v>2.313</v>
      </c>
      <c r="BB291" t="n">
        <v>1.484</v>
      </c>
      <c r="BC291" t="n">
        <v>0.273</v>
      </c>
      <c r="BD291" t="n">
        <v>0.257</v>
      </c>
      <c r="BE291" t="n">
        <v>0.265</v>
      </c>
      <c r="BF291" t="n">
        <v>1</v>
      </c>
      <c r="BG291" t="n">
        <v>0.115</v>
      </c>
      <c r="BH291" t="n">
        <v>0.888</v>
      </c>
      <c r="BI291" t="n">
        <v>3.15</v>
      </c>
      <c r="BJ291" t="n">
        <v>2.113</v>
      </c>
      <c r="BK291" t="n">
        <v>0.242</v>
      </c>
      <c r="BL291" t="n">
        <v>-1.313</v>
      </c>
      <c r="BM291" t="n">
        <v>-1.38</v>
      </c>
      <c r="BN291" t="n">
        <v>0</v>
      </c>
      <c r="BO291" t="n">
        <v>0.135</v>
      </c>
      <c r="BP291" t="n">
        <v>13</v>
      </c>
      <c r="BQ291" t="n">
        <v>4</v>
      </c>
      <c r="BR291" t="n">
        <v>4</v>
      </c>
      <c r="BS291" t="n">
        <v>32</v>
      </c>
      <c r="BT291" t="n">
        <v>3.669</v>
      </c>
      <c r="BU291" t="n">
        <v>1</v>
      </c>
      <c r="BW291" t="n">
        <v>0.39</v>
      </c>
      <c r="BX291" t="n">
        <v>0.332</v>
      </c>
      <c r="BY291" t="n">
        <v>0.361</v>
      </c>
      <c r="BZ291" t="n">
        <v>0.041</v>
      </c>
      <c r="CA291" t="n">
        <v>2.674</v>
      </c>
      <c r="CB291" t="n">
        <v>0.307</v>
      </c>
      <c r="CC291" t="n">
        <v>7</v>
      </c>
      <c r="CE291" t="n">
        <v>7</v>
      </c>
      <c r="CF291" t="n">
        <v>0</v>
      </c>
      <c r="CH291" t="n">
        <v>1</v>
      </c>
      <c r="CI291" t="n">
        <v>3.624</v>
      </c>
      <c r="CJ291" t="n">
        <v>2.077</v>
      </c>
      <c r="CK291" t="n">
        <v>13</v>
      </c>
      <c r="CL291" t="n">
        <v>34</v>
      </c>
      <c r="CM291" t="n">
        <v>25</v>
      </c>
      <c r="CN291" t="n">
        <v>11</v>
      </c>
      <c r="CO291" t="n">
        <v>1</v>
      </c>
      <c r="CP291" t="n">
        <v>12</v>
      </c>
      <c r="CQ291" t="n">
        <v>0</v>
      </c>
      <c r="CR291" t="n">
        <v>46</v>
      </c>
      <c r="CS291" t="n">
        <v>8</v>
      </c>
      <c r="CT291" t="n">
        <v>0.5</v>
      </c>
      <c r="CW291" t="n">
        <v>14.71</v>
      </c>
      <c r="CX291" t="n">
        <v>1.686</v>
      </c>
      <c r="CY291" t="n">
        <v>0</v>
      </c>
      <c r="DB291" t="n">
        <v>0</v>
      </c>
      <c r="DF291" t="n">
        <v>0</v>
      </c>
      <c r="DG291" t="n">
        <v>0</v>
      </c>
      <c r="DH291" t="n">
        <v>11</v>
      </c>
      <c r="DI291" t="n">
        <v>10</v>
      </c>
      <c r="DL291" t="n">
        <v>3</v>
      </c>
      <c r="DM291" t="n">
        <v>11</v>
      </c>
      <c r="DN291" t="n">
        <v>1</v>
      </c>
      <c r="DO291" t="n">
        <v>0</v>
      </c>
      <c r="DP291" t="n">
        <v>18.62</v>
      </c>
      <c r="DQ291" t="n">
        <v>9.31</v>
      </c>
      <c r="DR291" t="n">
        <v>18.62</v>
      </c>
      <c r="DS291" t="n">
        <v>0</v>
      </c>
      <c r="DT291" t="n">
        <v>64</v>
      </c>
      <c r="DU291" t="n">
        <v>1.68</v>
      </c>
      <c r="DV291" t="inlineStr">
        <is>
          <t>flat</t>
        </is>
      </c>
      <c r="EJ291" t="n">
        <v>60.4</v>
      </c>
      <c r="EK291" t="n">
        <v>24.5</v>
      </c>
      <c r="EL291" t="n">
        <v>112.1</v>
      </c>
      <c r="EM291" t="n">
        <v>339.4</v>
      </c>
      <c r="EN291" t="n">
        <v>2173.1</v>
      </c>
      <c r="EO291" t="n">
        <v>293.6</v>
      </c>
      <c r="EP291" t="n">
        <v>21.8</v>
      </c>
    </row>
    <row r="292">
      <c r="A292" t="inlineStr">
        <is>
          <t>Merlin Röhl</t>
        </is>
      </c>
      <c r="B292" t="inlineStr">
        <is>
          <t>EVE</t>
        </is>
      </c>
      <c r="C292" t="inlineStr">
        <is>
          <t>MID</t>
        </is>
      </c>
      <c r="D292" t="inlineStr">
        <is>
          <t>MID</t>
        </is>
      </c>
      <c r="E292" t="n">
        <v>5</v>
      </c>
      <c r="F292" t="b">
        <v>1</v>
      </c>
      <c r="G292" t="b">
        <v>1</v>
      </c>
      <c r="H292" t="n">
        <v>24.1</v>
      </c>
      <c r="I292" t="inlineStr">
        <is>
          <t>a</t>
        </is>
      </c>
      <c r="L292" t="inlineStr">
        <is>
          <t>p513466</t>
        </is>
      </c>
      <c r="M292" t="n">
        <v>246</v>
      </c>
      <c r="Q292" t="n">
        <v>675</v>
      </c>
      <c r="R292" t="n">
        <v>16</v>
      </c>
      <c r="S292" t="n">
        <v>6</v>
      </c>
      <c r="T292" t="n">
        <v>7.5</v>
      </c>
      <c r="U292" t="n">
        <v>42.2</v>
      </c>
      <c r="V292" t="n">
        <v>36</v>
      </c>
      <c r="W292" t="n">
        <v>4.8</v>
      </c>
      <c r="X292" t="n">
        <v>1</v>
      </c>
      <c r="Y292" t="n">
        <v>1</v>
      </c>
      <c r="AA292" t="n">
        <v>2</v>
      </c>
      <c r="AB292" t="n">
        <v>13</v>
      </c>
      <c r="AC292" t="n">
        <v>2</v>
      </c>
      <c r="AD292" t="n">
        <v>2</v>
      </c>
      <c r="AE292" t="n">
        <v>0</v>
      </c>
      <c r="AF292" t="n">
        <v>98</v>
      </c>
      <c r="AG292" t="n">
        <v>93</v>
      </c>
      <c r="AH292" t="n">
        <v>-5</v>
      </c>
      <c r="AI292" t="n">
        <v>36</v>
      </c>
      <c r="AJ292" t="n">
        <v>0.056</v>
      </c>
      <c r="AK292" t="n">
        <v>0.059</v>
      </c>
      <c r="AL292" t="n">
        <v>68</v>
      </c>
      <c r="AM292" t="n">
        <v>9.067</v>
      </c>
      <c r="AN292" t="n">
        <v>1</v>
      </c>
      <c r="AO292" t="n">
        <v>2</v>
      </c>
      <c r="AP292" t="n">
        <v>0.167</v>
      </c>
      <c r="AQ292" t="n">
        <v>0.167</v>
      </c>
      <c r="AR292" t="n">
        <v>0.167</v>
      </c>
      <c r="AS292" t="n">
        <v>0.158</v>
      </c>
      <c r="AT292" t="n">
        <v>0.375</v>
      </c>
      <c r="AU292" t="n">
        <v>12</v>
      </c>
      <c r="AV292" t="n">
        <v>0</v>
      </c>
      <c r="AW292" t="n">
        <v>1.89</v>
      </c>
      <c r="AX292" t="n">
        <v>9</v>
      </c>
      <c r="AY292" t="n">
        <v>0.67</v>
      </c>
      <c r="AZ292" t="n">
        <v>0.5590000000000001</v>
      </c>
      <c r="BA292" t="n">
        <v>0.614</v>
      </c>
      <c r="BB292" t="n">
        <v>0.5590000000000001</v>
      </c>
      <c r="BC292" t="n">
        <v>0.089</v>
      </c>
      <c r="BD292" t="n">
        <v>0.074</v>
      </c>
      <c r="BE292" t="n">
        <v>0.082</v>
      </c>
      <c r="BF292" t="n">
        <v>0.3</v>
      </c>
      <c r="BG292" t="n">
        <v>0.04</v>
      </c>
      <c r="BH292" t="n">
        <v>0.957</v>
      </c>
      <c r="BI292" t="n">
        <v>0.67</v>
      </c>
      <c r="BJ292" t="n">
        <v>0.641</v>
      </c>
      <c r="BK292" t="n">
        <v>0.08500000000000001</v>
      </c>
      <c r="BL292" t="n">
        <v>0.386</v>
      </c>
      <c r="BM292" t="n">
        <v>-0.37</v>
      </c>
      <c r="BN292" t="n">
        <v>0.7</v>
      </c>
      <c r="BO292" t="n">
        <v>0.111</v>
      </c>
      <c r="BP292" t="n">
        <v>11</v>
      </c>
      <c r="BQ292" t="n">
        <v>1</v>
      </c>
      <c r="BR292" t="n">
        <v>1</v>
      </c>
      <c r="BS292" t="n">
        <v>20</v>
      </c>
      <c r="BT292" t="n">
        <v>2.667</v>
      </c>
      <c r="BW292" t="n">
        <v>0.35</v>
      </c>
      <c r="BX292" t="n">
        <v>0.361</v>
      </c>
      <c r="BY292" t="n">
        <v>0.355</v>
      </c>
      <c r="BZ292" t="n">
        <v>0.047</v>
      </c>
      <c r="CA292" t="n">
        <v>0.97</v>
      </c>
      <c r="CB292" t="n">
        <v>0.129</v>
      </c>
      <c r="CC292" t="n">
        <v>6</v>
      </c>
      <c r="CE292" t="n">
        <v>6</v>
      </c>
      <c r="CF292" t="n">
        <v>3</v>
      </c>
      <c r="CI292" t="n">
        <v>1.404</v>
      </c>
      <c r="CJ292" t="n">
        <v>0.696</v>
      </c>
      <c r="CK292" t="n">
        <v>15</v>
      </c>
      <c r="CL292" t="n">
        <v>28</v>
      </c>
      <c r="CM292" t="n">
        <v>25</v>
      </c>
      <c r="CN292" t="n">
        <v>12</v>
      </c>
      <c r="CO292" t="n">
        <v>4</v>
      </c>
      <c r="CP292" t="n">
        <v>9</v>
      </c>
      <c r="CQ292" t="n">
        <v>2</v>
      </c>
      <c r="CR292" t="n">
        <v>50</v>
      </c>
      <c r="CS292" t="n">
        <v>15</v>
      </c>
      <c r="CW292" t="n">
        <v>13.31</v>
      </c>
      <c r="CX292" t="n">
        <v>1.775</v>
      </c>
      <c r="CY292" t="n">
        <v>0</v>
      </c>
      <c r="DB292" t="n">
        <v>0</v>
      </c>
      <c r="DF292" t="n">
        <v>0</v>
      </c>
      <c r="DG292" t="n">
        <v>0</v>
      </c>
      <c r="DH292" t="n">
        <v>20</v>
      </c>
      <c r="DI292" t="n">
        <v>7</v>
      </c>
      <c r="DL292" t="n">
        <v>3</v>
      </c>
      <c r="DM292" t="n">
        <v>15</v>
      </c>
      <c r="DN292" t="n">
        <v>2</v>
      </c>
      <c r="DO292" t="n">
        <v>0.1</v>
      </c>
      <c r="DP292" t="n">
        <v>32.7</v>
      </c>
      <c r="DQ292" t="n">
        <v>16.82</v>
      </c>
      <c r="DR292" t="n">
        <v>33.64</v>
      </c>
      <c r="DS292" t="n">
        <v>-0.9399999999999999</v>
      </c>
      <c r="DT292" t="n">
        <v>727</v>
      </c>
      <c r="DU292" t="n">
        <v>19.14</v>
      </c>
      <c r="DV292" t="inlineStr">
        <is>
          <t>fade (losing his place)</t>
        </is>
      </c>
      <c r="DW292" t="n">
        <v>95.18000000000001</v>
      </c>
      <c r="DX292" t="n">
        <v>111.33</v>
      </c>
      <c r="DY292" t="n">
        <v>93.33</v>
      </c>
      <c r="DZ292" t="n">
        <v>-1.85</v>
      </c>
      <c r="EA292" t="n">
        <v>5</v>
      </c>
      <c r="EB292" t="n">
        <v>17.99</v>
      </c>
      <c r="EC292" t="n">
        <v>56.8</v>
      </c>
      <c r="ED292" t="n">
        <v>120</v>
      </c>
      <c r="EE292" t="n">
        <v>12</v>
      </c>
      <c r="EF292" t="b">
        <v>1</v>
      </c>
      <c r="EG292" t="n">
        <v>0.3</v>
      </c>
      <c r="EH292" t="n">
        <v>20</v>
      </c>
      <c r="EI292" t="n">
        <v>296</v>
      </c>
      <c r="EJ292" t="n">
        <v>61.4</v>
      </c>
      <c r="EK292" t="n">
        <v>33.8</v>
      </c>
      <c r="EL292" t="n">
        <v>112.5</v>
      </c>
      <c r="EM292" t="n">
        <v>1098.7</v>
      </c>
      <c r="EN292" t="n">
        <v>1898.8</v>
      </c>
      <c r="EO292" t="n">
        <v>696</v>
      </c>
      <c r="EP292" t="n">
        <v>18.8</v>
      </c>
    </row>
    <row r="293">
      <c r="A293" t="inlineStr">
        <is>
          <t>Charalampos Kostoulas</t>
        </is>
      </c>
      <c r="B293" t="inlineStr">
        <is>
          <t>BHA</t>
        </is>
      </c>
      <c r="C293" t="inlineStr">
        <is>
          <t>FWD</t>
        </is>
      </c>
      <c r="D293" t="inlineStr">
        <is>
          <t>FWD</t>
        </is>
      </c>
      <c r="E293" t="n">
        <v>5.5</v>
      </c>
      <c r="F293" t="b">
        <v>1</v>
      </c>
      <c r="G293" t="b">
        <v>1</v>
      </c>
      <c r="H293" t="n">
        <v>19.2</v>
      </c>
      <c r="I293" t="inlineStr">
        <is>
          <t>a</t>
        </is>
      </c>
      <c r="L293" t="inlineStr">
        <is>
          <t>p647850</t>
        </is>
      </c>
      <c r="M293" t="n">
        <v>138</v>
      </c>
      <c r="Q293" t="n">
        <v>351</v>
      </c>
      <c r="R293" t="n">
        <v>21</v>
      </c>
      <c r="S293" t="n">
        <v>2</v>
      </c>
      <c r="T293" t="n">
        <v>3.9</v>
      </c>
      <c r="U293" t="n">
        <v>16.7</v>
      </c>
      <c r="V293" t="n">
        <v>35</v>
      </c>
      <c r="W293" t="n">
        <v>8.974</v>
      </c>
      <c r="X293" t="n">
        <v>2</v>
      </c>
      <c r="Y293" t="n">
        <v>1</v>
      </c>
      <c r="Z293" t="n">
        <v>1</v>
      </c>
      <c r="AA293" t="n">
        <v>1</v>
      </c>
      <c r="AB293" t="n">
        <v>9</v>
      </c>
      <c r="AC293" t="n">
        <v>3</v>
      </c>
      <c r="AD293" t="n">
        <v>3</v>
      </c>
      <c r="AE293" t="n">
        <v>0</v>
      </c>
      <c r="AF293" t="n">
        <v>140</v>
      </c>
      <c r="AG293" t="n">
        <v>140</v>
      </c>
      <c r="AH293" t="n">
        <v>0</v>
      </c>
      <c r="AI293" t="n">
        <v>35</v>
      </c>
      <c r="AJ293" t="n">
        <v>0.08599999999999999</v>
      </c>
      <c r="AK293" t="n">
        <v>0.094</v>
      </c>
      <c r="AL293" t="n">
        <v>41</v>
      </c>
      <c r="AM293" t="n">
        <v>10.513</v>
      </c>
      <c r="AN293" t="n">
        <v>0</v>
      </c>
      <c r="AO293" t="n">
        <v>0</v>
      </c>
      <c r="AP293" t="n">
        <v>0</v>
      </c>
      <c r="AQ293" t="n">
        <v>0</v>
      </c>
      <c r="AR293" t="n">
        <v>0</v>
      </c>
      <c r="AS293" t="n">
        <v>0.053</v>
      </c>
      <c r="AT293" t="n">
        <v>0.095</v>
      </c>
      <c r="AU293" t="n">
        <v>18</v>
      </c>
      <c r="AV293" t="n">
        <v>0</v>
      </c>
      <c r="AW293" t="n">
        <v>1.65</v>
      </c>
      <c r="AX293" t="n">
        <v>8</v>
      </c>
      <c r="AY293" t="n">
        <v>2.12</v>
      </c>
      <c r="AZ293" t="n">
        <v>2.257</v>
      </c>
      <c r="BA293" t="n">
        <v>2.188</v>
      </c>
      <c r="BB293" t="n">
        <v>2.257</v>
      </c>
      <c r="BC293" t="n">
        <v>0.544</v>
      </c>
      <c r="BD293" t="n">
        <v>0.579</v>
      </c>
      <c r="BE293" t="n">
        <v>0.5610000000000001</v>
      </c>
      <c r="BF293" t="n">
        <v>2.2</v>
      </c>
      <c r="BG293" t="n">
        <v>0.5639999999999999</v>
      </c>
      <c r="BH293" t="n">
        <v>1.008</v>
      </c>
      <c r="BI293" t="n">
        <v>2.12</v>
      </c>
      <c r="BJ293" t="n">
        <v>2.137</v>
      </c>
      <c r="BK293" t="n">
        <v>0.548</v>
      </c>
      <c r="BL293" t="n">
        <v>-0.188</v>
      </c>
      <c r="BM293" t="n">
        <v>0.08</v>
      </c>
      <c r="BN293" t="n">
        <v>-0.2</v>
      </c>
      <c r="BO293" t="n">
        <v>-0.137</v>
      </c>
      <c r="BP293" t="n">
        <v>21</v>
      </c>
      <c r="BQ293" t="n">
        <v>8</v>
      </c>
      <c r="BR293" t="n">
        <v>2</v>
      </c>
      <c r="BS293" t="n">
        <v>42</v>
      </c>
      <c r="BT293" t="n">
        <v>10.769</v>
      </c>
      <c r="BV293" t="n">
        <v>1</v>
      </c>
      <c r="BW293" t="n">
        <v>0.54</v>
      </c>
      <c r="BX293" t="n">
        <v>1.28</v>
      </c>
      <c r="BY293" t="n">
        <v>0.91</v>
      </c>
      <c r="BZ293" t="n">
        <v>0.233</v>
      </c>
      <c r="CA293" t="n">
        <v>3.099</v>
      </c>
      <c r="CB293" t="n">
        <v>0.794</v>
      </c>
      <c r="CC293" t="n">
        <v>10</v>
      </c>
      <c r="CD293" t="n">
        <v>3</v>
      </c>
      <c r="CE293" t="n">
        <v>10</v>
      </c>
      <c r="CH293" t="n">
        <v>1</v>
      </c>
      <c r="CI293" t="n">
        <v>3.496</v>
      </c>
      <c r="CJ293" t="n">
        <v>0.506</v>
      </c>
      <c r="CK293" t="n">
        <v>5</v>
      </c>
      <c r="CL293" t="n">
        <v>25</v>
      </c>
      <c r="CM293" t="n">
        <v>11</v>
      </c>
      <c r="CN293" t="n">
        <v>7</v>
      </c>
      <c r="CO293" t="n">
        <v>1</v>
      </c>
      <c r="CP293" t="n">
        <v>4</v>
      </c>
      <c r="CR293" t="n">
        <v>51</v>
      </c>
      <c r="CS293" t="n">
        <v>22</v>
      </c>
      <c r="CT293" t="n">
        <v>1.8</v>
      </c>
      <c r="CW293" t="n">
        <v>6.04</v>
      </c>
      <c r="CX293" t="n">
        <v>1.549</v>
      </c>
      <c r="CY293" t="n">
        <v>0</v>
      </c>
      <c r="DB293" t="n">
        <v>0</v>
      </c>
      <c r="DF293" t="n">
        <v>2</v>
      </c>
      <c r="DG293" t="n">
        <v>0</v>
      </c>
      <c r="DH293" t="n">
        <v>7</v>
      </c>
      <c r="DI293" t="n">
        <v>7</v>
      </c>
      <c r="DL293" t="n">
        <v>11</v>
      </c>
      <c r="DM293" t="n">
        <v>10</v>
      </c>
      <c r="DN293" t="n">
        <v>4</v>
      </c>
      <c r="DO293" t="n">
        <v>0.3</v>
      </c>
      <c r="DP293" t="n">
        <v>46.92</v>
      </c>
      <c r="DQ293" t="n">
        <v>24.85</v>
      </c>
      <c r="DR293" t="n">
        <v>49.7</v>
      </c>
      <c r="DS293" t="n">
        <v>-2.78</v>
      </c>
      <c r="DT293" t="n">
        <v>821</v>
      </c>
      <c r="DU293" t="n">
        <v>21.6</v>
      </c>
      <c r="DV293" t="inlineStr">
        <is>
          <t>fade (losing his place)</t>
        </is>
      </c>
      <c r="DW293" t="n">
        <v>96.59</v>
      </c>
      <c r="DX293" t="n">
        <v>95.95</v>
      </c>
      <c r="DY293" t="n">
        <v>98.73999999999999</v>
      </c>
      <c r="DZ293" t="n">
        <v>2.15</v>
      </c>
      <c r="EA293" t="n">
        <v>223</v>
      </c>
      <c r="EB293" t="n">
        <v>18.53</v>
      </c>
      <c r="EC293" t="n">
        <v>20.5</v>
      </c>
      <c r="ED293" t="n">
        <v>120</v>
      </c>
      <c r="EE293" t="n">
        <v>371</v>
      </c>
      <c r="EF293" t="b">
        <v>1</v>
      </c>
      <c r="EG293" t="n">
        <v>9</v>
      </c>
      <c r="EH293" t="n">
        <v>15.1</v>
      </c>
      <c r="EI293" t="n">
        <v>181</v>
      </c>
      <c r="EJ293" t="n">
        <v>16.7</v>
      </c>
      <c r="EK293" t="n">
        <v>8.4</v>
      </c>
      <c r="EL293" t="n">
        <v>35.1</v>
      </c>
      <c r="EM293" t="n">
        <v>160.4</v>
      </c>
      <c r="EN293" t="n">
        <v>385.7</v>
      </c>
      <c r="EO293" t="n">
        <v>113.3</v>
      </c>
      <c r="EP293" t="n">
        <v>10</v>
      </c>
    </row>
    <row r="294">
      <c r="A294" t="inlineStr">
        <is>
          <t>Tosin Adarabioyo</t>
        </is>
      </c>
      <c r="B294" t="inlineStr">
        <is>
          <t>CHE</t>
        </is>
      </c>
      <c r="C294" t="inlineStr">
        <is>
          <t>DEF</t>
        </is>
      </c>
      <c r="D294" t="inlineStr">
        <is>
          <t>DEF</t>
        </is>
      </c>
      <c r="E294" t="n">
        <v>4.5</v>
      </c>
      <c r="F294" t="b">
        <v>1</v>
      </c>
      <c r="G294" t="b">
        <v>1</v>
      </c>
      <c r="H294" t="n">
        <v>28.9</v>
      </c>
      <c r="I294" t="inlineStr">
        <is>
          <t>a</t>
        </is>
      </c>
      <c r="L294" t="inlineStr">
        <is>
          <t>p109646</t>
        </is>
      </c>
      <c r="M294" t="n">
        <v>147</v>
      </c>
      <c r="Q294" t="n">
        <v>788</v>
      </c>
      <c r="R294" t="n">
        <v>16</v>
      </c>
      <c r="S294" t="n">
        <v>8</v>
      </c>
      <c r="T294" t="n">
        <v>8.756</v>
      </c>
      <c r="U294" t="n">
        <v>49.2</v>
      </c>
      <c r="V294" t="n">
        <v>34</v>
      </c>
      <c r="W294" t="n">
        <v>3.883</v>
      </c>
      <c r="X294" t="n">
        <v>0</v>
      </c>
      <c r="Y294" t="n">
        <v>0</v>
      </c>
      <c r="AA294" t="n">
        <v>2</v>
      </c>
      <c r="AB294" t="n">
        <v>14</v>
      </c>
      <c r="AC294" t="n">
        <v>2</v>
      </c>
      <c r="AD294" t="n">
        <v>2</v>
      </c>
      <c r="AE294" t="n">
        <v>0</v>
      </c>
      <c r="AF294" t="n">
        <v>130</v>
      </c>
      <c r="AG294" t="n">
        <v>116</v>
      </c>
      <c r="AH294" t="n">
        <v>-14</v>
      </c>
      <c r="AI294" t="n">
        <v>34</v>
      </c>
      <c r="AJ294" t="n">
        <v>0.059</v>
      </c>
      <c r="AK294" t="n">
        <v>0.062</v>
      </c>
      <c r="AL294" t="n">
        <v>97</v>
      </c>
      <c r="AM294" t="n">
        <v>11.079</v>
      </c>
      <c r="AN294" t="n">
        <v>4</v>
      </c>
      <c r="AO294" t="n">
        <v>8</v>
      </c>
      <c r="AP294" t="n">
        <v>0.5</v>
      </c>
      <c r="AQ294" t="n">
        <v>0.5</v>
      </c>
      <c r="AR294" t="n">
        <v>0.25</v>
      </c>
      <c r="AS294" t="n">
        <v>0.211</v>
      </c>
      <c r="AT294" t="n">
        <v>0.438</v>
      </c>
      <c r="AU294" t="n">
        <v>12</v>
      </c>
      <c r="AV294" t="n">
        <v>1</v>
      </c>
      <c r="AW294" t="n">
        <v>2.1</v>
      </c>
      <c r="AX294" t="n">
        <v>10</v>
      </c>
      <c r="AY294" t="n">
        <v>0.11</v>
      </c>
      <c r="AZ294" t="n">
        <v>0.07199999999999999</v>
      </c>
      <c r="BA294" t="n">
        <v>0.091</v>
      </c>
      <c r="BB294" t="n">
        <v>0.07199999999999999</v>
      </c>
      <c r="BC294" t="n">
        <v>0.013</v>
      </c>
      <c r="BD294" t="n">
        <v>0.008</v>
      </c>
      <c r="BE294" t="n">
        <v>0.01</v>
      </c>
      <c r="BH294" t="n">
        <v>0.997</v>
      </c>
      <c r="BI294" t="n">
        <v>2.53</v>
      </c>
      <c r="BJ294" t="n">
        <v>0.11</v>
      </c>
      <c r="BK294" t="n">
        <v>0.013</v>
      </c>
      <c r="BL294" t="n">
        <v>-0.091</v>
      </c>
      <c r="BO294" t="n">
        <v>0.038</v>
      </c>
      <c r="BP294" t="n">
        <v>2</v>
      </c>
      <c r="BS294" t="n">
        <v>4</v>
      </c>
      <c r="BT294" t="n">
        <v>0.457</v>
      </c>
      <c r="BW294" t="n">
        <v>0.4</v>
      </c>
      <c r="BX294" t="n">
        <v>0.416</v>
      </c>
      <c r="BY294" t="n">
        <v>0.408</v>
      </c>
      <c r="BZ294" t="n">
        <v>0.047</v>
      </c>
      <c r="CA294" t="n">
        <v>0.499</v>
      </c>
      <c r="CB294" t="n">
        <v>0.057</v>
      </c>
      <c r="CC294" t="n">
        <v>1</v>
      </c>
      <c r="CD294" t="n">
        <v>1</v>
      </c>
      <c r="CE294" t="n">
        <v>1</v>
      </c>
      <c r="CG294" t="n">
        <v>2</v>
      </c>
      <c r="CI294" t="n">
        <v>3.179</v>
      </c>
      <c r="CJ294" t="n">
        <v>3.179</v>
      </c>
      <c r="CK294" t="n">
        <v>80</v>
      </c>
      <c r="CL294" t="n">
        <v>22</v>
      </c>
      <c r="CM294" t="n">
        <v>17</v>
      </c>
      <c r="CN294" t="n">
        <v>8</v>
      </c>
      <c r="CO294" t="n">
        <v>9</v>
      </c>
      <c r="CP294" t="n">
        <v>66</v>
      </c>
      <c r="CQ294" t="n">
        <v>5</v>
      </c>
      <c r="CR294" t="n">
        <v>58</v>
      </c>
      <c r="CS294" t="n">
        <v>41</v>
      </c>
      <c r="CU294" t="n">
        <v>1</v>
      </c>
      <c r="CW294" t="n">
        <v>13.25</v>
      </c>
      <c r="CX294" t="n">
        <v>1.513</v>
      </c>
      <c r="CY294" t="n">
        <v>0</v>
      </c>
      <c r="DB294" t="n">
        <v>0</v>
      </c>
      <c r="DF294" t="n">
        <v>2</v>
      </c>
      <c r="DG294" t="n">
        <v>0</v>
      </c>
      <c r="DH294" t="n">
        <v>6</v>
      </c>
      <c r="DM294" t="n">
        <v>1</v>
      </c>
      <c r="DN294" t="n">
        <v>1</v>
      </c>
      <c r="DO294" t="n">
        <v>0.2</v>
      </c>
      <c r="DP294" t="n">
        <v>13.14</v>
      </c>
      <c r="DQ294" t="n">
        <v>7.11</v>
      </c>
      <c r="DR294" t="n">
        <v>14.22</v>
      </c>
      <c r="DS294" t="n">
        <v>-1.08</v>
      </c>
      <c r="DT294" t="n">
        <v>261</v>
      </c>
      <c r="DU294" t="n">
        <v>6.87</v>
      </c>
      <c r="DV294" t="inlineStr">
        <is>
          <t>flat</t>
        </is>
      </c>
      <c r="DW294" t="n">
        <v>86.92</v>
      </c>
      <c r="DX294" t="n">
        <v>111</v>
      </c>
      <c r="DY294" t="n">
        <v>83</v>
      </c>
      <c r="DZ294" t="n">
        <v>-3.92</v>
      </c>
      <c r="EA294" t="n">
        <v>5</v>
      </c>
      <c r="EB294" t="n">
        <v>22.21</v>
      </c>
      <c r="EC294" t="n">
        <v>53.33</v>
      </c>
      <c r="ED294" t="n">
        <v>116</v>
      </c>
      <c r="EE294" t="n">
        <v>8</v>
      </c>
      <c r="EF294" t="b">
        <v>0</v>
      </c>
      <c r="EG294" t="n">
        <v>0.2</v>
      </c>
      <c r="EH294" t="n">
        <v>27.3</v>
      </c>
      <c r="EI294" t="n">
        <v>434</v>
      </c>
      <c r="EJ294" t="n">
        <v>394</v>
      </c>
      <c r="EK294" t="n">
        <v>197</v>
      </c>
      <c r="EL294" t="n">
        <v>788</v>
      </c>
      <c r="EM294" t="n">
        <v>8639.5</v>
      </c>
      <c r="EN294" t="n">
        <v>1931.4</v>
      </c>
      <c r="EO294" t="n">
        <v>1578.5</v>
      </c>
      <c r="EP294" t="n">
        <v>23.2</v>
      </c>
    </row>
    <row r="295">
      <c r="A295" t="inlineStr">
        <is>
          <t>Giorgi Mamardashvili</t>
        </is>
      </c>
      <c r="B295" t="inlineStr">
        <is>
          <t>LIV</t>
        </is>
      </c>
      <c r="C295" t="inlineStr">
        <is>
          <t>GKP</t>
        </is>
      </c>
      <c r="D295" t="inlineStr">
        <is>
          <t>GKP</t>
        </is>
      </c>
      <c r="E295" t="n">
        <v>5</v>
      </c>
      <c r="F295" t="b">
        <v>1</v>
      </c>
      <c r="G295" t="b">
        <v>1</v>
      </c>
      <c r="H295" t="n">
        <v>25.9</v>
      </c>
      <c r="I295" t="inlineStr">
        <is>
          <t>a</t>
        </is>
      </c>
      <c r="L295" t="inlineStr">
        <is>
          <t>p449027</t>
        </is>
      </c>
      <c r="M295" t="n">
        <v>351</v>
      </c>
      <c r="Q295" t="n">
        <v>867</v>
      </c>
      <c r="R295" t="n">
        <v>10</v>
      </c>
      <c r="S295" t="n">
        <v>10</v>
      </c>
      <c r="T295" t="n">
        <v>9.632999999999999</v>
      </c>
      <c r="U295" t="n">
        <v>86.7</v>
      </c>
      <c r="V295" t="n">
        <v>34</v>
      </c>
      <c r="W295" t="n">
        <v>3.529</v>
      </c>
      <c r="X295" t="n">
        <v>0</v>
      </c>
      <c r="Y295" t="n">
        <v>0</v>
      </c>
      <c r="AA295" t="n">
        <v>2</v>
      </c>
      <c r="AB295" t="n">
        <v>18</v>
      </c>
      <c r="AC295" t="n">
        <v>2</v>
      </c>
      <c r="AD295" t="n">
        <v>2</v>
      </c>
      <c r="AE295" t="n">
        <v>0</v>
      </c>
      <c r="AF295" t="n">
        <v>139</v>
      </c>
      <c r="AG295" t="n">
        <v>139</v>
      </c>
      <c r="AH295" t="n">
        <v>0</v>
      </c>
      <c r="AI295" t="n">
        <v>34</v>
      </c>
      <c r="AJ295" t="n">
        <v>0.059</v>
      </c>
      <c r="AK295" t="n">
        <v>0.062</v>
      </c>
      <c r="AL295" t="n">
        <v>0</v>
      </c>
      <c r="AM295" t="n">
        <v>0</v>
      </c>
      <c r="AN295" t="n">
        <v>0</v>
      </c>
      <c r="AO295" t="n">
        <v>0</v>
      </c>
      <c r="AP295" t="n">
        <v>0</v>
      </c>
      <c r="AQ295" t="n">
        <v>0</v>
      </c>
      <c r="AR295" t="n">
        <v>0</v>
      </c>
      <c r="AS295" t="n">
        <v>0.263</v>
      </c>
      <c r="AT295" t="n">
        <v>0.9</v>
      </c>
      <c r="AU295" t="n">
        <v>7</v>
      </c>
      <c r="AV295" t="n">
        <v>0</v>
      </c>
      <c r="AW295" t="n">
        <v>2.13</v>
      </c>
      <c r="AX295" t="n">
        <v>9</v>
      </c>
      <c r="AY295" t="n">
        <v>0</v>
      </c>
      <c r="AZ295" t="n">
        <v>0</v>
      </c>
      <c r="BA295" t="n">
        <v>0</v>
      </c>
      <c r="BB295" t="n">
        <v>0</v>
      </c>
      <c r="BC295" t="n">
        <v>0</v>
      </c>
      <c r="BD295" t="n">
        <v>0</v>
      </c>
      <c r="BE295" t="n">
        <v>0</v>
      </c>
      <c r="BH295" t="n">
        <v>1</v>
      </c>
      <c r="BI295" t="n">
        <v>0</v>
      </c>
      <c r="BJ295" t="n">
        <v>0</v>
      </c>
      <c r="BK295" t="n">
        <v>0</v>
      </c>
      <c r="BL295" t="n">
        <v>0</v>
      </c>
      <c r="BO295" t="n">
        <v>0</v>
      </c>
      <c r="BW295" t="n">
        <v>0</v>
      </c>
      <c r="BX295" t="n">
        <v>0</v>
      </c>
      <c r="BY295" t="n">
        <v>0</v>
      </c>
      <c r="BZ295" t="n">
        <v>0</v>
      </c>
      <c r="CA295" t="n">
        <v>0</v>
      </c>
      <c r="CB295" t="n">
        <v>0</v>
      </c>
      <c r="CC295" t="n">
        <v>0</v>
      </c>
      <c r="CI295" t="n">
        <v>2.286</v>
      </c>
      <c r="CJ295" t="n">
        <v>2.286</v>
      </c>
      <c r="CK295" t="n">
        <v>10</v>
      </c>
      <c r="CL295" t="n">
        <v>76</v>
      </c>
      <c r="CM295" t="n">
        <v>1</v>
      </c>
      <c r="CN295" t="n">
        <v>1</v>
      </c>
      <c r="CO295" t="n">
        <v>1</v>
      </c>
      <c r="CP295" t="n">
        <v>9</v>
      </c>
      <c r="CR295" t="n">
        <v>5</v>
      </c>
      <c r="CS295" t="n">
        <v>2</v>
      </c>
      <c r="CV295" t="n">
        <v>1</v>
      </c>
      <c r="CW295" t="n">
        <v>13.29</v>
      </c>
      <c r="CX295" t="n">
        <v>1.38</v>
      </c>
      <c r="CY295" t="n">
        <v>34</v>
      </c>
      <c r="DB295" t="n">
        <v>1</v>
      </c>
      <c r="DC295" t="n">
        <v>3</v>
      </c>
      <c r="DD295" t="n">
        <v>3</v>
      </c>
      <c r="DF295" t="n">
        <v>0</v>
      </c>
      <c r="DG295" t="n">
        <v>0</v>
      </c>
      <c r="DH295" t="n">
        <v>1</v>
      </c>
      <c r="DI295" t="n">
        <v>2</v>
      </c>
      <c r="DK295" t="n">
        <v>1</v>
      </c>
      <c r="DO295" t="n">
        <v>0.2</v>
      </c>
      <c r="DP295" t="n">
        <v>1.58</v>
      </c>
      <c r="DQ295" t="n">
        <v>0.79</v>
      </c>
      <c r="DR295" t="n">
        <v>1.58</v>
      </c>
      <c r="DS295" t="n">
        <v>0</v>
      </c>
      <c r="DT295" t="n">
        <v>35</v>
      </c>
      <c r="DU295" t="n">
        <v>0.91</v>
      </c>
      <c r="DV295" t="inlineStr">
        <is>
          <t>flat</t>
        </is>
      </c>
      <c r="DW295" t="n">
        <v>109.5</v>
      </c>
      <c r="DX295" t="n">
        <v>111.28</v>
      </c>
      <c r="DY295" t="n">
        <v>109.79</v>
      </c>
      <c r="DZ295" t="n">
        <v>0.29</v>
      </c>
      <c r="EA295" t="n">
        <v>534</v>
      </c>
      <c r="EB295" t="n">
        <v>16.04</v>
      </c>
      <c r="EC295" t="n">
        <v>6</v>
      </c>
      <c r="ED295" t="n">
        <v>120</v>
      </c>
      <c r="EE295" t="n">
        <v>841</v>
      </c>
      <c r="EF295" t="b">
        <v>1</v>
      </c>
      <c r="EG295" t="n">
        <v>61.5</v>
      </c>
      <c r="EH295" t="n">
        <v>71.90000000000001</v>
      </c>
      <c r="EI295" t="n">
        <v>298</v>
      </c>
      <c r="EP295" t="n">
        <v>25.5</v>
      </c>
    </row>
    <row r="296">
      <c r="A296" t="inlineStr">
        <is>
          <t>Simon Adingra</t>
        </is>
      </c>
      <c r="B296" t="inlineStr">
        <is>
          <t>SUN</t>
        </is>
      </c>
      <c r="C296" t="inlineStr">
        <is>
          <t>MID</t>
        </is>
      </c>
      <c r="D296" t="inlineStr">
        <is>
          <t>MID</t>
        </is>
      </c>
      <c r="E296" t="n">
        <v>5</v>
      </c>
      <c r="F296" t="b">
        <v>1</v>
      </c>
      <c r="G296" t="b">
        <v>1</v>
      </c>
      <c r="H296" t="n">
        <v>24.6</v>
      </c>
      <c r="I296" t="inlineStr">
        <is>
          <t>a</t>
        </is>
      </c>
      <c r="L296" t="inlineStr">
        <is>
          <t>p535818</t>
        </is>
      </c>
      <c r="M296" t="n">
        <v>546</v>
      </c>
      <c r="Q296" t="n">
        <v>649</v>
      </c>
      <c r="R296" t="n">
        <v>14</v>
      </c>
      <c r="S296" t="n">
        <v>9</v>
      </c>
      <c r="T296" t="n">
        <v>7.211</v>
      </c>
      <c r="U296" t="n">
        <v>46.4</v>
      </c>
      <c r="V296" t="n">
        <v>34</v>
      </c>
      <c r="W296" t="n">
        <v>4.715</v>
      </c>
      <c r="X296" t="n">
        <v>1</v>
      </c>
      <c r="Y296" t="n">
        <v>1</v>
      </c>
      <c r="Z296" t="n">
        <v>0</v>
      </c>
      <c r="AA296" t="n">
        <v>4</v>
      </c>
      <c r="AB296" t="n">
        <v>8</v>
      </c>
      <c r="AC296" t="n">
        <v>3</v>
      </c>
      <c r="AD296" t="n">
        <v>3</v>
      </c>
      <c r="AE296" t="n">
        <v>0</v>
      </c>
      <c r="AF296" t="n">
        <v>81</v>
      </c>
      <c r="AG296" t="n">
        <v>80</v>
      </c>
      <c r="AH296" t="n">
        <v>-1</v>
      </c>
      <c r="AI296" t="n">
        <v>34</v>
      </c>
      <c r="AJ296" t="n">
        <v>0.08799999999999999</v>
      </c>
      <c r="AK296" t="n">
        <v>0.097</v>
      </c>
      <c r="AL296" t="n">
        <v>45</v>
      </c>
      <c r="AM296" t="n">
        <v>6.24</v>
      </c>
      <c r="AN296" t="n">
        <v>0</v>
      </c>
      <c r="AO296" t="n">
        <v>0</v>
      </c>
      <c r="AP296" t="n">
        <v>0</v>
      </c>
      <c r="AQ296" t="n">
        <v>0</v>
      </c>
      <c r="AR296" t="n">
        <v>0</v>
      </c>
      <c r="AS296" t="n">
        <v>0.237</v>
      </c>
      <c r="AT296" t="n">
        <v>0.5</v>
      </c>
      <c r="AU296" t="n">
        <v>10</v>
      </c>
      <c r="AV296" t="n">
        <v>1</v>
      </c>
      <c r="AW296" t="n">
        <v>1.94</v>
      </c>
      <c r="AX296" t="n">
        <v>10</v>
      </c>
      <c r="AY296" t="n">
        <v>0.35</v>
      </c>
      <c r="AZ296" t="n">
        <v>0.336</v>
      </c>
      <c r="BA296" t="n">
        <v>0.343</v>
      </c>
      <c r="BB296" t="n">
        <v>0.336</v>
      </c>
      <c r="BC296" t="n">
        <v>0.049</v>
      </c>
      <c r="BD296" t="n">
        <v>0.047</v>
      </c>
      <c r="BE296" t="n">
        <v>0.048</v>
      </c>
      <c r="BF296" t="n">
        <v>0.3</v>
      </c>
      <c r="BG296" t="n">
        <v>0.042</v>
      </c>
      <c r="BH296" t="n">
        <v>1.139</v>
      </c>
      <c r="BI296" t="n">
        <v>7.01</v>
      </c>
      <c r="BJ296" t="n">
        <v>0.399</v>
      </c>
      <c r="BK296" t="n">
        <v>0.055</v>
      </c>
      <c r="BL296" t="n">
        <v>0.657</v>
      </c>
      <c r="BM296" t="n">
        <v>-0.05</v>
      </c>
      <c r="BN296" t="n">
        <v>0.7</v>
      </c>
      <c r="BO296" t="n">
        <v>0.014</v>
      </c>
      <c r="BP296" t="n">
        <v>6</v>
      </c>
      <c r="BQ296" t="n">
        <v>2</v>
      </c>
      <c r="BR296" t="n">
        <v>1</v>
      </c>
      <c r="BS296" t="n">
        <v>16</v>
      </c>
      <c r="BT296" t="n">
        <v>2.219</v>
      </c>
      <c r="BW296" t="n">
        <v>0.62</v>
      </c>
      <c r="BX296" t="n">
        <v>0.732</v>
      </c>
      <c r="BY296" t="n">
        <v>0.676</v>
      </c>
      <c r="BZ296" t="n">
        <v>0.094</v>
      </c>
      <c r="CA296" t="n">
        <v>1.019</v>
      </c>
      <c r="CB296" t="n">
        <v>0.141</v>
      </c>
      <c r="CC296" t="n">
        <v>7</v>
      </c>
      <c r="CD296" t="n">
        <v>2</v>
      </c>
      <c r="CE296" t="n">
        <v>7</v>
      </c>
      <c r="CF296" t="n">
        <v>5</v>
      </c>
      <c r="CG296" t="n">
        <v>1</v>
      </c>
      <c r="CI296" t="n">
        <v>1.975</v>
      </c>
      <c r="CJ296" t="n">
        <v>1.053</v>
      </c>
      <c r="CK296" t="n">
        <v>13</v>
      </c>
      <c r="CL296" t="n">
        <v>21</v>
      </c>
      <c r="CM296" t="n">
        <v>11</v>
      </c>
      <c r="CN296" t="n">
        <v>8</v>
      </c>
      <c r="CO296" t="n">
        <v>2</v>
      </c>
      <c r="CP296" t="n">
        <v>11</v>
      </c>
      <c r="CR296" t="n">
        <v>30</v>
      </c>
      <c r="CS296" t="n">
        <v>9</v>
      </c>
      <c r="CW296" t="n">
        <v>11.3</v>
      </c>
      <c r="CX296" t="n">
        <v>1.567</v>
      </c>
      <c r="CY296" t="n">
        <v>0</v>
      </c>
      <c r="DB296" t="n">
        <v>0</v>
      </c>
      <c r="DF296" t="n">
        <v>2</v>
      </c>
      <c r="DG296" t="n">
        <v>0</v>
      </c>
      <c r="DH296" t="n">
        <v>17</v>
      </c>
      <c r="DI296" t="n">
        <v>3</v>
      </c>
      <c r="DL296" t="n">
        <v>7</v>
      </c>
      <c r="DM296" t="n">
        <v>12</v>
      </c>
      <c r="DN296" t="n">
        <v>4</v>
      </c>
      <c r="DO296" t="n">
        <v>0.3</v>
      </c>
      <c r="DP296" t="n">
        <v>17.08</v>
      </c>
      <c r="DQ296" t="n">
        <v>8.539999999999999</v>
      </c>
      <c r="DR296" t="n">
        <v>17.08</v>
      </c>
      <c r="DS296" t="n">
        <v>0</v>
      </c>
      <c r="DT296" t="n">
        <v>178</v>
      </c>
      <c r="DU296" t="n">
        <v>4.68</v>
      </c>
      <c r="DV296" t="inlineStr">
        <is>
          <t>flat</t>
        </is>
      </c>
      <c r="DW296" t="n">
        <v>80.70999999999999</v>
      </c>
      <c r="DX296" t="n">
        <v>91</v>
      </c>
      <c r="DY296" t="n">
        <v>89.73999999999999</v>
      </c>
      <c r="DZ296" t="n">
        <v>9.029999999999999</v>
      </c>
      <c r="EA296" t="n">
        <v>2</v>
      </c>
      <c r="EB296" t="n">
        <v>21.13</v>
      </c>
      <c r="EC296" t="n">
        <v>54.67</v>
      </c>
      <c r="ED296" t="n">
        <v>110.15</v>
      </c>
      <c r="EE296" t="n">
        <v>5</v>
      </c>
      <c r="EF296" t="b">
        <v>0</v>
      </c>
      <c r="EG296" t="n">
        <v>0.1</v>
      </c>
      <c r="EH296" t="n">
        <v>16.7</v>
      </c>
      <c r="EI296" t="n">
        <v>299</v>
      </c>
      <c r="EJ296" t="n">
        <v>108.2</v>
      </c>
      <c r="EK296" t="n">
        <v>40.6</v>
      </c>
      <c r="EL296" t="n">
        <v>92.7</v>
      </c>
      <c r="EM296" t="n">
        <v>1893.2</v>
      </c>
      <c r="EN296" t="n">
        <v>959.8</v>
      </c>
      <c r="EO296" t="n">
        <v>636.9</v>
      </c>
      <c r="EP296" t="n">
        <v>19.1</v>
      </c>
    </row>
    <row r="297">
      <c r="A297" t="inlineStr">
        <is>
          <t>Joe Gomez</t>
        </is>
      </c>
      <c r="B297" t="inlineStr">
        <is>
          <t>LIV</t>
        </is>
      </c>
      <c r="C297" t="inlineStr">
        <is>
          <t>DEF</t>
        </is>
      </c>
      <c r="D297" t="inlineStr">
        <is>
          <t>DEF</t>
        </is>
      </c>
      <c r="E297" t="n">
        <v>5</v>
      </c>
      <c r="F297" t="b">
        <v>1</v>
      </c>
      <c r="G297" t="b">
        <v>1</v>
      </c>
      <c r="H297" t="n">
        <v>29.2</v>
      </c>
      <c r="I297" t="inlineStr">
        <is>
          <t>i</t>
        </is>
      </c>
      <c r="J297" t="inlineStr">
        <is>
          <t>Muscular injury - Unknown return date</t>
        </is>
      </c>
      <c r="K297" t="n">
        <v>0</v>
      </c>
      <c r="L297" t="inlineStr">
        <is>
          <t>p171287</t>
        </is>
      </c>
      <c r="M297" t="n">
        <v>359</v>
      </c>
      <c r="Q297" t="n">
        <v>594</v>
      </c>
      <c r="R297" t="n">
        <v>21</v>
      </c>
      <c r="S297" t="n">
        <v>7</v>
      </c>
      <c r="T297" t="n">
        <v>6.6</v>
      </c>
      <c r="U297" t="n">
        <v>28.3</v>
      </c>
      <c r="V297" t="n">
        <v>33</v>
      </c>
      <c r="W297" t="n">
        <v>5</v>
      </c>
      <c r="X297" t="n">
        <v>0</v>
      </c>
      <c r="Y297" t="n">
        <v>2</v>
      </c>
      <c r="Z297" t="n">
        <v>2</v>
      </c>
      <c r="AA297" t="n">
        <v>2</v>
      </c>
      <c r="AB297" t="n">
        <v>14</v>
      </c>
      <c r="AC297" t="n">
        <v>2</v>
      </c>
      <c r="AD297" t="n">
        <v>2</v>
      </c>
      <c r="AE297" t="n">
        <v>0</v>
      </c>
      <c r="AF297" t="n">
        <v>94</v>
      </c>
      <c r="AG297" t="n">
        <v>88</v>
      </c>
      <c r="AH297" t="n">
        <v>-6</v>
      </c>
      <c r="AI297" t="n">
        <v>33</v>
      </c>
      <c r="AJ297" t="n">
        <v>0.061</v>
      </c>
      <c r="AK297" t="n">
        <v>0.065</v>
      </c>
      <c r="AL297" t="n">
        <v>46</v>
      </c>
      <c r="AM297" t="n">
        <v>6.97</v>
      </c>
      <c r="AN297" t="n">
        <v>0</v>
      </c>
      <c r="AO297" t="n">
        <v>0</v>
      </c>
      <c r="AP297" t="n">
        <v>0</v>
      </c>
      <c r="AQ297" t="n">
        <v>0</v>
      </c>
      <c r="AR297" t="n">
        <v>0</v>
      </c>
      <c r="AS297" t="n">
        <v>0.184</v>
      </c>
      <c r="AT297" t="n">
        <v>0.238</v>
      </c>
      <c r="AU297" t="n">
        <v>18</v>
      </c>
      <c r="AV297" t="n">
        <v>1</v>
      </c>
      <c r="AW297" t="n">
        <v>2.02</v>
      </c>
      <c r="AX297" t="n">
        <v>11</v>
      </c>
      <c r="AY297" t="n">
        <v>0.28</v>
      </c>
      <c r="AZ297" t="n">
        <v>0.2</v>
      </c>
      <c r="BA297" t="n">
        <v>0.24</v>
      </c>
      <c r="BB297" t="n">
        <v>0.2</v>
      </c>
      <c r="BC297" t="n">
        <v>0.042</v>
      </c>
      <c r="BD297" t="n">
        <v>0.03</v>
      </c>
      <c r="BE297" t="n">
        <v>0.036</v>
      </c>
      <c r="BH297" t="n">
        <v>0.9360000000000001</v>
      </c>
      <c r="BI297" t="n">
        <v>1.83</v>
      </c>
      <c r="BJ297" t="n">
        <v>0.262</v>
      </c>
      <c r="BK297" t="n">
        <v>0.04</v>
      </c>
      <c r="BL297" t="n">
        <v>-0.24</v>
      </c>
      <c r="BO297" t="n">
        <v>0.08</v>
      </c>
      <c r="BP297" t="n">
        <v>5</v>
      </c>
      <c r="BQ297" t="n">
        <v>1</v>
      </c>
      <c r="BS297" t="n">
        <v>11</v>
      </c>
      <c r="BT297" t="n">
        <v>1.667</v>
      </c>
      <c r="BW297" t="n">
        <v>0.64</v>
      </c>
      <c r="BX297" t="n">
        <v>1.249</v>
      </c>
      <c r="BY297" t="n">
        <v>0.945</v>
      </c>
      <c r="BZ297" t="n">
        <v>0.143</v>
      </c>
      <c r="CA297" t="n">
        <v>1.184</v>
      </c>
      <c r="CB297" t="n">
        <v>0.179</v>
      </c>
      <c r="CC297" t="n">
        <v>5</v>
      </c>
      <c r="CD297" t="n">
        <v>3</v>
      </c>
      <c r="CE297" t="n">
        <v>5</v>
      </c>
      <c r="CF297" t="n">
        <v>3</v>
      </c>
      <c r="CI297" t="n">
        <v>4.339</v>
      </c>
      <c r="CJ297" t="n">
        <v>3.097</v>
      </c>
      <c r="CK297" t="n">
        <v>36</v>
      </c>
      <c r="CL297" t="n">
        <v>20</v>
      </c>
      <c r="CM297" t="n">
        <v>10</v>
      </c>
      <c r="CN297" t="n">
        <v>7</v>
      </c>
      <c r="CO297" t="n">
        <v>9</v>
      </c>
      <c r="CP297" t="n">
        <v>25</v>
      </c>
      <c r="CQ297" t="n">
        <v>2</v>
      </c>
      <c r="CR297" t="n">
        <v>26</v>
      </c>
      <c r="CS297" t="n">
        <v>13</v>
      </c>
      <c r="CW297" t="n">
        <v>9.31</v>
      </c>
      <c r="CX297" t="n">
        <v>1.411</v>
      </c>
      <c r="CY297" t="n">
        <v>0</v>
      </c>
      <c r="DB297" t="n">
        <v>0</v>
      </c>
      <c r="DF297" t="n">
        <v>4</v>
      </c>
      <c r="DG297" t="n">
        <v>0</v>
      </c>
      <c r="DH297" t="n">
        <v>14</v>
      </c>
      <c r="DL297" t="n">
        <v>3</v>
      </c>
      <c r="DM297" t="n">
        <v>6</v>
      </c>
      <c r="DO297" t="n">
        <v>0.1</v>
      </c>
      <c r="DP297" t="n">
        <v>27.64</v>
      </c>
      <c r="DQ297" t="n">
        <v>13.64</v>
      </c>
      <c r="DR297" t="n">
        <v>27.28</v>
      </c>
      <c r="DS297" t="n">
        <v>0.36</v>
      </c>
      <c r="DT297" t="n">
        <v>442</v>
      </c>
      <c r="DU297" t="n">
        <v>11.64</v>
      </c>
      <c r="DV297" t="inlineStr">
        <is>
          <t>flat</t>
        </is>
      </c>
      <c r="DW297" t="n">
        <v>89.45</v>
      </c>
      <c r="DX297" t="n">
        <v>105</v>
      </c>
      <c r="DY297" t="n">
        <v>91.73999999999999</v>
      </c>
      <c r="DZ297" t="n">
        <v>2.29</v>
      </c>
      <c r="EA297" t="n">
        <v>7</v>
      </c>
      <c r="EB297" t="n">
        <v>28.83</v>
      </c>
      <c r="EC297" t="n">
        <v>29.33</v>
      </c>
      <c r="ED297" t="n">
        <v>118.67</v>
      </c>
      <c r="EE297" t="n">
        <v>10</v>
      </c>
      <c r="EF297" t="b">
        <v>1</v>
      </c>
      <c r="EG297" t="n">
        <v>0.5</v>
      </c>
      <c r="EH297" t="n">
        <v>61.5</v>
      </c>
      <c r="EI297" t="n">
        <v>300</v>
      </c>
      <c r="EJ297" t="n">
        <v>118.8</v>
      </c>
      <c r="EK297" t="n">
        <v>54</v>
      </c>
      <c r="EL297" t="n">
        <v>118.8</v>
      </c>
      <c r="EM297" t="n">
        <v>2476.6</v>
      </c>
      <c r="EN297" t="n">
        <v>628.8</v>
      </c>
      <c r="EO297" t="n">
        <v>501.5</v>
      </c>
      <c r="EP297" t="n">
        <v>18</v>
      </c>
    </row>
    <row r="298">
      <c r="A298" t="inlineStr">
        <is>
          <t>Jarrad Branthwaite</t>
        </is>
      </c>
      <c r="B298" t="inlineStr">
        <is>
          <t>EVE</t>
        </is>
      </c>
      <c r="C298" t="inlineStr">
        <is>
          <t>DEF</t>
        </is>
      </c>
      <c r="D298" t="inlineStr">
        <is>
          <t>DEF</t>
        </is>
      </c>
      <c r="E298" t="n">
        <v>5.5</v>
      </c>
      <c r="F298" t="b">
        <v>1</v>
      </c>
      <c r="G298" t="b">
        <v>1</v>
      </c>
      <c r="H298" t="n">
        <v>24.2</v>
      </c>
      <c r="I298" t="inlineStr">
        <is>
          <t>a</t>
        </is>
      </c>
      <c r="L298" t="inlineStr">
        <is>
          <t>p480455</t>
        </is>
      </c>
      <c r="M298" t="n">
        <v>230</v>
      </c>
      <c r="Q298" t="n">
        <v>678</v>
      </c>
      <c r="R298" t="n">
        <v>10</v>
      </c>
      <c r="S298" t="n">
        <v>7</v>
      </c>
      <c r="T298" t="n">
        <v>7.533</v>
      </c>
      <c r="U298" t="n">
        <v>67.8</v>
      </c>
      <c r="V298" t="n">
        <v>32</v>
      </c>
      <c r="W298" t="n">
        <v>4.248</v>
      </c>
      <c r="X298" t="n">
        <v>1</v>
      </c>
      <c r="Y298" t="n">
        <v>1</v>
      </c>
      <c r="AA298" t="n">
        <v>1</v>
      </c>
      <c r="AB298" t="n">
        <v>9</v>
      </c>
      <c r="AC298" t="n">
        <v>0</v>
      </c>
      <c r="AD298" t="n">
        <v>0</v>
      </c>
      <c r="AE298" t="n">
        <v>0</v>
      </c>
      <c r="AF298" t="n">
        <v>108</v>
      </c>
      <c r="AG298" t="n">
        <v>99</v>
      </c>
      <c r="AH298" t="n">
        <v>-9</v>
      </c>
      <c r="AI298" t="n">
        <v>32</v>
      </c>
      <c r="AJ298" t="n">
        <v>0</v>
      </c>
      <c r="AK298" t="n">
        <v>0</v>
      </c>
      <c r="AL298" t="n">
        <v>67</v>
      </c>
      <c r="AM298" t="n">
        <v>8.894</v>
      </c>
      <c r="AN298" t="n">
        <v>3</v>
      </c>
      <c r="AO298" t="n">
        <v>6</v>
      </c>
      <c r="AP298" t="n">
        <v>0.429</v>
      </c>
      <c r="AQ298" t="n">
        <v>0.429</v>
      </c>
      <c r="AR298" t="n">
        <v>0.143</v>
      </c>
      <c r="AS298" t="n">
        <v>0.184</v>
      </c>
      <c r="AT298" t="n">
        <v>0.7</v>
      </c>
      <c r="AU298" t="n">
        <v>5</v>
      </c>
      <c r="AV298" t="n">
        <v>0</v>
      </c>
      <c r="AW298" t="n">
        <v>1.94</v>
      </c>
      <c r="AX298" t="n">
        <v>9</v>
      </c>
      <c r="AY298" t="n">
        <v>0.34</v>
      </c>
      <c r="AZ298" t="n">
        <v>0.31</v>
      </c>
      <c r="BA298" t="n">
        <v>0.325</v>
      </c>
      <c r="BB298" t="n">
        <v>0.31</v>
      </c>
      <c r="BC298" t="n">
        <v>0.045</v>
      </c>
      <c r="BD298" t="n">
        <v>0.041</v>
      </c>
      <c r="BE298" t="n">
        <v>0.043</v>
      </c>
      <c r="BF298" t="n">
        <v>0.6</v>
      </c>
      <c r="BG298" t="n">
        <v>0.08</v>
      </c>
      <c r="BH298" t="n">
        <v>0.986</v>
      </c>
      <c r="BI298" t="n">
        <v>3.16</v>
      </c>
      <c r="BJ298" t="n">
        <v>0.335</v>
      </c>
      <c r="BK298" t="n">
        <v>0.044</v>
      </c>
      <c r="BL298" t="n">
        <v>0.675</v>
      </c>
      <c r="BM298" t="n">
        <v>0.26</v>
      </c>
      <c r="BN298" t="n">
        <v>0.4</v>
      </c>
      <c r="BO298" t="n">
        <v>0.03</v>
      </c>
      <c r="BP298" t="n">
        <v>6</v>
      </c>
      <c r="BQ298" t="n">
        <v>2</v>
      </c>
      <c r="BS298" t="n">
        <v>9</v>
      </c>
      <c r="BT298" t="n">
        <v>1.195</v>
      </c>
      <c r="BV298" t="n">
        <v>1</v>
      </c>
      <c r="BW298" t="n">
        <v>0.11</v>
      </c>
      <c r="BX298" t="n">
        <v>0.373</v>
      </c>
      <c r="BY298" t="n">
        <v>0.242</v>
      </c>
      <c r="BZ298" t="n">
        <v>0.032</v>
      </c>
      <c r="CA298" t="n">
        <v>0.5669999999999999</v>
      </c>
      <c r="CB298" t="n">
        <v>0.075</v>
      </c>
      <c r="CC298" t="n">
        <v>3</v>
      </c>
      <c r="CD298" t="n">
        <v>1</v>
      </c>
      <c r="CE298" t="n">
        <v>3</v>
      </c>
      <c r="CI298" t="n">
        <v>1.288</v>
      </c>
      <c r="CJ298" t="n">
        <v>1.127</v>
      </c>
      <c r="CK298" t="n">
        <v>53</v>
      </c>
      <c r="CL298" t="n">
        <v>30</v>
      </c>
      <c r="CM298" t="n">
        <v>14</v>
      </c>
      <c r="CN298" t="n">
        <v>5</v>
      </c>
      <c r="CO298" t="n">
        <v>11</v>
      </c>
      <c r="CP298" t="n">
        <v>41</v>
      </c>
      <c r="CQ298" t="n">
        <v>2</v>
      </c>
      <c r="CR298" t="n">
        <v>44</v>
      </c>
      <c r="CS298" t="n">
        <v>30</v>
      </c>
      <c r="CV298" t="n">
        <v>2</v>
      </c>
      <c r="CW298" t="n">
        <v>9.43</v>
      </c>
      <c r="CX298" t="n">
        <v>1.252</v>
      </c>
      <c r="CY298" t="n">
        <v>0</v>
      </c>
      <c r="DB298" t="n">
        <v>0</v>
      </c>
      <c r="DF298" t="n">
        <v>1</v>
      </c>
      <c r="DG298" t="n">
        <v>0</v>
      </c>
      <c r="DH298" t="n">
        <v>3</v>
      </c>
      <c r="DI298" t="n">
        <v>1</v>
      </c>
      <c r="DJ298" t="n">
        <v>1</v>
      </c>
      <c r="DM298" t="n">
        <v>2</v>
      </c>
      <c r="DN298" t="n">
        <v>1</v>
      </c>
      <c r="DO298" t="n">
        <v>1.9</v>
      </c>
      <c r="DP298" t="n">
        <v>135.8</v>
      </c>
      <c r="DQ298" t="n">
        <v>67.90000000000001</v>
      </c>
      <c r="DR298" t="n">
        <v>135.8</v>
      </c>
      <c r="DS298" t="n">
        <v>0</v>
      </c>
      <c r="DT298" t="n">
        <v>3203</v>
      </c>
      <c r="DU298" t="n">
        <v>84.3</v>
      </c>
      <c r="DV298" t="inlineStr">
        <is>
          <t>flat</t>
        </is>
      </c>
      <c r="DW298" t="n">
        <v>91.55</v>
      </c>
      <c r="DX298" t="n">
        <v>96.31</v>
      </c>
      <c r="DY298" t="n">
        <v>89.62</v>
      </c>
      <c r="DZ298" t="n">
        <v>-1.93</v>
      </c>
      <c r="EA298" t="n">
        <v>886</v>
      </c>
      <c r="EB298" t="n">
        <v>17.03</v>
      </c>
      <c r="EC298" t="n">
        <v>27.73</v>
      </c>
      <c r="ED298" t="n">
        <v>120</v>
      </c>
      <c r="EE298" t="n">
        <v>1588</v>
      </c>
      <c r="EF298" t="b">
        <v>1</v>
      </c>
      <c r="EG298" t="n">
        <v>66.7</v>
      </c>
      <c r="EH298" t="n">
        <v>51.2</v>
      </c>
      <c r="EI298" t="n">
        <v>182</v>
      </c>
      <c r="EJ298" t="n">
        <v>113</v>
      </c>
      <c r="EK298" t="n">
        <v>75.3</v>
      </c>
      <c r="EL298" t="n">
        <v>226</v>
      </c>
      <c r="EM298" t="n">
        <v>2086.3</v>
      </c>
      <c r="EN298" t="n">
        <v>2806.1</v>
      </c>
      <c r="EO298" t="n">
        <v>1196.6</v>
      </c>
      <c r="EP298" t="n">
        <v>21.2</v>
      </c>
    </row>
    <row r="299">
      <c r="A299" t="inlineStr">
        <is>
          <t>Wilfried Gnonto</t>
        </is>
      </c>
      <c r="B299" t="inlineStr">
        <is>
          <t>LEE</t>
        </is>
      </c>
      <c r="C299" t="inlineStr">
        <is>
          <t>MID</t>
        </is>
      </c>
      <c r="D299" t="inlineStr">
        <is>
          <t>MID</t>
        </is>
      </c>
      <c r="E299" t="n">
        <v>5</v>
      </c>
      <c r="F299" t="b">
        <v>1</v>
      </c>
      <c r="G299" t="b">
        <v>1</v>
      </c>
      <c r="H299" t="n">
        <v>22.8</v>
      </c>
      <c r="I299" t="inlineStr">
        <is>
          <t>a</t>
        </is>
      </c>
      <c r="L299" t="inlineStr">
        <is>
          <t>p492859</t>
        </is>
      </c>
      <c r="M299" t="n">
        <v>341</v>
      </c>
      <c r="Q299" t="n">
        <v>521</v>
      </c>
      <c r="R299" t="n">
        <v>23</v>
      </c>
      <c r="S299" t="n">
        <v>4</v>
      </c>
      <c r="T299" t="n">
        <v>5.789</v>
      </c>
      <c r="U299" t="n">
        <v>22.7</v>
      </c>
      <c r="V299" t="n">
        <v>32</v>
      </c>
      <c r="W299" t="n">
        <v>5.528</v>
      </c>
      <c r="X299" t="n">
        <v>0</v>
      </c>
      <c r="Y299" t="n">
        <v>3</v>
      </c>
      <c r="Z299" t="n">
        <v>1</v>
      </c>
      <c r="AA299" t="n">
        <v>1</v>
      </c>
      <c r="AB299" t="n">
        <v>14</v>
      </c>
      <c r="AC299" t="n">
        <v>0</v>
      </c>
      <c r="AD299" t="n">
        <v>0</v>
      </c>
      <c r="AE299" t="n">
        <v>0</v>
      </c>
      <c r="AF299" t="n">
        <v>134</v>
      </c>
      <c r="AG299" t="n">
        <v>129</v>
      </c>
      <c r="AH299" t="n">
        <v>-5</v>
      </c>
      <c r="AI299" t="n">
        <v>32</v>
      </c>
      <c r="AJ299" t="n">
        <v>0</v>
      </c>
      <c r="AK299" t="n">
        <v>0</v>
      </c>
      <c r="AL299" t="n">
        <v>59</v>
      </c>
      <c r="AM299" t="n">
        <v>10.192</v>
      </c>
      <c r="AN299" t="n">
        <v>0</v>
      </c>
      <c r="AO299" t="n">
        <v>0</v>
      </c>
      <c r="AP299" t="n">
        <v>0</v>
      </c>
      <c r="AQ299" t="n">
        <v>0</v>
      </c>
      <c r="AR299" t="n">
        <v>0</v>
      </c>
      <c r="AS299" t="n">
        <v>0.105</v>
      </c>
      <c r="AT299" t="n">
        <v>0.08699999999999999</v>
      </c>
      <c r="AU299" t="n">
        <v>19</v>
      </c>
      <c r="AV299" t="n">
        <v>0</v>
      </c>
      <c r="AW299" t="n">
        <v>1.15</v>
      </c>
      <c r="AX299" t="n">
        <v>4</v>
      </c>
      <c r="AY299" t="n">
        <v>0.4</v>
      </c>
      <c r="AZ299" t="n">
        <v>0.438</v>
      </c>
      <c r="BA299" t="n">
        <v>0.419</v>
      </c>
      <c r="BB299" t="n">
        <v>0.438</v>
      </c>
      <c r="BC299" t="n">
        <v>0.06900000000000001</v>
      </c>
      <c r="BD299" t="n">
        <v>0.076</v>
      </c>
      <c r="BE299" t="n">
        <v>0.07199999999999999</v>
      </c>
      <c r="BH299" t="n">
        <v>0.972</v>
      </c>
      <c r="BI299" t="n">
        <v>2.19</v>
      </c>
      <c r="BJ299" t="n">
        <v>0.389</v>
      </c>
      <c r="BK299" t="n">
        <v>0.067</v>
      </c>
      <c r="BL299" t="n">
        <v>-0.419</v>
      </c>
      <c r="BO299" t="n">
        <v>-0.038</v>
      </c>
      <c r="BP299" t="n">
        <v>10</v>
      </c>
      <c r="BS299" t="n">
        <v>21</v>
      </c>
      <c r="BT299" t="n">
        <v>3.628</v>
      </c>
      <c r="BW299" t="n">
        <v>0.77</v>
      </c>
      <c r="BX299" t="n">
        <v>1.247</v>
      </c>
      <c r="BY299" t="n">
        <v>1.009</v>
      </c>
      <c r="BZ299" t="n">
        <v>0.174</v>
      </c>
      <c r="CA299" t="n">
        <v>1.427</v>
      </c>
      <c r="CB299" t="n">
        <v>0.247</v>
      </c>
      <c r="CC299" t="n">
        <v>8</v>
      </c>
      <c r="CD299" t="n">
        <v>1</v>
      </c>
      <c r="CE299" t="n">
        <v>9</v>
      </c>
      <c r="CF299" t="n">
        <v>2</v>
      </c>
      <c r="CH299" t="n">
        <v>1</v>
      </c>
      <c r="CI299" t="n">
        <v>2.879</v>
      </c>
      <c r="CJ299" t="n">
        <v>1.237</v>
      </c>
      <c r="CK299" t="n">
        <v>15</v>
      </c>
      <c r="CL299" t="n">
        <v>26</v>
      </c>
      <c r="CM299" t="n">
        <v>18</v>
      </c>
      <c r="CN299" t="n">
        <v>14</v>
      </c>
      <c r="CO299" t="n">
        <v>3</v>
      </c>
      <c r="CP299" t="n">
        <v>12</v>
      </c>
      <c r="CR299" t="n">
        <v>35</v>
      </c>
      <c r="CS299" t="n">
        <v>1</v>
      </c>
      <c r="CT299" t="n">
        <v>0.9</v>
      </c>
      <c r="CW299" t="n">
        <v>11.99</v>
      </c>
      <c r="CX299" t="n">
        <v>2.071</v>
      </c>
      <c r="CY299" t="n">
        <v>0</v>
      </c>
      <c r="DB299" t="n">
        <v>0</v>
      </c>
      <c r="DF299" t="n">
        <v>3</v>
      </c>
      <c r="DG299" t="n">
        <v>0</v>
      </c>
      <c r="DH299" t="n">
        <v>7</v>
      </c>
      <c r="DI299" t="n">
        <v>11</v>
      </c>
      <c r="DJ299" t="n">
        <v>1</v>
      </c>
      <c r="DL299" t="n">
        <v>5</v>
      </c>
      <c r="DM299" t="n">
        <v>9</v>
      </c>
      <c r="DO299" t="n">
        <v>0.1</v>
      </c>
      <c r="DP299" t="n">
        <v>28.21</v>
      </c>
      <c r="DQ299" t="n">
        <v>14.23</v>
      </c>
      <c r="DR299" t="n">
        <v>28.46</v>
      </c>
      <c r="DS299" t="n">
        <v>-0.25</v>
      </c>
      <c r="DT299" t="n">
        <v>120</v>
      </c>
      <c r="DU299" t="n">
        <v>3.15</v>
      </c>
      <c r="DV299" t="inlineStr">
        <is>
          <t>flat</t>
        </is>
      </c>
      <c r="DW299" t="n">
        <v>46.49</v>
      </c>
      <c r="DX299" t="n">
        <v>58.67</v>
      </c>
      <c r="DY299" t="n">
        <v>17.33</v>
      </c>
      <c r="DZ299" t="n">
        <v>-29.16</v>
      </c>
      <c r="EA299" t="n">
        <v>1</v>
      </c>
      <c r="EB299" t="n">
        <v>35.36</v>
      </c>
      <c r="EC299" t="n">
        <v>17.33</v>
      </c>
      <c r="ED299" t="n">
        <v>108</v>
      </c>
      <c r="EE299" t="n">
        <v>5</v>
      </c>
      <c r="EF299" t="b">
        <v>0</v>
      </c>
      <c r="EG299" t="n">
        <v>0.1</v>
      </c>
      <c r="EH299" t="n">
        <v>28.6</v>
      </c>
      <c r="EI299" t="n">
        <v>301</v>
      </c>
      <c r="EJ299" t="n">
        <v>52.1</v>
      </c>
      <c r="EK299" t="n">
        <v>24.8</v>
      </c>
      <c r="EL299" t="n">
        <v>57.9</v>
      </c>
      <c r="EM299" t="n">
        <v>1244</v>
      </c>
      <c r="EN299" t="n">
        <v>516.6</v>
      </c>
      <c r="EO299" t="n">
        <v>365</v>
      </c>
      <c r="EP299" t="n">
        <v>16.3</v>
      </c>
    </row>
    <row r="300">
      <c r="A300" t="inlineStr">
        <is>
          <t>Issa Diop</t>
        </is>
      </c>
      <c r="B300" t="inlineStr">
        <is>
          <t>IPS</t>
        </is>
      </c>
      <c r="C300" t="inlineStr">
        <is>
          <t>DEF</t>
        </is>
      </c>
      <c r="D300" t="inlineStr">
        <is>
          <t>DEF</t>
        </is>
      </c>
      <c r="E300" t="n">
        <v>4</v>
      </c>
      <c r="F300" t="b">
        <v>1</v>
      </c>
      <c r="G300" t="b">
        <v>1</v>
      </c>
      <c r="H300" t="n">
        <v>29.6</v>
      </c>
      <c r="I300" t="inlineStr">
        <is>
          <t>a</t>
        </is>
      </c>
      <c r="L300" t="inlineStr">
        <is>
          <t>p219924</t>
        </is>
      </c>
      <c r="M300" t="n">
        <v>259</v>
      </c>
      <c r="Q300" t="n">
        <v>812</v>
      </c>
      <c r="R300" t="n">
        <v>13</v>
      </c>
      <c r="S300" t="n">
        <v>8</v>
      </c>
      <c r="T300" t="n">
        <v>9.022</v>
      </c>
      <c r="U300" t="n">
        <v>62.5</v>
      </c>
      <c r="V300" t="n">
        <v>31</v>
      </c>
      <c r="W300" t="n">
        <v>3.436</v>
      </c>
      <c r="X300" t="n">
        <v>1</v>
      </c>
      <c r="Y300" t="n">
        <v>0</v>
      </c>
      <c r="AA300" t="n">
        <v>1</v>
      </c>
      <c r="AB300" t="n">
        <v>13</v>
      </c>
      <c r="AC300" t="n">
        <v>3</v>
      </c>
      <c r="AD300" t="n">
        <v>3</v>
      </c>
      <c r="AE300" t="n">
        <v>0</v>
      </c>
      <c r="AF300" t="n">
        <v>103</v>
      </c>
      <c r="AG300" t="n">
        <v>92</v>
      </c>
      <c r="AH300" t="n">
        <v>-11</v>
      </c>
      <c r="AI300" t="n">
        <v>31</v>
      </c>
      <c r="AJ300" t="n">
        <v>0.097</v>
      </c>
      <c r="AK300" t="n">
        <v>0.107</v>
      </c>
      <c r="AL300" t="n">
        <v>61</v>
      </c>
      <c r="AM300" t="n">
        <v>6.761</v>
      </c>
      <c r="AN300" t="n">
        <v>1</v>
      </c>
      <c r="AO300" t="n">
        <v>2</v>
      </c>
      <c r="AP300" t="n">
        <v>0.125</v>
      </c>
      <c r="AQ300" t="n">
        <v>0.125</v>
      </c>
      <c r="AR300" t="n">
        <v>0.125</v>
      </c>
      <c r="AS300" t="n">
        <v>0.211</v>
      </c>
      <c r="AT300" t="n">
        <v>0.615</v>
      </c>
      <c r="AU300" t="n">
        <v>12</v>
      </c>
      <c r="AV300" t="n">
        <v>1</v>
      </c>
      <c r="AW300" t="n">
        <v>2.46</v>
      </c>
      <c r="AX300" t="n">
        <v>15</v>
      </c>
      <c r="AY300" t="n">
        <v>0.8</v>
      </c>
      <c r="AZ300" t="n">
        <v>0.442</v>
      </c>
      <c r="BA300" t="n">
        <v>0.621</v>
      </c>
      <c r="BB300" t="n">
        <v>0.442</v>
      </c>
      <c r="BC300" t="n">
        <v>0.089</v>
      </c>
      <c r="BD300" t="n">
        <v>0.049</v>
      </c>
      <c r="BE300" t="n">
        <v>0.06900000000000001</v>
      </c>
      <c r="BF300" t="n">
        <v>1</v>
      </c>
      <c r="BG300" t="n">
        <v>0.111</v>
      </c>
      <c r="BH300" t="n">
        <v>1.085</v>
      </c>
      <c r="BI300" t="n">
        <v>1.86</v>
      </c>
      <c r="BJ300" t="n">
        <v>0.868</v>
      </c>
      <c r="BK300" t="n">
        <v>0.096</v>
      </c>
      <c r="BL300" t="n">
        <v>0.379</v>
      </c>
      <c r="BM300" t="n">
        <v>0.2</v>
      </c>
      <c r="BN300" t="n">
        <v>0</v>
      </c>
      <c r="BO300" t="n">
        <v>0.358</v>
      </c>
      <c r="BP300" t="n">
        <v>2</v>
      </c>
      <c r="BQ300" t="n">
        <v>1</v>
      </c>
      <c r="BS300" t="n">
        <v>7</v>
      </c>
      <c r="BT300" t="n">
        <v>0.776</v>
      </c>
      <c r="BV300" t="n">
        <v>1</v>
      </c>
      <c r="BW300" t="n">
        <v>0.05</v>
      </c>
      <c r="BX300" t="n">
        <v>0</v>
      </c>
      <c r="BY300" t="n">
        <v>0.025</v>
      </c>
      <c r="BZ300" t="n">
        <v>0.003</v>
      </c>
      <c r="CA300" t="n">
        <v>0.646</v>
      </c>
      <c r="CB300" t="n">
        <v>0.07199999999999999</v>
      </c>
      <c r="CC300" t="n">
        <v>0</v>
      </c>
      <c r="CI300" t="n">
        <v>1.552</v>
      </c>
      <c r="CJ300" t="n">
        <v>1.552</v>
      </c>
      <c r="CK300" t="n">
        <v>55</v>
      </c>
      <c r="CL300" t="n">
        <v>19</v>
      </c>
      <c r="CM300" t="n">
        <v>6</v>
      </c>
      <c r="CN300" t="n">
        <v>4</v>
      </c>
      <c r="CO300" t="n">
        <v>6</v>
      </c>
      <c r="CP300" t="n">
        <v>42</v>
      </c>
      <c r="CQ300" t="n">
        <v>7</v>
      </c>
      <c r="CR300" t="n">
        <v>25</v>
      </c>
      <c r="CS300" t="n">
        <v>15</v>
      </c>
      <c r="CV300" t="n">
        <v>1</v>
      </c>
      <c r="CW300" t="n">
        <v>12.42</v>
      </c>
      <c r="CX300" t="n">
        <v>1.377</v>
      </c>
      <c r="CY300" t="n">
        <v>0</v>
      </c>
      <c r="DB300" t="n">
        <v>0</v>
      </c>
      <c r="DF300" t="n">
        <v>2</v>
      </c>
      <c r="DG300" t="n">
        <v>0</v>
      </c>
      <c r="DH300" t="n">
        <v>9</v>
      </c>
      <c r="DI300" t="n">
        <v>3</v>
      </c>
      <c r="DL300" t="n">
        <v>1</v>
      </c>
      <c r="DO300" t="n">
        <v>18.5</v>
      </c>
      <c r="DP300" t="n">
        <v>76.68000000000001</v>
      </c>
      <c r="DQ300" t="n">
        <v>38.34</v>
      </c>
      <c r="DR300" t="n">
        <v>76.68000000000001</v>
      </c>
      <c r="DS300" t="n">
        <v>0</v>
      </c>
      <c r="DT300" t="n">
        <v>2394</v>
      </c>
      <c r="DU300" t="n">
        <v>63</v>
      </c>
      <c r="DV300" t="inlineStr">
        <is>
          <t>flat</t>
        </is>
      </c>
      <c r="DW300" t="n">
        <v>96.27</v>
      </c>
      <c r="DX300" t="n">
        <v>91.58</v>
      </c>
      <c r="DY300" t="n">
        <v>96.84</v>
      </c>
      <c r="DZ300" t="n">
        <v>0.57</v>
      </c>
      <c r="EA300" t="n">
        <v>23</v>
      </c>
      <c r="EB300" t="n">
        <v>22.32</v>
      </c>
      <c r="EC300" t="n">
        <v>17</v>
      </c>
      <c r="ED300" t="n">
        <v>120</v>
      </c>
      <c r="EE300" t="n">
        <v>59</v>
      </c>
      <c r="EF300" t="b">
        <v>1</v>
      </c>
      <c r="EG300" t="n">
        <v>1.4</v>
      </c>
      <c r="EH300" t="n">
        <v>15.7</v>
      </c>
      <c r="EI300" t="n">
        <v>520</v>
      </c>
      <c r="EJ300" t="n">
        <v>406</v>
      </c>
      <c r="EK300" t="n">
        <v>116</v>
      </c>
      <c r="EM300" t="n">
        <v>1307.9</v>
      </c>
      <c r="EN300" t="n">
        <v>32480</v>
      </c>
      <c r="EO300" t="n">
        <v>1257.3</v>
      </c>
      <c r="EP300" t="n">
        <v>26.2</v>
      </c>
    </row>
    <row r="301">
      <c r="A301" t="inlineStr">
        <is>
          <t>Ryan Yates</t>
        </is>
      </c>
      <c r="B301" t="inlineStr">
        <is>
          <t>NFO</t>
        </is>
      </c>
      <c r="C301" t="inlineStr">
        <is>
          <t>MID</t>
        </is>
      </c>
      <c r="D301" t="inlineStr">
        <is>
          <t>MID</t>
        </is>
      </c>
      <c r="E301" t="n">
        <v>4.5</v>
      </c>
      <c r="F301" t="b">
        <v>1</v>
      </c>
      <c r="G301" t="b">
        <v>1</v>
      </c>
      <c r="H301" t="n">
        <v>28.7</v>
      </c>
      <c r="I301" t="inlineStr">
        <is>
          <t>a</t>
        </is>
      </c>
      <c r="L301" t="inlineStr">
        <is>
          <t>p204968</t>
        </is>
      </c>
      <c r="M301" t="n">
        <v>489</v>
      </c>
      <c r="Q301" t="n">
        <v>602</v>
      </c>
      <c r="R301" t="n">
        <v>22</v>
      </c>
      <c r="S301" t="n">
        <v>2</v>
      </c>
      <c r="T301" t="n">
        <v>6.689</v>
      </c>
      <c r="U301" t="n">
        <v>27.4</v>
      </c>
      <c r="V301" t="n">
        <v>30</v>
      </c>
      <c r="W301" t="n">
        <v>4.485</v>
      </c>
      <c r="X301" t="n">
        <v>0</v>
      </c>
      <c r="Y301" t="n">
        <v>2</v>
      </c>
      <c r="Z301" t="n">
        <v>2</v>
      </c>
      <c r="AA301" t="n">
        <v>0</v>
      </c>
      <c r="AB301" t="n">
        <v>7</v>
      </c>
      <c r="AC301" t="n">
        <v>0</v>
      </c>
      <c r="AD301" t="n">
        <v>0</v>
      </c>
      <c r="AE301" t="n">
        <v>0</v>
      </c>
      <c r="AF301" t="n">
        <v>123</v>
      </c>
      <c r="AG301" t="n">
        <v>115</v>
      </c>
      <c r="AH301" t="n">
        <v>-8</v>
      </c>
      <c r="AI301" t="n">
        <v>30</v>
      </c>
      <c r="AJ301" t="n">
        <v>0</v>
      </c>
      <c r="AK301" t="n">
        <v>0</v>
      </c>
      <c r="AL301" t="n">
        <v>69</v>
      </c>
      <c r="AM301" t="n">
        <v>10.316</v>
      </c>
      <c r="AN301" t="n">
        <v>1</v>
      </c>
      <c r="AO301" t="n">
        <v>2</v>
      </c>
      <c r="AP301" t="n">
        <v>0.5</v>
      </c>
      <c r="AQ301" t="n">
        <v>0.5</v>
      </c>
      <c r="AR301" t="n">
        <v>0.5</v>
      </c>
      <c r="AS301" t="n">
        <v>0.053</v>
      </c>
      <c r="AT301" t="n">
        <v>0.136</v>
      </c>
      <c r="AU301" t="n">
        <v>19</v>
      </c>
      <c r="AV301" t="n">
        <v>0</v>
      </c>
      <c r="AW301" t="n">
        <v>1.17</v>
      </c>
      <c r="AX301" t="n">
        <v>5</v>
      </c>
      <c r="AY301" t="n">
        <v>0.49</v>
      </c>
      <c r="AZ301" t="n">
        <v>0.675</v>
      </c>
      <c r="BA301" t="n">
        <v>0.582</v>
      </c>
      <c r="BB301" t="n">
        <v>0.675</v>
      </c>
      <c r="BC301" t="n">
        <v>0.073</v>
      </c>
      <c r="BD301" t="n">
        <v>0.101</v>
      </c>
      <c r="BE301" t="n">
        <v>0.08699999999999999</v>
      </c>
      <c r="BF301" t="n">
        <v>0</v>
      </c>
      <c r="BG301" t="n">
        <v>0</v>
      </c>
      <c r="BH301" t="n">
        <v>0.881</v>
      </c>
      <c r="BI301" t="n">
        <v>7.67</v>
      </c>
      <c r="BJ301" t="n">
        <v>0.432</v>
      </c>
      <c r="BK301" t="n">
        <v>0.065</v>
      </c>
      <c r="BL301" t="n">
        <v>-0.582</v>
      </c>
      <c r="BM301" t="n">
        <v>-0.49</v>
      </c>
      <c r="BN301" t="n">
        <v>0</v>
      </c>
      <c r="BO301" t="n">
        <v>-0.185</v>
      </c>
      <c r="BP301" t="n">
        <v>9</v>
      </c>
      <c r="BQ301" t="n">
        <v>2</v>
      </c>
      <c r="BR301" t="n">
        <v>2</v>
      </c>
      <c r="BS301" t="n">
        <v>10</v>
      </c>
      <c r="BT301" t="n">
        <v>1.495</v>
      </c>
      <c r="BW301" t="n">
        <v>0.37</v>
      </c>
      <c r="BX301" t="n">
        <v>0.227</v>
      </c>
      <c r="BY301" t="n">
        <v>0.299</v>
      </c>
      <c r="BZ301" t="n">
        <v>0.045</v>
      </c>
      <c r="CA301" t="n">
        <v>0.881</v>
      </c>
      <c r="CB301" t="n">
        <v>0.132</v>
      </c>
      <c r="CC301" t="n">
        <v>5</v>
      </c>
      <c r="CE301" t="n">
        <v>5</v>
      </c>
      <c r="CF301" t="n">
        <v>2</v>
      </c>
      <c r="CI301" t="n">
        <v>3.287</v>
      </c>
      <c r="CJ301" t="n">
        <v>2.774</v>
      </c>
      <c r="CK301" t="n">
        <v>35</v>
      </c>
      <c r="CL301" t="n">
        <v>18</v>
      </c>
      <c r="CM301" t="n">
        <v>16</v>
      </c>
      <c r="CN301" t="n">
        <v>10</v>
      </c>
      <c r="CO301" t="n">
        <v>9</v>
      </c>
      <c r="CP301" t="n">
        <v>23</v>
      </c>
      <c r="CQ301" t="n">
        <v>3</v>
      </c>
      <c r="CR301" t="n">
        <v>50</v>
      </c>
      <c r="CS301" t="n">
        <v>20</v>
      </c>
      <c r="CT301" t="n">
        <v>0.4</v>
      </c>
      <c r="CW301" t="n">
        <v>8.56</v>
      </c>
      <c r="CX301" t="n">
        <v>1.28</v>
      </c>
      <c r="CY301" t="n">
        <v>0</v>
      </c>
      <c r="DB301" t="n">
        <v>0</v>
      </c>
      <c r="DF301" t="n">
        <v>3</v>
      </c>
      <c r="DG301" t="n">
        <v>0</v>
      </c>
      <c r="DH301" t="n">
        <v>13</v>
      </c>
      <c r="DI301" t="n">
        <v>13</v>
      </c>
      <c r="DL301" t="n">
        <v>1</v>
      </c>
      <c r="DM301" t="n">
        <v>6</v>
      </c>
      <c r="DN301" t="n">
        <v>0</v>
      </c>
      <c r="DO301" t="n">
        <v>6.8</v>
      </c>
      <c r="DP301" t="n">
        <v>28.7</v>
      </c>
      <c r="DQ301" t="n">
        <v>14.35</v>
      </c>
      <c r="DR301" t="n">
        <v>28.7</v>
      </c>
      <c r="DS301" t="n">
        <v>0</v>
      </c>
      <c r="DT301" t="n">
        <v>340</v>
      </c>
      <c r="DU301" t="n">
        <v>8.94</v>
      </c>
      <c r="DV301" t="inlineStr">
        <is>
          <t>flat</t>
        </is>
      </c>
      <c r="DW301" t="n">
        <v>34.52</v>
      </c>
      <c r="EB301" t="n">
        <v>26.47</v>
      </c>
      <c r="EC301" t="n">
        <v>6.22</v>
      </c>
      <c r="ED301" t="n">
        <v>58.67</v>
      </c>
      <c r="EE301" t="n">
        <v>3</v>
      </c>
      <c r="EF301" t="b">
        <v>0</v>
      </c>
      <c r="EG301" t="n">
        <v>0.1</v>
      </c>
      <c r="EH301" t="n">
        <v>25</v>
      </c>
      <c r="EI301" t="n">
        <v>435</v>
      </c>
      <c r="EJ301" t="n">
        <v>66.90000000000001</v>
      </c>
      <c r="EK301" t="n">
        <v>60.2</v>
      </c>
      <c r="EL301" t="n">
        <v>120.4</v>
      </c>
      <c r="EM301" t="n">
        <v>1033.7</v>
      </c>
      <c r="EN301" t="n">
        <v>2015.1</v>
      </c>
      <c r="EO301" t="n">
        <v>683.2</v>
      </c>
      <c r="EP301" t="n">
        <v>20.1</v>
      </c>
    </row>
    <row r="302">
      <c r="A302" t="inlineStr">
        <is>
          <t>Destiny Udogie</t>
        </is>
      </c>
      <c r="B302" t="inlineStr">
        <is>
          <t>TOT</t>
        </is>
      </c>
      <c r="C302" t="inlineStr">
        <is>
          <t>DEF</t>
        </is>
      </c>
      <c r="D302" t="inlineStr">
        <is>
          <t>DEF</t>
        </is>
      </c>
      <c r="E302" t="n">
        <v>4.5</v>
      </c>
      <c r="F302" t="b">
        <v>1</v>
      </c>
      <c r="G302" t="b">
        <v>1</v>
      </c>
      <c r="H302" t="n">
        <v>23.7</v>
      </c>
      <c r="I302" t="inlineStr">
        <is>
          <t>a</t>
        </is>
      </c>
      <c r="L302" t="inlineStr">
        <is>
          <t>p487053</t>
        </is>
      </c>
      <c r="M302" t="n">
        <v>506</v>
      </c>
      <c r="Q302" t="n">
        <v>1335</v>
      </c>
      <c r="R302" t="n">
        <v>20</v>
      </c>
      <c r="S302" t="n">
        <v>14</v>
      </c>
      <c r="T302" t="n">
        <v>14.833</v>
      </c>
      <c r="U302" t="n">
        <v>66.8</v>
      </c>
      <c r="V302" t="n">
        <v>29</v>
      </c>
      <c r="W302" t="n">
        <v>1.955</v>
      </c>
      <c r="X302" t="n">
        <v>0</v>
      </c>
      <c r="Y302" t="n">
        <v>1</v>
      </c>
      <c r="Z302" t="n">
        <v>1</v>
      </c>
      <c r="AA302" t="n">
        <v>1</v>
      </c>
      <c r="AB302" t="n">
        <v>25</v>
      </c>
      <c r="AC302" t="n">
        <v>1</v>
      </c>
      <c r="AD302" t="n">
        <v>1</v>
      </c>
      <c r="AE302" t="n">
        <v>0</v>
      </c>
      <c r="AF302" t="n">
        <v>121</v>
      </c>
      <c r="AG302" t="n">
        <v>113</v>
      </c>
      <c r="AH302" t="n">
        <v>-8</v>
      </c>
      <c r="AI302" t="n">
        <v>29</v>
      </c>
      <c r="AJ302" t="n">
        <v>0.034</v>
      </c>
      <c r="AK302" t="n">
        <v>0.036</v>
      </c>
      <c r="AL302" t="n">
        <v>68</v>
      </c>
      <c r="AM302" t="n">
        <v>4.584</v>
      </c>
      <c r="AN302" t="n">
        <v>0</v>
      </c>
      <c r="AO302" t="n">
        <v>0</v>
      </c>
      <c r="AP302" t="n">
        <v>0</v>
      </c>
      <c r="AQ302" t="n">
        <v>0</v>
      </c>
      <c r="AR302" t="n">
        <v>0</v>
      </c>
      <c r="AS302" t="n">
        <v>0.368</v>
      </c>
      <c r="AT302" t="n">
        <v>0.65</v>
      </c>
      <c r="AU302" t="n">
        <v>18</v>
      </c>
      <c r="AV302" t="n">
        <v>0</v>
      </c>
      <c r="AW302" t="n">
        <v>1.42</v>
      </c>
      <c r="AX302" t="n">
        <v>7</v>
      </c>
      <c r="AY302" t="n">
        <v>0.18</v>
      </c>
      <c r="AZ302" t="n">
        <v>0.218</v>
      </c>
      <c r="BA302" t="n">
        <v>0.199</v>
      </c>
      <c r="BB302" t="n">
        <v>0.218</v>
      </c>
      <c r="BC302" t="n">
        <v>0.012</v>
      </c>
      <c r="BD302" t="n">
        <v>0.015</v>
      </c>
      <c r="BE302" t="n">
        <v>0.013</v>
      </c>
      <c r="BF302" t="n">
        <v>0.6</v>
      </c>
      <c r="BG302" t="n">
        <v>0.04</v>
      </c>
      <c r="BH302" t="n">
        <v>1.091</v>
      </c>
      <c r="BI302" t="n">
        <v>2.91</v>
      </c>
      <c r="BJ302" t="n">
        <v>0.196</v>
      </c>
      <c r="BK302" t="n">
        <v>0.013</v>
      </c>
      <c r="BL302" t="n">
        <v>-0.199</v>
      </c>
      <c r="BM302" t="n">
        <v>0.42</v>
      </c>
      <c r="BN302" t="n">
        <v>-0.6</v>
      </c>
      <c r="BO302" t="n">
        <v>-0.038</v>
      </c>
      <c r="BP302" t="n">
        <v>4</v>
      </c>
      <c r="BQ302" t="n">
        <v>1</v>
      </c>
      <c r="BS302" t="n">
        <v>39</v>
      </c>
      <c r="BT302" t="n">
        <v>2.629</v>
      </c>
      <c r="BW302" t="n">
        <v>0.72</v>
      </c>
      <c r="BX302" t="n">
        <v>1.122</v>
      </c>
      <c r="BY302" t="n">
        <v>0.921</v>
      </c>
      <c r="BZ302" t="n">
        <v>0.062</v>
      </c>
      <c r="CA302" t="n">
        <v>1.12</v>
      </c>
      <c r="CB302" t="n">
        <v>0.076</v>
      </c>
      <c r="CC302" t="n">
        <v>12</v>
      </c>
      <c r="CD302" t="n">
        <v>2</v>
      </c>
      <c r="CE302" t="n">
        <v>12</v>
      </c>
      <c r="CF302" t="n">
        <v>5</v>
      </c>
      <c r="CI302" t="n">
        <v>5.177</v>
      </c>
      <c r="CJ302" t="n">
        <v>4.279</v>
      </c>
      <c r="CK302" t="n">
        <v>37</v>
      </c>
      <c r="CL302" t="n">
        <v>70</v>
      </c>
      <c r="CM302" t="n">
        <v>31</v>
      </c>
      <c r="CN302" t="n">
        <v>19</v>
      </c>
      <c r="CO302" t="n">
        <v>7</v>
      </c>
      <c r="CP302" t="n">
        <v>25</v>
      </c>
      <c r="CQ302" t="n">
        <v>5</v>
      </c>
      <c r="CR302" t="n">
        <v>66</v>
      </c>
      <c r="CS302" t="n">
        <v>8</v>
      </c>
      <c r="CT302" t="n">
        <v>0.1</v>
      </c>
      <c r="CV302" t="n">
        <v>2</v>
      </c>
      <c r="CW302" t="n">
        <v>19.15</v>
      </c>
      <c r="CX302" t="n">
        <v>1.291</v>
      </c>
      <c r="CY302" t="n">
        <v>0</v>
      </c>
      <c r="DB302" t="n">
        <v>0</v>
      </c>
      <c r="DE302" t="n">
        <v>6.69</v>
      </c>
      <c r="DF302" t="n">
        <v>4</v>
      </c>
      <c r="DG302" t="n">
        <v>0</v>
      </c>
      <c r="DH302" t="n">
        <v>17</v>
      </c>
      <c r="DI302" t="n">
        <v>22</v>
      </c>
      <c r="DL302" t="n">
        <v>6</v>
      </c>
      <c r="DM302" t="n">
        <v>12</v>
      </c>
      <c r="DN302" t="n">
        <v>3</v>
      </c>
      <c r="DO302" t="n">
        <v>0.5</v>
      </c>
      <c r="DP302" t="n">
        <v>46.71</v>
      </c>
      <c r="DQ302" t="n">
        <v>23.55</v>
      </c>
      <c r="DR302" t="n">
        <v>47.1</v>
      </c>
      <c r="DS302" t="n">
        <v>-0.39</v>
      </c>
      <c r="DT302" t="n">
        <v>685</v>
      </c>
      <c r="DU302" t="n">
        <v>18.02</v>
      </c>
      <c r="DV302" t="inlineStr">
        <is>
          <t>flat</t>
        </is>
      </c>
      <c r="DW302" t="n">
        <v>94.78</v>
      </c>
      <c r="DX302" t="n">
        <v>94.69</v>
      </c>
      <c r="DY302" t="n">
        <v>95.69</v>
      </c>
      <c r="DZ302" t="n">
        <v>0.91</v>
      </c>
      <c r="EA302" t="n">
        <v>71</v>
      </c>
      <c r="EB302" t="n">
        <v>17.75</v>
      </c>
      <c r="EC302" t="n">
        <v>35</v>
      </c>
      <c r="ED302" t="n">
        <v>118.67</v>
      </c>
      <c r="EE302" t="n">
        <v>118</v>
      </c>
      <c r="EF302" t="b">
        <v>1</v>
      </c>
      <c r="EG302" t="n">
        <v>2.9</v>
      </c>
      <c r="EH302" t="n">
        <v>16.9</v>
      </c>
      <c r="EI302" t="n">
        <v>437</v>
      </c>
      <c r="EJ302" t="n">
        <v>333.8</v>
      </c>
      <c r="EK302" t="n">
        <v>34.2</v>
      </c>
      <c r="EL302" t="n">
        <v>111.2</v>
      </c>
      <c r="EM302" t="n">
        <v>6700.7</v>
      </c>
      <c r="EN302" t="n">
        <v>1449.5</v>
      </c>
      <c r="EO302" t="n">
        <v>1191.7</v>
      </c>
      <c r="EP302" t="n">
        <v>46</v>
      </c>
    </row>
    <row r="303">
      <c r="A303" t="inlineStr">
        <is>
          <t>Myles Lewis-Skelly</t>
        </is>
      </c>
      <c r="B303" t="inlineStr">
        <is>
          <t>ARS</t>
        </is>
      </c>
      <c r="C303" t="inlineStr">
        <is>
          <t>MID</t>
        </is>
      </c>
      <c r="D303" t="inlineStr">
        <is>
          <t>DEF</t>
        </is>
      </c>
      <c r="E303" t="n">
        <v>5.5</v>
      </c>
      <c r="F303" t="b">
        <v>1</v>
      </c>
      <c r="G303" t="b">
        <v>1</v>
      </c>
      <c r="H303" t="n">
        <v>19.9</v>
      </c>
      <c r="I303" t="inlineStr">
        <is>
          <t>a</t>
        </is>
      </c>
      <c r="L303" t="inlineStr">
        <is>
          <t>p499169</t>
        </is>
      </c>
      <c r="M303" t="n">
        <v>7</v>
      </c>
      <c r="Q303" t="n">
        <v>697</v>
      </c>
      <c r="R303" t="n">
        <v>20</v>
      </c>
      <c r="S303" t="n">
        <v>5</v>
      </c>
      <c r="T303" t="n">
        <v>7.744</v>
      </c>
      <c r="U303" t="n">
        <v>34.8</v>
      </c>
      <c r="V303" t="n">
        <v>29</v>
      </c>
      <c r="W303" t="n">
        <v>3.745</v>
      </c>
      <c r="X303" t="n">
        <v>0</v>
      </c>
      <c r="Y303" t="n">
        <v>0</v>
      </c>
      <c r="AA303" t="n">
        <v>2</v>
      </c>
      <c r="AB303" t="n">
        <v>8</v>
      </c>
      <c r="AC303" t="n">
        <v>0</v>
      </c>
      <c r="AD303" t="n">
        <v>0</v>
      </c>
      <c r="AE303" t="n">
        <v>0</v>
      </c>
      <c r="AF303" t="n">
        <v>110</v>
      </c>
      <c r="AG303" t="n">
        <v>108</v>
      </c>
      <c r="AH303" t="n">
        <v>-2</v>
      </c>
      <c r="AI303" t="n">
        <v>29</v>
      </c>
      <c r="AJ303" t="n">
        <v>0</v>
      </c>
      <c r="AK303" t="n">
        <v>0</v>
      </c>
      <c r="AL303" t="n">
        <v>25</v>
      </c>
      <c r="AM303" t="n">
        <v>3.228</v>
      </c>
      <c r="AN303" t="n">
        <v>0</v>
      </c>
      <c r="AO303" t="n">
        <v>0</v>
      </c>
      <c r="AP303" t="n">
        <v>0</v>
      </c>
      <c r="AQ303" t="n">
        <v>0</v>
      </c>
      <c r="AR303" t="n">
        <v>0</v>
      </c>
      <c r="AS303" t="n">
        <v>0.132</v>
      </c>
      <c r="AT303" t="n">
        <v>0.25</v>
      </c>
      <c r="AU303" t="n">
        <v>18</v>
      </c>
      <c r="AV303" t="n">
        <v>0</v>
      </c>
      <c r="AW303" t="n">
        <v>1.36</v>
      </c>
      <c r="AX303" t="n">
        <v>6</v>
      </c>
      <c r="AY303" t="n">
        <v>0.1</v>
      </c>
      <c r="AZ303" t="n">
        <v>0.126</v>
      </c>
      <c r="BA303" t="n">
        <v>0.113</v>
      </c>
      <c r="BB303" t="n">
        <v>0.126</v>
      </c>
      <c r="BC303" t="n">
        <v>0.013</v>
      </c>
      <c r="BD303" t="n">
        <v>0.016</v>
      </c>
      <c r="BE303" t="n">
        <v>0.015</v>
      </c>
      <c r="BH303" t="n">
        <v>0.993</v>
      </c>
      <c r="BI303" t="n">
        <v>0.26</v>
      </c>
      <c r="BJ303" t="n">
        <v>0.099</v>
      </c>
      <c r="BK303" t="n">
        <v>0.013</v>
      </c>
      <c r="BL303" t="n">
        <v>-0.113</v>
      </c>
      <c r="BO303" t="n">
        <v>-0.026</v>
      </c>
      <c r="BP303" t="n">
        <v>2</v>
      </c>
      <c r="BS303" t="n">
        <v>13</v>
      </c>
      <c r="BT303" t="n">
        <v>1.679</v>
      </c>
      <c r="BW303" t="n">
        <v>0.2</v>
      </c>
      <c r="BX303" t="n">
        <v>0.179</v>
      </c>
      <c r="BY303" t="n">
        <v>0.189</v>
      </c>
      <c r="BZ303" t="n">
        <v>0.024</v>
      </c>
      <c r="CA303" t="n">
        <v>0.302</v>
      </c>
      <c r="CB303" t="n">
        <v>0.039</v>
      </c>
      <c r="CC303" t="n">
        <v>4</v>
      </c>
      <c r="CE303" t="n">
        <v>4</v>
      </c>
      <c r="CI303" t="n">
        <v>2.126</v>
      </c>
      <c r="CJ303" t="n">
        <v>1.967</v>
      </c>
      <c r="CK303" t="n">
        <v>17</v>
      </c>
      <c r="CL303" t="n">
        <v>30</v>
      </c>
      <c r="CM303" t="n">
        <v>8</v>
      </c>
      <c r="CN303" t="n">
        <v>5</v>
      </c>
      <c r="CO303" t="n">
        <v>5</v>
      </c>
      <c r="CP303" t="n">
        <v>11</v>
      </c>
      <c r="CQ303" t="n">
        <v>1</v>
      </c>
      <c r="CR303" t="n">
        <v>38</v>
      </c>
      <c r="CS303" t="n">
        <v>6</v>
      </c>
      <c r="CT303" t="n">
        <v>0.1</v>
      </c>
      <c r="CV303" t="n">
        <v>1</v>
      </c>
      <c r="CW303" t="n">
        <v>9.01</v>
      </c>
      <c r="CX303" t="n">
        <v>1.163</v>
      </c>
      <c r="CY303" t="n">
        <v>0</v>
      </c>
      <c r="DB303" t="n">
        <v>0</v>
      </c>
      <c r="DF303" t="n">
        <v>3</v>
      </c>
      <c r="DG303" t="n">
        <v>0</v>
      </c>
      <c r="DH303" t="n">
        <v>10</v>
      </c>
      <c r="DI303" t="n">
        <v>16</v>
      </c>
      <c r="DL303" t="n">
        <v>8</v>
      </c>
      <c r="DM303" t="n">
        <v>7</v>
      </c>
      <c r="DN303" t="n">
        <v>1</v>
      </c>
      <c r="DO303" t="n">
        <v>0.3</v>
      </c>
      <c r="DP303" t="n">
        <v>24.5</v>
      </c>
      <c r="DQ303" t="n">
        <v>12.78</v>
      </c>
      <c r="DR303" t="n">
        <v>25.56</v>
      </c>
      <c r="DS303" t="n">
        <v>-1.06</v>
      </c>
      <c r="DT303" t="n">
        <v>394</v>
      </c>
      <c r="DU303" t="n">
        <v>10.38</v>
      </c>
      <c r="DV303" t="inlineStr">
        <is>
          <t>flat</t>
        </is>
      </c>
      <c r="DW303" t="n">
        <v>72.26000000000001</v>
      </c>
      <c r="DX303" t="n">
        <v>81.95999999999999</v>
      </c>
      <c r="DY303" t="n">
        <v>72.61</v>
      </c>
      <c r="DZ303" t="n">
        <v>0.34</v>
      </c>
      <c r="EA303" t="n">
        <v>46</v>
      </c>
      <c r="EB303" t="n">
        <v>24.33</v>
      </c>
      <c r="EC303" t="n">
        <v>10.67</v>
      </c>
      <c r="ED303" t="n">
        <v>119.11</v>
      </c>
      <c r="EE303" t="n">
        <v>87</v>
      </c>
      <c r="EF303" t="b">
        <v>1</v>
      </c>
      <c r="EG303" t="n">
        <v>2.1</v>
      </c>
      <c r="EH303" t="n">
        <v>16.3</v>
      </c>
      <c r="EI303" t="n">
        <v>183</v>
      </c>
      <c r="EJ303" t="n">
        <v>348.5</v>
      </c>
      <c r="EK303" t="n">
        <v>53.6</v>
      </c>
      <c r="EL303" t="n">
        <v>174.2</v>
      </c>
      <c r="EM303" t="n">
        <v>6176.5</v>
      </c>
      <c r="EN303" t="n">
        <v>3682.7</v>
      </c>
      <c r="EO303" t="n">
        <v>2307.1</v>
      </c>
      <c r="EP303" t="n">
        <v>24</v>
      </c>
    </row>
    <row r="304">
      <c r="A304" t="inlineStr">
        <is>
          <t>Victor Lindelöf</t>
        </is>
      </c>
      <c r="B304" t="inlineStr">
        <is>
          <t>AVL</t>
        </is>
      </c>
      <c r="C304" t="inlineStr">
        <is>
          <t>DEF</t>
        </is>
      </c>
      <c r="D304" t="inlineStr">
        <is>
          <t>DEF</t>
        </is>
      </c>
      <c r="E304" t="n">
        <v>4.5</v>
      </c>
      <c r="F304" t="b">
        <v>1</v>
      </c>
      <c r="G304" t="b">
        <v>1</v>
      </c>
      <c r="H304" t="n">
        <v>32.1</v>
      </c>
      <c r="I304" t="inlineStr">
        <is>
          <t>a</t>
        </is>
      </c>
      <c r="L304" t="inlineStr">
        <is>
          <t>p184667</t>
        </is>
      </c>
      <c r="M304" t="n">
        <v>37</v>
      </c>
      <c r="Q304" t="n">
        <v>942</v>
      </c>
      <c r="R304" t="n">
        <v>17</v>
      </c>
      <c r="S304" t="n">
        <v>11</v>
      </c>
      <c r="T304" t="n">
        <v>10.467</v>
      </c>
      <c r="U304" t="n">
        <v>55.4</v>
      </c>
      <c r="V304" t="n">
        <v>29</v>
      </c>
      <c r="W304" t="n">
        <v>2.771</v>
      </c>
      <c r="X304" t="n">
        <v>0</v>
      </c>
      <c r="Y304" t="n">
        <v>1</v>
      </c>
      <c r="Z304" t="n">
        <v>1</v>
      </c>
      <c r="AA304" t="n">
        <v>1</v>
      </c>
      <c r="AB304" t="n">
        <v>15</v>
      </c>
      <c r="AC304" t="n">
        <v>0</v>
      </c>
      <c r="AD304" t="n">
        <v>0</v>
      </c>
      <c r="AE304" t="n">
        <v>0</v>
      </c>
      <c r="AF304" t="n">
        <v>124</v>
      </c>
      <c r="AG304" t="n">
        <v>115</v>
      </c>
      <c r="AH304" t="n">
        <v>-9</v>
      </c>
      <c r="AI304" t="n">
        <v>29</v>
      </c>
      <c r="AJ304" t="n">
        <v>0</v>
      </c>
      <c r="AK304" t="n">
        <v>0</v>
      </c>
      <c r="AL304" t="n">
        <v>54</v>
      </c>
      <c r="AM304" t="n">
        <v>5.159</v>
      </c>
      <c r="AN304" t="n">
        <v>0</v>
      </c>
      <c r="AO304" t="n">
        <v>0</v>
      </c>
      <c r="AP304" t="n">
        <v>0</v>
      </c>
      <c r="AQ304" t="n">
        <v>0</v>
      </c>
      <c r="AR304" t="n">
        <v>0</v>
      </c>
      <c r="AS304" t="n">
        <v>0.289</v>
      </c>
      <c r="AT304" t="n">
        <v>0.588</v>
      </c>
      <c r="AU304" t="n">
        <v>15</v>
      </c>
      <c r="AV304" t="n">
        <v>0</v>
      </c>
      <c r="AW304" t="n">
        <v>1.29</v>
      </c>
      <c r="AX304" t="n">
        <v>6</v>
      </c>
      <c r="AY304" t="n">
        <v>0.28</v>
      </c>
      <c r="AZ304" t="n">
        <v>0.156</v>
      </c>
      <c r="BA304" t="n">
        <v>0.218</v>
      </c>
      <c r="BB304" t="n">
        <v>0.156</v>
      </c>
      <c r="BC304" t="n">
        <v>0.027</v>
      </c>
      <c r="BD304" t="n">
        <v>0.015</v>
      </c>
      <c r="BE304" t="n">
        <v>0.021</v>
      </c>
      <c r="BH304" t="n">
        <v>0.976</v>
      </c>
      <c r="BI304" t="n">
        <v>1.22</v>
      </c>
      <c r="BJ304" t="n">
        <v>0.273</v>
      </c>
      <c r="BK304" t="n">
        <v>0.026</v>
      </c>
      <c r="BL304" t="n">
        <v>-0.218</v>
      </c>
      <c r="BO304" t="n">
        <v>0.124</v>
      </c>
      <c r="BP304" t="n">
        <v>3</v>
      </c>
      <c r="BR304" t="n">
        <v>1</v>
      </c>
      <c r="BS304" t="n">
        <v>5</v>
      </c>
      <c r="BT304" t="n">
        <v>0.478</v>
      </c>
      <c r="BW304" t="n">
        <v>0.1</v>
      </c>
      <c r="BX304" t="n">
        <v>0.598</v>
      </c>
      <c r="BY304" t="n">
        <v>0.349</v>
      </c>
      <c r="BZ304" t="n">
        <v>0.033</v>
      </c>
      <c r="CA304" t="n">
        <v>0.5669999999999999</v>
      </c>
      <c r="CB304" t="n">
        <v>0.054</v>
      </c>
      <c r="CC304" t="n">
        <v>2</v>
      </c>
      <c r="CD304" t="n">
        <v>1</v>
      </c>
      <c r="CE304" t="n">
        <v>2</v>
      </c>
      <c r="CI304" t="n">
        <v>2.545</v>
      </c>
      <c r="CJ304" t="n">
        <v>2.528</v>
      </c>
      <c r="CK304" t="n">
        <v>47</v>
      </c>
      <c r="CL304" t="n">
        <v>19</v>
      </c>
      <c r="CM304" t="n">
        <v>7</v>
      </c>
      <c r="CN304" t="n">
        <v>3</v>
      </c>
      <c r="CO304" t="n">
        <v>8</v>
      </c>
      <c r="CP304" t="n">
        <v>34</v>
      </c>
      <c r="CQ304" t="n">
        <v>5</v>
      </c>
      <c r="CR304" t="n">
        <v>19</v>
      </c>
      <c r="CS304" t="n">
        <v>11</v>
      </c>
      <c r="CW304" t="n">
        <v>15.93</v>
      </c>
      <c r="CX304" t="n">
        <v>1.522</v>
      </c>
      <c r="CY304" t="n">
        <v>0</v>
      </c>
      <c r="DB304" t="n">
        <v>0</v>
      </c>
      <c r="DF304" t="n">
        <v>0</v>
      </c>
      <c r="DG304" t="n">
        <v>0</v>
      </c>
      <c r="DH304" t="n">
        <v>2</v>
      </c>
      <c r="DI304" t="n">
        <v>1</v>
      </c>
      <c r="DM304" t="n">
        <v>2</v>
      </c>
      <c r="DO304" t="n">
        <v>0.2</v>
      </c>
      <c r="DP304" t="n">
        <v>40.1</v>
      </c>
      <c r="DQ304" t="n">
        <v>22.92</v>
      </c>
      <c r="DR304" t="n">
        <v>45.84</v>
      </c>
      <c r="DS304" t="n">
        <v>-5.74</v>
      </c>
      <c r="DT304" t="n">
        <v>884</v>
      </c>
      <c r="DU304" t="n">
        <v>23.25</v>
      </c>
      <c r="DV304" t="inlineStr">
        <is>
          <t>fade (losing his place)</t>
        </is>
      </c>
      <c r="DW304" t="n">
        <v>98.91</v>
      </c>
      <c r="DX304" t="n">
        <v>90.59999999999999</v>
      </c>
      <c r="DY304" t="n">
        <v>97.81</v>
      </c>
      <c r="DZ304" t="n">
        <v>-1.1</v>
      </c>
      <c r="EA304" t="n">
        <v>18</v>
      </c>
      <c r="EB304" t="n">
        <v>13.5</v>
      </c>
      <c r="EC304" t="n">
        <v>65</v>
      </c>
      <c r="ED304" t="n">
        <v>119.2</v>
      </c>
      <c r="EE304" t="n">
        <v>31</v>
      </c>
      <c r="EF304" t="b">
        <v>1</v>
      </c>
      <c r="EG304" t="n">
        <v>0.7</v>
      </c>
      <c r="EH304" t="n">
        <v>8.800000000000001</v>
      </c>
      <c r="EI304" t="n">
        <v>436</v>
      </c>
      <c r="EJ304" t="n">
        <v>314</v>
      </c>
      <c r="EK304" t="n">
        <v>188.4</v>
      </c>
      <c r="EL304" t="n">
        <v>471</v>
      </c>
      <c r="EM304" t="n">
        <v>4319.8</v>
      </c>
      <c r="EN304" t="n">
        <v>2698.8</v>
      </c>
      <c r="EO304" t="n">
        <v>1661</v>
      </c>
      <c r="EP304" t="n">
        <v>32.5</v>
      </c>
    </row>
    <row r="305">
      <c r="A305" t="inlineStr">
        <is>
          <t>Charly Alcaraz</t>
        </is>
      </c>
      <c r="B305" t="inlineStr">
        <is>
          <t>EVE</t>
        </is>
      </c>
      <c r="C305" t="inlineStr">
        <is>
          <t>MID</t>
        </is>
      </c>
      <c r="D305" t="inlineStr">
        <is>
          <t>MID</t>
        </is>
      </c>
      <c r="E305" t="n">
        <v>5</v>
      </c>
      <c r="F305" t="b">
        <v>1</v>
      </c>
      <c r="G305" t="b">
        <v>1</v>
      </c>
      <c r="H305" t="n">
        <v>23.7</v>
      </c>
      <c r="I305" t="inlineStr">
        <is>
          <t>a</t>
        </is>
      </c>
      <c r="L305" t="inlineStr">
        <is>
          <t>p502697</t>
        </is>
      </c>
      <c r="M305" t="n">
        <v>243</v>
      </c>
      <c r="Q305" t="n">
        <v>679</v>
      </c>
      <c r="R305" t="n">
        <v>20</v>
      </c>
      <c r="S305" t="n">
        <v>6</v>
      </c>
      <c r="T305" t="n">
        <v>7.544</v>
      </c>
      <c r="U305" t="n">
        <v>34</v>
      </c>
      <c r="V305" t="n">
        <v>29</v>
      </c>
      <c r="W305" t="n">
        <v>3.844</v>
      </c>
      <c r="X305" t="n">
        <v>0</v>
      </c>
      <c r="Y305" t="n">
        <v>1</v>
      </c>
      <c r="Z305" t="n">
        <v>1</v>
      </c>
      <c r="AA305" t="n">
        <v>3</v>
      </c>
      <c r="AB305" t="n">
        <v>10</v>
      </c>
      <c r="AC305" t="n">
        <v>0</v>
      </c>
      <c r="AD305" t="n">
        <v>0</v>
      </c>
      <c r="AE305" t="n">
        <v>0</v>
      </c>
      <c r="AF305" t="n">
        <v>121</v>
      </c>
      <c r="AG305" t="n">
        <v>119</v>
      </c>
      <c r="AH305" t="n">
        <v>-2</v>
      </c>
      <c r="AI305" t="n">
        <v>29</v>
      </c>
      <c r="AJ305" t="n">
        <v>0</v>
      </c>
      <c r="AK305" t="n">
        <v>0</v>
      </c>
      <c r="AL305" t="n">
        <v>70</v>
      </c>
      <c r="AM305" t="n">
        <v>9.278</v>
      </c>
      <c r="AN305" t="n">
        <v>0</v>
      </c>
      <c r="AO305" t="n">
        <v>0</v>
      </c>
      <c r="AP305" t="n">
        <v>0</v>
      </c>
      <c r="AQ305" t="n">
        <v>0.167</v>
      </c>
      <c r="AR305" t="n">
        <v>0</v>
      </c>
      <c r="AS305" t="n">
        <v>0.158</v>
      </c>
      <c r="AT305" t="n">
        <v>0.35</v>
      </c>
      <c r="AU305" t="n">
        <v>17</v>
      </c>
      <c r="AV305" t="n">
        <v>0</v>
      </c>
      <c r="AW305" t="n">
        <v>1.1</v>
      </c>
      <c r="AX305" t="n">
        <v>5</v>
      </c>
      <c r="AY305" t="n">
        <v>1.17</v>
      </c>
      <c r="AZ305" t="n">
        <v>1.009</v>
      </c>
      <c r="BA305" t="n">
        <v>1.089</v>
      </c>
      <c r="BB305" t="n">
        <v>1.009</v>
      </c>
      <c r="BC305" t="n">
        <v>0.155</v>
      </c>
      <c r="BD305" t="n">
        <v>0.134</v>
      </c>
      <c r="BE305" t="n">
        <v>0.144</v>
      </c>
      <c r="BF305" t="n">
        <v>0.6</v>
      </c>
      <c r="BG305" t="n">
        <v>0.08</v>
      </c>
      <c r="BH305" t="n">
        <v>1.078</v>
      </c>
      <c r="BI305" t="n">
        <v>4.71</v>
      </c>
      <c r="BJ305" t="n">
        <v>1.261</v>
      </c>
      <c r="BK305" t="n">
        <v>0.167</v>
      </c>
      <c r="BL305" t="n">
        <v>-1.089</v>
      </c>
      <c r="BM305" t="n">
        <v>-0.57</v>
      </c>
      <c r="BN305" t="n">
        <v>-0.6</v>
      </c>
      <c r="BO305" t="n">
        <v>0.161</v>
      </c>
      <c r="BP305" t="n">
        <v>20</v>
      </c>
      <c r="BQ305" t="n">
        <v>5</v>
      </c>
      <c r="BR305" t="n">
        <v>1</v>
      </c>
      <c r="BS305" t="n">
        <v>28</v>
      </c>
      <c r="BT305" t="n">
        <v>3.711</v>
      </c>
      <c r="BW305" t="n">
        <v>0.54</v>
      </c>
      <c r="BX305" t="n">
        <v>1.214</v>
      </c>
      <c r="BY305" t="n">
        <v>0.877</v>
      </c>
      <c r="BZ305" t="n">
        <v>0.116</v>
      </c>
      <c r="CA305" t="n">
        <v>1.966</v>
      </c>
      <c r="CB305" t="n">
        <v>0.261</v>
      </c>
      <c r="CC305" t="n">
        <v>9</v>
      </c>
      <c r="CD305" t="n">
        <v>2</v>
      </c>
      <c r="CE305" t="n">
        <v>10</v>
      </c>
      <c r="CF305" t="n">
        <v>3</v>
      </c>
      <c r="CH305" t="n">
        <v>4</v>
      </c>
      <c r="CI305" t="n">
        <v>2.684</v>
      </c>
      <c r="CJ305" t="n">
        <v>1.346</v>
      </c>
      <c r="CK305" t="n">
        <v>13</v>
      </c>
      <c r="CL305" t="n">
        <v>43</v>
      </c>
      <c r="CM305" t="n">
        <v>14</v>
      </c>
      <c r="CN305" t="n">
        <v>9</v>
      </c>
      <c r="CO305" t="n">
        <v>3</v>
      </c>
      <c r="CP305" t="n">
        <v>7</v>
      </c>
      <c r="CQ305" t="n">
        <v>3</v>
      </c>
      <c r="CR305" t="n">
        <v>46</v>
      </c>
      <c r="CS305" t="n">
        <v>14</v>
      </c>
      <c r="CT305" t="n">
        <v>0.3</v>
      </c>
      <c r="CV305" t="n">
        <v>2</v>
      </c>
      <c r="CW305" t="n">
        <v>13.56</v>
      </c>
      <c r="CX305" t="n">
        <v>1.797</v>
      </c>
      <c r="CY305" t="n">
        <v>0</v>
      </c>
      <c r="DB305" t="n">
        <v>0</v>
      </c>
      <c r="DF305" t="n">
        <v>4</v>
      </c>
      <c r="DG305" t="n">
        <v>0</v>
      </c>
      <c r="DH305" t="n">
        <v>10</v>
      </c>
      <c r="DI305" t="n">
        <v>12</v>
      </c>
      <c r="DL305" t="n">
        <v>7</v>
      </c>
      <c r="DM305" t="n">
        <v>9</v>
      </c>
      <c r="DN305" t="n">
        <v>1</v>
      </c>
      <c r="DO305" t="n">
        <v>0.1</v>
      </c>
      <c r="DP305" t="n">
        <v>16.22</v>
      </c>
      <c r="DQ305" t="n">
        <v>8.18</v>
      </c>
      <c r="DR305" t="n">
        <v>16.36</v>
      </c>
      <c r="DS305" t="n">
        <v>-0.14</v>
      </c>
      <c r="DT305" t="n">
        <v>191</v>
      </c>
      <c r="DU305" t="n">
        <v>5.03</v>
      </c>
      <c r="DV305" t="inlineStr">
        <is>
          <t>flat</t>
        </is>
      </c>
      <c r="DW305" t="n">
        <v>93</v>
      </c>
      <c r="DX305" t="n">
        <v>83</v>
      </c>
      <c r="EB305" t="n">
        <v>14.14</v>
      </c>
      <c r="EC305" t="n">
        <v>83</v>
      </c>
      <c r="ED305" t="n">
        <v>103</v>
      </c>
      <c r="EE305" t="n">
        <v>2</v>
      </c>
      <c r="EF305" t="b">
        <v>0</v>
      </c>
      <c r="EG305" t="n">
        <v>0.1</v>
      </c>
      <c r="EH305" t="n">
        <v>33.3</v>
      </c>
      <c r="EI305" t="n">
        <v>302</v>
      </c>
      <c r="EJ305" t="n">
        <v>34</v>
      </c>
      <c r="EK305" t="n">
        <v>24.2</v>
      </c>
      <c r="EL305" t="n">
        <v>67.90000000000001</v>
      </c>
      <c r="EM305" t="n">
        <v>623.3</v>
      </c>
      <c r="EN305" t="n">
        <v>774.3</v>
      </c>
      <c r="EO305" t="n">
        <v>345.3</v>
      </c>
      <c r="EP305" t="n">
        <v>23.4</v>
      </c>
    </row>
    <row r="306">
      <c r="A306" t="inlineStr">
        <is>
          <t>Yoane Wissa</t>
        </is>
      </c>
      <c r="B306" t="inlineStr">
        <is>
          <t>NEW</t>
        </is>
      </c>
      <c r="C306" t="inlineStr">
        <is>
          <t>FWD</t>
        </is>
      </c>
      <c r="D306" t="inlineStr">
        <is>
          <t>FWD</t>
        </is>
      </c>
      <c r="E306" t="n">
        <v>6</v>
      </c>
      <c r="F306" t="b">
        <v>1</v>
      </c>
      <c r="G306" t="b">
        <v>1</v>
      </c>
      <c r="H306" t="n">
        <v>30</v>
      </c>
      <c r="I306" t="inlineStr">
        <is>
          <t>a</t>
        </is>
      </c>
      <c r="L306" t="inlineStr">
        <is>
          <t>p216646</t>
        </is>
      </c>
      <c r="M306" t="n">
        <v>464</v>
      </c>
      <c r="N306" t="n">
        <v>4</v>
      </c>
      <c r="Q306" t="n">
        <v>517</v>
      </c>
      <c r="R306" t="n">
        <v>19</v>
      </c>
      <c r="S306" t="n">
        <v>4</v>
      </c>
      <c r="T306" t="n">
        <v>5.744</v>
      </c>
      <c r="U306" t="n">
        <v>27.2</v>
      </c>
      <c r="V306" t="n">
        <v>27</v>
      </c>
      <c r="W306" t="n">
        <v>4.7</v>
      </c>
      <c r="X306" t="n">
        <v>1</v>
      </c>
      <c r="Y306" t="n">
        <v>1</v>
      </c>
      <c r="Z306" t="n">
        <v>1</v>
      </c>
      <c r="AA306" t="n">
        <v>1</v>
      </c>
      <c r="AB306" t="n">
        <v>11</v>
      </c>
      <c r="AC306" t="n">
        <v>0</v>
      </c>
      <c r="AD306" t="n">
        <v>0</v>
      </c>
      <c r="AE306" t="n">
        <v>0</v>
      </c>
      <c r="AF306" t="n">
        <v>70</v>
      </c>
      <c r="AG306" t="n">
        <v>70</v>
      </c>
      <c r="AH306" t="n">
        <v>0</v>
      </c>
      <c r="AI306" t="n">
        <v>27</v>
      </c>
      <c r="AJ306" t="n">
        <v>0</v>
      </c>
      <c r="AK306" t="n">
        <v>0</v>
      </c>
      <c r="AL306" t="n">
        <v>22</v>
      </c>
      <c r="AM306" t="n">
        <v>3.83</v>
      </c>
      <c r="AN306" t="n">
        <v>0</v>
      </c>
      <c r="AO306" t="n">
        <v>0</v>
      </c>
      <c r="AP306" t="n">
        <v>0</v>
      </c>
      <c r="AQ306" t="n">
        <v>0</v>
      </c>
      <c r="AR306" t="n">
        <v>0</v>
      </c>
      <c r="AS306" t="n">
        <v>0.105</v>
      </c>
      <c r="AT306" t="n">
        <v>0.211</v>
      </c>
      <c r="AU306" t="n">
        <v>17</v>
      </c>
      <c r="AV306" t="n">
        <v>0</v>
      </c>
      <c r="AW306" t="n">
        <v>1.16</v>
      </c>
      <c r="AX306" t="n">
        <v>6</v>
      </c>
      <c r="AY306" t="n">
        <v>3.13</v>
      </c>
      <c r="AZ306" t="n">
        <v>3.238</v>
      </c>
      <c r="BA306" t="n">
        <v>3.184</v>
      </c>
      <c r="BB306" t="n">
        <v>3.238</v>
      </c>
      <c r="BC306" t="n">
        <v>0.545</v>
      </c>
      <c r="BD306" t="n">
        <v>0.5639999999999999</v>
      </c>
      <c r="BE306" t="n">
        <v>0.554</v>
      </c>
      <c r="BF306" t="n">
        <v>1.3</v>
      </c>
      <c r="BG306" t="n">
        <v>0.226</v>
      </c>
      <c r="BH306" t="n">
        <v>0.9350000000000001</v>
      </c>
      <c r="BI306" t="n">
        <v>37.9</v>
      </c>
      <c r="BJ306" t="n">
        <v>2.925</v>
      </c>
      <c r="BK306" t="n">
        <v>0.509</v>
      </c>
      <c r="BL306" t="n">
        <v>-2.184</v>
      </c>
      <c r="BM306" t="n">
        <v>-1.83</v>
      </c>
      <c r="BN306" t="n">
        <v>-0.3</v>
      </c>
      <c r="BO306" t="n">
        <v>-0.108</v>
      </c>
      <c r="BP306" t="n">
        <v>13</v>
      </c>
      <c r="BQ306" t="n">
        <v>5</v>
      </c>
      <c r="BR306" t="n">
        <v>6</v>
      </c>
      <c r="BS306" t="n">
        <v>37</v>
      </c>
      <c r="BT306" t="n">
        <v>6.441</v>
      </c>
      <c r="BW306" t="n">
        <v>0.54</v>
      </c>
      <c r="BX306" t="n">
        <v>0.17</v>
      </c>
      <c r="BY306" t="n">
        <v>0.355</v>
      </c>
      <c r="BZ306" t="n">
        <v>0.062</v>
      </c>
      <c r="CA306" t="n">
        <v>3.539</v>
      </c>
      <c r="CB306" t="n">
        <v>0.616</v>
      </c>
      <c r="CC306" t="n">
        <v>3</v>
      </c>
      <c r="CD306" t="n">
        <v>1</v>
      </c>
      <c r="CE306" t="n">
        <v>4</v>
      </c>
      <c r="CG306" t="n">
        <v>1</v>
      </c>
      <c r="CH306" t="n">
        <v>1</v>
      </c>
      <c r="CI306" t="n">
        <v>4.354</v>
      </c>
      <c r="CJ306" t="n">
        <v>1.306</v>
      </c>
      <c r="CK306" t="n">
        <v>3</v>
      </c>
      <c r="CL306" t="n">
        <v>14</v>
      </c>
      <c r="CM306" t="n">
        <v>5</v>
      </c>
      <c r="CN306" t="n">
        <v>5</v>
      </c>
      <c r="CP306" t="n">
        <v>2</v>
      </c>
      <c r="CQ306" t="n">
        <v>1</v>
      </c>
      <c r="CR306" t="n">
        <v>23</v>
      </c>
      <c r="CS306" t="n">
        <v>15</v>
      </c>
      <c r="CT306" t="n">
        <v>0.3</v>
      </c>
      <c r="CW306" t="n">
        <v>9.970000000000001</v>
      </c>
      <c r="CX306" t="n">
        <v>1.736</v>
      </c>
      <c r="CY306" t="n">
        <v>0</v>
      </c>
      <c r="DB306" t="n">
        <v>0</v>
      </c>
      <c r="DF306" t="n">
        <v>3</v>
      </c>
      <c r="DG306" t="n">
        <v>0</v>
      </c>
      <c r="DH306" t="n">
        <v>6</v>
      </c>
      <c r="DI306" t="n">
        <v>2</v>
      </c>
      <c r="DL306" t="n">
        <v>1</v>
      </c>
      <c r="DM306" t="n">
        <v>6</v>
      </c>
      <c r="DN306" t="n">
        <v>4</v>
      </c>
      <c r="DO306" t="n">
        <v>1.7</v>
      </c>
      <c r="DP306" t="n">
        <v>83.16</v>
      </c>
      <c r="DQ306" t="n">
        <v>41.58</v>
      </c>
      <c r="DR306" t="n">
        <v>83.16</v>
      </c>
      <c r="DS306" t="n">
        <v>0</v>
      </c>
      <c r="DT306" t="n">
        <v>1277</v>
      </c>
      <c r="DU306" t="n">
        <v>33.6</v>
      </c>
      <c r="DV306" t="inlineStr">
        <is>
          <t>flat</t>
        </is>
      </c>
      <c r="DW306" t="n">
        <v>73.43000000000001</v>
      </c>
      <c r="DX306" t="n">
        <v>83.64</v>
      </c>
      <c r="DY306" t="n">
        <v>63.17</v>
      </c>
      <c r="DZ306" t="n">
        <v>-10.27</v>
      </c>
      <c r="EA306" t="n">
        <v>1182</v>
      </c>
      <c r="EB306" t="n">
        <v>27.84</v>
      </c>
      <c r="EC306" t="n">
        <v>4</v>
      </c>
      <c r="ED306" t="n">
        <v>120</v>
      </c>
      <c r="EE306" t="n">
        <v>2345</v>
      </c>
      <c r="EF306" t="b">
        <v>1</v>
      </c>
      <c r="EG306" t="n">
        <v>58</v>
      </c>
      <c r="EH306" t="n">
        <v>17</v>
      </c>
      <c r="EI306" t="n">
        <v>103</v>
      </c>
      <c r="EJ306" t="n">
        <v>39.8</v>
      </c>
      <c r="EK306" t="n">
        <v>14</v>
      </c>
      <c r="EL306" t="n">
        <v>129.2</v>
      </c>
      <c r="EM306" t="n">
        <v>162.4</v>
      </c>
      <c r="EN306" t="n">
        <v>1457.3</v>
      </c>
      <c r="EO306" t="n">
        <v>146.1</v>
      </c>
      <c r="EP306" t="n">
        <v>19.1</v>
      </c>
    </row>
    <row r="307">
      <c r="A307" t="inlineStr">
        <is>
          <t>Enes Ünal</t>
        </is>
      </c>
      <c r="B307" t="inlineStr">
        <is>
          <t>BOU</t>
        </is>
      </c>
      <c r="C307" t="inlineStr">
        <is>
          <t>FWD</t>
        </is>
      </c>
      <c r="D307" t="inlineStr">
        <is>
          <t>FWD</t>
        </is>
      </c>
      <c r="E307" t="n">
        <v>5.5</v>
      </c>
      <c r="F307" t="b">
        <v>1</v>
      </c>
      <c r="G307" t="b">
        <v>1</v>
      </c>
      <c r="H307" t="n">
        <v>29.3</v>
      </c>
      <c r="I307" t="inlineStr">
        <is>
          <t>u</t>
        </is>
      </c>
      <c r="J307" t="inlineStr">
        <is>
          <t>Has joined Getafe permanently</t>
        </is>
      </c>
      <c r="K307" t="n">
        <v>0</v>
      </c>
      <c r="L307" t="inlineStr">
        <is>
          <t>p168636</t>
        </is>
      </c>
      <c r="M307" t="n">
        <v>80</v>
      </c>
      <c r="Q307" t="n">
        <v>214</v>
      </c>
      <c r="R307" t="n">
        <v>23</v>
      </c>
      <c r="S307" t="n">
        <v>0</v>
      </c>
      <c r="T307" t="n">
        <v>2.378</v>
      </c>
      <c r="U307" t="n">
        <v>9.300000000000001</v>
      </c>
      <c r="V307" t="n">
        <v>27</v>
      </c>
      <c r="W307" t="n">
        <v>11.355</v>
      </c>
      <c r="X307" t="n">
        <v>1</v>
      </c>
      <c r="Y307" t="n">
        <v>0</v>
      </c>
      <c r="AA307" t="n">
        <v>0</v>
      </c>
      <c r="AB307" t="n">
        <v>3</v>
      </c>
      <c r="AC307" t="n">
        <v>1</v>
      </c>
      <c r="AD307" t="n">
        <v>1</v>
      </c>
      <c r="AE307" t="n">
        <v>0</v>
      </c>
      <c r="AF307" t="n">
        <v>83</v>
      </c>
      <c r="AG307" t="n">
        <v>80</v>
      </c>
      <c r="AH307" t="n">
        <v>-3</v>
      </c>
      <c r="AI307" t="n">
        <v>27</v>
      </c>
      <c r="AJ307" t="n">
        <v>0.037</v>
      </c>
      <c r="AK307" t="n">
        <v>0.038</v>
      </c>
      <c r="AL307" t="n">
        <v>23</v>
      </c>
      <c r="AM307" t="n">
        <v>9.673</v>
      </c>
      <c r="AN307" t="n">
        <v>0</v>
      </c>
      <c r="AO307" t="n">
        <v>0</v>
      </c>
      <c r="AS307" t="n">
        <v>0</v>
      </c>
      <c r="AT307" t="n">
        <v>0</v>
      </c>
      <c r="AU307" t="n">
        <v>22</v>
      </c>
      <c r="AV307" t="n">
        <v>0</v>
      </c>
      <c r="AW307" t="n">
        <v>1.01</v>
      </c>
      <c r="AX307" t="n">
        <v>6</v>
      </c>
      <c r="AY307" t="n">
        <v>2</v>
      </c>
      <c r="AZ307" t="n">
        <v>2.326</v>
      </c>
      <c r="BA307" t="n">
        <v>2.163</v>
      </c>
      <c r="BB307" t="n">
        <v>2.326</v>
      </c>
      <c r="BC307" t="n">
        <v>0.841</v>
      </c>
      <c r="BD307" t="n">
        <v>0.978</v>
      </c>
      <c r="BE307" t="n">
        <v>0.91</v>
      </c>
      <c r="BF307" t="n">
        <v>1.6</v>
      </c>
      <c r="BG307" t="n">
        <v>0.673</v>
      </c>
      <c r="BH307" t="n">
        <v>0.835</v>
      </c>
      <c r="BI307" t="n">
        <v>7.57</v>
      </c>
      <c r="BJ307" t="n">
        <v>1.67</v>
      </c>
      <c r="BK307" t="n">
        <v>0.702</v>
      </c>
      <c r="BL307" t="n">
        <v>-1.163</v>
      </c>
      <c r="BM307" t="n">
        <v>-0.4</v>
      </c>
      <c r="BN307" t="n">
        <v>-0.6</v>
      </c>
      <c r="BO307" t="n">
        <v>-0.326</v>
      </c>
      <c r="BP307" t="n">
        <v>15</v>
      </c>
      <c r="BQ307" t="n">
        <v>3</v>
      </c>
      <c r="BR307" t="n">
        <v>2</v>
      </c>
      <c r="BS307" t="n">
        <v>20</v>
      </c>
      <c r="BT307" t="n">
        <v>8.411</v>
      </c>
      <c r="BW307" t="n">
        <v>0.07000000000000001</v>
      </c>
      <c r="BX307" t="n">
        <v>0.284</v>
      </c>
      <c r="BY307" t="n">
        <v>0.177</v>
      </c>
      <c r="BZ307" t="n">
        <v>0.074</v>
      </c>
      <c r="CA307" t="n">
        <v>2.34</v>
      </c>
      <c r="CB307" t="n">
        <v>0.984</v>
      </c>
      <c r="CC307" t="n">
        <v>1</v>
      </c>
      <c r="CD307" t="n">
        <v>1</v>
      </c>
      <c r="CE307" t="n">
        <v>1</v>
      </c>
      <c r="CI307" t="n">
        <v>2.646</v>
      </c>
      <c r="CJ307" t="n">
        <v>0.39</v>
      </c>
      <c r="CK307" t="n">
        <v>15</v>
      </c>
      <c r="CL307" t="n">
        <v>7</v>
      </c>
      <c r="CM307" t="n">
        <v>1</v>
      </c>
      <c r="CN307" t="n">
        <v>1</v>
      </c>
      <c r="CP307" t="n">
        <v>14</v>
      </c>
      <c r="CQ307" t="n">
        <v>1</v>
      </c>
      <c r="CR307" t="n">
        <v>21</v>
      </c>
      <c r="CS307" t="n">
        <v>10</v>
      </c>
      <c r="CT307" t="n">
        <v>0.4</v>
      </c>
      <c r="CW307" t="n">
        <v>6.16</v>
      </c>
      <c r="CX307" t="n">
        <v>2.591</v>
      </c>
      <c r="CY307" t="n">
        <v>0</v>
      </c>
      <c r="DB307" t="n">
        <v>0</v>
      </c>
      <c r="DF307" t="n">
        <v>1</v>
      </c>
      <c r="DG307" t="n">
        <v>0</v>
      </c>
      <c r="DH307" t="n">
        <v>6</v>
      </c>
      <c r="DI307" t="n">
        <v>10</v>
      </c>
      <c r="DL307" t="n">
        <v>1</v>
      </c>
      <c r="DM307" t="n">
        <v>8</v>
      </c>
      <c r="DN307" t="n">
        <v>3</v>
      </c>
      <c r="DO307" t="n">
        <v>0.2</v>
      </c>
      <c r="DW307" t="n">
        <v>100.92</v>
      </c>
      <c r="DX307" t="n">
        <v>88.67</v>
      </c>
      <c r="DY307" t="n">
        <v>102.58</v>
      </c>
      <c r="DZ307" t="n">
        <v>1.65</v>
      </c>
      <c r="EA307" t="n">
        <v>50</v>
      </c>
      <c r="EB307" t="n">
        <v>15.91</v>
      </c>
      <c r="EC307" t="n">
        <v>14.86</v>
      </c>
      <c r="ED307" t="n">
        <v>120</v>
      </c>
      <c r="EE307" t="n">
        <v>83</v>
      </c>
      <c r="EF307" t="b">
        <v>1</v>
      </c>
      <c r="EG307" t="n">
        <v>2.2</v>
      </c>
      <c r="EH307" t="n">
        <v>23.1</v>
      </c>
      <c r="EI307" t="n">
        <v>184</v>
      </c>
      <c r="EJ307" t="n">
        <v>14.3</v>
      </c>
      <c r="EK307" t="n">
        <v>10.7</v>
      </c>
      <c r="EL307" t="n">
        <v>214</v>
      </c>
      <c r="EM307" t="n">
        <v>98.90000000000001</v>
      </c>
      <c r="EN307" t="n">
        <v>1208.6</v>
      </c>
      <c r="EO307" t="n">
        <v>91.40000000000001</v>
      </c>
      <c r="EP307" t="n">
        <v>7.9</v>
      </c>
    </row>
    <row r="308">
      <c r="A308" t="inlineStr">
        <is>
          <t>Luke O'Nien</t>
        </is>
      </c>
      <c r="B308" t="inlineStr">
        <is>
          <t>SUN</t>
        </is>
      </c>
      <c r="C308" t="inlineStr">
        <is>
          <t>DEF</t>
        </is>
      </c>
      <c r="D308" t="inlineStr">
        <is>
          <t>DEF</t>
        </is>
      </c>
      <c r="E308" t="n">
        <v>4</v>
      </c>
      <c r="F308" t="b">
        <v>1</v>
      </c>
      <c r="G308" t="b">
        <v>1</v>
      </c>
      <c r="H308" t="n">
        <v>31.7</v>
      </c>
      <c r="I308" t="inlineStr">
        <is>
          <t>a</t>
        </is>
      </c>
      <c r="L308" t="inlineStr">
        <is>
          <t>p167512</t>
        </is>
      </c>
      <c r="M308" t="n">
        <v>539</v>
      </c>
      <c r="Q308" t="n">
        <v>565</v>
      </c>
      <c r="R308" t="n">
        <v>12</v>
      </c>
      <c r="S308" t="n">
        <v>5</v>
      </c>
      <c r="T308" t="n">
        <v>6.278</v>
      </c>
      <c r="U308" t="n">
        <v>47.1</v>
      </c>
      <c r="V308" t="n">
        <v>26</v>
      </c>
      <c r="W308" t="n">
        <v>4.142</v>
      </c>
      <c r="X308" t="n">
        <v>0</v>
      </c>
      <c r="Y308" t="n">
        <v>1</v>
      </c>
      <c r="Z308" t="n">
        <v>1</v>
      </c>
      <c r="AA308" t="n">
        <v>2</v>
      </c>
      <c r="AB308" t="n">
        <v>7</v>
      </c>
      <c r="AC308" t="n">
        <v>1</v>
      </c>
      <c r="AD308" t="n">
        <v>1</v>
      </c>
      <c r="AE308" t="n">
        <v>0</v>
      </c>
      <c r="AF308" t="n">
        <v>90</v>
      </c>
      <c r="AG308" t="n">
        <v>84</v>
      </c>
      <c r="AH308" t="n">
        <v>-6</v>
      </c>
      <c r="AI308" t="n">
        <v>26</v>
      </c>
      <c r="AJ308" t="n">
        <v>0.038</v>
      </c>
      <c r="AK308" t="n">
        <v>0.04</v>
      </c>
      <c r="AL308" t="n">
        <v>43</v>
      </c>
      <c r="AM308" t="n">
        <v>6.85</v>
      </c>
      <c r="AN308" t="n">
        <v>1</v>
      </c>
      <c r="AO308" t="n">
        <v>2</v>
      </c>
      <c r="AP308" t="n">
        <v>0.2</v>
      </c>
      <c r="AQ308" t="n">
        <v>0.2</v>
      </c>
      <c r="AR308" t="n">
        <v>0</v>
      </c>
      <c r="AS308" t="n">
        <v>0.132</v>
      </c>
      <c r="AT308" t="n">
        <v>0.5</v>
      </c>
      <c r="AU308" t="n">
        <v>8</v>
      </c>
      <c r="AV308" t="n">
        <v>0</v>
      </c>
      <c r="AW308" t="n">
        <v>1.71</v>
      </c>
      <c r="AX308" t="n">
        <v>6</v>
      </c>
      <c r="AY308" t="n">
        <v>0.15</v>
      </c>
      <c r="AZ308" t="n">
        <v>0.21</v>
      </c>
      <c r="BA308" t="n">
        <v>0.18</v>
      </c>
      <c r="BB308" t="n">
        <v>0.21</v>
      </c>
      <c r="BC308" t="n">
        <v>0.024</v>
      </c>
      <c r="BD308" t="n">
        <v>0.033</v>
      </c>
      <c r="BE308" t="n">
        <v>0.029</v>
      </c>
      <c r="BF308" t="n">
        <v>0.1</v>
      </c>
      <c r="BG308" t="n">
        <v>0.016</v>
      </c>
      <c r="BH308" t="n">
        <v>0.994</v>
      </c>
      <c r="BI308" t="n">
        <v>0.15</v>
      </c>
      <c r="BJ308" t="n">
        <v>0.149</v>
      </c>
      <c r="BK308" t="n">
        <v>0.024</v>
      </c>
      <c r="BL308" t="n">
        <v>-0.18</v>
      </c>
      <c r="BM308" t="n">
        <v>-0.05</v>
      </c>
      <c r="BN308" t="n">
        <v>-0.1</v>
      </c>
      <c r="BO308" t="n">
        <v>-0.06</v>
      </c>
      <c r="BP308" t="n">
        <v>4</v>
      </c>
      <c r="BQ308" t="n">
        <v>1</v>
      </c>
      <c r="BS308" t="n">
        <v>9</v>
      </c>
      <c r="BT308" t="n">
        <v>1.434</v>
      </c>
      <c r="BW308" t="n">
        <v>0.13</v>
      </c>
      <c r="BX308" t="n">
        <v>0.106</v>
      </c>
      <c r="BY308" t="n">
        <v>0.118</v>
      </c>
      <c r="BZ308" t="n">
        <v>0.019</v>
      </c>
      <c r="CA308" t="n">
        <v>0.298</v>
      </c>
      <c r="CB308" t="n">
        <v>0.047</v>
      </c>
      <c r="CC308" t="n">
        <v>2</v>
      </c>
      <c r="CE308" t="n">
        <v>2</v>
      </c>
      <c r="CI308" t="n">
        <v>2.222</v>
      </c>
      <c r="CJ308" t="n">
        <v>2</v>
      </c>
      <c r="CK308" t="n">
        <v>37</v>
      </c>
      <c r="CL308" t="n">
        <v>10</v>
      </c>
      <c r="CM308" t="n">
        <v>6</v>
      </c>
      <c r="CN308" t="n">
        <v>5</v>
      </c>
      <c r="CO308" t="n">
        <v>6</v>
      </c>
      <c r="CP308" t="n">
        <v>30</v>
      </c>
      <c r="CQ308" t="n">
        <v>1</v>
      </c>
      <c r="CR308" t="n">
        <v>24</v>
      </c>
      <c r="CS308" t="n">
        <v>9</v>
      </c>
      <c r="CU308" t="n">
        <v>1</v>
      </c>
      <c r="CW308" t="n">
        <v>9.24</v>
      </c>
      <c r="CX308" t="n">
        <v>1.472</v>
      </c>
      <c r="CY308" t="n">
        <v>0</v>
      </c>
      <c r="DB308" t="n">
        <v>0</v>
      </c>
      <c r="DF308" t="n">
        <v>1</v>
      </c>
      <c r="DG308" t="n">
        <v>1</v>
      </c>
      <c r="DH308" t="n">
        <v>6</v>
      </c>
      <c r="DI308" t="n">
        <v>8</v>
      </c>
      <c r="DL308" t="n">
        <v>1</v>
      </c>
      <c r="DM308" t="n">
        <v>1</v>
      </c>
      <c r="DO308" t="n">
        <v>2.8</v>
      </c>
      <c r="DP308" t="n">
        <v>19.99</v>
      </c>
      <c r="DQ308" t="n">
        <v>10.24</v>
      </c>
      <c r="DR308" t="n">
        <v>20.48</v>
      </c>
      <c r="DS308" t="n">
        <v>-0.49</v>
      </c>
      <c r="DT308" t="n">
        <v>406</v>
      </c>
      <c r="DU308" t="n">
        <v>10.68</v>
      </c>
      <c r="DV308" t="inlineStr">
        <is>
          <t>flat</t>
        </is>
      </c>
      <c r="DW308" t="n">
        <v>71.5</v>
      </c>
      <c r="DX308" t="n">
        <v>117</v>
      </c>
      <c r="DY308" t="n">
        <v>73.06</v>
      </c>
      <c r="DZ308" t="n">
        <v>1.56</v>
      </c>
      <c r="EA308" t="n">
        <v>3</v>
      </c>
      <c r="EB308" t="n">
        <v>35.46</v>
      </c>
      <c r="EC308" t="n">
        <v>21.33</v>
      </c>
      <c r="ED308" t="n">
        <v>117</v>
      </c>
      <c r="EE308" t="n">
        <v>5</v>
      </c>
      <c r="EF308" t="b">
        <v>0</v>
      </c>
      <c r="EG308" t="n">
        <v>0.1</v>
      </c>
      <c r="EH308" t="n">
        <v>16.7</v>
      </c>
      <c r="EI308" t="n">
        <v>521</v>
      </c>
      <c r="EJ308" t="n">
        <v>141.2</v>
      </c>
      <c r="EK308" t="n">
        <v>62.8</v>
      </c>
      <c r="EL308" t="n">
        <v>282.5</v>
      </c>
      <c r="EM308" t="n">
        <v>3139.8</v>
      </c>
      <c r="EN308" t="n">
        <v>4783.2</v>
      </c>
      <c r="EO308" t="n">
        <v>1895.5</v>
      </c>
      <c r="EP308" t="n">
        <v>21.7</v>
      </c>
    </row>
    <row r="309">
      <c r="A309" t="inlineStr">
        <is>
          <t>Dilane Bakwa</t>
        </is>
      </c>
      <c r="B309" t="inlineStr">
        <is>
          <t>NFO</t>
        </is>
      </c>
      <c r="C309" t="inlineStr">
        <is>
          <t>MID</t>
        </is>
      </c>
      <c r="D309" t="inlineStr">
        <is>
          <t>MID</t>
        </is>
      </c>
      <c r="E309" t="n">
        <v>5.5</v>
      </c>
      <c r="F309" t="b">
        <v>1</v>
      </c>
      <c r="G309" t="b">
        <v>1</v>
      </c>
      <c r="H309" t="n">
        <v>24</v>
      </c>
      <c r="I309" t="inlineStr">
        <is>
          <t>a</t>
        </is>
      </c>
      <c r="L309" t="inlineStr">
        <is>
          <t>p476887</t>
        </is>
      </c>
      <c r="M309" t="n">
        <v>485</v>
      </c>
      <c r="Q309" t="n">
        <v>549</v>
      </c>
      <c r="R309" t="n">
        <v>14</v>
      </c>
      <c r="S309" t="n">
        <v>6</v>
      </c>
      <c r="T309" t="n">
        <v>6.1</v>
      </c>
      <c r="U309" t="n">
        <v>39.2</v>
      </c>
      <c r="V309" t="n">
        <v>26</v>
      </c>
      <c r="W309" t="n">
        <v>4.262</v>
      </c>
      <c r="X309" t="n">
        <v>0</v>
      </c>
      <c r="Y309" t="n">
        <v>2</v>
      </c>
      <c r="Z309" t="n">
        <v>2</v>
      </c>
      <c r="AA309" t="n">
        <v>2</v>
      </c>
      <c r="AB309" t="n">
        <v>10</v>
      </c>
      <c r="AC309" t="n">
        <v>1</v>
      </c>
      <c r="AD309" t="n">
        <v>1</v>
      </c>
      <c r="AE309" t="n">
        <v>0</v>
      </c>
      <c r="AF309" t="n">
        <v>100</v>
      </c>
      <c r="AG309" t="n">
        <v>100</v>
      </c>
      <c r="AH309" t="n">
        <v>0</v>
      </c>
      <c r="AI309" t="n">
        <v>26</v>
      </c>
      <c r="AJ309" t="n">
        <v>0.038</v>
      </c>
      <c r="AK309" t="n">
        <v>0.04</v>
      </c>
      <c r="AL309" t="n">
        <v>35</v>
      </c>
      <c r="AM309" t="n">
        <v>5.738</v>
      </c>
      <c r="AN309" t="n">
        <v>0</v>
      </c>
      <c r="AO309" t="n">
        <v>0</v>
      </c>
      <c r="AP309" t="n">
        <v>0</v>
      </c>
      <c r="AQ309" t="n">
        <v>0</v>
      </c>
      <c r="AR309" t="n">
        <v>0</v>
      </c>
      <c r="AS309" t="n">
        <v>0.158</v>
      </c>
      <c r="AT309" t="n">
        <v>0.286</v>
      </c>
      <c r="AU309" t="n">
        <v>11</v>
      </c>
      <c r="AV309" t="n">
        <v>0</v>
      </c>
      <c r="AW309" t="n">
        <v>1.42</v>
      </c>
      <c r="AX309" t="n">
        <v>7</v>
      </c>
      <c r="AY309" t="n">
        <v>0.54</v>
      </c>
      <c r="AZ309" t="n">
        <v>0.764</v>
      </c>
      <c r="BA309" t="n">
        <v>0.652</v>
      </c>
      <c r="BB309" t="n">
        <v>0.764</v>
      </c>
      <c r="BC309" t="n">
        <v>0.089</v>
      </c>
      <c r="BD309" t="n">
        <v>0.125</v>
      </c>
      <c r="BE309" t="n">
        <v>0.107</v>
      </c>
      <c r="BF309" t="n">
        <v>0.2</v>
      </c>
      <c r="BG309" t="n">
        <v>0.033</v>
      </c>
      <c r="BH309" t="n">
        <v>0.96</v>
      </c>
      <c r="BI309" t="n">
        <v>0.54</v>
      </c>
      <c r="BJ309" t="n">
        <v>0.519</v>
      </c>
      <c r="BK309" t="n">
        <v>0.08500000000000001</v>
      </c>
      <c r="BL309" t="n">
        <v>-0.652</v>
      </c>
      <c r="BM309" t="n">
        <v>-0.34</v>
      </c>
      <c r="BN309" t="n">
        <v>-0.2</v>
      </c>
      <c r="BO309" t="n">
        <v>-0.224</v>
      </c>
      <c r="BP309" t="n">
        <v>9</v>
      </c>
      <c r="BQ309" t="n">
        <v>3</v>
      </c>
      <c r="BR309" t="n">
        <v>1</v>
      </c>
      <c r="BS309" t="n">
        <v>22</v>
      </c>
      <c r="BT309" t="n">
        <v>3.607</v>
      </c>
      <c r="BW309" t="n">
        <v>1.01</v>
      </c>
      <c r="BX309" t="n">
        <v>1.216</v>
      </c>
      <c r="BY309" t="n">
        <v>1.113</v>
      </c>
      <c r="BZ309" t="n">
        <v>0.182</v>
      </c>
      <c r="CA309" t="n">
        <v>1.765</v>
      </c>
      <c r="CB309" t="n">
        <v>0.289</v>
      </c>
      <c r="CC309" t="n">
        <v>11</v>
      </c>
      <c r="CD309" t="n">
        <v>2</v>
      </c>
      <c r="CE309" t="n">
        <v>11</v>
      </c>
      <c r="CF309" t="n">
        <v>8</v>
      </c>
      <c r="CG309" t="n">
        <v>1</v>
      </c>
      <c r="CH309" t="n">
        <v>12</v>
      </c>
      <c r="CI309" t="n">
        <v>2.936</v>
      </c>
      <c r="CJ309" t="n">
        <v>1.683</v>
      </c>
      <c r="CK309" t="n">
        <v>3</v>
      </c>
      <c r="CL309" t="n">
        <v>28</v>
      </c>
      <c r="CM309" t="n">
        <v>4</v>
      </c>
      <c r="CN309" t="n">
        <v>3</v>
      </c>
      <c r="CP309" t="n">
        <v>2</v>
      </c>
      <c r="CQ309" t="n">
        <v>1</v>
      </c>
      <c r="CR309" t="n">
        <v>27</v>
      </c>
      <c r="CS309" t="n">
        <v>1</v>
      </c>
      <c r="CW309" t="n">
        <v>10.94</v>
      </c>
      <c r="CX309" t="n">
        <v>1.793</v>
      </c>
      <c r="CY309" t="n">
        <v>0</v>
      </c>
      <c r="DB309" t="n">
        <v>0</v>
      </c>
      <c r="DF309" t="n">
        <v>1</v>
      </c>
      <c r="DG309" t="n">
        <v>0</v>
      </c>
      <c r="DH309" t="n">
        <v>9</v>
      </c>
      <c r="DI309" t="n">
        <v>14</v>
      </c>
      <c r="DL309" t="n">
        <v>8</v>
      </c>
      <c r="DM309" t="n">
        <v>5</v>
      </c>
      <c r="DO309" t="n">
        <v>0</v>
      </c>
      <c r="DP309" t="n">
        <v>23.06</v>
      </c>
      <c r="DQ309" t="n">
        <v>11.55</v>
      </c>
      <c r="DR309" t="n">
        <v>23.1</v>
      </c>
      <c r="DS309" t="n">
        <v>-0.04</v>
      </c>
      <c r="DT309" t="n">
        <v>164</v>
      </c>
      <c r="DU309" t="n">
        <v>4.32</v>
      </c>
      <c r="DV309" t="inlineStr">
        <is>
          <t>flat</t>
        </is>
      </c>
      <c r="DW309" t="n">
        <v>76</v>
      </c>
      <c r="DY309" t="n">
        <v>76</v>
      </c>
      <c r="DZ309" t="n">
        <v>0</v>
      </c>
      <c r="EA309" t="n">
        <v>1</v>
      </c>
      <c r="EC309" t="n">
        <v>76</v>
      </c>
      <c r="ED309" t="n">
        <v>76</v>
      </c>
      <c r="EE309" t="n">
        <v>1</v>
      </c>
      <c r="EF309" t="b">
        <v>0</v>
      </c>
      <c r="EG309" t="n">
        <v>0</v>
      </c>
      <c r="EH309" t="n">
        <v>50</v>
      </c>
      <c r="EI309" t="n">
        <v>185</v>
      </c>
      <c r="EJ309" t="n">
        <v>61</v>
      </c>
      <c r="EK309" t="n">
        <v>25</v>
      </c>
      <c r="EL309" t="n">
        <v>49.9</v>
      </c>
      <c r="EM309" t="n">
        <v>841.7</v>
      </c>
      <c r="EN309" t="n">
        <v>493.2</v>
      </c>
      <c r="EO309" t="n">
        <v>311</v>
      </c>
      <c r="EP309" t="n">
        <v>21.1</v>
      </c>
    </row>
    <row r="310">
      <c r="A310" t="inlineStr">
        <is>
          <t>Jamie Gittens</t>
        </is>
      </c>
      <c r="B310" t="inlineStr">
        <is>
          <t>CHE</t>
        </is>
      </c>
      <c r="C310" t="inlineStr">
        <is>
          <t>MID</t>
        </is>
      </c>
      <c r="D310" t="inlineStr">
        <is>
          <t>MID</t>
        </is>
      </c>
      <c r="E310" t="n">
        <v>6</v>
      </c>
      <c r="F310" t="b">
        <v>1</v>
      </c>
      <c r="G310" t="b">
        <v>1</v>
      </c>
      <c r="H310" t="n">
        <v>22</v>
      </c>
      <c r="I310" t="inlineStr">
        <is>
          <t>a</t>
        </is>
      </c>
      <c r="L310" t="inlineStr">
        <is>
          <t>p463936</t>
        </is>
      </c>
      <c r="M310" t="n">
        <v>158</v>
      </c>
      <c r="Q310" t="n">
        <v>486</v>
      </c>
      <c r="R310" t="n">
        <v>16</v>
      </c>
      <c r="S310" t="n">
        <v>5</v>
      </c>
      <c r="T310" t="n">
        <v>5.4</v>
      </c>
      <c r="U310" t="n">
        <v>30.4</v>
      </c>
      <c r="V310" t="n">
        <v>25</v>
      </c>
      <c r="W310" t="n">
        <v>4.63</v>
      </c>
      <c r="X310" t="n">
        <v>0</v>
      </c>
      <c r="Y310" t="n">
        <v>2</v>
      </c>
      <c r="Z310" t="n">
        <v>2</v>
      </c>
      <c r="AA310" t="n">
        <v>1</v>
      </c>
      <c r="AB310" t="n">
        <v>7</v>
      </c>
      <c r="AC310" t="n">
        <v>0</v>
      </c>
      <c r="AD310" t="n">
        <v>0</v>
      </c>
      <c r="AE310" t="n">
        <v>0</v>
      </c>
      <c r="AF310" t="n">
        <v>99</v>
      </c>
      <c r="AG310" t="n">
        <v>98</v>
      </c>
      <c r="AH310" t="n">
        <v>-1</v>
      </c>
      <c r="AI310" t="n">
        <v>25</v>
      </c>
      <c r="AJ310" t="n">
        <v>0</v>
      </c>
      <c r="AK310" t="n">
        <v>0</v>
      </c>
      <c r="AL310" t="n">
        <v>29</v>
      </c>
      <c r="AM310" t="n">
        <v>5.37</v>
      </c>
      <c r="AN310" t="n">
        <v>0</v>
      </c>
      <c r="AO310" t="n">
        <v>0</v>
      </c>
      <c r="AP310" t="n">
        <v>0</v>
      </c>
      <c r="AQ310" t="n">
        <v>0</v>
      </c>
      <c r="AR310" t="n">
        <v>0</v>
      </c>
      <c r="AS310" t="n">
        <v>0.132</v>
      </c>
      <c r="AT310" t="n">
        <v>0.125</v>
      </c>
      <c r="AU310" t="n">
        <v>14</v>
      </c>
      <c r="AV310" t="n">
        <v>0</v>
      </c>
      <c r="AW310" t="n">
        <v>1.26</v>
      </c>
      <c r="AX310" t="n">
        <v>6</v>
      </c>
      <c r="AY310" t="n">
        <v>0.8100000000000001</v>
      </c>
      <c r="AZ310" t="n">
        <v>0.892</v>
      </c>
      <c r="BA310" t="n">
        <v>0.851</v>
      </c>
      <c r="BB310" t="n">
        <v>0.892</v>
      </c>
      <c r="BC310" t="n">
        <v>0.15</v>
      </c>
      <c r="BD310" t="n">
        <v>0.165</v>
      </c>
      <c r="BE310" t="n">
        <v>0.158</v>
      </c>
      <c r="BF310" t="n">
        <v>0.1</v>
      </c>
      <c r="BG310" t="n">
        <v>0.019</v>
      </c>
      <c r="BH310" t="n">
        <v>0.919</v>
      </c>
      <c r="BI310" t="n">
        <v>0.8100000000000001</v>
      </c>
      <c r="BJ310" t="n">
        <v>0.745</v>
      </c>
      <c r="BK310" t="n">
        <v>0.138</v>
      </c>
      <c r="BL310" t="n">
        <v>-0.851</v>
      </c>
      <c r="BM310" t="n">
        <v>-0.71</v>
      </c>
      <c r="BN310" t="n">
        <v>-0.1</v>
      </c>
      <c r="BO310" t="n">
        <v>-0.082</v>
      </c>
      <c r="BP310" t="n">
        <v>10</v>
      </c>
      <c r="BQ310" t="n">
        <v>2</v>
      </c>
      <c r="BR310" t="n">
        <v>1</v>
      </c>
      <c r="BS310" t="n">
        <v>28</v>
      </c>
      <c r="BT310" t="n">
        <v>5.185</v>
      </c>
      <c r="BW310" t="n">
        <v>0.9399999999999999</v>
      </c>
      <c r="BX310" t="n">
        <v>0.978</v>
      </c>
      <c r="BY310" t="n">
        <v>0.959</v>
      </c>
      <c r="BZ310" t="n">
        <v>0.178</v>
      </c>
      <c r="CA310" t="n">
        <v>1.81</v>
      </c>
      <c r="CB310" t="n">
        <v>0.335</v>
      </c>
      <c r="CC310" t="n">
        <v>9</v>
      </c>
      <c r="CD310" t="n">
        <v>2</v>
      </c>
      <c r="CE310" t="n">
        <v>9</v>
      </c>
      <c r="CF310" t="n">
        <v>3</v>
      </c>
      <c r="CG310" t="n">
        <v>1</v>
      </c>
      <c r="CI310" t="n">
        <v>2.936</v>
      </c>
      <c r="CJ310" t="n">
        <v>1.31</v>
      </c>
      <c r="CK310" t="n">
        <v>6</v>
      </c>
      <c r="CL310" t="n">
        <v>15</v>
      </c>
      <c r="CM310" t="n">
        <v>8</v>
      </c>
      <c r="CN310" t="n">
        <v>3</v>
      </c>
      <c r="CO310" t="n">
        <v>2</v>
      </c>
      <c r="CP310" t="n">
        <v>3</v>
      </c>
      <c r="CQ310" t="n">
        <v>1</v>
      </c>
      <c r="CR310" t="n">
        <v>32</v>
      </c>
      <c r="CS310" t="n">
        <v>3</v>
      </c>
      <c r="CW310" t="n">
        <v>8.890000000000001</v>
      </c>
      <c r="CX310" t="n">
        <v>1.646</v>
      </c>
      <c r="CY310" t="n">
        <v>0</v>
      </c>
      <c r="DB310" t="n">
        <v>0</v>
      </c>
      <c r="DF310" t="n">
        <v>0</v>
      </c>
      <c r="DG310" t="n">
        <v>0</v>
      </c>
      <c r="DH310" t="n">
        <v>6</v>
      </c>
      <c r="DI310" t="n">
        <v>8</v>
      </c>
      <c r="DL310" t="n">
        <v>13</v>
      </c>
      <c r="DM310" t="n">
        <v>4</v>
      </c>
      <c r="DN310" t="n">
        <v>2</v>
      </c>
      <c r="DO310" t="n">
        <v>0.1</v>
      </c>
      <c r="DP310" t="n">
        <v>23.7</v>
      </c>
      <c r="DQ310" t="n">
        <v>11.86</v>
      </c>
      <c r="DR310" t="n">
        <v>23.72</v>
      </c>
      <c r="DS310" t="n">
        <v>-0.02</v>
      </c>
      <c r="DT310" t="n">
        <v>464</v>
      </c>
      <c r="DU310" t="n">
        <v>12.21</v>
      </c>
      <c r="DV310" t="inlineStr">
        <is>
          <t>flat</t>
        </is>
      </c>
      <c r="DW310" t="n">
        <v>77.98999999999999</v>
      </c>
      <c r="DX310" t="n">
        <v>80.06</v>
      </c>
      <c r="DY310" t="n">
        <v>71.58</v>
      </c>
      <c r="DZ310" t="n">
        <v>-6.41</v>
      </c>
      <c r="EA310" t="n">
        <v>21</v>
      </c>
      <c r="EB310" t="n">
        <v>25.42</v>
      </c>
      <c r="EC310" t="n">
        <v>14</v>
      </c>
      <c r="ED310" t="n">
        <v>120</v>
      </c>
      <c r="EE310" t="n">
        <v>46</v>
      </c>
      <c r="EF310" t="b">
        <v>1</v>
      </c>
      <c r="EG310" t="n">
        <v>1.3</v>
      </c>
      <c r="EH310" t="n">
        <v>24.6</v>
      </c>
      <c r="EI310" t="n">
        <v>104</v>
      </c>
      <c r="EJ310" t="n">
        <v>48.6</v>
      </c>
      <c r="EK310" t="n">
        <v>17.4</v>
      </c>
      <c r="EL310" t="n">
        <v>54</v>
      </c>
      <c r="EM310" t="n">
        <v>570.9</v>
      </c>
      <c r="EN310" t="n">
        <v>506.7</v>
      </c>
      <c r="EO310" t="n">
        <v>268.5</v>
      </c>
      <c r="EP310" t="n">
        <v>19.4</v>
      </c>
    </row>
    <row r="311">
      <c r="A311" t="inlineStr">
        <is>
          <t>Sebastiaan Bornauw</t>
        </is>
      </c>
      <c r="B311" t="inlineStr">
        <is>
          <t>LEE</t>
        </is>
      </c>
      <c r="C311" t="inlineStr">
        <is>
          <t>DEF</t>
        </is>
      </c>
      <c r="D311" t="inlineStr">
        <is>
          <t>DEF</t>
        </is>
      </c>
      <c r="E311" t="n">
        <v>4.5</v>
      </c>
      <c r="F311" t="b">
        <v>1</v>
      </c>
      <c r="G311" t="b">
        <v>1</v>
      </c>
      <c r="H311" t="n">
        <v>27.4</v>
      </c>
      <c r="I311" t="inlineStr">
        <is>
          <t>a</t>
        </is>
      </c>
      <c r="L311" t="inlineStr">
        <is>
          <t>p437738</t>
        </is>
      </c>
      <c r="M311" t="n">
        <v>333</v>
      </c>
      <c r="Q311" t="n">
        <v>429</v>
      </c>
      <c r="R311" t="n">
        <v>12</v>
      </c>
      <c r="S311" t="n">
        <v>5</v>
      </c>
      <c r="T311" t="n">
        <v>4.767</v>
      </c>
      <c r="U311" t="n">
        <v>35.8</v>
      </c>
      <c r="V311" t="n">
        <v>25</v>
      </c>
      <c r="W311" t="n">
        <v>5.245</v>
      </c>
      <c r="X311" t="n">
        <v>0</v>
      </c>
      <c r="Y311" t="n">
        <v>0</v>
      </c>
      <c r="AA311" t="n">
        <v>2</v>
      </c>
      <c r="AB311" t="n">
        <v>5</v>
      </c>
      <c r="AC311" t="n">
        <v>0</v>
      </c>
      <c r="AD311" t="n">
        <v>0</v>
      </c>
      <c r="AE311" t="n">
        <v>0</v>
      </c>
      <c r="AF311" t="n">
        <v>73</v>
      </c>
      <c r="AG311" t="n">
        <v>65</v>
      </c>
      <c r="AH311" t="n">
        <v>-8</v>
      </c>
      <c r="AI311" t="n">
        <v>25</v>
      </c>
      <c r="AJ311" t="n">
        <v>0</v>
      </c>
      <c r="AK311" t="n">
        <v>0</v>
      </c>
      <c r="AL311" t="n">
        <v>49</v>
      </c>
      <c r="AM311" t="n">
        <v>10.28</v>
      </c>
      <c r="AN311" t="n">
        <v>1</v>
      </c>
      <c r="AO311" t="n">
        <v>2</v>
      </c>
      <c r="AP311" t="n">
        <v>0.2</v>
      </c>
      <c r="AQ311" t="n">
        <v>0.2</v>
      </c>
      <c r="AR311" t="n">
        <v>0.2</v>
      </c>
      <c r="AS311" t="n">
        <v>0.132</v>
      </c>
      <c r="AT311" t="n">
        <v>0.333</v>
      </c>
      <c r="AU311" t="n">
        <v>9</v>
      </c>
      <c r="AV311" t="n">
        <v>0</v>
      </c>
      <c r="AW311" t="n">
        <v>1.49</v>
      </c>
      <c r="AX311" t="n">
        <v>6</v>
      </c>
      <c r="AY311" t="n">
        <v>0.2</v>
      </c>
      <c r="AZ311" t="n">
        <v>0.132</v>
      </c>
      <c r="BA311" t="n">
        <v>0.166</v>
      </c>
      <c r="BB311" t="n">
        <v>0.132</v>
      </c>
      <c r="BC311" t="n">
        <v>0.042</v>
      </c>
      <c r="BD311" t="n">
        <v>0.028</v>
      </c>
      <c r="BE311" t="n">
        <v>0.035</v>
      </c>
      <c r="BH311" t="n">
        <v>0.976</v>
      </c>
      <c r="BI311" t="n">
        <v>0.2</v>
      </c>
      <c r="BJ311" t="n">
        <v>0.195</v>
      </c>
      <c r="BK311" t="n">
        <v>0.041</v>
      </c>
      <c r="BL311" t="n">
        <v>-0.166</v>
      </c>
      <c r="BO311" t="n">
        <v>0.068</v>
      </c>
      <c r="BP311" t="n">
        <v>1</v>
      </c>
      <c r="BS311" t="n">
        <v>7</v>
      </c>
      <c r="BT311" t="n">
        <v>1.469</v>
      </c>
      <c r="BW311" t="n">
        <v>0.01</v>
      </c>
      <c r="BX311" t="n">
        <v>0</v>
      </c>
      <c r="BY311" t="n">
        <v>0.005</v>
      </c>
      <c r="BZ311" t="n">
        <v>0.001</v>
      </c>
      <c r="CA311" t="n">
        <v>0.171</v>
      </c>
      <c r="CB311" t="n">
        <v>0.036</v>
      </c>
      <c r="CC311" t="n">
        <v>0</v>
      </c>
      <c r="CF311" t="n">
        <v>1</v>
      </c>
      <c r="CI311" t="n">
        <v>0.492</v>
      </c>
      <c r="CJ311" t="n">
        <v>0.492</v>
      </c>
      <c r="CK311" t="n">
        <v>41</v>
      </c>
      <c r="CL311" t="n">
        <v>13</v>
      </c>
      <c r="CM311" t="n">
        <v>8</v>
      </c>
      <c r="CN311" t="n">
        <v>4</v>
      </c>
      <c r="CO311" t="n">
        <v>5</v>
      </c>
      <c r="CP311" t="n">
        <v>30</v>
      </c>
      <c r="CQ311" t="n">
        <v>6</v>
      </c>
      <c r="CR311" t="n">
        <v>20</v>
      </c>
      <c r="CS311" t="n">
        <v>11</v>
      </c>
      <c r="CW311" t="n">
        <v>8.710000000000001</v>
      </c>
      <c r="CX311" t="n">
        <v>1.827</v>
      </c>
      <c r="CY311" t="n">
        <v>0</v>
      </c>
      <c r="DB311" t="n">
        <v>0</v>
      </c>
      <c r="DF311" t="n">
        <v>1</v>
      </c>
      <c r="DG311" t="n">
        <v>0</v>
      </c>
      <c r="DH311" t="n">
        <v>7</v>
      </c>
      <c r="DL311" t="n">
        <v>1</v>
      </c>
      <c r="DM311" t="n">
        <v>1</v>
      </c>
      <c r="DN311" t="n">
        <v>1</v>
      </c>
      <c r="DO311" t="n">
        <v>0</v>
      </c>
      <c r="DP311" t="n">
        <v>18.24</v>
      </c>
      <c r="DQ311" t="n">
        <v>9.16</v>
      </c>
      <c r="DR311" t="n">
        <v>18.32</v>
      </c>
      <c r="DS311" t="n">
        <v>-0.08</v>
      </c>
      <c r="DT311" t="n">
        <v>345</v>
      </c>
      <c r="DU311" t="n">
        <v>9.08</v>
      </c>
      <c r="DV311" t="inlineStr">
        <is>
          <t>flat</t>
        </is>
      </c>
      <c r="DW311" t="n">
        <v>97.45</v>
      </c>
      <c r="DY311" t="n">
        <v>97.45</v>
      </c>
      <c r="DZ311" t="n">
        <v>0</v>
      </c>
      <c r="EA311" t="n">
        <v>1</v>
      </c>
      <c r="EC311" t="n">
        <v>97.45</v>
      </c>
      <c r="ED311" t="n">
        <v>97.45</v>
      </c>
      <c r="EE311" t="n">
        <v>1</v>
      </c>
      <c r="EF311" t="b">
        <v>0</v>
      </c>
      <c r="EG311" t="n">
        <v>0</v>
      </c>
      <c r="EH311" t="n">
        <v>0</v>
      </c>
      <c r="EI311" t="n">
        <v>438</v>
      </c>
      <c r="EJ311" t="n">
        <v>429</v>
      </c>
      <c r="EK311" t="n">
        <v>61.3</v>
      </c>
      <c r="EM311" t="n">
        <v>2587</v>
      </c>
      <c r="EN311" t="n">
        <v>85800</v>
      </c>
      <c r="EO311" t="n">
        <v>2511.2</v>
      </c>
      <c r="EP311" t="n">
        <v>17.2</v>
      </c>
    </row>
    <row r="312">
      <c r="A312" t="inlineStr">
        <is>
          <t>Gabriel Jesus</t>
        </is>
      </c>
      <c r="B312" t="inlineStr">
        <is>
          <t>ARS</t>
        </is>
      </c>
      <c r="C312" t="inlineStr">
        <is>
          <t>FWD</t>
        </is>
      </c>
      <c r="D312" t="inlineStr">
        <is>
          <t>FWD</t>
        </is>
      </c>
      <c r="E312" t="n">
        <v>6</v>
      </c>
      <c r="F312" t="b">
        <v>1</v>
      </c>
      <c r="G312" t="b">
        <v>1</v>
      </c>
      <c r="H312" t="n">
        <v>29.4</v>
      </c>
      <c r="I312" t="inlineStr">
        <is>
          <t>a</t>
        </is>
      </c>
      <c r="L312" t="inlineStr">
        <is>
          <t>p205651</t>
        </is>
      </c>
      <c r="M312" t="n">
        <v>27</v>
      </c>
      <c r="Q312" t="n">
        <v>418</v>
      </c>
      <c r="R312" t="n">
        <v>14</v>
      </c>
      <c r="S312" t="n">
        <v>3</v>
      </c>
      <c r="T312" t="n">
        <v>4.644</v>
      </c>
      <c r="U312" t="n">
        <v>29.9</v>
      </c>
      <c r="V312" t="n">
        <v>24</v>
      </c>
      <c r="W312" t="n">
        <v>5.167</v>
      </c>
      <c r="X312" t="n">
        <v>3</v>
      </c>
      <c r="Y312" t="n">
        <v>0</v>
      </c>
      <c r="AA312" t="n">
        <v>1</v>
      </c>
      <c r="AB312" t="n">
        <v>6</v>
      </c>
      <c r="AC312" t="n">
        <v>0</v>
      </c>
      <c r="AD312" t="n">
        <v>0</v>
      </c>
      <c r="AE312" t="n">
        <v>0</v>
      </c>
      <c r="AF312" t="n">
        <v>92</v>
      </c>
      <c r="AG312" t="n">
        <v>90</v>
      </c>
      <c r="AH312" t="n">
        <v>-2</v>
      </c>
      <c r="AI312" t="n">
        <v>24</v>
      </c>
      <c r="AJ312" t="n">
        <v>0</v>
      </c>
      <c r="AK312" t="n">
        <v>0</v>
      </c>
      <c r="AL312" t="n">
        <v>30</v>
      </c>
      <c r="AM312" t="n">
        <v>6.459</v>
      </c>
      <c r="AN312" t="n">
        <v>0</v>
      </c>
      <c r="AO312" t="n">
        <v>0</v>
      </c>
      <c r="AP312" t="n">
        <v>0</v>
      </c>
      <c r="AQ312" t="n">
        <v>0</v>
      </c>
      <c r="AR312" t="n">
        <v>0</v>
      </c>
      <c r="AS312" t="n">
        <v>0.079</v>
      </c>
      <c r="AT312" t="n">
        <v>0.07099999999999999</v>
      </c>
      <c r="AU312" t="n">
        <v>11</v>
      </c>
      <c r="AV312" t="n">
        <v>0</v>
      </c>
      <c r="AW312" t="n">
        <v>1.28</v>
      </c>
      <c r="AX312" t="n">
        <v>5</v>
      </c>
      <c r="AY312" t="n">
        <v>2.71</v>
      </c>
      <c r="AZ312" t="n">
        <v>3.976</v>
      </c>
      <c r="BA312" t="n">
        <v>3.343</v>
      </c>
      <c r="BB312" t="n">
        <v>3.976</v>
      </c>
      <c r="BC312" t="n">
        <v>0.583</v>
      </c>
      <c r="BD312" t="n">
        <v>0.856</v>
      </c>
      <c r="BE312" t="n">
        <v>0.72</v>
      </c>
      <c r="BF312" t="n">
        <v>2.5</v>
      </c>
      <c r="BG312" t="n">
        <v>0.538</v>
      </c>
      <c r="BH312" t="n">
        <v>0.872</v>
      </c>
      <c r="BI312" t="n">
        <v>26.27</v>
      </c>
      <c r="BJ312" t="n">
        <v>2.364</v>
      </c>
      <c r="BK312" t="n">
        <v>0.509</v>
      </c>
      <c r="BL312" t="n">
        <v>-0.343</v>
      </c>
      <c r="BM312" t="n">
        <v>-0.21</v>
      </c>
      <c r="BN312" t="n">
        <v>0.5</v>
      </c>
      <c r="BO312" t="n">
        <v>-1.266</v>
      </c>
      <c r="BP312" t="n">
        <v>19</v>
      </c>
      <c r="BQ312" t="n">
        <v>12</v>
      </c>
      <c r="BR312" t="n">
        <v>6</v>
      </c>
      <c r="BS312" t="n">
        <v>42</v>
      </c>
      <c r="BT312" t="n">
        <v>9.042999999999999</v>
      </c>
      <c r="BV312" t="n">
        <v>0</v>
      </c>
      <c r="BW312" t="n">
        <v>0.26</v>
      </c>
      <c r="BX312" t="n">
        <v>0.209</v>
      </c>
      <c r="BY312" t="n">
        <v>0.234</v>
      </c>
      <c r="BZ312" t="n">
        <v>0.05</v>
      </c>
      <c r="CA312" t="n">
        <v>3.578</v>
      </c>
      <c r="CB312" t="n">
        <v>0.77</v>
      </c>
      <c r="CC312" t="n">
        <v>3</v>
      </c>
      <c r="CE312" t="n">
        <v>3</v>
      </c>
      <c r="CI312" t="n">
        <v>4.364</v>
      </c>
      <c r="CJ312" t="n">
        <v>1.269</v>
      </c>
      <c r="CK312" t="n">
        <v>7</v>
      </c>
      <c r="CL312" t="n">
        <v>19</v>
      </c>
      <c r="CM312" t="n">
        <v>4</v>
      </c>
      <c r="CO312" t="n">
        <v>3</v>
      </c>
      <c r="CP312" t="n">
        <v>5</v>
      </c>
      <c r="CR312" t="n">
        <v>23</v>
      </c>
      <c r="CS312" t="n">
        <v>10</v>
      </c>
      <c r="CW312" t="n">
        <v>3.97</v>
      </c>
      <c r="CX312" t="n">
        <v>0.855</v>
      </c>
      <c r="CY312" t="n">
        <v>0</v>
      </c>
      <c r="DB312" t="n">
        <v>0</v>
      </c>
      <c r="DF312" t="n">
        <v>3</v>
      </c>
      <c r="DG312" t="n">
        <v>0</v>
      </c>
      <c r="DH312" t="n">
        <v>9</v>
      </c>
      <c r="DI312" t="n">
        <v>1</v>
      </c>
      <c r="DL312" t="n">
        <v>8</v>
      </c>
      <c r="DM312" t="n">
        <v>11</v>
      </c>
      <c r="DN312" t="n">
        <v>7</v>
      </c>
      <c r="DO312" t="n">
        <v>0.4</v>
      </c>
      <c r="DP312" t="n">
        <v>17.96</v>
      </c>
      <c r="DQ312" t="n">
        <v>9</v>
      </c>
      <c r="DR312" t="n">
        <v>18</v>
      </c>
      <c r="DS312" t="n">
        <v>-0.04</v>
      </c>
      <c r="DT312" t="n">
        <v>86</v>
      </c>
      <c r="DU312" t="n">
        <v>2.25</v>
      </c>
      <c r="DV312" t="inlineStr">
        <is>
          <t>flat</t>
        </is>
      </c>
      <c r="DW312" t="n">
        <v>80.77</v>
      </c>
      <c r="DX312" t="n">
        <v>86.69</v>
      </c>
      <c r="DY312" t="n">
        <v>78.01000000000001</v>
      </c>
      <c r="DZ312" t="n">
        <v>-2.77</v>
      </c>
      <c r="EA312" t="n">
        <v>277</v>
      </c>
      <c r="EB312" t="n">
        <v>25.06</v>
      </c>
      <c r="EC312" t="n">
        <v>6</v>
      </c>
      <c r="ED312" t="n">
        <v>120</v>
      </c>
      <c r="EE312" t="n">
        <v>559</v>
      </c>
      <c r="EF312" t="b">
        <v>1</v>
      </c>
      <c r="EG312" t="n">
        <v>16.1</v>
      </c>
      <c r="EH312" t="n">
        <v>28.8</v>
      </c>
      <c r="EI312" t="n">
        <v>105</v>
      </c>
      <c r="EJ312" t="n">
        <v>22</v>
      </c>
      <c r="EK312" t="n">
        <v>10</v>
      </c>
      <c r="EL312" t="n">
        <v>139.3</v>
      </c>
      <c r="EM312" t="n">
        <v>125</v>
      </c>
      <c r="EN312" t="n">
        <v>1784.1</v>
      </c>
      <c r="EO312" t="n">
        <v>116.8</v>
      </c>
      <c r="EP312" t="n">
        <v>17.4</v>
      </c>
    </row>
    <row r="313">
      <c r="A313" t="inlineStr">
        <is>
          <t>Daniel James</t>
        </is>
      </c>
      <c r="B313" t="inlineStr">
        <is>
          <t>LEE</t>
        </is>
      </c>
      <c r="C313" t="inlineStr">
        <is>
          <t>MID</t>
        </is>
      </c>
      <c r="D313" t="inlineStr">
        <is>
          <t>MID</t>
        </is>
      </c>
      <c r="E313" t="n">
        <v>5</v>
      </c>
      <c r="F313" t="b">
        <v>1</v>
      </c>
      <c r="G313" t="b">
        <v>1</v>
      </c>
      <c r="H313" t="n">
        <v>28.8</v>
      </c>
      <c r="I313" t="inlineStr">
        <is>
          <t>a</t>
        </is>
      </c>
      <c r="L313" t="inlineStr">
        <is>
          <t>p200617</t>
        </is>
      </c>
      <c r="M313" t="n">
        <v>343</v>
      </c>
      <c r="Q313" t="n">
        <v>547</v>
      </c>
      <c r="R313" t="n">
        <v>19</v>
      </c>
      <c r="S313" t="n">
        <v>6</v>
      </c>
      <c r="T313" t="n">
        <v>6.078</v>
      </c>
      <c r="U313" t="n">
        <v>28.8</v>
      </c>
      <c r="V313" t="n">
        <v>23</v>
      </c>
      <c r="W313" t="n">
        <v>3.784</v>
      </c>
      <c r="X313" t="n">
        <v>0</v>
      </c>
      <c r="Y313" t="n">
        <v>0</v>
      </c>
      <c r="AA313" t="n">
        <v>1</v>
      </c>
      <c r="AB313" t="n">
        <v>16</v>
      </c>
      <c r="AC313" t="n">
        <v>0</v>
      </c>
      <c r="AD313" t="n">
        <v>0</v>
      </c>
      <c r="AE313" t="n">
        <v>0</v>
      </c>
      <c r="AF313" t="n">
        <v>93</v>
      </c>
      <c r="AG313" t="n">
        <v>91</v>
      </c>
      <c r="AH313" t="n">
        <v>-2</v>
      </c>
      <c r="AI313" t="n">
        <v>23</v>
      </c>
      <c r="AJ313" t="n">
        <v>0</v>
      </c>
      <c r="AK313" t="n">
        <v>0</v>
      </c>
      <c r="AL313" t="n">
        <v>35</v>
      </c>
      <c r="AM313" t="n">
        <v>5.759</v>
      </c>
      <c r="AN313" t="n">
        <v>0</v>
      </c>
      <c r="AO313" t="n">
        <v>0</v>
      </c>
      <c r="AP313" t="n">
        <v>0</v>
      </c>
      <c r="AQ313" t="n">
        <v>0</v>
      </c>
      <c r="AR313" t="n">
        <v>0</v>
      </c>
      <c r="AS313" t="n">
        <v>0.158</v>
      </c>
      <c r="AT313" t="n">
        <v>0.158</v>
      </c>
      <c r="AU313" t="n">
        <v>18</v>
      </c>
      <c r="AV313" t="n">
        <v>0</v>
      </c>
      <c r="AW313" t="n">
        <v>0.72</v>
      </c>
      <c r="AX313" t="n">
        <v>3</v>
      </c>
      <c r="AY313" t="n">
        <v>0.91</v>
      </c>
      <c r="AZ313" t="n">
        <v>0.8</v>
      </c>
      <c r="BA313" t="n">
        <v>0.855</v>
      </c>
      <c r="BB313" t="n">
        <v>0.8</v>
      </c>
      <c r="BC313" t="n">
        <v>0.15</v>
      </c>
      <c r="BD313" t="n">
        <v>0.132</v>
      </c>
      <c r="BE313" t="n">
        <v>0.141</v>
      </c>
      <c r="BF313" t="n">
        <v>0.5</v>
      </c>
      <c r="BG313" t="n">
        <v>0.082</v>
      </c>
      <c r="BH313" t="n">
        <v>0.979</v>
      </c>
      <c r="BI313" t="n">
        <v>2.93</v>
      </c>
      <c r="BJ313" t="n">
        <v>0.891</v>
      </c>
      <c r="BK313" t="n">
        <v>0.147</v>
      </c>
      <c r="BL313" t="n">
        <v>-0.855</v>
      </c>
      <c r="BM313" t="n">
        <v>-0.41</v>
      </c>
      <c r="BN313" t="n">
        <v>-0.5</v>
      </c>
      <c r="BO313" t="n">
        <v>0.11</v>
      </c>
      <c r="BP313" t="n">
        <v>14</v>
      </c>
      <c r="BQ313" t="n">
        <v>3</v>
      </c>
      <c r="BR313" t="n">
        <v>2</v>
      </c>
      <c r="BS313" t="n">
        <v>28</v>
      </c>
      <c r="BT313" t="n">
        <v>4.607</v>
      </c>
      <c r="BW313" t="n">
        <v>0.71</v>
      </c>
      <c r="BX313" t="n">
        <v>0.49</v>
      </c>
      <c r="BY313" t="n">
        <v>0.6</v>
      </c>
      <c r="BZ313" t="n">
        <v>0.099</v>
      </c>
      <c r="CA313" t="n">
        <v>1.455</v>
      </c>
      <c r="CB313" t="n">
        <v>0.239</v>
      </c>
      <c r="CC313" t="n">
        <v>9</v>
      </c>
      <c r="CD313" t="n">
        <v>1</v>
      </c>
      <c r="CE313" t="n">
        <v>9</v>
      </c>
      <c r="CF313" t="n">
        <v>7</v>
      </c>
      <c r="CG313" t="n">
        <v>1</v>
      </c>
      <c r="CH313" t="n">
        <v>1</v>
      </c>
      <c r="CI313" t="n">
        <v>1.58</v>
      </c>
      <c r="CJ313" t="n">
        <v>0.327</v>
      </c>
      <c r="CK313" t="n">
        <v>9</v>
      </c>
      <c r="CL313" t="n">
        <v>19</v>
      </c>
      <c r="CM313" t="n">
        <v>7</v>
      </c>
      <c r="CN313" t="n">
        <v>4</v>
      </c>
      <c r="CO313" t="n">
        <v>1</v>
      </c>
      <c r="CP313" t="n">
        <v>8</v>
      </c>
      <c r="CR313" t="n">
        <v>28</v>
      </c>
      <c r="CS313" t="n">
        <v>7</v>
      </c>
      <c r="CT313" t="n">
        <v>0.5</v>
      </c>
      <c r="CW313" t="n">
        <v>14.39</v>
      </c>
      <c r="CX313" t="n">
        <v>2.368</v>
      </c>
      <c r="CY313" t="n">
        <v>0</v>
      </c>
      <c r="DB313" t="n">
        <v>0</v>
      </c>
      <c r="DF313" t="n">
        <v>0</v>
      </c>
      <c r="DG313" t="n">
        <v>0</v>
      </c>
      <c r="DH313" t="n">
        <v>1</v>
      </c>
      <c r="DI313" t="n">
        <v>8</v>
      </c>
      <c r="DL313" t="n">
        <v>6</v>
      </c>
      <c r="DM313" t="n">
        <v>4</v>
      </c>
      <c r="DN313" t="n">
        <v>1</v>
      </c>
      <c r="DO313" t="n">
        <v>0.1</v>
      </c>
      <c r="DP313" t="n">
        <v>35.54</v>
      </c>
      <c r="DQ313" t="n">
        <v>17.84</v>
      </c>
      <c r="DR313" t="n">
        <v>35.68</v>
      </c>
      <c r="DS313" t="n">
        <v>-0.14</v>
      </c>
      <c r="DT313" t="n">
        <v>429</v>
      </c>
      <c r="DU313" t="n">
        <v>11.29</v>
      </c>
      <c r="DV313" t="inlineStr">
        <is>
          <t>flat</t>
        </is>
      </c>
      <c r="DW313" t="n">
        <v>61.55</v>
      </c>
      <c r="DX313" t="n">
        <v>54</v>
      </c>
      <c r="DY313" t="n">
        <v>80.13</v>
      </c>
      <c r="DZ313" t="n">
        <v>18.59</v>
      </c>
      <c r="EA313" t="n">
        <v>2</v>
      </c>
      <c r="EB313" t="n">
        <v>18.83</v>
      </c>
      <c r="EC313" t="n">
        <v>44.57</v>
      </c>
      <c r="ED313" t="n">
        <v>90.67</v>
      </c>
      <c r="EE313" t="n">
        <v>5</v>
      </c>
      <c r="EF313" t="b">
        <v>0</v>
      </c>
      <c r="EG313" t="n">
        <v>0.1</v>
      </c>
      <c r="EH313" t="n">
        <v>16.7</v>
      </c>
      <c r="EI313" t="n">
        <v>303</v>
      </c>
      <c r="EJ313" t="n">
        <v>39.1</v>
      </c>
      <c r="EK313" t="n">
        <v>19.5</v>
      </c>
      <c r="EL313" t="n">
        <v>60.8</v>
      </c>
      <c r="EM313" t="n">
        <v>639.8</v>
      </c>
      <c r="EN313" t="n">
        <v>912</v>
      </c>
      <c r="EO313" t="n">
        <v>376</v>
      </c>
      <c r="EP313" t="n">
        <v>23.8</v>
      </c>
    </row>
    <row r="314">
      <c r="A314" t="inlineStr">
        <is>
          <t>Eddie Nketiah</t>
        </is>
      </c>
      <c r="B314" t="inlineStr">
        <is>
          <t>CRY</t>
        </is>
      </c>
      <c r="C314" t="inlineStr">
        <is>
          <t>FWD</t>
        </is>
      </c>
      <c r="D314" t="inlineStr">
        <is>
          <t>FWD</t>
        </is>
      </c>
      <c r="E314" t="n">
        <v>5.5</v>
      </c>
      <c r="F314" t="b">
        <v>1</v>
      </c>
      <c r="G314" t="b">
        <v>1</v>
      </c>
      <c r="H314" t="n">
        <v>27.2</v>
      </c>
      <c r="I314" t="inlineStr">
        <is>
          <t>a</t>
        </is>
      </c>
      <c r="L314" t="inlineStr">
        <is>
          <t>p205533</t>
        </is>
      </c>
      <c r="M314" t="n">
        <v>224</v>
      </c>
      <c r="Q314" t="n">
        <v>414</v>
      </c>
      <c r="R314" t="n">
        <v>12</v>
      </c>
      <c r="S314" t="n">
        <v>2</v>
      </c>
      <c r="T314" t="n">
        <v>4.6</v>
      </c>
      <c r="U314" t="n">
        <v>34.5</v>
      </c>
      <c r="V314" t="n">
        <v>23</v>
      </c>
      <c r="W314" t="n">
        <v>5</v>
      </c>
      <c r="X314" t="n">
        <v>2</v>
      </c>
      <c r="Y314" t="n">
        <v>0</v>
      </c>
      <c r="AA314" t="n">
        <v>0</v>
      </c>
      <c r="AB314" t="n">
        <v>12</v>
      </c>
      <c r="AC314" t="n">
        <v>3</v>
      </c>
      <c r="AD314" t="n">
        <v>3</v>
      </c>
      <c r="AE314" t="n">
        <v>0</v>
      </c>
      <c r="AF314" t="n">
        <v>100</v>
      </c>
      <c r="AG314" t="n">
        <v>98</v>
      </c>
      <c r="AH314" t="n">
        <v>-2</v>
      </c>
      <c r="AI314" t="n">
        <v>23</v>
      </c>
      <c r="AJ314" t="n">
        <v>0.13</v>
      </c>
      <c r="AK314" t="n">
        <v>0.15</v>
      </c>
      <c r="AL314" t="n">
        <v>38</v>
      </c>
      <c r="AM314" t="n">
        <v>8.260999999999999</v>
      </c>
      <c r="AN314" t="n">
        <v>0</v>
      </c>
      <c r="AO314" t="n">
        <v>0</v>
      </c>
      <c r="AP314" t="n">
        <v>0</v>
      </c>
      <c r="AQ314" t="n">
        <v>0</v>
      </c>
      <c r="AR314" t="n">
        <v>0</v>
      </c>
      <c r="AS314" t="n">
        <v>0.053</v>
      </c>
      <c r="AT314" t="n">
        <v>0.167</v>
      </c>
      <c r="AU314" t="n">
        <v>10</v>
      </c>
      <c r="AV314" t="n">
        <v>0</v>
      </c>
      <c r="AW314" t="n">
        <v>1.6</v>
      </c>
      <c r="AX314" t="n">
        <v>9</v>
      </c>
      <c r="AY314" t="n">
        <v>1.77</v>
      </c>
      <c r="AZ314" t="n">
        <v>1.943</v>
      </c>
      <c r="BA314" t="n">
        <v>1.856</v>
      </c>
      <c r="BB314" t="n">
        <v>1.943</v>
      </c>
      <c r="BC314" t="n">
        <v>0.385</v>
      </c>
      <c r="BD314" t="n">
        <v>0.422</v>
      </c>
      <c r="BE314" t="n">
        <v>0.404</v>
      </c>
      <c r="BF314" t="n">
        <v>2.6</v>
      </c>
      <c r="BG314" t="n">
        <v>0.5649999999999999</v>
      </c>
      <c r="BH314" t="n">
        <v>0.871</v>
      </c>
      <c r="BI314" t="n">
        <v>20.25</v>
      </c>
      <c r="BJ314" t="n">
        <v>1.541</v>
      </c>
      <c r="BK314" t="n">
        <v>0.335</v>
      </c>
      <c r="BL314" t="n">
        <v>0.144</v>
      </c>
      <c r="BM314" t="n">
        <v>0.83</v>
      </c>
      <c r="BN314" t="n">
        <v>-0.6</v>
      </c>
      <c r="BO314" t="n">
        <v>-0.173</v>
      </c>
      <c r="BP314" t="n">
        <v>15</v>
      </c>
      <c r="BQ314" t="n">
        <v>6</v>
      </c>
      <c r="BR314" t="n">
        <v>1</v>
      </c>
      <c r="BS314" t="n">
        <v>26</v>
      </c>
      <c r="BT314" t="n">
        <v>5.652</v>
      </c>
      <c r="BW314" t="n">
        <v>0.46</v>
      </c>
      <c r="BX314" t="n">
        <v>0.961</v>
      </c>
      <c r="BY314" t="n">
        <v>0.71</v>
      </c>
      <c r="BZ314" t="n">
        <v>0.154</v>
      </c>
      <c r="CA314" t="n">
        <v>2.567</v>
      </c>
      <c r="CB314" t="n">
        <v>0.5580000000000001</v>
      </c>
      <c r="CC314" t="n">
        <v>7</v>
      </c>
      <c r="CD314" t="n">
        <v>1</v>
      </c>
      <c r="CE314" t="n">
        <v>7</v>
      </c>
      <c r="CG314" t="n">
        <v>1</v>
      </c>
      <c r="CI314" t="n">
        <v>2.896</v>
      </c>
      <c r="CJ314" t="n">
        <v>0.149</v>
      </c>
      <c r="CK314" t="n">
        <v>13</v>
      </c>
      <c r="CL314" t="n">
        <v>17</v>
      </c>
      <c r="CM314" t="n">
        <v>8</v>
      </c>
      <c r="CN314" t="n">
        <v>6</v>
      </c>
      <c r="CO314" t="n">
        <v>2</v>
      </c>
      <c r="CP314" t="n">
        <v>10</v>
      </c>
      <c r="CQ314" t="n">
        <v>1</v>
      </c>
      <c r="CR314" t="n">
        <v>28</v>
      </c>
      <c r="CS314" t="n">
        <v>8</v>
      </c>
      <c r="CW314" t="n">
        <v>9.49</v>
      </c>
      <c r="CX314" t="n">
        <v>2.063</v>
      </c>
      <c r="CY314" t="n">
        <v>0</v>
      </c>
      <c r="DB314" t="n">
        <v>0</v>
      </c>
      <c r="DF314" t="n">
        <v>2</v>
      </c>
      <c r="DG314" t="n">
        <v>0</v>
      </c>
      <c r="DH314" t="n">
        <v>7</v>
      </c>
      <c r="DI314" t="n">
        <v>7</v>
      </c>
      <c r="DL314" t="n">
        <v>5</v>
      </c>
      <c r="DM314" t="n">
        <v>11</v>
      </c>
      <c r="DN314" t="n">
        <v>3</v>
      </c>
      <c r="DO314" t="n">
        <v>0.5</v>
      </c>
      <c r="DP314" t="n">
        <v>42.3</v>
      </c>
      <c r="DQ314" t="n">
        <v>21.15</v>
      </c>
      <c r="DR314" t="n">
        <v>42.3</v>
      </c>
      <c r="DS314" t="n">
        <v>0</v>
      </c>
      <c r="DT314" t="n">
        <v>266</v>
      </c>
      <c r="DU314" t="n">
        <v>7</v>
      </c>
      <c r="DV314" t="inlineStr">
        <is>
          <t>flat</t>
        </is>
      </c>
      <c r="DW314" t="n">
        <v>95.52</v>
      </c>
      <c r="DX314" t="n">
        <v>96.23</v>
      </c>
      <c r="DY314" t="n">
        <v>95.27</v>
      </c>
      <c r="DZ314" t="n">
        <v>-0.25</v>
      </c>
      <c r="EA314" t="n">
        <v>137</v>
      </c>
      <c r="EB314" t="n">
        <v>19.41</v>
      </c>
      <c r="EC314" t="n">
        <v>23.2</v>
      </c>
      <c r="ED314" t="n">
        <v>120</v>
      </c>
      <c r="EE314" t="n">
        <v>207</v>
      </c>
      <c r="EF314" t="b">
        <v>1</v>
      </c>
      <c r="EG314" t="n">
        <v>4.8</v>
      </c>
      <c r="EH314" t="n">
        <v>11.2</v>
      </c>
      <c r="EI314" t="n">
        <v>187</v>
      </c>
      <c r="EJ314" t="n">
        <v>27.6</v>
      </c>
      <c r="EK314" t="n">
        <v>15.9</v>
      </c>
      <c r="EL314" t="n">
        <v>59.1</v>
      </c>
      <c r="EM314" t="n">
        <v>223</v>
      </c>
      <c r="EN314" t="n">
        <v>582.9</v>
      </c>
      <c r="EO314" t="n">
        <v>161.3</v>
      </c>
      <c r="EP314" t="n">
        <v>18</v>
      </c>
    </row>
    <row r="315">
      <c r="A315" t="inlineStr">
        <is>
          <t>Tammy Abraham</t>
        </is>
      </c>
      <c r="B315" t="inlineStr">
        <is>
          <t>AVL</t>
        </is>
      </c>
      <c r="C315" t="inlineStr">
        <is>
          <t>FWD</t>
        </is>
      </c>
      <c r="D315" t="inlineStr">
        <is>
          <t>FWD</t>
        </is>
      </c>
      <c r="E315" t="n">
        <v>5.5</v>
      </c>
      <c r="F315" t="b">
        <v>1</v>
      </c>
      <c r="G315" t="b">
        <v>1</v>
      </c>
      <c r="H315" t="n">
        <v>28.9</v>
      </c>
      <c r="I315" t="inlineStr">
        <is>
          <t>a</t>
        </is>
      </c>
      <c r="K315" t="n">
        <v>100</v>
      </c>
      <c r="L315" t="inlineStr">
        <is>
          <t>p173879</t>
        </is>
      </c>
      <c r="M315" t="n">
        <v>56</v>
      </c>
      <c r="Q315" t="n">
        <v>278</v>
      </c>
      <c r="R315" t="n">
        <v>12</v>
      </c>
      <c r="S315" t="n">
        <v>2</v>
      </c>
      <c r="T315" t="n">
        <v>3.089</v>
      </c>
      <c r="U315" t="n">
        <v>23.2</v>
      </c>
      <c r="V315" t="n">
        <v>23</v>
      </c>
      <c r="W315" t="n">
        <v>7.446</v>
      </c>
      <c r="X315" t="n">
        <v>2</v>
      </c>
      <c r="Y315" t="n">
        <v>0</v>
      </c>
      <c r="AA315" t="n">
        <v>0</v>
      </c>
      <c r="AB315" t="n">
        <v>8</v>
      </c>
      <c r="AC315" t="n">
        <v>2</v>
      </c>
      <c r="AD315" t="n">
        <v>2</v>
      </c>
      <c r="AE315" t="n">
        <v>0</v>
      </c>
      <c r="AF315" t="n">
        <v>93</v>
      </c>
      <c r="AG315" t="n">
        <v>93</v>
      </c>
      <c r="AH315" t="n">
        <v>0</v>
      </c>
      <c r="AI315" t="n">
        <v>23</v>
      </c>
      <c r="AJ315" t="n">
        <v>0.08699999999999999</v>
      </c>
      <c r="AK315" t="n">
        <v>0.095</v>
      </c>
      <c r="AL315" t="n">
        <v>13</v>
      </c>
      <c r="AM315" t="n">
        <v>4.209</v>
      </c>
      <c r="AN315" t="n">
        <v>0</v>
      </c>
      <c r="AO315" t="n">
        <v>0</v>
      </c>
      <c r="AP315" t="n">
        <v>0</v>
      </c>
      <c r="AQ315" t="n">
        <v>0</v>
      </c>
      <c r="AR315" t="n">
        <v>0</v>
      </c>
      <c r="AS315" t="n">
        <v>0.053</v>
      </c>
      <c r="AT315" t="n">
        <v>0.083</v>
      </c>
      <c r="AU315" t="n">
        <v>10</v>
      </c>
      <c r="AV315" t="n">
        <v>0</v>
      </c>
      <c r="AW315" t="n">
        <v>1.92</v>
      </c>
      <c r="AX315" t="n">
        <v>7</v>
      </c>
      <c r="AY315" t="n">
        <v>2.05</v>
      </c>
      <c r="AZ315" t="n">
        <v>2.048</v>
      </c>
      <c r="BA315" t="n">
        <v>2.049</v>
      </c>
      <c r="BB315" t="n">
        <v>2.048</v>
      </c>
      <c r="BC315" t="n">
        <v>0.664</v>
      </c>
      <c r="BD315" t="n">
        <v>0.663</v>
      </c>
      <c r="BE315" t="n">
        <v>0.663</v>
      </c>
      <c r="BF315" t="n">
        <v>2</v>
      </c>
      <c r="BG315" t="n">
        <v>0.647</v>
      </c>
      <c r="BH315" t="n">
        <v>0.995</v>
      </c>
      <c r="BI315" t="n">
        <v>2.05</v>
      </c>
      <c r="BJ315" t="n">
        <v>2.04</v>
      </c>
      <c r="BK315" t="n">
        <v>0.66</v>
      </c>
      <c r="BL315" t="n">
        <v>-0.049</v>
      </c>
      <c r="BM315" t="n">
        <v>-0.05</v>
      </c>
      <c r="BN315" t="n">
        <v>0</v>
      </c>
      <c r="BO315" t="n">
        <v>0.002</v>
      </c>
      <c r="BP315" t="n">
        <v>9</v>
      </c>
      <c r="BQ315" t="n">
        <v>3</v>
      </c>
      <c r="BR315" t="n">
        <v>3</v>
      </c>
      <c r="BS315" t="n">
        <v>22</v>
      </c>
      <c r="BT315" t="n">
        <v>7.122</v>
      </c>
      <c r="BW315" t="n">
        <v>0.36</v>
      </c>
      <c r="BX315" t="n">
        <v>0.129</v>
      </c>
      <c r="BY315" t="n">
        <v>0.245</v>
      </c>
      <c r="BZ315" t="n">
        <v>0.079</v>
      </c>
      <c r="CA315" t="n">
        <v>2.294</v>
      </c>
      <c r="CB315" t="n">
        <v>0.743</v>
      </c>
      <c r="CC315" t="n">
        <v>4</v>
      </c>
      <c r="CD315" t="n">
        <v>1</v>
      </c>
      <c r="CE315" t="n">
        <v>4</v>
      </c>
      <c r="CI315" t="n">
        <v>2.102</v>
      </c>
      <c r="CJ315" t="n">
        <v>0.055</v>
      </c>
      <c r="CK315" t="n">
        <v>3</v>
      </c>
      <c r="CL315" t="n">
        <v>6</v>
      </c>
      <c r="CM315" t="n">
        <v>4</v>
      </c>
      <c r="CN315" t="n">
        <v>2</v>
      </c>
      <c r="CP315" t="n">
        <v>3</v>
      </c>
      <c r="CR315" t="n">
        <v>10</v>
      </c>
      <c r="CS315" t="n">
        <v>5</v>
      </c>
      <c r="CW315" t="n">
        <v>5.12</v>
      </c>
      <c r="CX315" t="n">
        <v>1.658</v>
      </c>
      <c r="CY315" t="n">
        <v>0</v>
      </c>
      <c r="DB315" t="n">
        <v>0</v>
      </c>
      <c r="DF315" t="n">
        <v>0</v>
      </c>
      <c r="DG315" t="n">
        <v>0</v>
      </c>
      <c r="DH315" t="n">
        <v>2</v>
      </c>
      <c r="DL315" t="n">
        <v>1</v>
      </c>
      <c r="DM315" t="n">
        <v>1</v>
      </c>
      <c r="DO315" t="n">
        <v>0.3</v>
      </c>
      <c r="DP315" t="n">
        <v>37.29</v>
      </c>
      <c r="DQ315" t="n">
        <v>18.32</v>
      </c>
      <c r="DR315" t="n">
        <v>36.64</v>
      </c>
      <c r="DS315" t="n">
        <v>0.65</v>
      </c>
      <c r="DT315" t="n">
        <v>280</v>
      </c>
      <c r="DU315" t="n">
        <v>7.36</v>
      </c>
      <c r="DV315" t="inlineStr">
        <is>
          <t>flat</t>
        </is>
      </c>
      <c r="DW315" t="n">
        <v>96.39</v>
      </c>
      <c r="DX315" t="n">
        <v>90.23999999999999</v>
      </c>
      <c r="DY315" t="n">
        <v>96.31</v>
      </c>
      <c r="DZ315" t="n">
        <v>-0.08</v>
      </c>
      <c r="EA315" t="n">
        <v>183</v>
      </c>
      <c r="EB315" t="n">
        <v>20.7</v>
      </c>
      <c r="EC315" t="n">
        <v>10.67</v>
      </c>
      <c r="ED315" t="n">
        <v>120</v>
      </c>
      <c r="EE315" t="n">
        <v>244</v>
      </c>
      <c r="EF315" t="b">
        <v>1</v>
      </c>
      <c r="EG315" t="n">
        <v>5.7</v>
      </c>
      <c r="EH315" t="n">
        <v>11.6</v>
      </c>
      <c r="EI315" t="n">
        <v>186</v>
      </c>
      <c r="EJ315" t="n">
        <v>30.9</v>
      </c>
      <c r="EK315" t="n">
        <v>12.6</v>
      </c>
      <c r="EL315" t="n">
        <v>69.5</v>
      </c>
      <c r="EM315" t="n">
        <v>135.7</v>
      </c>
      <c r="EN315" t="n">
        <v>1136.5</v>
      </c>
      <c r="EO315" t="n">
        <v>121.2</v>
      </c>
      <c r="EP315" t="n">
        <v>12.1</v>
      </c>
    </row>
    <row r="316">
      <c r="A316" t="inlineStr">
        <is>
          <t>Nathan Patterson</t>
        </is>
      </c>
      <c r="B316" t="inlineStr">
        <is>
          <t>EVE</t>
        </is>
      </c>
      <c r="C316" t="inlineStr">
        <is>
          <t>DEF</t>
        </is>
      </c>
      <c r="D316" t="inlineStr">
        <is>
          <t>DEF</t>
        </is>
      </c>
      <c r="E316" t="n">
        <v>4.5</v>
      </c>
      <c r="F316" t="b">
        <v>1</v>
      </c>
      <c r="G316" t="b">
        <v>1</v>
      </c>
      <c r="H316" t="n">
        <v>24.8</v>
      </c>
      <c r="I316" t="inlineStr">
        <is>
          <t>a</t>
        </is>
      </c>
      <c r="L316" t="inlineStr">
        <is>
          <t>p243571</t>
        </is>
      </c>
      <c r="M316" t="n">
        <v>234</v>
      </c>
      <c r="Q316" t="n">
        <v>238</v>
      </c>
      <c r="R316" t="n">
        <v>7</v>
      </c>
      <c r="S316" t="n">
        <v>3</v>
      </c>
      <c r="T316" t="n">
        <v>2.644</v>
      </c>
      <c r="U316" t="n">
        <v>34</v>
      </c>
      <c r="V316" t="n">
        <v>22</v>
      </c>
      <c r="W316" t="n">
        <v>8.319000000000001</v>
      </c>
      <c r="X316" t="n">
        <v>0</v>
      </c>
      <c r="Y316" t="n">
        <v>0</v>
      </c>
      <c r="AA316" t="n">
        <v>2</v>
      </c>
      <c r="AB316" t="n">
        <v>2</v>
      </c>
      <c r="AC316" t="n">
        <v>0</v>
      </c>
      <c r="AD316" t="n">
        <v>0</v>
      </c>
      <c r="AE316" t="n">
        <v>0</v>
      </c>
      <c r="AF316" t="n">
        <v>67</v>
      </c>
      <c r="AG316" t="n">
        <v>63</v>
      </c>
      <c r="AH316" t="n">
        <v>-4</v>
      </c>
      <c r="AI316" t="n">
        <v>22</v>
      </c>
      <c r="AJ316" t="n">
        <v>0</v>
      </c>
      <c r="AK316" t="n">
        <v>0</v>
      </c>
      <c r="AL316" t="n">
        <v>31</v>
      </c>
      <c r="AM316" t="n">
        <v>11.723</v>
      </c>
      <c r="AN316" t="n">
        <v>2</v>
      </c>
      <c r="AO316" t="n">
        <v>4</v>
      </c>
      <c r="AP316" t="n">
        <v>0.667</v>
      </c>
      <c r="AQ316" t="n">
        <v>0.667</v>
      </c>
      <c r="AR316" t="n">
        <v>0</v>
      </c>
      <c r="AS316" t="n">
        <v>0.079</v>
      </c>
      <c r="AT316" t="n">
        <v>0.429</v>
      </c>
      <c r="AU316" t="n">
        <v>5</v>
      </c>
      <c r="AV316" t="n">
        <v>0</v>
      </c>
      <c r="AW316" t="n">
        <v>1.83</v>
      </c>
      <c r="AX316" t="n">
        <v>8</v>
      </c>
      <c r="AY316" t="n">
        <v>0.03</v>
      </c>
      <c r="AZ316" t="n">
        <v>0.17</v>
      </c>
      <c r="BA316" t="n">
        <v>0.1</v>
      </c>
      <c r="BB316" t="n">
        <v>0.17</v>
      </c>
      <c r="BC316" t="n">
        <v>0.011</v>
      </c>
      <c r="BD316" t="n">
        <v>0.064</v>
      </c>
      <c r="BE316" t="n">
        <v>0.038</v>
      </c>
      <c r="BF316" t="n">
        <v>0.1</v>
      </c>
      <c r="BG316" t="n">
        <v>0.038</v>
      </c>
      <c r="BH316" t="n">
        <v>0.93</v>
      </c>
      <c r="BI316" t="n">
        <v>0.92</v>
      </c>
      <c r="BJ316" t="n">
        <v>0.028</v>
      </c>
      <c r="BK316" t="n">
        <v>0.011</v>
      </c>
      <c r="BL316" t="n">
        <v>-0.1</v>
      </c>
      <c r="BM316" t="n">
        <v>0.07000000000000001</v>
      </c>
      <c r="BN316" t="n">
        <v>-0.1</v>
      </c>
      <c r="BO316" t="n">
        <v>-0.14</v>
      </c>
      <c r="BP316" t="n">
        <v>1</v>
      </c>
      <c r="BQ316" t="n">
        <v>1</v>
      </c>
      <c r="BR316" t="n">
        <v>0</v>
      </c>
      <c r="BS316" t="n">
        <v>1</v>
      </c>
      <c r="BT316" t="n">
        <v>0.378</v>
      </c>
      <c r="BW316" t="n">
        <v>0.04</v>
      </c>
      <c r="BX316" t="n">
        <v>0</v>
      </c>
      <c r="BY316" t="n">
        <v>0.02</v>
      </c>
      <c r="BZ316" t="n">
        <v>0.008</v>
      </c>
      <c r="CA316" t="n">
        <v>0.12</v>
      </c>
      <c r="CB316" t="n">
        <v>0.045</v>
      </c>
      <c r="CC316" t="n">
        <v>0</v>
      </c>
      <c r="CF316" t="n">
        <v>0</v>
      </c>
      <c r="CI316" t="n">
        <v>0.738</v>
      </c>
      <c r="CJ316" t="n">
        <v>0.5679999999999999</v>
      </c>
      <c r="CK316" t="n">
        <v>21</v>
      </c>
      <c r="CL316" t="n">
        <v>14</v>
      </c>
      <c r="CM316" t="n">
        <v>10</v>
      </c>
      <c r="CN316" t="n">
        <v>4</v>
      </c>
      <c r="CO316" t="n">
        <v>2</v>
      </c>
      <c r="CP316" t="n">
        <v>17</v>
      </c>
      <c r="CQ316" t="n">
        <v>2</v>
      </c>
      <c r="CR316" t="n">
        <v>20</v>
      </c>
      <c r="CS316" t="n">
        <v>7</v>
      </c>
      <c r="CW316" t="n">
        <v>3.67</v>
      </c>
      <c r="CX316" t="n">
        <v>1.388</v>
      </c>
      <c r="CY316" t="n">
        <v>0</v>
      </c>
      <c r="DB316" t="n">
        <v>0</v>
      </c>
      <c r="DF316" t="n">
        <v>0</v>
      </c>
      <c r="DG316" t="n">
        <v>0</v>
      </c>
      <c r="DH316" t="n">
        <v>2</v>
      </c>
      <c r="DI316" t="n">
        <v>2</v>
      </c>
      <c r="DL316" t="n">
        <v>1</v>
      </c>
      <c r="DM316" t="n">
        <v>1</v>
      </c>
      <c r="DN316" t="n">
        <v>1</v>
      </c>
      <c r="DO316" t="n">
        <v>0</v>
      </c>
      <c r="DP316" t="n">
        <v>9.890000000000001</v>
      </c>
      <c r="DQ316" t="n">
        <v>4.95</v>
      </c>
      <c r="DR316" t="n">
        <v>9.9</v>
      </c>
      <c r="DS316" t="n">
        <v>-0.01</v>
      </c>
      <c r="DT316" t="n">
        <v>140</v>
      </c>
      <c r="DU316" t="n">
        <v>3.69</v>
      </c>
      <c r="DV316" t="inlineStr">
        <is>
          <t>flat</t>
        </is>
      </c>
      <c r="DW316" t="n">
        <v>90.47</v>
      </c>
      <c r="DX316" t="n">
        <v>103</v>
      </c>
      <c r="DY316" t="n">
        <v>95.95999999999999</v>
      </c>
      <c r="DZ316" t="n">
        <v>5.5</v>
      </c>
      <c r="EA316" t="n">
        <v>7</v>
      </c>
      <c r="EB316" t="n">
        <v>19.78</v>
      </c>
      <c r="EC316" t="n">
        <v>45.33</v>
      </c>
      <c r="ED316" t="n">
        <v>108.5</v>
      </c>
      <c r="EE316" t="n">
        <v>10</v>
      </c>
      <c r="EF316" t="b">
        <v>1</v>
      </c>
      <c r="EG316" t="n">
        <v>0.2</v>
      </c>
      <c r="EH316" t="n">
        <v>9.1</v>
      </c>
      <c r="EI316" t="n">
        <v>439</v>
      </c>
      <c r="EJ316" t="n">
        <v>238</v>
      </c>
      <c r="EK316" t="n">
        <v>238</v>
      </c>
      <c r="EM316" t="n">
        <v>2377.7</v>
      </c>
      <c r="EN316" t="n">
        <v>11900</v>
      </c>
      <c r="EO316" t="n">
        <v>1981.7</v>
      </c>
      <c r="EP316" t="n">
        <v>10.8</v>
      </c>
    </row>
    <row r="317">
      <c r="A317" t="inlineStr">
        <is>
          <t>Leon Bailey</t>
        </is>
      </c>
      <c r="B317" t="inlineStr">
        <is>
          <t>AVL</t>
        </is>
      </c>
      <c r="C317" t="inlineStr">
        <is>
          <t>MID</t>
        </is>
      </c>
      <c r="D317" t="inlineStr">
        <is>
          <t>MID</t>
        </is>
      </c>
      <c r="E317" t="n">
        <v>5.5</v>
      </c>
      <c r="F317" t="b">
        <v>1</v>
      </c>
      <c r="G317" t="b">
        <v>1</v>
      </c>
      <c r="H317" t="n">
        <v>29</v>
      </c>
      <c r="I317" t="inlineStr">
        <is>
          <t>a</t>
        </is>
      </c>
      <c r="L317" t="inlineStr">
        <is>
          <t>p215711</t>
        </is>
      </c>
      <c r="M317" t="n">
        <v>44</v>
      </c>
      <c r="Q317" t="n">
        <v>450</v>
      </c>
      <c r="R317" t="n">
        <v>13</v>
      </c>
      <c r="S317" t="n">
        <v>3</v>
      </c>
      <c r="T317" t="n">
        <v>5</v>
      </c>
      <c r="U317" t="n">
        <v>34.6</v>
      </c>
      <c r="V317" t="n">
        <v>21</v>
      </c>
      <c r="W317" t="n">
        <v>4.2</v>
      </c>
      <c r="X317" t="n">
        <v>0</v>
      </c>
      <c r="Y317" t="n">
        <v>2</v>
      </c>
      <c r="Z317" t="n">
        <v>1</v>
      </c>
      <c r="AA317" t="n">
        <v>0</v>
      </c>
      <c r="AB317" t="n">
        <v>9</v>
      </c>
      <c r="AC317" t="n">
        <v>0</v>
      </c>
      <c r="AD317" t="n">
        <v>0</v>
      </c>
      <c r="AE317" t="n">
        <v>0</v>
      </c>
      <c r="AF317" t="n">
        <v>69</v>
      </c>
      <c r="AG317" t="n">
        <v>67</v>
      </c>
      <c r="AH317" t="n">
        <v>-2</v>
      </c>
      <c r="AI317" t="n">
        <v>21</v>
      </c>
      <c r="AJ317" t="n">
        <v>0</v>
      </c>
      <c r="AK317" t="n">
        <v>0</v>
      </c>
      <c r="AL317" t="n">
        <v>48</v>
      </c>
      <c r="AM317" t="n">
        <v>9.6</v>
      </c>
      <c r="AN317" t="n">
        <v>0</v>
      </c>
      <c r="AO317" t="n">
        <v>0</v>
      </c>
      <c r="AP317" t="n">
        <v>0</v>
      </c>
      <c r="AQ317" t="n">
        <v>0.333</v>
      </c>
      <c r="AR317" t="n">
        <v>0</v>
      </c>
      <c r="AS317" t="n">
        <v>0.079</v>
      </c>
      <c r="AT317" t="n">
        <v>0.231</v>
      </c>
      <c r="AU317" t="n">
        <v>11</v>
      </c>
      <c r="AV317" t="n">
        <v>0</v>
      </c>
      <c r="AW317" t="n">
        <v>1.18</v>
      </c>
      <c r="AX317" t="n">
        <v>5</v>
      </c>
      <c r="AY317" t="n">
        <v>0.5</v>
      </c>
      <c r="AZ317" t="n">
        <v>0.707</v>
      </c>
      <c r="BA317" t="n">
        <v>0.604</v>
      </c>
      <c r="BB317" t="n">
        <v>0.707</v>
      </c>
      <c r="BC317" t="n">
        <v>0.1</v>
      </c>
      <c r="BD317" t="n">
        <v>0.141</v>
      </c>
      <c r="BE317" t="n">
        <v>0.121</v>
      </c>
      <c r="BF317" t="n">
        <v>0.1</v>
      </c>
      <c r="BG317" t="n">
        <v>0.02</v>
      </c>
      <c r="BH317" t="n">
        <v>0.8100000000000001</v>
      </c>
      <c r="BI317" t="n">
        <v>13.86</v>
      </c>
      <c r="BJ317" t="n">
        <v>0.405</v>
      </c>
      <c r="BK317" t="n">
        <v>0.081</v>
      </c>
      <c r="BL317" t="n">
        <v>-0.604</v>
      </c>
      <c r="BM317" t="n">
        <v>-0.4</v>
      </c>
      <c r="BN317" t="n">
        <v>-0.1</v>
      </c>
      <c r="BO317" t="n">
        <v>-0.207</v>
      </c>
      <c r="BP317" t="n">
        <v>8</v>
      </c>
      <c r="BQ317" t="n">
        <v>1</v>
      </c>
      <c r="BR317" t="n">
        <v>1</v>
      </c>
      <c r="BS317" t="n">
        <v>23</v>
      </c>
      <c r="BT317" t="n">
        <v>4.6</v>
      </c>
      <c r="BW317" t="n">
        <v>1.46</v>
      </c>
      <c r="BX317" t="n">
        <v>1.117</v>
      </c>
      <c r="BY317" t="n">
        <v>1.288</v>
      </c>
      <c r="BZ317" t="n">
        <v>0.258</v>
      </c>
      <c r="CA317" t="n">
        <v>1.892</v>
      </c>
      <c r="CB317" t="n">
        <v>0.378</v>
      </c>
      <c r="CC317" t="n">
        <v>12</v>
      </c>
      <c r="CD317" t="n">
        <v>1</v>
      </c>
      <c r="CE317" t="n">
        <v>12</v>
      </c>
      <c r="CF317" t="n">
        <v>5</v>
      </c>
      <c r="CH317" t="n">
        <v>14</v>
      </c>
      <c r="CI317" t="n">
        <v>2.241</v>
      </c>
      <c r="CJ317" t="n">
        <v>1.162</v>
      </c>
      <c r="CK317" t="n">
        <v>7</v>
      </c>
      <c r="CL317" t="n">
        <v>31</v>
      </c>
      <c r="CM317" t="n">
        <v>10</v>
      </c>
      <c r="CN317" t="n">
        <v>6</v>
      </c>
      <c r="CO317" t="n">
        <v>3</v>
      </c>
      <c r="CP317" t="n">
        <v>4</v>
      </c>
      <c r="CR317" t="n">
        <v>24</v>
      </c>
      <c r="CS317" t="n">
        <v>4</v>
      </c>
      <c r="CW317" t="n">
        <v>7.03</v>
      </c>
      <c r="CX317" t="n">
        <v>1.406</v>
      </c>
      <c r="CY317" t="n">
        <v>0</v>
      </c>
      <c r="DB317" t="n">
        <v>0</v>
      </c>
      <c r="DF317" t="n">
        <v>1</v>
      </c>
      <c r="DG317" t="n">
        <v>0</v>
      </c>
      <c r="DH317" t="n">
        <v>6</v>
      </c>
      <c r="DI317" t="n">
        <v>5</v>
      </c>
      <c r="DL317" t="n">
        <v>5</v>
      </c>
      <c r="DM317" t="n">
        <v>9</v>
      </c>
      <c r="DN317" t="n">
        <v>1</v>
      </c>
      <c r="DO317" t="n">
        <v>0.1</v>
      </c>
      <c r="DP317" t="n">
        <v>29.02</v>
      </c>
      <c r="DQ317" t="n">
        <v>15.06</v>
      </c>
      <c r="DR317" t="n">
        <v>30.12</v>
      </c>
      <c r="DS317" t="n">
        <v>-1.1</v>
      </c>
      <c r="DT317" t="n">
        <v>111</v>
      </c>
      <c r="DU317" t="n">
        <v>2.92</v>
      </c>
      <c r="DV317" t="inlineStr">
        <is>
          <t>flat</t>
        </is>
      </c>
      <c r="DW317" t="n">
        <v>77.87</v>
      </c>
      <c r="DX317" t="n">
        <v>58</v>
      </c>
      <c r="DY317" t="n">
        <v>59.95</v>
      </c>
      <c r="DZ317" t="n">
        <v>-17.92</v>
      </c>
      <c r="EA317" t="n">
        <v>2</v>
      </c>
      <c r="EB317" t="n">
        <v>23.37</v>
      </c>
      <c r="EC317" t="n">
        <v>53.5</v>
      </c>
      <c r="ED317" t="n">
        <v>111.33</v>
      </c>
      <c r="EE317" t="n">
        <v>6</v>
      </c>
      <c r="EF317" t="b">
        <v>0</v>
      </c>
      <c r="EG317" t="n">
        <v>0.2</v>
      </c>
      <c r="EH317" t="n">
        <v>33.3</v>
      </c>
      <c r="EI317" t="n">
        <v>188</v>
      </c>
      <c r="EJ317" t="n">
        <v>56.2</v>
      </c>
      <c r="EK317" t="n">
        <v>19.6</v>
      </c>
      <c r="EL317" t="n">
        <v>37.5</v>
      </c>
      <c r="EM317" t="n">
        <v>745.4</v>
      </c>
      <c r="EN317" t="n">
        <v>349.3</v>
      </c>
      <c r="EO317" t="n">
        <v>237.8</v>
      </c>
      <c r="EP317" t="n">
        <v>21.4</v>
      </c>
    </row>
    <row r="318">
      <c r="A318" t="inlineStr">
        <is>
          <t>Harrison Armstrong</t>
        </is>
      </c>
      <c r="B318" t="inlineStr">
        <is>
          <t>EVE</t>
        </is>
      </c>
      <c r="C318" t="inlineStr">
        <is>
          <t>MID</t>
        </is>
      </c>
      <c r="D318" t="inlineStr">
        <is>
          <t>MID</t>
        </is>
      </c>
      <c r="E318" t="n">
        <v>5</v>
      </c>
      <c r="F318" t="b">
        <v>1</v>
      </c>
      <c r="G318" t="b">
        <v>1</v>
      </c>
      <c r="H318" t="n">
        <v>19.6</v>
      </c>
      <c r="I318" t="inlineStr">
        <is>
          <t>a</t>
        </is>
      </c>
      <c r="L318" t="inlineStr">
        <is>
          <t>p609873</t>
        </is>
      </c>
      <c r="M318" t="n">
        <v>244</v>
      </c>
      <c r="Q318" t="n">
        <v>524</v>
      </c>
      <c r="R318" t="n">
        <v>13</v>
      </c>
      <c r="S318" t="n">
        <v>6</v>
      </c>
      <c r="T318" t="n">
        <v>5.822</v>
      </c>
      <c r="U318" t="n">
        <v>40.3</v>
      </c>
      <c r="V318" t="n">
        <v>21</v>
      </c>
      <c r="W318" t="n">
        <v>3.607</v>
      </c>
      <c r="X318" t="n">
        <v>0</v>
      </c>
      <c r="Y318" t="n">
        <v>0</v>
      </c>
      <c r="AA318" t="n">
        <v>1</v>
      </c>
      <c r="AB318" t="n">
        <v>11</v>
      </c>
      <c r="AC318" t="n">
        <v>0</v>
      </c>
      <c r="AD318" t="n">
        <v>0</v>
      </c>
      <c r="AE318" t="n">
        <v>0</v>
      </c>
      <c r="AF318" t="n">
        <v>84</v>
      </c>
      <c r="AG318" t="n">
        <v>80</v>
      </c>
      <c r="AH318" t="n">
        <v>-4</v>
      </c>
      <c r="AI318" t="n">
        <v>21</v>
      </c>
      <c r="AJ318" t="n">
        <v>0</v>
      </c>
      <c r="AK318" t="n">
        <v>0</v>
      </c>
      <c r="AL318" t="n">
        <v>50</v>
      </c>
      <c r="AM318" t="n">
        <v>8.587999999999999</v>
      </c>
      <c r="AN318" t="n">
        <v>1</v>
      </c>
      <c r="AO318" t="n">
        <v>2</v>
      </c>
      <c r="AP318" t="n">
        <v>0.167</v>
      </c>
      <c r="AQ318" t="n">
        <v>0.333</v>
      </c>
      <c r="AR318" t="n">
        <v>0.167</v>
      </c>
      <c r="AS318" t="n">
        <v>0.158</v>
      </c>
      <c r="AT318" t="n">
        <v>0.385</v>
      </c>
      <c r="AU318" t="n">
        <v>11</v>
      </c>
      <c r="AV318" t="n">
        <v>0</v>
      </c>
      <c r="AW318" t="n">
        <v>0.95</v>
      </c>
      <c r="AX318" t="n">
        <v>4</v>
      </c>
      <c r="AY318" t="n">
        <v>0.79</v>
      </c>
      <c r="AZ318" t="n">
        <v>0.439</v>
      </c>
      <c r="BA318" t="n">
        <v>0.615</v>
      </c>
      <c r="BB318" t="n">
        <v>0.439</v>
      </c>
      <c r="BC318" t="n">
        <v>0.136</v>
      </c>
      <c r="BD318" t="n">
        <v>0.075</v>
      </c>
      <c r="BE318" t="n">
        <v>0.106</v>
      </c>
      <c r="BF318" t="n">
        <v>0.8</v>
      </c>
      <c r="BG318" t="n">
        <v>0.137</v>
      </c>
      <c r="BH318" t="n">
        <v>0.961</v>
      </c>
      <c r="BI318" t="n">
        <v>1.16</v>
      </c>
      <c r="BJ318" t="n">
        <v>0.759</v>
      </c>
      <c r="BK318" t="n">
        <v>0.13</v>
      </c>
      <c r="BL318" t="n">
        <v>-0.615</v>
      </c>
      <c r="BM318" t="n">
        <v>0.01</v>
      </c>
      <c r="BN318" t="n">
        <v>-0.8</v>
      </c>
      <c r="BO318" t="n">
        <v>0.351</v>
      </c>
      <c r="BP318" t="n">
        <v>5</v>
      </c>
      <c r="BQ318" t="n">
        <v>2</v>
      </c>
      <c r="BR318" t="n">
        <v>1</v>
      </c>
      <c r="BS318" t="n">
        <v>11</v>
      </c>
      <c r="BT318" t="n">
        <v>1.889</v>
      </c>
      <c r="BW318" t="n">
        <v>0.22</v>
      </c>
      <c r="BX318" t="n">
        <v>0.121</v>
      </c>
      <c r="BY318" t="n">
        <v>0.171</v>
      </c>
      <c r="BZ318" t="n">
        <v>0.029</v>
      </c>
      <c r="CA318" t="n">
        <v>0.785</v>
      </c>
      <c r="CB318" t="n">
        <v>0.135</v>
      </c>
      <c r="CC318" t="n">
        <v>4</v>
      </c>
      <c r="CE318" t="n">
        <v>4</v>
      </c>
      <c r="CH318" t="n">
        <v>0</v>
      </c>
      <c r="CI318" t="n">
        <v>1.601</v>
      </c>
      <c r="CJ318" t="n">
        <v>1.344</v>
      </c>
      <c r="CK318" t="n">
        <v>13</v>
      </c>
      <c r="CL318" t="n">
        <v>24</v>
      </c>
      <c r="CM318" t="n">
        <v>13</v>
      </c>
      <c r="CN318" t="n">
        <v>10</v>
      </c>
      <c r="CO318" t="n">
        <v>4</v>
      </c>
      <c r="CP318" t="n">
        <v>8</v>
      </c>
      <c r="CQ318" t="n">
        <v>1</v>
      </c>
      <c r="CR318" t="n">
        <v>34</v>
      </c>
      <c r="CS318" t="n">
        <v>6</v>
      </c>
      <c r="CW318" t="n">
        <v>10.93</v>
      </c>
      <c r="CX318" t="n">
        <v>1.877</v>
      </c>
      <c r="CY318" t="n">
        <v>0</v>
      </c>
      <c r="DB318" t="n">
        <v>0</v>
      </c>
      <c r="DF318" t="n">
        <v>0</v>
      </c>
      <c r="DG318" t="n">
        <v>0</v>
      </c>
      <c r="DH318" t="n">
        <v>6</v>
      </c>
      <c r="DI318" t="n">
        <v>14</v>
      </c>
      <c r="DL318" t="n">
        <v>1</v>
      </c>
      <c r="DM318" t="n">
        <v>8</v>
      </c>
      <c r="DN318" t="n">
        <v>2</v>
      </c>
      <c r="DO318" t="n">
        <v>0.1</v>
      </c>
      <c r="DP318" t="n">
        <v>21.83</v>
      </c>
      <c r="DQ318" t="n">
        <v>11.46</v>
      </c>
      <c r="DR318" t="n">
        <v>22.92</v>
      </c>
      <c r="DS318" t="n">
        <v>-1.09</v>
      </c>
      <c r="DT318" t="n">
        <v>357</v>
      </c>
      <c r="DU318" t="n">
        <v>9.390000000000001</v>
      </c>
      <c r="DV318" t="inlineStr">
        <is>
          <t>flat</t>
        </is>
      </c>
      <c r="DW318" t="n">
        <v>83</v>
      </c>
      <c r="DX318" t="n">
        <v>83</v>
      </c>
      <c r="EC318" t="n">
        <v>83</v>
      </c>
      <c r="ED318" t="n">
        <v>83</v>
      </c>
      <c r="EE318" t="n">
        <v>1</v>
      </c>
      <c r="EF318" t="b">
        <v>0</v>
      </c>
      <c r="EG318" t="n">
        <v>0.1</v>
      </c>
      <c r="EH318" t="n">
        <v>75</v>
      </c>
      <c r="EI318" t="n">
        <v>304</v>
      </c>
      <c r="EJ318" t="n">
        <v>104.8</v>
      </c>
      <c r="EK318" t="n">
        <v>47.6</v>
      </c>
      <c r="EL318" t="n">
        <v>131</v>
      </c>
      <c r="EM318" t="n">
        <v>852.7</v>
      </c>
      <c r="EN318" t="n">
        <v>3069.8</v>
      </c>
      <c r="EO318" t="n">
        <v>667.3</v>
      </c>
      <c r="EP318" t="n">
        <v>25</v>
      </c>
    </row>
    <row r="319">
      <c r="A319" t="inlineStr">
        <is>
          <t>Antonín Kinsky</t>
        </is>
      </c>
      <c r="B319" t="inlineStr">
        <is>
          <t>TOT</t>
        </is>
      </c>
      <c r="C319" t="inlineStr">
        <is>
          <t>GKP</t>
        </is>
      </c>
      <c r="D319" t="inlineStr">
        <is>
          <t>GKP</t>
        </is>
      </c>
      <c r="E319" t="n">
        <v>4.5</v>
      </c>
      <c r="F319" t="b">
        <v>1</v>
      </c>
      <c r="G319" t="b">
        <v>1</v>
      </c>
      <c r="H319" t="n">
        <v>23.4</v>
      </c>
      <c r="I319" t="inlineStr">
        <is>
          <t>a</t>
        </is>
      </c>
      <c r="L319" t="inlineStr">
        <is>
          <t>p485055</t>
        </is>
      </c>
      <c r="M319" t="n">
        <v>496</v>
      </c>
      <c r="Q319" t="n">
        <v>630</v>
      </c>
      <c r="R319" t="n">
        <v>7</v>
      </c>
      <c r="S319" t="n">
        <v>7</v>
      </c>
      <c r="T319" t="n">
        <v>7</v>
      </c>
      <c r="U319" t="n">
        <v>90</v>
      </c>
      <c r="V319" t="n">
        <v>20</v>
      </c>
      <c r="W319" t="n">
        <v>2.857</v>
      </c>
      <c r="X319" t="n">
        <v>0</v>
      </c>
      <c r="Y319" t="n">
        <v>0</v>
      </c>
      <c r="AA319" t="n">
        <v>2</v>
      </c>
      <c r="AB319" t="n">
        <v>7</v>
      </c>
      <c r="AC319" t="n">
        <v>0</v>
      </c>
      <c r="AD319" t="n">
        <v>0</v>
      </c>
      <c r="AE319" t="n">
        <v>0</v>
      </c>
      <c r="AF319" t="n">
        <v>76</v>
      </c>
      <c r="AG319" t="n">
        <v>74</v>
      </c>
      <c r="AH319" t="n">
        <v>-2</v>
      </c>
      <c r="AI319" t="n">
        <v>20</v>
      </c>
      <c r="AJ319" t="n">
        <v>0</v>
      </c>
      <c r="AK319" t="n">
        <v>0</v>
      </c>
      <c r="AL319" t="n">
        <v>0</v>
      </c>
      <c r="AM319" t="n">
        <v>0</v>
      </c>
      <c r="AN319" t="n">
        <v>0</v>
      </c>
      <c r="AO319" t="n">
        <v>0</v>
      </c>
      <c r="AP319" t="n">
        <v>0</v>
      </c>
      <c r="AQ319" t="n">
        <v>0</v>
      </c>
      <c r="AR319" t="n">
        <v>0</v>
      </c>
      <c r="AS319" t="n">
        <v>0.184</v>
      </c>
      <c r="AT319" t="n">
        <v>1</v>
      </c>
      <c r="AU319" t="n">
        <v>4</v>
      </c>
      <c r="AV319" t="n">
        <v>0</v>
      </c>
      <c r="AW319" t="n">
        <v>1.37</v>
      </c>
      <c r="AX319" t="n">
        <v>6</v>
      </c>
      <c r="AY319" t="n">
        <v>0</v>
      </c>
      <c r="AZ319" t="n">
        <v>0</v>
      </c>
      <c r="BA319" t="n">
        <v>0</v>
      </c>
      <c r="BB319" t="n">
        <v>0</v>
      </c>
      <c r="BC319" t="n">
        <v>0</v>
      </c>
      <c r="BD319" t="n">
        <v>0</v>
      </c>
      <c r="BE319" t="n">
        <v>0</v>
      </c>
      <c r="BH319" t="n">
        <v>1</v>
      </c>
      <c r="BI319" t="n">
        <v>0</v>
      </c>
      <c r="BJ319" t="n">
        <v>0</v>
      </c>
      <c r="BK319" t="n">
        <v>0</v>
      </c>
      <c r="BL319" t="n">
        <v>0</v>
      </c>
      <c r="BO319" t="n">
        <v>0</v>
      </c>
      <c r="BW319" t="n">
        <v>0</v>
      </c>
      <c r="BX319" t="n">
        <v>0</v>
      </c>
      <c r="BY319" t="n">
        <v>0</v>
      </c>
      <c r="BZ319" t="n">
        <v>0</v>
      </c>
      <c r="CA319" t="n">
        <v>0</v>
      </c>
      <c r="CB319" t="n">
        <v>0</v>
      </c>
      <c r="CC319" t="n">
        <v>0</v>
      </c>
      <c r="CI319" t="n">
        <v>0.054</v>
      </c>
      <c r="CJ319" t="n">
        <v>0.054</v>
      </c>
      <c r="CK319" t="n">
        <v>10</v>
      </c>
      <c r="CL319" t="n">
        <v>33</v>
      </c>
      <c r="CM319" t="n">
        <v>0</v>
      </c>
      <c r="CP319" t="n">
        <v>10</v>
      </c>
      <c r="CR319" t="n">
        <v>4</v>
      </c>
      <c r="CS319" t="n">
        <v>3</v>
      </c>
      <c r="CW319" t="n">
        <v>5.55</v>
      </c>
      <c r="CX319" t="n">
        <v>0.793</v>
      </c>
      <c r="CY319" t="n">
        <v>10</v>
      </c>
      <c r="DB319" t="n">
        <v>0</v>
      </c>
      <c r="DC319" t="n">
        <v>4</v>
      </c>
      <c r="DD319" t="n">
        <v>3</v>
      </c>
      <c r="DF319" t="n">
        <v>1</v>
      </c>
      <c r="DG319" t="n">
        <v>0</v>
      </c>
      <c r="DI319" t="n">
        <v>1</v>
      </c>
      <c r="DO319" t="n">
        <v>19.6</v>
      </c>
      <c r="DP319" t="n">
        <v>123.36</v>
      </c>
      <c r="DQ319" t="n">
        <v>61.68</v>
      </c>
      <c r="DR319" t="n">
        <v>123.36</v>
      </c>
      <c r="DS319" t="n">
        <v>0</v>
      </c>
      <c r="DT319" t="n">
        <v>3385</v>
      </c>
      <c r="DU319" t="n">
        <v>89.09</v>
      </c>
      <c r="DV319" t="inlineStr">
        <is>
          <t>flat</t>
        </is>
      </c>
      <c r="DW319" t="n">
        <v>100.27</v>
      </c>
      <c r="DX319" t="n">
        <v>104.1</v>
      </c>
      <c r="DY319" t="n">
        <v>99.48999999999999</v>
      </c>
      <c r="DZ319" t="n">
        <v>-0.77</v>
      </c>
      <c r="EA319" t="n">
        <v>1070</v>
      </c>
      <c r="EB319" t="n">
        <v>24.02</v>
      </c>
      <c r="EC319" t="n">
        <v>1</v>
      </c>
      <c r="ED319" t="n">
        <v>120</v>
      </c>
      <c r="EE319" t="n">
        <v>2293</v>
      </c>
      <c r="EF319" t="b">
        <v>1</v>
      </c>
      <c r="EG319" t="n">
        <v>51.1</v>
      </c>
      <c r="EH319" t="n">
        <v>7.9</v>
      </c>
      <c r="EI319" t="n">
        <v>441</v>
      </c>
      <c r="EP319" t="n">
        <v>31.5</v>
      </c>
    </row>
    <row r="320">
      <c r="A320" t="inlineStr">
        <is>
          <t>Chadi Riad</t>
        </is>
      </c>
      <c r="B320" t="inlineStr">
        <is>
          <t>CRY</t>
        </is>
      </c>
      <c r="C320" t="inlineStr">
        <is>
          <t>DEF</t>
        </is>
      </c>
      <c r="D320" t="inlineStr">
        <is>
          <t>DEF</t>
        </is>
      </c>
      <c r="E320" t="n">
        <v>4.5</v>
      </c>
      <c r="F320" t="b">
        <v>1</v>
      </c>
      <c r="G320" t="b">
        <v>1</v>
      </c>
      <c r="H320" t="n">
        <v>23.2</v>
      </c>
      <c r="I320" t="inlineStr">
        <is>
          <t>a</t>
        </is>
      </c>
      <c r="L320" t="inlineStr">
        <is>
          <t>p515621</t>
        </is>
      </c>
      <c r="M320" t="n">
        <v>206</v>
      </c>
      <c r="Q320" t="n">
        <v>550</v>
      </c>
      <c r="R320" t="n">
        <v>9</v>
      </c>
      <c r="S320" t="n">
        <v>6</v>
      </c>
      <c r="T320" t="n">
        <v>6.111</v>
      </c>
      <c r="U320" t="n">
        <v>61.1</v>
      </c>
      <c r="V320" t="n">
        <v>20</v>
      </c>
      <c r="W320" t="n">
        <v>3.273</v>
      </c>
      <c r="X320" t="n">
        <v>0</v>
      </c>
      <c r="Y320" t="n">
        <v>1</v>
      </c>
      <c r="Z320" t="n">
        <v>1</v>
      </c>
      <c r="AA320" t="n">
        <v>1</v>
      </c>
      <c r="AB320" t="n">
        <v>8</v>
      </c>
      <c r="AC320" t="n">
        <v>0</v>
      </c>
      <c r="AD320" t="n">
        <v>0</v>
      </c>
      <c r="AE320" t="n">
        <v>0</v>
      </c>
      <c r="AF320" t="n">
        <v>84</v>
      </c>
      <c r="AG320" t="n">
        <v>77</v>
      </c>
      <c r="AH320" t="n">
        <v>-7</v>
      </c>
      <c r="AI320" t="n">
        <v>20</v>
      </c>
      <c r="AJ320" t="n">
        <v>0</v>
      </c>
      <c r="AK320" t="n">
        <v>0</v>
      </c>
      <c r="AL320" t="n">
        <v>45</v>
      </c>
      <c r="AM320" t="n">
        <v>7.364</v>
      </c>
      <c r="AN320" t="n">
        <v>1</v>
      </c>
      <c r="AO320" t="n">
        <v>2</v>
      </c>
      <c r="AP320" t="n">
        <v>0.167</v>
      </c>
      <c r="AQ320" t="n">
        <v>0.167</v>
      </c>
      <c r="AR320" t="n">
        <v>0.167</v>
      </c>
      <c r="AS320" t="n">
        <v>0.158</v>
      </c>
      <c r="AT320" t="n">
        <v>0.667</v>
      </c>
      <c r="AU320" t="n">
        <v>6</v>
      </c>
      <c r="AV320" t="n">
        <v>0</v>
      </c>
      <c r="AW320" t="n">
        <v>1.18</v>
      </c>
      <c r="AX320" t="n">
        <v>5</v>
      </c>
      <c r="AY320" t="n">
        <v>0.33</v>
      </c>
      <c r="AZ320" t="n">
        <v>0.28</v>
      </c>
      <c r="BA320" t="n">
        <v>0.305</v>
      </c>
      <c r="BB320" t="n">
        <v>0.28</v>
      </c>
      <c r="BC320" t="n">
        <v>0.054</v>
      </c>
      <c r="BD320" t="n">
        <v>0.046</v>
      </c>
      <c r="BE320" t="n">
        <v>0.05</v>
      </c>
      <c r="BF320" t="n">
        <v>0.2</v>
      </c>
      <c r="BG320" t="n">
        <v>0.033</v>
      </c>
      <c r="BH320" t="n">
        <v>0.984</v>
      </c>
      <c r="BI320" t="n">
        <v>0.33</v>
      </c>
      <c r="BJ320" t="n">
        <v>0.325</v>
      </c>
      <c r="BK320" t="n">
        <v>0.053</v>
      </c>
      <c r="BL320" t="n">
        <v>-0.305</v>
      </c>
      <c r="BM320" t="n">
        <v>-0.13</v>
      </c>
      <c r="BN320" t="n">
        <v>-0.2</v>
      </c>
      <c r="BO320" t="n">
        <v>0.05</v>
      </c>
      <c r="BP320" t="n">
        <v>4</v>
      </c>
      <c r="BQ320" t="n">
        <v>2</v>
      </c>
      <c r="BR320" t="n">
        <v>2</v>
      </c>
      <c r="BS320" t="n">
        <v>10</v>
      </c>
      <c r="BT320" t="n">
        <v>1.636</v>
      </c>
      <c r="BW320" t="n">
        <v>0.13</v>
      </c>
      <c r="BX320" t="n">
        <v>0.428</v>
      </c>
      <c r="BY320" t="n">
        <v>0.279</v>
      </c>
      <c r="BZ320" t="n">
        <v>0.046</v>
      </c>
      <c r="CA320" t="n">
        <v>0.584</v>
      </c>
      <c r="CB320" t="n">
        <v>0.096</v>
      </c>
      <c r="CC320" t="n">
        <v>1</v>
      </c>
      <c r="CD320" t="n">
        <v>1</v>
      </c>
      <c r="CE320" t="n">
        <v>1</v>
      </c>
      <c r="CF320" t="n">
        <v>0</v>
      </c>
      <c r="CI320" t="n">
        <v>1.621</v>
      </c>
      <c r="CJ320" t="n">
        <v>1.528</v>
      </c>
      <c r="CK320" t="n">
        <v>37</v>
      </c>
      <c r="CL320" t="n">
        <v>32</v>
      </c>
      <c r="CM320" t="n">
        <v>8</v>
      </c>
      <c r="CN320" t="n">
        <v>4</v>
      </c>
      <c r="CO320" t="n">
        <v>6</v>
      </c>
      <c r="CP320" t="n">
        <v>28</v>
      </c>
      <c r="CQ320" t="n">
        <v>3</v>
      </c>
      <c r="CR320" t="n">
        <v>25</v>
      </c>
      <c r="CS320" t="n">
        <v>13</v>
      </c>
      <c r="CV320" t="n">
        <v>1</v>
      </c>
      <c r="CW320" t="n">
        <v>9.09</v>
      </c>
      <c r="CX320" t="n">
        <v>1.487</v>
      </c>
      <c r="CY320" t="n">
        <v>0</v>
      </c>
      <c r="DB320" t="n">
        <v>0</v>
      </c>
      <c r="DF320" t="n">
        <v>2</v>
      </c>
      <c r="DG320" t="n">
        <v>0</v>
      </c>
      <c r="DH320" t="n">
        <v>5</v>
      </c>
      <c r="DI320" t="n">
        <v>3</v>
      </c>
      <c r="DL320" t="n">
        <v>1</v>
      </c>
      <c r="DM320" t="n">
        <v>3</v>
      </c>
      <c r="DO320" t="n">
        <v>0.1</v>
      </c>
      <c r="DP320" t="n">
        <v>17.4</v>
      </c>
      <c r="DQ320" t="n">
        <v>8.699999999999999</v>
      </c>
      <c r="DR320" t="n">
        <v>17.4</v>
      </c>
      <c r="DS320" t="n">
        <v>0</v>
      </c>
      <c r="DT320" t="n">
        <v>356</v>
      </c>
      <c r="DU320" t="n">
        <v>9.359999999999999</v>
      </c>
      <c r="DV320" t="inlineStr">
        <is>
          <t>flat</t>
        </is>
      </c>
      <c r="DW320" t="n">
        <v>110.38</v>
      </c>
      <c r="DY320" t="n">
        <v>115.08</v>
      </c>
      <c r="DZ320" t="n">
        <v>4.7</v>
      </c>
      <c r="EA320" t="n">
        <v>3</v>
      </c>
      <c r="EB320" t="n">
        <v>13.21</v>
      </c>
      <c r="EC320" t="n">
        <v>81.59999999999999</v>
      </c>
      <c r="ED320" t="n">
        <v>118.5</v>
      </c>
      <c r="EE320" t="n">
        <v>7</v>
      </c>
      <c r="EF320" t="b">
        <v>0</v>
      </c>
      <c r="EG320" t="n">
        <v>0.2</v>
      </c>
      <c r="EH320" t="n">
        <v>30</v>
      </c>
      <c r="EI320" t="n">
        <v>440</v>
      </c>
      <c r="EJ320" t="n">
        <v>137.5</v>
      </c>
      <c r="EK320" t="n">
        <v>55</v>
      </c>
      <c r="EL320" t="n">
        <v>550</v>
      </c>
      <c r="EM320" t="n">
        <v>1803.4</v>
      </c>
      <c r="EN320" t="n">
        <v>1972.4</v>
      </c>
      <c r="EO320" t="n">
        <v>942.1</v>
      </c>
      <c r="EP320" t="n">
        <v>27.5</v>
      </c>
    </row>
    <row r="321">
      <c r="A321" t="inlineStr">
        <is>
          <t>Jorrel Hato</t>
        </is>
      </c>
      <c r="B321" t="inlineStr">
        <is>
          <t>CHE</t>
        </is>
      </c>
      <c r="C321" t="inlineStr">
        <is>
          <t>DEF</t>
        </is>
      </c>
      <c r="D321" t="inlineStr">
        <is>
          <t>DEF</t>
        </is>
      </c>
      <c r="E321" t="n">
        <v>4.5</v>
      </c>
      <c r="F321" t="b">
        <v>1</v>
      </c>
      <c r="G321" t="b">
        <v>1</v>
      </c>
      <c r="H321" t="n">
        <v>20.5</v>
      </c>
      <c r="I321" t="inlineStr">
        <is>
          <t>a</t>
        </is>
      </c>
      <c r="L321" t="inlineStr">
        <is>
          <t>p551210</t>
        </is>
      </c>
      <c r="M321" t="n">
        <v>148</v>
      </c>
      <c r="Q321" t="n">
        <v>1139</v>
      </c>
      <c r="R321" t="n">
        <v>22</v>
      </c>
      <c r="S321" t="n">
        <v>12</v>
      </c>
      <c r="T321" t="n">
        <v>12.656</v>
      </c>
      <c r="U321" t="n">
        <v>51.8</v>
      </c>
      <c r="V321" t="n">
        <v>19</v>
      </c>
      <c r="W321" t="n">
        <v>1.501</v>
      </c>
      <c r="X321" t="n">
        <v>0</v>
      </c>
      <c r="Y321" t="n">
        <v>0</v>
      </c>
      <c r="AA321" t="n">
        <v>0</v>
      </c>
      <c r="AB321" t="n">
        <v>27</v>
      </c>
      <c r="AC321" t="n">
        <v>0</v>
      </c>
      <c r="AD321" t="n">
        <v>0</v>
      </c>
      <c r="AE321" t="n">
        <v>0</v>
      </c>
      <c r="AF321" t="n">
        <v>93</v>
      </c>
      <c r="AG321" t="n">
        <v>80</v>
      </c>
      <c r="AH321" t="n">
        <v>-13</v>
      </c>
      <c r="AI321" t="n">
        <v>19</v>
      </c>
      <c r="AJ321" t="n">
        <v>0</v>
      </c>
      <c r="AK321" t="n">
        <v>0</v>
      </c>
      <c r="AL321" t="n">
        <v>99</v>
      </c>
      <c r="AM321" t="n">
        <v>7.823</v>
      </c>
      <c r="AN321" t="n">
        <v>1</v>
      </c>
      <c r="AO321" t="n">
        <v>2</v>
      </c>
      <c r="AP321" t="n">
        <v>0.083</v>
      </c>
      <c r="AQ321" t="n">
        <v>0.083</v>
      </c>
      <c r="AR321" t="n">
        <v>0</v>
      </c>
      <c r="AS321" t="n">
        <v>0.316</v>
      </c>
      <c r="AT321" t="n">
        <v>0.455</v>
      </c>
      <c r="AU321" t="n">
        <v>21</v>
      </c>
      <c r="AV321" t="n">
        <v>0</v>
      </c>
      <c r="AW321" t="n">
        <v>0.73</v>
      </c>
      <c r="AX321" t="n">
        <v>3</v>
      </c>
      <c r="AY321" t="n">
        <v>0.3</v>
      </c>
      <c r="AZ321" t="n">
        <v>0.338</v>
      </c>
      <c r="BA321" t="n">
        <v>0.319</v>
      </c>
      <c r="BB321" t="n">
        <v>0.338</v>
      </c>
      <c r="BC321" t="n">
        <v>0.024</v>
      </c>
      <c r="BD321" t="n">
        <v>0.027</v>
      </c>
      <c r="BE321" t="n">
        <v>0.025</v>
      </c>
      <c r="BH321" t="n">
        <v>0.964</v>
      </c>
      <c r="BI321" t="n">
        <v>0.3</v>
      </c>
      <c r="BJ321" t="n">
        <v>0.289</v>
      </c>
      <c r="BK321" t="n">
        <v>0.023</v>
      </c>
      <c r="BL321" t="n">
        <v>-0.319</v>
      </c>
      <c r="BO321" t="n">
        <v>-0.038</v>
      </c>
      <c r="BP321" t="n">
        <v>4</v>
      </c>
      <c r="BS321" t="n">
        <v>14</v>
      </c>
      <c r="BT321" t="n">
        <v>1.106</v>
      </c>
      <c r="BW321" t="n">
        <v>0.61</v>
      </c>
      <c r="BX321" t="n">
        <v>0.71</v>
      </c>
      <c r="BY321" t="n">
        <v>0.66</v>
      </c>
      <c r="BZ321" t="n">
        <v>0.052</v>
      </c>
      <c r="CA321" t="n">
        <v>0.979</v>
      </c>
      <c r="CB321" t="n">
        <v>0.077</v>
      </c>
      <c r="CC321" t="n">
        <v>8</v>
      </c>
      <c r="CD321" t="n">
        <v>1</v>
      </c>
      <c r="CE321" t="n">
        <v>8</v>
      </c>
      <c r="CF321" t="n">
        <v>4</v>
      </c>
      <c r="CG321" t="n">
        <v>1</v>
      </c>
      <c r="CI321" t="n">
        <v>6.174</v>
      </c>
      <c r="CJ321" t="n">
        <v>5.819</v>
      </c>
      <c r="CK321" t="n">
        <v>63</v>
      </c>
      <c r="CL321" t="n">
        <v>50</v>
      </c>
      <c r="CM321" t="n">
        <v>36</v>
      </c>
      <c r="CN321" t="n">
        <v>22</v>
      </c>
      <c r="CO321" t="n">
        <v>18</v>
      </c>
      <c r="CP321" t="n">
        <v>39</v>
      </c>
      <c r="CQ321" t="n">
        <v>7</v>
      </c>
      <c r="CR321" t="n">
        <v>61</v>
      </c>
      <c r="CS321" t="n">
        <v>16</v>
      </c>
      <c r="CT321" t="n">
        <v>0.3</v>
      </c>
      <c r="CV321" t="n">
        <v>3</v>
      </c>
      <c r="CW321" t="n">
        <v>18.5</v>
      </c>
      <c r="CX321" t="n">
        <v>1.462</v>
      </c>
      <c r="CY321" t="n">
        <v>0</v>
      </c>
      <c r="DB321" t="n">
        <v>0</v>
      </c>
      <c r="DF321" t="n">
        <v>7</v>
      </c>
      <c r="DG321" t="n">
        <v>0</v>
      </c>
      <c r="DH321" t="n">
        <v>15</v>
      </c>
      <c r="DI321" t="n">
        <v>2</v>
      </c>
      <c r="DL321" t="n">
        <v>7</v>
      </c>
      <c r="DM321" t="n">
        <v>4</v>
      </c>
      <c r="DO321" t="n">
        <v>0.9</v>
      </c>
      <c r="DP321" t="n">
        <v>45.82</v>
      </c>
      <c r="DQ321" t="n">
        <v>23.13</v>
      </c>
      <c r="DR321" t="n">
        <v>46.26</v>
      </c>
      <c r="DS321" t="n">
        <v>-0.44</v>
      </c>
      <c r="DT321" t="n">
        <v>1151</v>
      </c>
      <c r="DU321" t="n">
        <v>30.3</v>
      </c>
      <c r="DV321" t="inlineStr">
        <is>
          <t>flat</t>
        </is>
      </c>
      <c r="DW321" t="n">
        <v>93.03</v>
      </c>
      <c r="DX321" t="n">
        <v>87.89</v>
      </c>
      <c r="DY321" t="n">
        <v>94.41</v>
      </c>
      <c r="DZ321" t="n">
        <v>1.37</v>
      </c>
      <c r="EA321" t="n">
        <v>82</v>
      </c>
      <c r="EB321" t="n">
        <v>19.39</v>
      </c>
      <c r="EC321" t="n">
        <v>18.4</v>
      </c>
      <c r="ED321" t="n">
        <v>120</v>
      </c>
      <c r="EE321" t="n">
        <v>152</v>
      </c>
      <c r="EF321" t="b">
        <v>1</v>
      </c>
      <c r="EG321" t="n">
        <v>3.5</v>
      </c>
      <c r="EH321" t="n">
        <v>10.1</v>
      </c>
      <c r="EI321" t="n">
        <v>442</v>
      </c>
      <c r="EJ321" t="n">
        <v>284.8</v>
      </c>
      <c r="EK321" t="n">
        <v>81.40000000000001</v>
      </c>
      <c r="EL321" t="n">
        <v>142.4</v>
      </c>
      <c r="EM321" t="n">
        <v>3568.8</v>
      </c>
      <c r="EN321" t="n">
        <v>1726.3</v>
      </c>
      <c r="EO321" t="n">
        <v>1163.5</v>
      </c>
      <c r="EP321" t="n">
        <v>59.9</v>
      </c>
    </row>
    <row r="322">
      <c r="A322" t="inlineStr">
        <is>
          <t>Rico Lewis</t>
        </is>
      </c>
      <c r="B322" t="inlineStr">
        <is>
          <t>MCI</t>
        </is>
      </c>
      <c r="C322" t="inlineStr">
        <is>
          <t>DEF</t>
        </is>
      </c>
      <c r="D322" t="inlineStr">
        <is>
          <t>DEF</t>
        </is>
      </c>
      <c r="E322" t="n">
        <v>4.5</v>
      </c>
      <c r="F322" t="b">
        <v>1</v>
      </c>
      <c r="G322" t="b">
        <v>1</v>
      </c>
      <c r="H322" t="n">
        <v>21.7</v>
      </c>
      <c r="I322" t="inlineStr">
        <is>
          <t>a</t>
        </is>
      </c>
      <c r="L322" t="inlineStr">
        <is>
          <t>p477064</t>
        </is>
      </c>
      <c r="M322" t="n">
        <v>395</v>
      </c>
      <c r="Q322" t="n">
        <v>401</v>
      </c>
      <c r="R322" t="n">
        <v>11</v>
      </c>
      <c r="S322" t="n">
        <v>4</v>
      </c>
      <c r="T322" t="n">
        <v>4.456</v>
      </c>
      <c r="U322" t="n">
        <v>36.5</v>
      </c>
      <c r="V322" t="n">
        <v>19</v>
      </c>
      <c r="W322" t="n">
        <v>4.264</v>
      </c>
      <c r="X322" t="n">
        <v>0</v>
      </c>
      <c r="Y322" t="n">
        <v>1</v>
      </c>
      <c r="Z322" t="n">
        <v>1</v>
      </c>
      <c r="AA322" t="n">
        <v>1</v>
      </c>
      <c r="AB322" t="n">
        <v>7</v>
      </c>
      <c r="AC322" t="n">
        <v>2</v>
      </c>
      <c r="AD322" t="n">
        <v>2</v>
      </c>
      <c r="AE322" t="n">
        <v>0</v>
      </c>
      <c r="AF322" t="n">
        <v>72</v>
      </c>
      <c r="AG322" t="n">
        <v>69</v>
      </c>
      <c r="AH322" t="n">
        <v>-3</v>
      </c>
      <c r="AI322" t="n">
        <v>19</v>
      </c>
      <c r="AJ322" t="n">
        <v>0.105</v>
      </c>
      <c r="AK322" t="n">
        <v>0.118</v>
      </c>
      <c r="AL322" t="n">
        <v>19</v>
      </c>
      <c r="AM322" t="n">
        <v>4.264</v>
      </c>
      <c r="AN322" t="n">
        <v>0</v>
      </c>
      <c r="AO322" t="n">
        <v>0</v>
      </c>
      <c r="AP322" t="n">
        <v>0</v>
      </c>
      <c r="AQ322" t="n">
        <v>0</v>
      </c>
      <c r="AR322" t="n">
        <v>0</v>
      </c>
      <c r="AS322" t="n">
        <v>0.105</v>
      </c>
      <c r="AT322" t="n">
        <v>0.364</v>
      </c>
      <c r="AU322" t="n">
        <v>10</v>
      </c>
      <c r="AV322" t="n">
        <v>1</v>
      </c>
      <c r="AW322" t="n">
        <v>1.8</v>
      </c>
      <c r="AX322" t="n">
        <v>11</v>
      </c>
      <c r="AY322" t="n">
        <v>0.19</v>
      </c>
      <c r="AZ322" t="n">
        <v>0.137</v>
      </c>
      <c r="BA322" t="n">
        <v>0.163</v>
      </c>
      <c r="BB322" t="n">
        <v>0.137</v>
      </c>
      <c r="BC322" t="n">
        <v>0.043</v>
      </c>
      <c r="BD322" t="n">
        <v>0.031</v>
      </c>
      <c r="BE322" t="n">
        <v>0.037</v>
      </c>
      <c r="BH322" t="n">
        <v>1.082</v>
      </c>
      <c r="BI322" t="n">
        <v>2.35</v>
      </c>
      <c r="BJ322" t="n">
        <v>0.206</v>
      </c>
      <c r="BK322" t="n">
        <v>0.046</v>
      </c>
      <c r="BL322" t="n">
        <v>-0.163</v>
      </c>
      <c r="BO322" t="n">
        <v>0.053</v>
      </c>
      <c r="BP322" t="n">
        <v>3</v>
      </c>
      <c r="BS322" t="n">
        <v>25</v>
      </c>
      <c r="BT322" t="n">
        <v>5.611</v>
      </c>
      <c r="BW322" t="n">
        <v>1.39</v>
      </c>
      <c r="BX322" t="n">
        <v>1.555</v>
      </c>
      <c r="BY322" t="n">
        <v>1.472</v>
      </c>
      <c r="BZ322" t="n">
        <v>0.33</v>
      </c>
      <c r="CA322" t="n">
        <v>1.636</v>
      </c>
      <c r="CB322" t="n">
        <v>0.367</v>
      </c>
      <c r="CC322" t="n">
        <v>7</v>
      </c>
      <c r="CD322" t="n">
        <v>2</v>
      </c>
      <c r="CE322" t="n">
        <v>7</v>
      </c>
      <c r="CG322" t="n">
        <v>2</v>
      </c>
      <c r="CI322" t="n">
        <v>2.975</v>
      </c>
      <c r="CJ322" t="n">
        <v>1.448</v>
      </c>
      <c r="CK322" t="n">
        <v>14</v>
      </c>
      <c r="CL322" t="n">
        <v>15</v>
      </c>
      <c r="CM322" t="n">
        <v>5</v>
      </c>
      <c r="CN322" t="n">
        <v>3</v>
      </c>
      <c r="CO322" t="n">
        <v>7</v>
      </c>
      <c r="CP322" t="n">
        <v>6</v>
      </c>
      <c r="CQ322" t="n">
        <v>1</v>
      </c>
      <c r="CR322" t="n">
        <v>17</v>
      </c>
      <c r="CS322" t="n">
        <v>1</v>
      </c>
      <c r="CW322" t="n">
        <v>6.81</v>
      </c>
      <c r="CX322" t="n">
        <v>1.528</v>
      </c>
      <c r="CY322" t="n">
        <v>0</v>
      </c>
      <c r="DB322" t="n">
        <v>0</v>
      </c>
      <c r="DF322" t="n">
        <v>2</v>
      </c>
      <c r="DG322" t="n">
        <v>0</v>
      </c>
      <c r="DH322" t="n">
        <v>5</v>
      </c>
      <c r="DI322" t="n">
        <v>9</v>
      </c>
      <c r="DL322" t="n">
        <v>2</v>
      </c>
      <c r="DM322" t="n">
        <v>8</v>
      </c>
      <c r="DO322" t="n">
        <v>0.2</v>
      </c>
      <c r="DP322" t="n">
        <v>9.380000000000001</v>
      </c>
      <c r="DQ322" t="n">
        <v>4.76</v>
      </c>
      <c r="DR322" t="n">
        <v>9.52</v>
      </c>
      <c r="DS322" t="n">
        <v>-0.14</v>
      </c>
      <c r="DT322" t="n">
        <v>50</v>
      </c>
      <c r="DU322" t="n">
        <v>1.32</v>
      </c>
      <c r="DV322" t="inlineStr">
        <is>
          <t>flat</t>
        </is>
      </c>
      <c r="DW322" t="n">
        <v>93.64</v>
      </c>
      <c r="DX322" t="n">
        <v>95.23</v>
      </c>
      <c r="DY322" t="n">
        <v>95.44</v>
      </c>
      <c r="DZ322" t="n">
        <v>1.8</v>
      </c>
      <c r="EA322" t="n">
        <v>45</v>
      </c>
      <c r="EB322" t="n">
        <v>17.36</v>
      </c>
      <c r="EC322" t="n">
        <v>45.09</v>
      </c>
      <c r="ED322" t="n">
        <v>120</v>
      </c>
      <c r="EE322" t="n">
        <v>67</v>
      </c>
      <c r="EF322" t="b">
        <v>1</v>
      </c>
      <c r="EG322" t="n">
        <v>1.6</v>
      </c>
      <c r="EH322" t="n">
        <v>13</v>
      </c>
      <c r="EI322" t="n">
        <v>443</v>
      </c>
      <c r="EJ322" t="n">
        <v>133.7</v>
      </c>
      <c r="EK322" t="n">
        <v>16</v>
      </c>
      <c r="EL322" t="n">
        <v>57.3</v>
      </c>
      <c r="EM322" t="n">
        <v>2455.8</v>
      </c>
      <c r="EN322" t="n">
        <v>272.4</v>
      </c>
      <c r="EO322" t="n">
        <v>245.2</v>
      </c>
      <c r="EP322" t="n">
        <v>21.1</v>
      </c>
    </row>
    <row r="323">
      <c r="A323" t="inlineStr">
        <is>
          <t>Veljko Milosavljevic</t>
        </is>
      </c>
      <c r="B323" t="inlineStr">
        <is>
          <t>BOU</t>
        </is>
      </c>
      <c r="C323" t="inlineStr">
        <is>
          <t>DEF</t>
        </is>
      </c>
      <c r="D323" t="inlineStr">
        <is>
          <t>DEF</t>
        </is>
      </c>
      <c r="E323" t="n">
        <v>5</v>
      </c>
      <c r="F323" t="b">
        <v>1</v>
      </c>
      <c r="G323" t="b">
        <v>1</v>
      </c>
      <c r="H323" t="n">
        <v>19.1</v>
      </c>
      <c r="I323" t="inlineStr">
        <is>
          <t>i</t>
        </is>
      </c>
      <c r="J323" t="inlineStr">
        <is>
          <t>Unspecified injury - Unknown return date</t>
        </is>
      </c>
      <c r="K323" t="n">
        <v>0</v>
      </c>
      <c r="L323" t="inlineStr">
        <is>
          <t>p620487</t>
        </is>
      </c>
      <c r="M323" t="n">
        <v>63</v>
      </c>
      <c r="Q323" t="n">
        <v>367</v>
      </c>
      <c r="R323" t="n">
        <v>7</v>
      </c>
      <c r="S323" t="n">
        <v>4</v>
      </c>
      <c r="T323" t="n">
        <v>4.078</v>
      </c>
      <c r="U323" t="n">
        <v>52.4</v>
      </c>
      <c r="V323" t="n">
        <v>19</v>
      </c>
      <c r="W323" t="n">
        <v>4.659</v>
      </c>
      <c r="X323" t="n">
        <v>0</v>
      </c>
      <c r="Y323" t="n">
        <v>0</v>
      </c>
      <c r="AA323" t="n">
        <v>1</v>
      </c>
      <c r="AB323" t="n">
        <v>6</v>
      </c>
      <c r="AC323" t="n">
        <v>0</v>
      </c>
      <c r="AD323" t="n">
        <v>0</v>
      </c>
      <c r="AE323" t="n">
        <v>0</v>
      </c>
      <c r="AF323" t="n">
        <v>63</v>
      </c>
      <c r="AG323" t="n">
        <v>56</v>
      </c>
      <c r="AH323" t="n">
        <v>-7</v>
      </c>
      <c r="AI323" t="n">
        <v>19</v>
      </c>
      <c r="AJ323" t="n">
        <v>0</v>
      </c>
      <c r="AK323" t="n">
        <v>0</v>
      </c>
      <c r="AL323" t="n">
        <v>39</v>
      </c>
      <c r="AM323" t="n">
        <v>9.564</v>
      </c>
      <c r="AN323" t="n">
        <v>3</v>
      </c>
      <c r="AO323" t="n">
        <v>6</v>
      </c>
      <c r="AP323" t="n">
        <v>0.75</v>
      </c>
      <c r="AQ323" t="n">
        <v>0.75</v>
      </c>
      <c r="AR323" t="n">
        <v>0.25</v>
      </c>
      <c r="AS323" t="n">
        <v>0.105</v>
      </c>
      <c r="AT323" t="n">
        <v>0.571</v>
      </c>
      <c r="AU323" t="n">
        <v>4</v>
      </c>
      <c r="AV323" t="n">
        <v>0</v>
      </c>
      <c r="AW323" t="n">
        <v>1.38</v>
      </c>
      <c r="AX323" t="n">
        <v>6</v>
      </c>
      <c r="AY323" t="n">
        <v>0.15</v>
      </c>
      <c r="AZ323" t="n">
        <v>0.357</v>
      </c>
      <c r="BA323" t="n">
        <v>0.254</v>
      </c>
      <c r="BB323" t="n">
        <v>0.357</v>
      </c>
      <c r="BC323" t="n">
        <v>0.037</v>
      </c>
      <c r="BD323" t="n">
        <v>0.08799999999999999</v>
      </c>
      <c r="BE323" t="n">
        <v>0.062</v>
      </c>
      <c r="BH323" t="n">
        <v>0.982</v>
      </c>
      <c r="BI323" t="n">
        <v>0.15</v>
      </c>
      <c r="BJ323" t="n">
        <v>0.147</v>
      </c>
      <c r="BK323" t="n">
        <v>0.036</v>
      </c>
      <c r="BL323" t="n">
        <v>-0.254</v>
      </c>
      <c r="BO323" t="n">
        <v>-0.207</v>
      </c>
      <c r="BP323" t="n">
        <v>1</v>
      </c>
      <c r="BR323" t="n">
        <v>1</v>
      </c>
      <c r="BS323" t="n">
        <v>4</v>
      </c>
      <c r="BT323" t="n">
        <v>0.981</v>
      </c>
      <c r="BW323" t="n">
        <v>0.19</v>
      </c>
      <c r="BX323" t="n">
        <v>0.067</v>
      </c>
      <c r="BY323" t="n">
        <v>0.129</v>
      </c>
      <c r="BZ323" t="n">
        <v>0.032</v>
      </c>
      <c r="CA323" t="n">
        <v>0.382</v>
      </c>
      <c r="CB323" t="n">
        <v>0.094</v>
      </c>
      <c r="CC323" t="n">
        <v>1</v>
      </c>
      <c r="CE323" t="n">
        <v>1</v>
      </c>
      <c r="CI323" t="n">
        <v>0.458</v>
      </c>
      <c r="CJ323" t="n">
        <v>0.391</v>
      </c>
      <c r="CK323" t="n">
        <v>34</v>
      </c>
      <c r="CL323" t="n">
        <v>13</v>
      </c>
      <c r="CM323" t="n">
        <v>5</v>
      </c>
      <c r="CN323" t="n">
        <v>4</v>
      </c>
      <c r="CO323" t="n">
        <v>4</v>
      </c>
      <c r="CP323" t="n">
        <v>25</v>
      </c>
      <c r="CQ323" t="n">
        <v>5</v>
      </c>
      <c r="CR323" t="n">
        <v>17</v>
      </c>
      <c r="CS323" t="n">
        <v>11</v>
      </c>
      <c r="CW323" t="n">
        <v>4.42</v>
      </c>
      <c r="CX323" t="n">
        <v>1.084</v>
      </c>
      <c r="CY323" t="n">
        <v>0</v>
      </c>
      <c r="DB323" t="n">
        <v>0</v>
      </c>
      <c r="DF323" t="n">
        <v>0</v>
      </c>
      <c r="DG323" t="n">
        <v>0</v>
      </c>
      <c r="DL323" t="n">
        <v>1</v>
      </c>
      <c r="DM323" t="n">
        <v>1</v>
      </c>
      <c r="DO323" t="n">
        <v>0</v>
      </c>
      <c r="DP323" t="n">
        <v>11.32</v>
      </c>
      <c r="DQ323" t="n">
        <v>5.66</v>
      </c>
      <c r="DR323" t="n">
        <v>11.32</v>
      </c>
      <c r="DS323" t="n">
        <v>0</v>
      </c>
      <c r="DT323" t="n">
        <v>101</v>
      </c>
      <c r="DU323" t="n">
        <v>2.65</v>
      </c>
      <c r="DV323" t="inlineStr">
        <is>
          <t>flat</t>
        </is>
      </c>
      <c r="DW323" t="n">
        <v>110.08</v>
      </c>
      <c r="DX323" t="n">
        <v>107.33</v>
      </c>
      <c r="DY323" t="n">
        <v>111.25</v>
      </c>
      <c r="DZ323" t="n">
        <v>1.17</v>
      </c>
      <c r="EA323" t="n">
        <v>2</v>
      </c>
      <c r="EB323" t="n">
        <v>6.18</v>
      </c>
      <c r="EC323" t="n">
        <v>98</v>
      </c>
      <c r="ED323" t="n">
        <v>116</v>
      </c>
      <c r="EE323" t="n">
        <v>6</v>
      </c>
      <c r="EF323" t="b">
        <v>0</v>
      </c>
      <c r="EG323" t="n">
        <v>0.3</v>
      </c>
      <c r="EH323" t="n">
        <v>60</v>
      </c>
      <c r="EI323" t="n">
        <v>305</v>
      </c>
      <c r="EJ323" t="n">
        <v>367</v>
      </c>
      <c r="EK323" t="n">
        <v>91.8</v>
      </c>
      <c r="EL323" t="n">
        <v>367</v>
      </c>
      <c r="EM323" t="n">
        <v>1446.5</v>
      </c>
      <c r="EN323" t="n">
        <v>2855.9</v>
      </c>
      <c r="EO323" t="n">
        <v>960.2</v>
      </c>
      <c r="EP323" t="n">
        <v>19.3</v>
      </c>
    </row>
    <row r="324">
      <c r="A324" t="inlineStr">
        <is>
          <t>Tyler Dibling</t>
        </is>
      </c>
      <c r="B324" t="inlineStr">
        <is>
          <t>EVE</t>
        </is>
      </c>
      <c r="C324" t="inlineStr">
        <is>
          <t>MID</t>
        </is>
      </c>
      <c r="D324" t="inlineStr">
        <is>
          <t>MID</t>
        </is>
      </c>
      <c r="E324" t="n">
        <v>5.5</v>
      </c>
      <c r="F324" t="b">
        <v>1</v>
      </c>
      <c r="G324" t="b">
        <v>1</v>
      </c>
      <c r="H324" t="n">
        <v>20.5</v>
      </c>
      <c r="I324" t="inlineStr">
        <is>
          <t>a</t>
        </is>
      </c>
      <c r="L324" t="inlineStr">
        <is>
          <t>p496661</t>
        </is>
      </c>
      <c r="M324" t="n">
        <v>245</v>
      </c>
      <c r="Q324" t="n">
        <v>349</v>
      </c>
      <c r="R324" t="n">
        <v>14</v>
      </c>
      <c r="S324" t="n">
        <v>4</v>
      </c>
      <c r="T324" t="n">
        <v>3.878</v>
      </c>
      <c r="U324" t="n">
        <v>24.9</v>
      </c>
      <c r="V324" t="n">
        <v>18</v>
      </c>
      <c r="W324" t="n">
        <v>4.642</v>
      </c>
      <c r="X324" t="n">
        <v>0</v>
      </c>
      <c r="Y324" t="n">
        <v>0</v>
      </c>
      <c r="AA324" t="n">
        <v>2</v>
      </c>
      <c r="AB324" t="n">
        <v>2</v>
      </c>
      <c r="AC324" t="n">
        <v>0</v>
      </c>
      <c r="AD324" t="n">
        <v>0</v>
      </c>
      <c r="AE324" t="n">
        <v>0</v>
      </c>
      <c r="AF324" t="n">
        <v>49</v>
      </c>
      <c r="AG324" t="n">
        <v>47</v>
      </c>
      <c r="AH324" t="n">
        <v>-2</v>
      </c>
      <c r="AI324" t="n">
        <v>18</v>
      </c>
      <c r="AJ324" t="n">
        <v>0</v>
      </c>
      <c r="AK324" t="n">
        <v>0</v>
      </c>
      <c r="AL324" t="n">
        <v>40</v>
      </c>
      <c r="AM324" t="n">
        <v>10.315</v>
      </c>
      <c r="AN324" t="n">
        <v>1</v>
      </c>
      <c r="AO324" t="n">
        <v>2</v>
      </c>
      <c r="AP324" t="n">
        <v>0.25</v>
      </c>
      <c r="AQ324" t="n">
        <v>0.25</v>
      </c>
      <c r="AR324" t="n">
        <v>0.25</v>
      </c>
      <c r="AS324" t="n">
        <v>0.105</v>
      </c>
      <c r="AT324" t="n">
        <v>0.143</v>
      </c>
      <c r="AU324" t="n">
        <v>13</v>
      </c>
      <c r="AV324" t="n">
        <v>0</v>
      </c>
      <c r="AW324" t="n">
        <v>0.9399999999999999</v>
      </c>
      <c r="AX324" t="n">
        <v>5</v>
      </c>
      <c r="AY324" t="n">
        <v>0.2</v>
      </c>
      <c r="AZ324" t="n">
        <v>0.138</v>
      </c>
      <c r="BA324" t="n">
        <v>0.169</v>
      </c>
      <c r="BB324" t="n">
        <v>0.138</v>
      </c>
      <c r="BC324" t="n">
        <v>0.052</v>
      </c>
      <c r="BD324" t="n">
        <v>0.036</v>
      </c>
      <c r="BE324" t="n">
        <v>0.044</v>
      </c>
      <c r="BH324" t="n">
        <v>0.972</v>
      </c>
      <c r="BI324" t="n">
        <v>2.8</v>
      </c>
      <c r="BJ324" t="n">
        <v>0.194</v>
      </c>
      <c r="BK324" t="n">
        <v>0.05</v>
      </c>
      <c r="BL324" t="n">
        <v>-0.169</v>
      </c>
      <c r="BO324" t="n">
        <v>0.062</v>
      </c>
      <c r="BP324" t="n">
        <v>4</v>
      </c>
      <c r="BS324" t="n">
        <v>11</v>
      </c>
      <c r="BT324" t="n">
        <v>2.837</v>
      </c>
      <c r="BW324" t="n">
        <v>0.14</v>
      </c>
      <c r="BX324" t="n">
        <v>0.213</v>
      </c>
      <c r="BY324" t="n">
        <v>0.177</v>
      </c>
      <c r="BZ324" t="n">
        <v>0.046</v>
      </c>
      <c r="CA324" t="n">
        <v>0.345</v>
      </c>
      <c r="CB324" t="n">
        <v>0.089</v>
      </c>
      <c r="CC324" t="n">
        <v>4</v>
      </c>
      <c r="CE324" t="n">
        <v>4</v>
      </c>
      <c r="CF324" t="n">
        <v>1</v>
      </c>
      <c r="CI324" t="n">
        <v>0.864</v>
      </c>
      <c r="CJ324" t="n">
        <v>0.635</v>
      </c>
      <c r="CK324" t="n">
        <v>11</v>
      </c>
      <c r="CL324" t="n">
        <v>22</v>
      </c>
      <c r="CM324" t="n">
        <v>7</v>
      </c>
      <c r="CN324" t="n">
        <v>3</v>
      </c>
      <c r="CO324" t="n">
        <v>6</v>
      </c>
      <c r="CP324" t="n">
        <v>4</v>
      </c>
      <c r="CQ324" t="n">
        <v>1</v>
      </c>
      <c r="CR324" t="n">
        <v>33</v>
      </c>
      <c r="CS324" t="n">
        <v>2</v>
      </c>
      <c r="CW324" t="n">
        <v>6.65</v>
      </c>
      <c r="CX324" t="n">
        <v>1.715</v>
      </c>
      <c r="CY324" t="n">
        <v>0</v>
      </c>
      <c r="DB324" t="n">
        <v>0</v>
      </c>
      <c r="DF324" t="n">
        <v>2</v>
      </c>
      <c r="DG324" t="n">
        <v>0</v>
      </c>
      <c r="DH324" t="n">
        <v>11</v>
      </c>
      <c r="DI324" t="n">
        <v>11</v>
      </c>
      <c r="DL324" t="n">
        <v>13</v>
      </c>
      <c r="DM324" t="n">
        <v>10</v>
      </c>
      <c r="DO324" t="n">
        <v>0</v>
      </c>
      <c r="DP324" t="n">
        <v>12</v>
      </c>
      <c r="DQ324" t="n">
        <v>6</v>
      </c>
      <c r="DR324" t="n">
        <v>12</v>
      </c>
      <c r="DS324" t="n">
        <v>0</v>
      </c>
      <c r="DT324" t="n">
        <v>274</v>
      </c>
      <c r="DU324" t="n">
        <v>7.2</v>
      </c>
      <c r="DV324" t="inlineStr">
        <is>
          <t>flat</t>
        </is>
      </c>
      <c r="DW324" t="n">
        <v>95.65000000000001</v>
      </c>
      <c r="DX324" t="n">
        <v>84</v>
      </c>
      <c r="DY324" t="n">
        <v>91.86</v>
      </c>
      <c r="DZ324" t="n">
        <v>-3.79</v>
      </c>
      <c r="EA324" t="n">
        <v>4</v>
      </c>
      <c r="EB324" t="n">
        <v>20.65</v>
      </c>
      <c r="EC324" t="n">
        <v>67</v>
      </c>
      <c r="ED324" t="n">
        <v>117.09</v>
      </c>
      <c r="EE324" t="n">
        <v>7</v>
      </c>
      <c r="EF324" t="b">
        <v>0</v>
      </c>
      <c r="EG324" t="n">
        <v>0.2</v>
      </c>
      <c r="EH324" t="n">
        <v>36.4</v>
      </c>
      <c r="EI324" t="n">
        <v>189</v>
      </c>
      <c r="EJ324" t="n">
        <v>87.2</v>
      </c>
      <c r="EK324" t="n">
        <v>31.7</v>
      </c>
      <c r="EL324" t="n">
        <v>87.2</v>
      </c>
      <c r="EM324" t="n">
        <v>2066.4</v>
      </c>
      <c r="EN324" t="n">
        <v>1976.2</v>
      </c>
      <c r="EO324" t="n">
        <v>1010.2</v>
      </c>
      <c r="EP324" t="n">
        <v>19.4</v>
      </c>
    </row>
    <row r="325">
      <c r="A325" t="inlineStr">
        <is>
          <t>Christantus Uche</t>
        </is>
      </c>
      <c r="B325" t="inlineStr">
        <is>
          <t>CRY</t>
        </is>
      </c>
      <c r="C325" t="inlineStr">
        <is>
          <t>FWD</t>
        </is>
      </c>
      <c r="D325" t="inlineStr">
        <is>
          <t>FWD</t>
        </is>
      </c>
      <c r="E325" t="n">
        <v>5</v>
      </c>
      <c r="F325" t="b">
        <v>1</v>
      </c>
      <c r="G325" t="b">
        <v>1</v>
      </c>
      <c r="I325" t="inlineStr">
        <is>
          <t>u</t>
        </is>
      </c>
      <c r="J325" t="inlineStr">
        <is>
          <t>has returned to Getafe CF</t>
        </is>
      </c>
      <c r="K325" t="n">
        <v>0</v>
      </c>
      <c r="L325" t="inlineStr">
        <is>
          <t>p660392</t>
        </is>
      </c>
      <c r="M325" t="n">
        <v>225</v>
      </c>
      <c r="Q325" t="n">
        <v>159</v>
      </c>
      <c r="R325" t="n">
        <v>14</v>
      </c>
      <c r="S325" t="n">
        <v>0</v>
      </c>
      <c r="T325" t="n">
        <v>1.767</v>
      </c>
      <c r="U325" t="n">
        <v>11.4</v>
      </c>
      <c r="V325" t="n">
        <v>17</v>
      </c>
      <c r="W325" t="n">
        <v>9.622999999999999</v>
      </c>
      <c r="X325" t="n">
        <v>0</v>
      </c>
      <c r="Y325" t="n">
        <v>1</v>
      </c>
      <c r="AA325" t="n">
        <v>0</v>
      </c>
      <c r="AB325" t="n">
        <v>4</v>
      </c>
      <c r="AC325" t="n">
        <v>0</v>
      </c>
      <c r="AD325" t="n">
        <v>0</v>
      </c>
      <c r="AE325" t="n">
        <v>0</v>
      </c>
      <c r="AF325" t="n">
        <v>42</v>
      </c>
      <c r="AG325" t="n">
        <v>42</v>
      </c>
      <c r="AH325" t="n">
        <v>0</v>
      </c>
      <c r="AI325" t="n">
        <v>17</v>
      </c>
      <c r="AJ325" t="n">
        <v>0</v>
      </c>
      <c r="AK325" t="n">
        <v>0</v>
      </c>
      <c r="AL325" t="n">
        <v>13</v>
      </c>
      <c r="AM325" t="n">
        <v>7.358</v>
      </c>
      <c r="AN325" t="n">
        <v>0</v>
      </c>
      <c r="AO325" t="n">
        <v>0</v>
      </c>
      <c r="AS325" t="n">
        <v>0</v>
      </c>
      <c r="AT325" t="n">
        <v>0</v>
      </c>
      <c r="AU325" t="n">
        <v>13</v>
      </c>
      <c r="AV325" t="n">
        <v>0</v>
      </c>
      <c r="AW325" t="n">
        <v>0.78</v>
      </c>
      <c r="AX325" t="n">
        <v>4</v>
      </c>
      <c r="AY325" t="n">
        <v>0.49</v>
      </c>
      <c r="AZ325" t="n">
        <v>0.78</v>
      </c>
      <c r="BA325" t="n">
        <v>0.635</v>
      </c>
      <c r="BB325" t="n">
        <v>0.78</v>
      </c>
      <c r="BC325" t="n">
        <v>0.277</v>
      </c>
      <c r="BD325" t="n">
        <v>0.441</v>
      </c>
      <c r="BE325" t="n">
        <v>0.359</v>
      </c>
      <c r="BF325" t="n">
        <v>0.4</v>
      </c>
      <c r="BG325" t="n">
        <v>0.226</v>
      </c>
      <c r="BH325" t="n">
        <v>0.989</v>
      </c>
      <c r="BI325" t="n">
        <v>0.49</v>
      </c>
      <c r="BJ325" t="n">
        <v>0.485</v>
      </c>
      <c r="BK325" t="n">
        <v>0.275</v>
      </c>
      <c r="BL325" t="n">
        <v>-0.635</v>
      </c>
      <c r="BM325" t="n">
        <v>-0.09</v>
      </c>
      <c r="BN325" t="n">
        <v>-0.4</v>
      </c>
      <c r="BO325" t="n">
        <v>-0.29</v>
      </c>
      <c r="BP325" t="n">
        <v>6</v>
      </c>
      <c r="BQ325" t="n">
        <v>2</v>
      </c>
      <c r="BR325" t="n">
        <v>1</v>
      </c>
      <c r="BS325" t="n">
        <v>16</v>
      </c>
      <c r="BT325" t="n">
        <v>9.057</v>
      </c>
      <c r="BW325" t="n">
        <v>0.01</v>
      </c>
      <c r="BX325" t="n">
        <v>0</v>
      </c>
      <c r="BY325" t="n">
        <v>0.005</v>
      </c>
      <c r="BZ325" t="n">
        <v>0.003</v>
      </c>
      <c r="CA325" t="n">
        <v>0.64</v>
      </c>
      <c r="CB325" t="n">
        <v>0.362</v>
      </c>
      <c r="CC325" t="n">
        <v>0</v>
      </c>
      <c r="CI325" t="n">
        <v>0.753</v>
      </c>
      <c r="CJ325" t="n">
        <v>0.034</v>
      </c>
      <c r="CK325" t="n">
        <v>3</v>
      </c>
      <c r="CL325" t="n">
        <v>9</v>
      </c>
      <c r="CM325" t="n">
        <v>1</v>
      </c>
      <c r="CN325" t="n">
        <v>1</v>
      </c>
      <c r="CP325" t="n">
        <v>3</v>
      </c>
      <c r="CR325" t="n">
        <v>16</v>
      </c>
      <c r="CS325" t="n">
        <v>8</v>
      </c>
      <c r="CW325" t="n">
        <v>4.63</v>
      </c>
      <c r="CX325" t="n">
        <v>2.621</v>
      </c>
      <c r="CY325" t="n">
        <v>0</v>
      </c>
      <c r="DB325" t="n">
        <v>0</v>
      </c>
      <c r="DF325" t="n">
        <v>0</v>
      </c>
      <c r="DG325" t="n">
        <v>0</v>
      </c>
      <c r="DH325" t="n">
        <v>4</v>
      </c>
      <c r="DI325" t="n">
        <v>7</v>
      </c>
      <c r="DJ325" t="n">
        <v>1</v>
      </c>
      <c r="DM325" t="n">
        <v>7</v>
      </c>
      <c r="DN325" t="n">
        <v>3</v>
      </c>
      <c r="DO325" t="n">
        <v>0</v>
      </c>
      <c r="EJ325" t="n">
        <v>26.5</v>
      </c>
      <c r="EK325" t="n">
        <v>9.9</v>
      </c>
      <c r="EM325" t="n">
        <v>250.4</v>
      </c>
      <c r="EN325" t="n">
        <v>31800</v>
      </c>
      <c r="EO325" t="n">
        <v>248.5</v>
      </c>
      <c r="EP325" t="n">
        <v>9.4</v>
      </c>
    </row>
    <row r="326">
      <c r="A326" t="inlineStr">
        <is>
          <t>Joël Piroe</t>
        </is>
      </c>
      <c r="B326" t="inlineStr">
        <is>
          <t>LEE</t>
        </is>
      </c>
      <c r="C326" t="inlineStr">
        <is>
          <t>FWD</t>
        </is>
      </c>
      <c r="D326" t="inlineStr">
        <is>
          <t>FWD</t>
        </is>
      </c>
      <c r="E326" t="n">
        <v>5</v>
      </c>
      <c r="F326" t="b">
        <v>1</v>
      </c>
      <c r="G326" t="b">
        <v>1</v>
      </c>
      <c r="H326" t="n">
        <v>27.1</v>
      </c>
      <c r="I326" t="inlineStr">
        <is>
          <t>a</t>
        </is>
      </c>
      <c r="L326" t="inlineStr">
        <is>
          <t>p235826</t>
        </is>
      </c>
      <c r="M326" t="n">
        <v>348</v>
      </c>
      <c r="N326" t="n">
        <v>3</v>
      </c>
      <c r="Q326" t="n">
        <v>244</v>
      </c>
      <c r="R326" t="n">
        <v>16</v>
      </c>
      <c r="S326" t="n">
        <v>2</v>
      </c>
      <c r="T326" t="n">
        <v>2.711</v>
      </c>
      <c r="U326" t="n">
        <v>15.2</v>
      </c>
      <c r="V326" t="n">
        <v>17</v>
      </c>
      <c r="W326" t="n">
        <v>6.27</v>
      </c>
      <c r="X326" t="n">
        <v>0</v>
      </c>
      <c r="Y326" t="n">
        <v>0</v>
      </c>
      <c r="AA326" t="n">
        <v>1</v>
      </c>
      <c r="AB326" t="n">
        <v>9</v>
      </c>
      <c r="AC326" t="n">
        <v>0</v>
      </c>
      <c r="AD326" t="n">
        <v>0</v>
      </c>
      <c r="AE326" t="n">
        <v>0</v>
      </c>
      <c r="AF326" t="n">
        <v>42</v>
      </c>
      <c r="AG326" t="n">
        <v>42</v>
      </c>
      <c r="AH326" t="n">
        <v>0</v>
      </c>
      <c r="AI326" t="n">
        <v>17</v>
      </c>
      <c r="AJ326" t="n">
        <v>0</v>
      </c>
      <c r="AK326" t="n">
        <v>0</v>
      </c>
      <c r="AL326" t="n">
        <v>14</v>
      </c>
      <c r="AM326" t="n">
        <v>5.164</v>
      </c>
      <c r="AN326" t="n">
        <v>0</v>
      </c>
      <c r="AO326" t="n">
        <v>0</v>
      </c>
      <c r="AP326" t="n">
        <v>0</v>
      </c>
      <c r="AQ326" t="n">
        <v>0</v>
      </c>
      <c r="AR326" t="n">
        <v>0</v>
      </c>
      <c r="AS326" t="n">
        <v>0.053</v>
      </c>
      <c r="AT326" t="n">
        <v>0.062</v>
      </c>
      <c r="AU326" t="n">
        <v>16</v>
      </c>
      <c r="AV326" t="n">
        <v>0</v>
      </c>
      <c r="AW326" t="n">
        <v>0.55</v>
      </c>
      <c r="AX326" t="n">
        <v>2</v>
      </c>
      <c r="AY326" t="n">
        <v>0.9</v>
      </c>
      <c r="AZ326" t="n">
        <v>1.084</v>
      </c>
      <c r="BA326" t="n">
        <v>0.992</v>
      </c>
      <c r="BB326" t="n">
        <v>1.084</v>
      </c>
      <c r="BC326" t="n">
        <v>0.332</v>
      </c>
      <c r="BD326" t="n">
        <v>0.4</v>
      </c>
      <c r="BE326" t="n">
        <v>0.366</v>
      </c>
      <c r="BF326" t="n">
        <v>0.5</v>
      </c>
      <c r="BG326" t="n">
        <v>0.184</v>
      </c>
      <c r="BH326" t="n">
        <v>0.955</v>
      </c>
      <c r="BI326" t="n">
        <v>0.9</v>
      </c>
      <c r="BJ326" t="n">
        <v>0.86</v>
      </c>
      <c r="BK326" t="n">
        <v>0.317</v>
      </c>
      <c r="BL326" t="n">
        <v>-0.992</v>
      </c>
      <c r="BM326" t="n">
        <v>-0.4</v>
      </c>
      <c r="BN326" t="n">
        <v>-0.5</v>
      </c>
      <c r="BO326" t="n">
        <v>-0.184</v>
      </c>
      <c r="BP326" t="n">
        <v>14</v>
      </c>
      <c r="BQ326" t="n">
        <v>3</v>
      </c>
      <c r="BR326" t="n">
        <v>1</v>
      </c>
      <c r="BS326" t="n">
        <v>18</v>
      </c>
      <c r="BT326" t="n">
        <v>6.639</v>
      </c>
      <c r="BW326" t="n">
        <v>0.13</v>
      </c>
      <c r="BX326" t="n">
        <v>0.08599999999999999</v>
      </c>
      <c r="BY326" t="n">
        <v>0.108</v>
      </c>
      <c r="BZ326" t="n">
        <v>0.04</v>
      </c>
      <c r="CA326" t="n">
        <v>1.1</v>
      </c>
      <c r="CB326" t="n">
        <v>0.406</v>
      </c>
      <c r="CC326" t="n">
        <v>1</v>
      </c>
      <c r="CE326" t="n">
        <v>1</v>
      </c>
      <c r="CF326" t="n">
        <v>1</v>
      </c>
      <c r="CI326" t="n">
        <v>1.204</v>
      </c>
      <c r="CJ326" t="n">
        <v>0.217</v>
      </c>
      <c r="CK326" t="n">
        <v>2</v>
      </c>
      <c r="CL326" t="n">
        <v>10</v>
      </c>
      <c r="CM326" t="n">
        <v>2</v>
      </c>
      <c r="CN326" t="n">
        <v>1</v>
      </c>
      <c r="CO326" t="n">
        <v>1</v>
      </c>
      <c r="CP326" t="n">
        <v>1</v>
      </c>
      <c r="CR326" t="n">
        <v>8</v>
      </c>
      <c r="CS326" t="n">
        <v>5</v>
      </c>
      <c r="CW326" t="n">
        <v>6.81</v>
      </c>
      <c r="CX326" t="n">
        <v>2.512</v>
      </c>
      <c r="CY326" t="n">
        <v>0</v>
      </c>
      <c r="DB326" t="n">
        <v>0</v>
      </c>
      <c r="DF326" t="n">
        <v>0</v>
      </c>
      <c r="DG326" t="n">
        <v>0</v>
      </c>
      <c r="DH326" t="n">
        <v>4</v>
      </c>
      <c r="DL326" t="n">
        <v>1</v>
      </c>
      <c r="DM326" t="n">
        <v>5</v>
      </c>
      <c r="DN326" t="n">
        <v>1</v>
      </c>
      <c r="DO326" t="n">
        <v>0.5</v>
      </c>
      <c r="DP326" t="n">
        <v>15.22</v>
      </c>
      <c r="DQ326" t="n">
        <v>7.61</v>
      </c>
      <c r="DR326" t="n">
        <v>15.22</v>
      </c>
      <c r="DS326" t="n">
        <v>0</v>
      </c>
      <c r="DT326" t="n">
        <v>15</v>
      </c>
      <c r="DU326" t="n">
        <v>0.4</v>
      </c>
      <c r="DV326" t="inlineStr">
        <is>
          <t>flat</t>
        </is>
      </c>
      <c r="DW326" t="n">
        <v>98.20999999999999</v>
      </c>
      <c r="DX326" t="n">
        <v>99.59999999999999</v>
      </c>
      <c r="DY326" t="n">
        <v>97.13</v>
      </c>
      <c r="DZ326" t="n">
        <v>-1.07</v>
      </c>
      <c r="EA326" t="n">
        <v>20</v>
      </c>
      <c r="EB326" t="n">
        <v>19.88</v>
      </c>
      <c r="EC326" t="n">
        <v>42.67</v>
      </c>
      <c r="ED326" t="n">
        <v>117</v>
      </c>
      <c r="EE326" t="n">
        <v>37</v>
      </c>
      <c r="EF326" t="b">
        <v>1</v>
      </c>
      <c r="EG326" t="n">
        <v>0.9</v>
      </c>
      <c r="EH326" t="n">
        <v>14</v>
      </c>
      <c r="EI326" t="n">
        <v>307</v>
      </c>
      <c r="EJ326" t="n">
        <v>17.4</v>
      </c>
      <c r="EK326" t="n">
        <v>13.6</v>
      </c>
      <c r="EL326" t="n">
        <v>244</v>
      </c>
      <c r="EM326" t="n">
        <v>246</v>
      </c>
      <c r="EN326" t="n">
        <v>2261.3</v>
      </c>
      <c r="EO326" t="n">
        <v>221.9</v>
      </c>
      <c r="EP326" t="n">
        <v>14.4</v>
      </c>
    </row>
    <row r="327">
      <c r="A327" t="inlineStr">
        <is>
          <t>James McAtee</t>
        </is>
      </c>
      <c r="B327" t="inlineStr">
        <is>
          <t>NFO</t>
        </is>
      </c>
      <c r="C327" t="inlineStr">
        <is>
          <t>MID</t>
        </is>
      </c>
      <c r="D327" t="inlineStr">
        <is>
          <t>MID</t>
        </is>
      </c>
      <c r="E327" t="n">
        <v>5.5</v>
      </c>
      <c r="F327" t="b">
        <v>1</v>
      </c>
      <c r="G327" t="b">
        <v>1</v>
      </c>
      <c r="H327" t="n">
        <v>23.8</v>
      </c>
      <c r="I327" t="inlineStr">
        <is>
          <t>a</t>
        </is>
      </c>
      <c r="L327" t="inlineStr">
        <is>
          <t>p432714</t>
        </is>
      </c>
      <c r="M327" t="n">
        <v>486</v>
      </c>
      <c r="O327" t="n">
        <v>3</v>
      </c>
      <c r="Q327" t="n">
        <v>288</v>
      </c>
      <c r="R327" t="n">
        <v>14</v>
      </c>
      <c r="S327" t="n">
        <v>2</v>
      </c>
      <c r="T327" t="n">
        <v>3.2</v>
      </c>
      <c r="U327" t="n">
        <v>20.6</v>
      </c>
      <c r="V327" t="n">
        <v>17</v>
      </c>
      <c r="W327" t="n">
        <v>5.312</v>
      </c>
      <c r="X327" t="n">
        <v>0</v>
      </c>
      <c r="Y327" t="n">
        <v>1</v>
      </c>
      <c r="Z327" t="n">
        <v>1</v>
      </c>
      <c r="AA327" t="n">
        <v>0</v>
      </c>
      <c r="AB327" t="n">
        <v>9</v>
      </c>
      <c r="AC327" t="n">
        <v>0</v>
      </c>
      <c r="AD327" t="n">
        <v>0</v>
      </c>
      <c r="AE327" t="n">
        <v>0</v>
      </c>
      <c r="AF327" t="n">
        <v>60</v>
      </c>
      <c r="AG327" t="n">
        <v>59</v>
      </c>
      <c r="AH327" t="n">
        <v>-1</v>
      </c>
      <c r="AI327" t="n">
        <v>17</v>
      </c>
      <c r="AJ327" t="n">
        <v>0</v>
      </c>
      <c r="AK327" t="n">
        <v>0</v>
      </c>
      <c r="AL327" t="n">
        <v>32</v>
      </c>
      <c r="AM327" t="n">
        <v>10</v>
      </c>
      <c r="AN327" t="n">
        <v>0</v>
      </c>
      <c r="AO327" t="n">
        <v>0</v>
      </c>
      <c r="AP327" t="n">
        <v>0</v>
      </c>
      <c r="AQ327" t="n">
        <v>0.5</v>
      </c>
      <c r="AR327" t="n">
        <v>0</v>
      </c>
      <c r="AS327" t="n">
        <v>0.053</v>
      </c>
      <c r="AT327" t="n">
        <v>0.07099999999999999</v>
      </c>
      <c r="AU327" t="n">
        <v>13</v>
      </c>
      <c r="AV327" t="n">
        <v>0</v>
      </c>
      <c r="AW327" t="n">
        <v>0.8</v>
      </c>
      <c r="AX327" t="n">
        <v>4</v>
      </c>
      <c r="AY327" t="n">
        <v>0.18</v>
      </c>
      <c r="AZ327" t="n">
        <v>0.2</v>
      </c>
      <c r="BA327" t="n">
        <v>0.19</v>
      </c>
      <c r="BB327" t="n">
        <v>0.2</v>
      </c>
      <c r="BC327" t="n">
        <v>0.056</v>
      </c>
      <c r="BD327" t="n">
        <v>0.062</v>
      </c>
      <c r="BE327" t="n">
        <v>0.059</v>
      </c>
      <c r="BH327" t="n">
        <v>1.017</v>
      </c>
      <c r="BI327" t="n">
        <v>5.96</v>
      </c>
      <c r="BJ327" t="n">
        <v>0.183</v>
      </c>
      <c r="BK327" t="n">
        <v>0.057</v>
      </c>
      <c r="BL327" t="n">
        <v>-0.19</v>
      </c>
      <c r="BO327" t="n">
        <v>-0.02</v>
      </c>
      <c r="BP327" t="n">
        <v>4</v>
      </c>
      <c r="BS327" t="n">
        <v>15</v>
      </c>
      <c r="BT327" t="n">
        <v>4.688</v>
      </c>
      <c r="BW327" t="n">
        <v>0.37</v>
      </c>
      <c r="BX327" t="n">
        <v>0.862</v>
      </c>
      <c r="BY327" t="n">
        <v>0.616</v>
      </c>
      <c r="BZ327" t="n">
        <v>0.192</v>
      </c>
      <c r="CA327" t="n">
        <v>0.806</v>
      </c>
      <c r="CB327" t="n">
        <v>0.252</v>
      </c>
      <c r="CC327" t="n">
        <v>6</v>
      </c>
      <c r="CD327" t="n">
        <v>1</v>
      </c>
      <c r="CE327" t="n">
        <v>6</v>
      </c>
      <c r="CH327" t="n">
        <v>2</v>
      </c>
      <c r="CI327" t="n">
        <v>1.442</v>
      </c>
      <c r="CJ327" t="n">
        <v>0.64</v>
      </c>
      <c r="CK327" t="n">
        <v>7</v>
      </c>
      <c r="CL327" t="n">
        <v>18</v>
      </c>
      <c r="CM327" t="n">
        <v>7</v>
      </c>
      <c r="CN327" t="n">
        <v>4</v>
      </c>
      <c r="CO327" t="n">
        <v>3</v>
      </c>
      <c r="CP327" t="n">
        <v>3</v>
      </c>
      <c r="CQ327" t="n">
        <v>1</v>
      </c>
      <c r="CR327" t="n">
        <v>16</v>
      </c>
      <c r="CS327" t="n">
        <v>1</v>
      </c>
      <c r="CW327" t="n">
        <v>7.34</v>
      </c>
      <c r="CX327" t="n">
        <v>2.294</v>
      </c>
      <c r="CY327" t="n">
        <v>0</v>
      </c>
      <c r="DB327" t="n">
        <v>0</v>
      </c>
      <c r="DF327" t="n">
        <v>1</v>
      </c>
      <c r="DG327" t="n">
        <v>0</v>
      </c>
      <c r="DH327" t="n">
        <v>4</v>
      </c>
      <c r="DI327" t="n">
        <v>5</v>
      </c>
      <c r="DL327" t="n">
        <v>3</v>
      </c>
      <c r="DM327" t="n">
        <v>9</v>
      </c>
      <c r="DN327" t="n">
        <v>2</v>
      </c>
      <c r="DO327" t="n">
        <v>0</v>
      </c>
      <c r="DP327" t="n">
        <v>28.18</v>
      </c>
      <c r="DQ327" t="n">
        <v>14.09</v>
      </c>
      <c r="DR327" t="n">
        <v>28.18</v>
      </c>
      <c r="DS327" t="n">
        <v>0</v>
      </c>
      <c r="DT327" t="n">
        <v>633</v>
      </c>
      <c r="DU327" t="n">
        <v>16.65</v>
      </c>
      <c r="DV327" t="inlineStr">
        <is>
          <t>flat</t>
        </is>
      </c>
      <c r="DW327" t="n">
        <v>82.69</v>
      </c>
      <c r="DX327" t="n">
        <v>66.25</v>
      </c>
      <c r="DY327" t="n">
        <v>95.84999999999999</v>
      </c>
      <c r="DZ327" t="n">
        <v>13.15</v>
      </c>
      <c r="EA327" t="n">
        <v>5</v>
      </c>
      <c r="EB327" t="n">
        <v>21.29</v>
      </c>
      <c r="EC327" t="n">
        <v>55</v>
      </c>
      <c r="ED327" t="n">
        <v>107.2</v>
      </c>
      <c r="EE327" t="n">
        <v>9</v>
      </c>
      <c r="EF327" t="b">
        <v>0</v>
      </c>
      <c r="EG327" t="n">
        <v>0.3</v>
      </c>
      <c r="EH327" t="n">
        <v>43.8</v>
      </c>
      <c r="EI327" t="n">
        <v>190</v>
      </c>
      <c r="EJ327" t="n">
        <v>72</v>
      </c>
      <c r="EK327" t="n">
        <v>19.2</v>
      </c>
      <c r="EL327" t="n">
        <v>48</v>
      </c>
      <c r="EM327" t="n">
        <v>1516.8</v>
      </c>
      <c r="EN327" t="n">
        <v>467.6</v>
      </c>
      <c r="EO327" t="n">
        <v>357.4</v>
      </c>
      <c r="EP327" t="n">
        <v>16.9</v>
      </c>
    </row>
    <row r="328">
      <c r="A328" t="inlineStr">
        <is>
          <t>Stefanos Tzimas</t>
        </is>
      </c>
      <c r="B328" t="inlineStr">
        <is>
          <t>BHA</t>
        </is>
      </c>
      <c r="C328" t="inlineStr">
        <is>
          <t>FWD</t>
        </is>
      </c>
      <c r="D328" t="inlineStr">
        <is>
          <t>FWD</t>
        </is>
      </c>
      <c r="E328" t="n">
        <v>5.5</v>
      </c>
      <c r="F328" t="b">
        <v>1</v>
      </c>
      <c r="G328" t="b">
        <v>1</v>
      </c>
      <c r="H328" t="n">
        <v>20.6</v>
      </c>
      <c r="I328" t="inlineStr">
        <is>
          <t>d</t>
        </is>
      </c>
      <c r="J328" t="inlineStr">
        <is>
          <t>Knee injury - 75% chance of playing</t>
        </is>
      </c>
      <c r="K328" t="n">
        <v>75</v>
      </c>
      <c r="L328" t="inlineStr">
        <is>
          <t>p608181</t>
        </is>
      </c>
      <c r="M328" t="n">
        <v>137</v>
      </c>
      <c r="Q328" t="n">
        <v>132</v>
      </c>
      <c r="R328" t="n">
        <v>9</v>
      </c>
      <c r="S328" t="n">
        <v>1</v>
      </c>
      <c r="T328" t="n">
        <v>1.467</v>
      </c>
      <c r="U328" t="n">
        <v>14.7</v>
      </c>
      <c r="V328" t="n">
        <v>16</v>
      </c>
      <c r="W328" t="n">
        <v>10.909</v>
      </c>
      <c r="X328" t="n">
        <v>1</v>
      </c>
      <c r="Y328" t="n">
        <v>1</v>
      </c>
      <c r="Z328" t="n">
        <v>1</v>
      </c>
      <c r="AA328" t="n">
        <v>0</v>
      </c>
      <c r="AB328" t="n">
        <v>2</v>
      </c>
      <c r="AC328" t="n">
        <v>0</v>
      </c>
      <c r="AD328" t="n">
        <v>0</v>
      </c>
      <c r="AE328" t="n">
        <v>0</v>
      </c>
      <c r="AF328" t="n">
        <v>55</v>
      </c>
      <c r="AG328" t="n">
        <v>55</v>
      </c>
      <c r="AH328" t="n">
        <v>0</v>
      </c>
      <c r="AI328" t="n">
        <v>16</v>
      </c>
      <c r="AJ328" t="n">
        <v>0</v>
      </c>
      <c r="AK328" t="n">
        <v>0</v>
      </c>
      <c r="AL328" t="n">
        <v>15</v>
      </c>
      <c r="AM328" t="n">
        <v>10.227</v>
      </c>
      <c r="AN328" t="n">
        <v>0</v>
      </c>
      <c r="AO328" t="n">
        <v>0</v>
      </c>
      <c r="AP328" t="n">
        <v>0</v>
      </c>
      <c r="AQ328" t="n">
        <v>0</v>
      </c>
      <c r="AR328" t="n">
        <v>0</v>
      </c>
      <c r="AS328" t="n">
        <v>0.026</v>
      </c>
      <c r="AT328" t="n">
        <v>0</v>
      </c>
      <c r="AU328" t="n">
        <v>7</v>
      </c>
      <c r="AV328" t="n">
        <v>0</v>
      </c>
      <c r="AW328" t="n">
        <v>1.06</v>
      </c>
      <c r="AX328" t="n">
        <v>5</v>
      </c>
      <c r="AY328" t="n">
        <v>0.44</v>
      </c>
      <c r="AZ328" t="n">
        <v>0.625</v>
      </c>
      <c r="BA328" t="n">
        <v>0.533</v>
      </c>
      <c r="BB328" t="n">
        <v>0.625</v>
      </c>
      <c r="BC328" t="n">
        <v>0.3</v>
      </c>
      <c r="BD328" t="n">
        <v>0.426</v>
      </c>
      <c r="BE328" t="n">
        <v>0.363</v>
      </c>
      <c r="BF328" t="n">
        <v>0.6</v>
      </c>
      <c r="BG328" t="n">
        <v>0.409</v>
      </c>
      <c r="BH328" t="n">
        <v>1.019</v>
      </c>
      <c r="BI328" t="n">
        <v>0.44</v>
      </c>
      <c r="BJ328" t="n">
        <v>0.448</v>
      </c>
      <c r="BK328" t="n">
        <v>0.305</v>
      </c>
      <c r="BL328" t="n">
        <v>0.467</v>
      </c>
      <c r="BM328" t="n">
        <v>0.16</v>
      </c>
      <c r="BN328" t="n">
        <v>0.4</v>
      </c>
      <c r="BO328" t="n">
        <v>-0.185</v>
      </c>
      <c r="BP328" t="n">
        <v>4</v>
      </c>
      <c r="BQ328" t="n">
        <v>1</v>
      </c>
      <c r="BR328" t="n">
        <v>1</v>
      </c>
      <c r="BS328" t="n">
        <v>11</v>
      </c>
      <c r="BT328" t="n">
        <v>7.5</v>
      </c>
      <c r="BW328" t="n">
        <v>0.11</v>
      </c>
      <c r="BX328" t="n">
        <v>0.384</v>
      </c>
      <c r="BY328" t="n">
        <v>0.247</v>
      </c>
      <c r="BZ328" t="n">
        <v>0.169</v>
      </c>
      <c r="CA328" t="n">
        <v>0.78</v>
      </c>
      <c r="CB328" t="n">
        <v>0.532</v>
      </c>
      <c r="CC328" t="n">
        <v>6</v>
      </c>
      <c r="CE328" t="n">
        <v>6</v>
      </c>
      <c r="CI328" t="n">
        <v>0.8070000000000001</v>
      </c>
      <c r="CJ328" t="n">
        <v>0.01</v>
      </c>
      <c r="CK328" t="n">
        <v>2</v>
      </c>
      <c r="CL328" t="n">
        <v>10</v>
      </c>
      <c r="CM328" t="n">
        <v>3</v>
      </c>
      <c r="CN328" t="n">
        <v>2</v>
      </c>
      <c r="CP328" t="n">
        <v>1</v>
      </c>
      <c r="CQ328" t="n">
        <v>1</v>
      </c>
      <c r="CR328" t="n">
        <v>5</v>
      </c>
      <c r="CW328" t="n">
        <v>2.59</v>
      </c>
      <c r="CX328" t="n">
        <v>1.766</v>
      </c>
      <c r="CY328" t="n">
        <v>0</v>
      </c>
      <c r="DB328" t="n">
        <v>0</v>
      </c>
      <c r="DF328" t="n">
        <v>0</v>
      </c>
      <c r="DG328" t="n">
        <v>0</v>
      </c>
      <c r="DH328" t="n">
        <v>4</v>
      </c>
      <c r="DI328" t="n">
        <v>1</v>
      </c>
      <c r="DL328" t="n">
        <v>1</v>
      </c>
      <c r="DM328" t="n">
        <v>9</v>
      </c>
      <c r="DN328" t="n">
        <v>1</v>
      </c>
      <c r="DO328" t="n">
        <v>0</v>
      </c>
      <c r="DP328" t="n">
        <v>24.2</v>
      </c>
      <c r="DQ328" t="n">
        <v>11.6</v>
      </c>
      <c r="DR328" t="n">
        <v>23.2</v>
      </c>
      <c r="DS328" t="n">
        <v>1</v>
      </c>
      <c r="DT328" t="n">
        <v>268</v>
      </c>
      <c r="DU328" t="n">
        <v>7.06</v>
      </c>
      <c r="DV328" t="inlineStr">
        <is>
          <t>flat</t>
        </is>
      </c>
      <c r="DW328" t="n">
        <v>101.51</v>
      </c>
      <c r="DX328" t="n">
        <v>94</v>
      </c>
      <c r="DY328" t="n">
        <v>107.57</v>
      </c>
      <c r="DZ328" t="n">
        <v>6.06</v>
      </c>
      <c r="EA328" t="n">
        <v>21</v>
      </c>
      <c r="EB328" t="n">
        <v>18.63</v>
      </c>
      <c r="EC328" t="n">
        <v>26</v>
      </c>
      <c r="ED328" t="n">
        <v>120</v>
      </c>
      <c r="EE328" t="n">
        <v>38</v>
      </c>
      <c r="EF328" t="b">
        <v>1</v>
      </c>
      <c r="EG328" t="n">
        <v>1.2</v>
      </c>
      <c r="EH328" t="n">
        <v>34.5</v>
      </c>
      <c r="EI328" t="n">
        <v>193</v>
      </c>
      <c r="EJ328" t="n">
        <v>33</v>
      </c>
      <c r="EK328" t="n">
        <v>12</v>
      </c>
      <c r="EL328" t="n">
        <v>22</v>
      </c>
      <c r="EM328" t="n">
        <v>247.9</v>
      </c>
      <c r="EN328" t="n">
        <v>534.1</v>
      </c>
      <c r="EO328" t="n">
        <v>169.3</v>
      </c>
      <c r="EP328" t="n">
        <v>8.199999999999999</v>
      </c>
    </row>
    <row r="329">
      <c r="A329" t="inlineStr">
        <is>
          <t>Melker Ellborg</t>
        </is>
      </c>
      <c r="B329" t="inlineStr">
        <is>
          <t>SUN</t>
        </is>
      </c>
      <c r="C329" t="inlineStr">
        <is>
          <t>GKP</t>
        </is>
      </c>
      <c r="D329" t="inlineStr">
        <is>
          <t>GKP</t>
        </is>
      </c>
      <c r="E329" t="n">
        <v>4.5</v>
      </c>
      <c r="F329" t="b">
        <v>1</v>
      </c>
      <c r="G329" t="b">
        <v>1</v>
      </c>
      <c r="H329" t="n">
        <v>23.2</v>
      </c>
      <c r="I329" t="inlineStr">
        <is>
          <t>a</t>
        </is>
      </c>
      <c r="L329" t="inlineStr">
        <is>
          <t>p515046</t>
        </is>
      </c>
      <c r="M329" t="n">
        <v>531</v>
      </c>
      <c r="Q329" t="n">
        <v>270</v>
      </c>
      <c r="R329" t="n">
        <v>3</v>
      </c>
      <c r="S329" t="n">
        <v>3</v>
      </c>
      <c r="T329" t="n">
        <v>3</v>
      </c>
      <c r="U329" t="n">
        <v>90</v>
      </c>
      <c r="V329" t="n">
        <v>16</v>
      </c>
      <c r="W329" t="n">
        <v>5.333</v>
      </c>
      <c r="X329" t="n">
        <v>0</v>
      </c>
      <c r="Y329" t="n">
        <v>0</v>
      </c>
      <c r="AA329" t="n">
        <v>1</v>
      </c>
      <c r="AB329" t="n">
        <v>2</v>
      </c>
      <c r="AC329" t="n">
        <v>3</v>
      </c>
      <c r="AD329" t="n">
        <v>3</v>
      </c>
      <c r="AE329" t="n">
        <v>0</v>
      </c>
      <c r="AF329" t="n">
        <v>62</v>
      </c>
      <c r="AG329" t="n">
        <v>59</v>
      </c>
      <c r="AH329" t="n">
        <v>-3</v>
      </c>
      <c r="AI329" t="n">
        <v>16</v>
      </c>
      <c r="AJ329" t="n">
        <v>0.188</v>
      </c>
      <c r="AK329" t="n">
        <v>0.231</v>
      </c>
      <c r="AL329" t="n">
        <v>0</v>
      </c>
      <c r="AM329" t="n">
        <v>0</v>
      </c>
      <c r="AN329" t="n">
        <v>0</v>
      </c>
      <c r="AO329" t="n">
        <v>0</v>
      </c>
      <c r="AP329" t="n">
        <v>0</v>
      </c>
      <c r="AQ329" t="n">
        <v>0</v>
      </c>
      <c r="AR329" t="n">
        <v>0</v>
      </c>
      <c r="AS329" t="n">
        <v>0.079</v>
      </c>
      <c r="AT329" t="n">
        <v>1</v>
      </c>
      <c r="AU329" t="n">
        <v>0</v>
      </c>
      <c r="AV329" t="n">
        <v>1</v>
      </c>
      <c r="AW329" t="n">
        <v>2.77</v>
      </c>
      <c r="AX329" t="n">
        <v>10</v>
      </c>
      <c r="AY329" t="n">
        <v>0</v>
      </c>
      <c r="AZ329" t="n">
        <v>0</v>
      </c>
      <c r="BA329" t="n">
        <v>0</v>
      </c>
      <c r="BB329" t="n">
        <v>0</v>
      </c>
      <c r="BC329" t="n">
        <v>0</v>
      </c>
      <c r="BD329" t="n">
        <v>0</v>
      </c>
      <c r="BE329" t="n">
        <v>0</v>
      </c>
      <c r="BH329" t="n">
        <v>1</v>
      </c>
      <c r="BI329" t="n">
        <v>0</v>
      </c>
      <c r="BJ329" t="n">
        <v>0</v>
      </c>
      <c r="BK329" t="n">
        <v>0</v>
      </c>
      <c r="BL329" t="n">
        <v>0</v>
      </c>
      <c r="BO329" t="n">
        <v>0</v>
      </c>
      <c r="BW329" t="n">
        <v>0.02</v>
      </c>
      <c r="BX329" t="n">
        <v>0</v>
      </c>
      <c r="BY329" t="n">
        <v>0.01</v>
      </c>
      <c r="BZ329" t="n">
        <v>0.003</v>
      </c>
      <c r="CA329" t="n">
        <v>0.01</v>
      </c>
      <c r="CB329" t="n">
        <v>0.003</v>
      </c>
      <c r="CC329" t="n">
        <v>0</v>
      </c>
      <c r="CI329" t="n">
        <v>0.101</v>
      </c>
      <c r="CJ329" t="n">
        <v>0.101</v>
      </c>
      <c r="CK329" t="n">
        <v>6</v>
      </c>
      <c r="CL329" t="n">
        <v>33</v>
      </c>
      <c r="CM329" t="n">
        <v>0</v>
      </c>
      <c r="CP329" t="n">
        <v>6</v>
      </c>
      <c r="CR329" t="n">
        <v>2</v>
      </c>
      <c r="CW329" t="n">
        <v>4.1</v>
      </c>
      <c r="CX329" t="n">
        <v>1.367</v>
      </c>
      <c r="CY329" t="n">
        <v>10</v>
      </c>
      <c r="DB329" t="n">
        <v>0</v>
      </c>
      <c r="DD329" t="n">
        <v>3</v>
      </c>
      <c r="DF329" t="n">
        <v>0</v>
      </c>
      <c r="DG329" t="n">
        <v>0</v>
      </c>
      <c r="DI329" t="n">
        <v>1</v>
      </c>
      <c r="DL329" t="n">
        <v>1</v>
      </c>
      <c r="DO329" t="n">
        <v>0.1</v>
      </c>
      <c r="DP329" t="n">
        <v>0.38</v>
      </c>
      <c r="DQ329" t="n">
        <v>0.19</v>
      </c>
      <c r="DR329" t="n">
        <v>0.38</v>
      </c>
      <c r="DS329" t="n">
        <v>0</v>
      </c>
      <c r="DT329" t="n">
        <v>0</v>
      </c>
      <c r="DU329" t="n">
        <v>0.01</v>
      </c>
      <c r="DV329" t="inlineStr">
        <is>
          <t>flat</t>
        </is>
      </c>
      <c r="DW329" t="n">
        <v>110.4</v>
      </c>
      <c r="DX329" t="n">
        <v>98.88</v>
      </c>
      <c r="DY329" t="n">
        <v>111.49</v>
      </c>
      <c r="DZ329" t="n">
        <v>1.09</v>
      </c>
      <c r="EA329" t="n">
        <v>49</v>
      </c>
      <c r="EB329" t="n">
        <v>16.59</v>
      </c>
      <c r="EC329" t="n">
        <v>52</v>
      </c>
      <c r="ED329" t="n">
        <v>120</v>
      </c>
      <c r="EE329" t="n">
        <v>74</v>
      </c>
      <c r="EF329" t="b">
        <v>1</v>
      </c>
      <c r="EG329" t="n">
        <v>2.1</v>
      </c>
      <c r="EH329" t="n">
        <v>27.5</v>
      </c>
      <c r="EI329" t="n">
        <v>445</v>
      </c>
      <c r="EN329" t="n">
        <v>27000</v>
      </c>
      <c r="EO329" t="n">
        <v>27000</v>
      </c>
      <c r="EP329" t="n">
        <v>16.9</v>
      </c>
    </row>
    <row r="330">
      <c r="A330" t="inlineStr">
        <is>
          <t>Matt O'Riley</t>
        </is>
      </c>
      <c r="B330" t="inlineStr">
        <is>
          <t>BHA</t>
        </is>
      </c>
      <c r="C330" t="inlineStr">
        <is>
          <t>MID</t>
        </is>
      </c>
      <c r="D330" t="inlineStr">
        <is>
          <t>MID</t>
        </is>
      </c>
      <c r="E330" t="n">
        <v>5.5</v>
      </c>
      <c r="F330" t="b">
        <v>1</v>
      </c>
      <c r="G330" t="b">
        <v>1</v>
      </c>
      <c r="H330" t="n">
        <v>25.7</v>
      </c>
      <c r="I330" t="inlineStr">
        <is>
          <t>a</t>
        </is>
      </c>
      <c r="L330" t="inlineStr">
        <is>
          <t>p219249</t>
        </is>
      </c>
      <c r="M330" t="n">
        <v>126</v>
      </c>
      <c r="N330" t="n">
        <v>2</v>
      </c>
      <c r="Q330" t="n">
        <v>202</v>
      </c>
      <c r="R330" t="n">
        <v>6</v>
      </c>
      <c r="S330" t="n">
        <v>2</v>
      </c>
      <c r="T330" t="n">
        <v>2.244</v>
      </c>
      <c r="U330" t="n">
        <v>33.7</v>
      </c>
      <c r="V330" t="n">
        <v>16</v>
      </c>
      <c r="W330" t="n">
        <v>7.129</v>
      </c>
      <c r="X330" t="n">
        <v>1</v>
      </c>
      <c r="Y330" t="n">
        <v>0</v>
      </c>
      <c r="AA330" t="n">
        <v>1</v>
      </c>
      <c r="AB330" t="n">
        <v>3</v>
      </c>
      <c r="AC330" t="n">
        <v>2</v>
      </c>
      <c r="AD330" t="n">
        <v>2</v>
      </c>
      <c r="AE330" t="n">
        <v>0</v>
      </c>
      <c r="AF330" t="n">
        <v>48</v>
      </c>
      <c r="AG330" t="n">
        <v>48</v>
      </c>
      <c r="AH330" t="n">
        <v>0</v>
      </c>
      <c r="AI330" t="n">
        <v>16</v>
      </c>
      <c r="AJ330" t="n">
        <v>0.125</v>
      </c>
      <c r="AK330" t="n">
        <v>0.143</v>
      </c>
      <c r="AL330" t="n">
        <v>10</v>
      </c>
      <c r="AM330" t="n">
        <v>4.455</v>
      </c>
      <c r="AN330" t="n">
        <v>0</v>
      </c>
      <c r="AO330" t="n">
        <v>0</v>
      </c>
      <c r="AP330" t="n">
        <v>0</v>
      </c>
      <c r="AQ330" t="n">
        <v>0</v>
      </c>
      <c r="AR330" t="n">
        <v>0</v>
      </c>
      <c r="AS330" t="n">
        <v>0.053</v>
      </c>
      <c r="AT330" t="n">
        <v>0.333</v>
      </c>
      <c r="AU330" t="n">
        <v>5</v>
      </c>
      <c r="AV330" t="n">
        <v>1</v>
      </c>
      <c r="AW330" t="n">
        <v>1.65</v>
      </c>
      <c r="AX330" t="n">
        <v>10</v>
      </c>
      <c r="AY330" t="n">
        <v>1.21</v>
      </c>
      <c r="AZ330" t="n">
        <v>1.14</v>
      </c>
      <c r="BA330" t="n">
        <v>1.175</v>
      </c>
      <c r="BB330" t="n">
        <v>0.379</v>
      </c>
      <c r="BC330" t="n">
        <v>0.539</v>
      </c>
      <c r="BD330" t="n">
        <v>0.508</v>
      </c>
      <c r="BE330" t="n">
        <v>0.523</v>
      </c>
      <c r="BF330" t="n">
        <v>1.4</v>
      </c>
      <c r="BG330" t="n">
        <v>0.624</v>
      </c>
      <c r="BH330" t="n">
        <v>0.952</v>
      </c>
      <c r="BI330" t="n">
        <v>3.97</v>
      </c>
      <c r="BJ330" t="n">
        <v>1.152</v>
      </c>
      <c r="BK330" t="n">
        <v>0.513</v>
      </c>
      <c r="BL330" t="n">
        <v>-0.175</v>
      </c>
      <c r="BM330" t="n">
        <v>0.19</v>
      </c>
      <c r="BN330" t="n">
        <v>-0.4</v>
      </c>
      <c r="BO330" t="n">
        <v>0.07000000000000001</v>
      </c>
      <c r="BP330" t="n">
        <v>4</v>
      </c>
      <c r="BQ330" t="n">
        <v>2</v>
      </c>
      <c r="BR330" t="n">
        <v>1</v>
      </c>
      <c r="BS330" t="n">
        <v>7</v>
      </c>
      <c r="BT330" t="n">
        <v>3.119</v>
      </c>
      <c r="BU330" t="n">
        <v>1</v>
      </c>
      <c r="BW330" t="n">
        <v>0.18</v>
      </c>
      <c r="BX330" t="n">
        <v>0.15</v>
      </c>
      <c r="BY330" t="n">
        <v>0.165</v>
      </c>
      <c r="BZ330" t="n">
        <v>0.073</v>
      </c>
      <c r="CA330" t="n">
        <v>1.34</v>
      </c>
      <c r="CB330" t="n">
        <v>0.597</v>
      </c>
      <c r="CC330" t="n">
        <v>4</v>
      </c>
      <c r="CE330" t="n">
        <v>4</v>
      </c>
      <c r="CF330" t="n">
        <v>4</v>
      </c>
      <c r="CH330" t="n">
        <v>2</v>
      </c>
      <c r="CI330" t="n">
        <v>0.531</v>
      </c>
      <c r="CJ330" t="n">
        <v>0.114</v>
      </c>
      <c r="CK330" t="n">
        <v>3</v>
      </c>
      <c r="CL330" t="n">
        <v>2</v>
      </c>
      <c r="CM330" t="n">
        <v>5</v>
      </c>
      <c r="CN330" t="n">
        <v>2</v>
      </c>
      <c r="CP330" t="n">
        <v>2</v>
      </c>
      <c r="CQ330" t="n">
        <v>1</v>
      </c>
      <c r="CR330" t="n">
        <v>8</v>
      </c>
      <c r="CS330" t="n">
        <v>2</v>
      </c>
      <c r="CW330" t="n">
        <v>2.53</v>
      </c>
      <c r="CX330" t="n">
        <v>1.127</v>
      </c>
      <c r="CY330" t="n">
        <v>0</v>
      </c>
      <c r="DB330" t="n">
        <v>0</v>
      </c>
      <c r="DF330" t="n">
        <v>0</v>
      </c>
      <c r="DG330" t="n">
        <v>0</v>
      </c>
      <c r="DH330" t="n">
        <v>2</v>
      </c>
      <c r="DI330" t="n">
        <v>1</v>
      </c>
      <c r="DM330" t="n">
        <v>1</v>
      </c>
      <c r="DN330" t="n">
        <v>1</v>
      </c>
      <c r="DO330" t="n">
        <v>0.1</v>
      </c>
      <c r="DP330" t="n">
        <v>0</v>
      </c>
      <c r="DQ330" t="n">
        <v>0</v>
      </c>
      <c r="DR330" t="n">
        <v>0</v>
      </c>
      <c r="DS330" t="n">
        <v>0</v>
      </c>
      <c r="DT330" t="n">
        <v>0</v>
      </c>
      <c r="DU330" t="n">
        <v>0</v>
      </c>
      <c r="DV330" t="inlineStr">
        <is>
          <t>flat</t>
        </is>
      </c>
      <c r="DW330" t="n">
        <v>61.45</v>
      </c>
      <c r="DX330" t="n">
        <v>58.33</v>
      </c>
      <c r="DY330" t="n">
        <v>72.01000000000001</v>
      </c>
      <c r="DZ330" t="n">
        <v>10.56</v>
      </c>
      <c r="EA330" t="n">
        <v>6</v>
      </c>
      <c r="EB330" t="n">
        <v>19.66</v>
      </c>
      <c r="EC330" t="n">
        <v>26.67</v>
      </c>
      <c r="ED330" t="n">
        <v>89</v>
      </c>
      <c r="EE330" t="n">
        <v>13</v>
      </c>
      <c r="EF330" t="b">
        <v>1</v>
      </c>
      <c r="EG330" t="n">
        <v>0.4</v>
      </c>
      <c r="EH330" t="n">
        <v>27.8</v>
      </c>
      <c r="EI330" t="n">
        <v>192</v>
      </c>
      <c r="EJ330" t="n">
        <v>50.5</v>
      </c>
      <c r="EK330" t="n">
        <v>28.9</v>
      </c>
      <c r="EL330" t="n">
        <v>50.5</v>
      </c>
      <c r="EM330" t="n">
        <v>171.9</v>
      </c>
      <c r="EN330" t="n">
        <v>1225.7</v>
      </c>
      <c r="EO330" t="n">
        <v>150.8</v>
      </c>
      <c r="EP330" t="n">
        <v>12.6</v>
      </c>
    </row>
    <row r="331">
      <c r="A331" t="inlineStr">
        <is>
          <t>Tyrique George</t>
        </is>
      </c>
      <c r="B331" t="inlineStr">
        <is>
          <t>EVE</t>
        </is>
      </c>
      <c r="C331" t="inlineStr">
        <is>
          <t>MID</t>
        </is>
      </c>
      <c r="D331" t="inlineStr">
        <is>
          <t>MID</t>
        </is>
      </c>
      <c r="E331" t="n">
        <v>5.5</v>
      </c>
      <c r="F331" t="b">
        <v>1</v>
      </c>
      <c r="G331" t="b">
        <v>1</v>
      </c>
      <c r="H331" t="n">
        <v>20.5</v>
      </c>
      <c r="I331" t="inlineStr">
        <is>
          <t>a</t>
        </is>
      </c>
      <c r="L331" t="inlineStr">
        <is>
          <t>p550615</t>
        </is>
      </c>
      <c r="M331" t="n">
        <v>242</v>
      </c>
      <c r="Q331" t="n">
        <v>351</v>
      </c>
      <c r="R331" t="n">
        <v>15</v>
      </c>
      <c r="S331" t="n">
        <v>1</v>
      </c>
      <c r="T331" t="n">
        <v>3.9</v>
      </c>
      <c r="U331" t="n">
        <v>23.4</v>
      </c>
      <c r="V331" t="n">
        <v>16</v>
      </c>
      <c r="W331" t="n">
        <v>4.103</v>
      </c>
      <c r="X331" t="n">
        <v>0</v>
      </c>
      <c r="Y331" t="n">
        <v>0</v>
      </c>
      <c r="AA331" t="n">
        <v>1</v>
      </c>
      <c r="AB331" t="n">
        <v>9</v>
      </c>
      <c r="AC331" t="n">
        <v>0</v>
      </c>
      <c r="AD331" t="n">
        <v>0</v>
      </c>
      <c r="AE331" t="n">
        <v>0</v>
      </c>
      <c r="AF331" t="n">
        <v>55</v>
      </c>
      <c r="AG331" t="n">
        <v>55</v>
      </c>
      <c r="AH331" t="n">
        <v>0</v>
      </c>
      <c r="AI331" t="n">
        <v>16</v>
      </c>
      <c r="AJ331" t="n">
        <v>0</v>
      </c>
      <c r="AK331" t="n">
        <v>0</v>
      </c>
      <c r="AL331" t="n">
        <v>23</v>
      </c>
      <c r="AM331" t="n">
        <v>5.897</v>
      </c>
      <c r="AN331" t="n">
        <v>0</v>
      </c>
      <c r="AO331" t="n">
        <v>0</v>
      </c>
      <c r="AP331" t="n">
        <v>0</v>
      </c>
      <c r="AQ331" t="n">
        <v>0</v>
      </c>
      <c r="AR331" t="n">
        <v>0</v>
      </c>
      <c r="AS331" t="n">
        <v>0.026</v>
      </c>
      <c r="AT331" t="n">
        <v>0.133</v>
      </c>
      <c r="AU331" t="n">
        <v>14</v>
      </c>
      <c r="AV331" t="n">
        <v>0</v>
      </c>
      <c r="AW331" t="n">
        <v>0.68</v>
      </c>
      <c r="AX331" t="n">
        <v>3</v>
      </c>
      <c r="AY331" t="n">
        <v>0.64</v>
      </c>
      <c r="AZ331" t="n">
        <v>0.829</v>
      </c>
      <c r="BA331" t="n">
        <v>0.734</v>
      </c>
      <c r="BB331" t="n">
        <v>0.829</v>
      </c>
      <c r="BC331" t="n">
        <v>0.164</v>
      </c>
      <c r="BD331" t="n">
        <v>0.213</v>
      </c>
      <c r="BE331" t="n">
        <v>0.188</v>
      </c>
      <c r="BF331" t="n">
        <v>1.3</v>
      </c>
      <c r="BG331" t="n">
        <v>0.333</v>
      </c>
      <c r="BH331" t="n">
        <v>1.109</v>
      </c>
      <c r="BI331" t="n">
        <v>0.84</v>
      </c>
      <c r="BJ331" t="n">
        <v>0.71</v>
      </c>
      <c r="BK331" t="n">
        <v>0.182</v>
      </c>
      <c r="BL331" t="n">
        <v>-0.734</v>
      </c>
      <c r="BM331" t="n">
        <v>0.66</v>
      </c>
      <c r="BN331" t="n">
        <v>-1.3</v>
      </c>
      <c r="BO331" t="n">
        <v>-0.189</v>
      </c>
      <c r="BP331" t="n">
        <v>10</v>
      </c>
      <c r="BQ331" t="n">
        <v>5</v>
      </c>
      <c r="BR331" t="n">
        <v>1</v>
      </c>
      <c r="BS331" t="n">
        <v>20</v>
      </c>
      <c r="BT331" t="n">
        <v>5.128</v>
      </c>
      <c r="BW331" t="n">
        <v>1.19</v>
      </c>
      <c r="BX331" t="n">
        <v>1.342</v>
      </c>
      <c r="BY331" t="n">
        <v>1.266</v>
      </c>
      <c r="BZ331" t="n">
        <v>0.325</v>
      </c>
      <c r="CA331" t="n">
        <v>2</v>
      </c>
      <c r="CB331" t="n">
        <v>0.513</v>
      </c>
      <c r="CC331" t="n">
        <v>3</v>
      </c>
      <c r="CD331" t="n">
        <v>3</v>
      </c>
      <c r="CE331" t="n">
        <v>3</v>
      </c>
      <c r="CF331" t="n">
        <v>5</v>
      </c>
      <c r="CI331" t="n">
        <v>1.662</v>
      </c>
      <c r="CJ331" t="n">
        <v>0.989</v>
      </c>
      <c r="CK331" t="n">
        <v>2</v>
      </c>
      <c r="CL331" t="n">
        <v>14</v>
      </c>
      <c r="CM331" t="n">
        <v>7</v>
      </c>
      <c r="CN331" t="n">
        <v>5</v>
      </c>
      <c r="CO331" t="n">
        <v>2</v>
      </c>
      <c r="CR331" t="n">
        <v>17</v>
      </c>
      <c r="CS331" t="n">
        <v>1</v>
      </c>
      <c r="CV331" t="n">
        <v>1</v>
      </c>
      <c r="CW331" t="n">
        <v>6.49</v>
      </c>
      <c r="CX331" t="n">
        <v>1.664</v>
      </c>
      <c r="CY331" t="n">
        <v>0</v>
      </c>
      <c r="DB331" t="n">
        <v>0</v>
      </c>
      <c r="DF331" t="n">
        <v>2</v>
      </c>
      <c r="DG331" t="n">
        <v>0</v>
      </c>
      <c r="DH331" t="n">
        <v>9</v>
      </c>
      <c r="DI331" t="n">
        <v>2</v>
      </c>
      <c r="DL331" t="n">
        <v>7</v>
      </c>
      <c r="DM331" t="n">
        <v>9</v>
      </c>
      <c r="DN331" t="n">
        <v>4</v>
      </c>
      <c r="DO331" t="n">
        <v>0.3</v>
      </c>
      <c r="DP331" t="n">
        <v>44.95</v>
      </c>
      <c r="DQ331" t="n">
        <v>22.51</v>
      </c>
      <c r="DR331" t="n">
        <v>45.02</v>
      </c>
      <c r="DS331" t="n">
        <v>-0.07000000000000001</v>
      </c>
      <c r="DT331" t="n">
        <v>885</v>
      </c>
      <c r="DU331" t="n">
        <v>23.3</v>
      </c>
      <c r="DV331" t="inlineStr">
        <is>
          <t>flat</t>
        </is>
      </c>
      <c r="DW331" t="n">
        <v>85.83</v>
      </c>
      <c r="DX331" t="n">
        <v>71.67</v>
      </c>
      <c r="DY331" t="n">
        <v>86.93000000000001</v>
      </c>
      <c r="DZ331" t="n">
        <v>1.09</v>
      </c>
      <c r="EA331" t="n">
        <v>29</v>
      </c>
      <c r="EB331" t="n">
        <v>20.88</v>
      </c>
      <c r="EC331" t="n">
        <v>41.78</v>
      </c>
      <c r="ED331" t="n">
        <v>119.2</v>
      </c>
      <c r="EE331" t="n">
        <v>37</v>
      </c>
      <c r="EF331" t="b">
        <v>1</v>
      </c>
      <c r="EG331" t="n">
        <v>0.9</v>
      </c>
      <c r="EH331" t="n">
        <v>11.9</v>
      </c>
      <c r="EI331" t="n">
        <v>194</v>
      </c>
      <c r="EJ331" t="n">
        <v>35.1</v>
      </c>
      <c r="EK331" t="n">
        <v>17.6</v>
      </c>
      <c r="EL331" t="n">
        <v>117</v>
      </c>
      <c r="EM331" t="n">
        <v>477.9</v>
      </c>
      <c r="EN331" t="n">
        <v>277.3</v>
      </c>
      <c r="EO331" t="n">
        <v>175.5</v>
      </c>
      <c r="EP331" t="n">
        <v>21.9</v>
      </c>
    </row>
    <row r="332">
      <c r="A332" t="inlineStr">
        <is>
          <t>Marco Bizot</t>
        </is>
      </c>
      <c r="B332" t="inlineStr">
        <is>
          <t>AVL</t>
        </is>
      </c>
      <c r="C332" t="inlineStr">
        <is>
          <t>GKP</t>
        </is>
      </c>
      <c r="D332" t="inlineStr">
        <is>
          <t>GKP</t>
        </is>
      </c>
      <c r="E332" t="n">
        <v>4.5</v>
      </c>
      <c r="F332" t="b">
        <v>1</v>
      </c>
      <c r="G332" t="b">
        <v>1</v>
      </c>
      <c r="H332" t="n">
        <v>35.4</v>
      </c>
      <c r="I332" t="inlineStr">
        <is>
          <t>a</t>
        </is>
      </c>
      <c r="L332" t="inlineStr">
        <is>
          <t>p72147</t>
        </is>
      </c>
      <c r="M332" t="n">
        <v>29</v>
      </c>
      <c r="Q332" t="n">
        <v>585</v>
      </c>
      <c r="R332" t="n">
        <v>7</v>
      </c>
      <c r="S332" t="n">
        <v>6</v>
      </c>
      <c r="T332" t="n">
        <v>6.5</v>
      </c>
      <c r="U332" t="n">
        <v>83.59999999999999</v>
      </c>
      <c r="V332" t="n">
        <v>16</v>
      </c>
      <c r="W332" t="n">
        <v>2.462</v>
      </c>
      <c r="X332" t="n">
        <v>0</v>
      </c>
      <c r="Y332" t="n">
        <v>0</v>
      </c>
      <c r="AA332" t="n">
        <v>1</v>
      </c>
      <c r="AB332" t="n">
        <v>10</v>
      </c>
      <c r="AC332" t="n">
        <v>0</v>
      </c>
      <c r="AD332" t="n">
        <v>1</v>
      </c>
      <c r="AE332" t="n">
        <v>1</v>
      </c>
      <c r="AF332" t="n">
        <v>75</v>
      </c>
      <c r="AG332" t="n">
        <v>75</v>
      </c>
      <c r="AH332" t="n">
        <v>0</v>
      </c>
      <c r="AI332" t="n">
        <v>17</v>
      </c>
      <c r="AJ332" t="n">
        <v>0</v>
      </c>
      <c r="AK332" t="n">
        <v>0</v>
      </c>
      <c r="AL332" t="n">
        <v>0</v>
      </c>
      <c r="AM332" t="n">
        <v>0</v>
      </c>
      <c r="AN332" t="n">
        <v>0</v>
      </c>
      <c r="AO332" t="n">
        <v>0</v>
      </c>
      <c r="AP332" t="n">
        <v>0</v>
      </c>
      <c r="AQ332" t="n">
        <v>0</v>
      </c>
      <c r="AR332" t="n">
        <v>0</v>
      </c>
      <c r="AS332" t="n">
        <v>0.158</v>
      </c>
      <c r="AT332" t="n">
        <v>0.857</v>
      </c>
      <c r="AU332" t="n">
        <v>5</v>
      </c>
      <c r="AV332" t="n">
        <v>0</v>
      </c>
      <c r="AW332" t="n">
        <v>1.29</v>
      </c>
      <c r="AX332" t="n">
        <v>7</v>
      </c>
      <c r="AY332" t="n">
        <v>0</v>
      </c>
      <c r="AZ332" t="n">
        <v>0</v>
      </c>
      <c r="BA332" t="n">
        <v>0</v>
      </c>
      <c r="BB332" t="n">
        <v>0</v>
      </c>
      <c r="BC332" t="n">
        <v>0</v>
      </c>
      <c r="BD332" t="n">
        <v>0</v>
      </c>
      <c r="BE332" t="n">
        <v>0</v>
      </c>
      <c r="BH332" t="n">
        <v>1</v>
      </c>
      <c r="BI332" t="n">
        <v>0</v>
      </c>
      <c r="BJ332" t="n">
        <v>0</v>
      </c>
      <c r="BK332" t="n">
        <v>0</v>
      </c>
      <c r="BL332" t="n">
        <v>0</v>
      </c>
      <c r="BO332" t="n">
        <v>0</v>
      </c>
      <c r="BW332" t="n">
        <v>0</v>
      </c>
      <c r="BX332" t="n">
        <v>0</v>
      </c>
      <c r="BY332" t="n">
        <v>0</v>
      </c>
      <c r="BZ332" t="n">
        <v>0</v>
      </c>
      <c r="CA332" t="n">
        <v>0</v>
      </c>
      <c r="CB332" t="n">
        <v>0</v>
      </c>
      <c r="CC332" t="n">
        <v>0</v>
      </c>
      <c r="CI332" t="n">
        <v>1.089</v>
      </c>
      <c r="CJ332" t="n">
        <v>1.089</v>
      </c>
      <c r="CK332" t="n">
        <v>10</v>
      </c>
      <c r="CL332" t="n">
        <v>53</v>
      </c>
      <c r="CM332" t="n">
        <v>0</v>
      </c>
      <c r="CP332" t="n">
        <v>10</v>
      </c>
      <c r="CR332" t="n">
        <v>2</v>
      </c>
      <c r="CS332" t="n">
        <v>1</v>
      </c>
      <c r="CU332" t="n">
        <v>1</v>
      </c>
      <c r="CW332" t="n">
        <v>11.02</v>
      </c>
      <c r="CX332" t="n">
        <v>1.695</v>
      </c>
      <c r="CY332" t="n">
        <v>19</v>
      </c>
      <c r="DB332" t="n">
        <v>0</v>
      </c>
      <c r="DC332" t="n">
        <v>7</v>
      </c>
      <c r="DD332" t="n">
        <v>4</v>
      </c>
      <c r="DF332" t="n">
        <v>2</v>
      </c>
      <c r="DG332" t="n">
        <v>0</v>
      </c>
      <c r="DH332" t="n">
        <v>1</v>
      </c>
      <c r="DI332" t="n">
        <v>1</v>
      </c>
      <c r="DK332" t="n">
        <v>1</v>
      </c>
      <c r="DO332" t="n">
        <v>0.1</v>
      </c>
      <c r="DP332" t="n">
        <v>1.52</v>
      </c>
      <c r="DQ332" t="n">
        <v>0.76</v>
      </c>
      <c r="DR332" t="n">
        <v>1.52</v>
      </c>
      <c r="DS332" t="n">
        <v>0</v>
      </c>
      <c r="DT332" t="n">
        <v>35</v>
      </c>
      <c r="DU332" t="n">
        <v>0.91</v>
      </c>
      <c r="DV332" t="inlineStr">
        <is>
          <t>flat</t>
        </is>
      </c>
      <c r="DW332" t="n">
        <v>116.16</v>
      </c>
      <c r="DX332" t="n">
        <v>112.08</v>
      </c>
      <c r="DY332" t="n">
        <v>116.17</v>
      </c>
      <c r="DZ332" t="n">
        <v>0.01</v>
      </c>
      <c r="EA332" t="n">
        <v>107</v>
      </c>
      <c r="EB332" t="n">
        <v>5.59</v>
      </c>
      <c r="EC332" t="n">
        <v>82</v>
      </c>
      <c r="ED332" t="n">
        <v>120</v>
      </c>
      <c r="EE332" t="n">
        <v>137</v>
      </c>
      <c r="EF332" t="b">
        <v>1</v>
      </c>
      <c r="EG332" t="n">
        <v>3.5</v>
      </c>
      <c r="EH332" t="n">
        <v>18.9</v>
      </c>
      <c r="EI332" t="n">
        <v>444</v>
      </c>
      <c r="EP332" t="n">
        <v>36.6</v>
      </c>
    </row>
    <row r="333">
      <c r="A333" t="inlineStr">
        <is>
          <t>Max Dowman</t>
        </is>
      </c>
      <c r="B333" t="inlineStr">
        <is>
          <t>ARS</t>
        </is>
      </c>
      <c r="C333" t="inlineStr">
        <is>
          <t>MID</t>
        </is>
      </c>
      <c r="D333" t="inlineStr">
        <is>
          <t>MID</t>
        </is>
      </c>
      <c r="E333" t="n">
        <v>5.5</v>
      </c>
      <c r="F333" t="b">
        <v>1</v>
      </c>
      <c r="G333" t="b">
        <v>1</v>
      </c>
      <c r="H333" t="n">
        <v>16.6</v>
      </c>
      <c r="I333" t="inlineStr">
        <is>
          <t>a</t>
        </is>
      </c>
      <c r="L333" t="inlineStr">
        <is>
          <t>p616077</t>
        </is>
      </c>
      <c r="M333" t="n">
        <v>20</v>
      </c>
      <c r="Q333" t="n">
        <v>152</v>
      </c>
      <c r="R333" t="n">
        <v>6</v>
      </c>
      <c r="S333" t="n">
        <v>1</v>
      </c>
      <c r="T333" t="n">
        <v>1.689</v>
      </c>
      <c r="U333" t="n">
        <v>25.3</v>
      </c>
      <c r="V333" t="n">
        <v>16</v>
      </c>
      <c r="W333" t="n">
        <v>9.474</v>
      </c>
      <c r="X333" t="n">
        <v>1</v>
      </c>
      <c r="Y333" t="n">
        <v>1</v>
      </c>
      <c r="AA333" t="n">
        <v>1</v>
      </c>
      <c r="AB333" t="n">
        <v>1</v>
      </c>
      <c r="AC333" t="n">
        <v>0</v>
      </c>
      <c r="AD333" t="n">
        <v>0</v>
      </c>
      <c r="AE333" t="n">
        <v>0</v>
      </c>
      <c r="AF333" t="n">
        <v>51</v>
      </c>
      <c r="AG333" t="n">
        <v>51</v>
      </c>
      <c r="AH333" t="n">
        <v>0</v>
      </c>
      <c r="AI333" t="n">
        <v>16</v>
      </c>
      <c r="AJ333" t="n">
        <v>0</v>
      </c>
      <c r="AK333" t="n">
        <v>0</v>
      </c>
      <c r="AL333" t="n">
        <v>16</v>
      </c>
      <c r="AM333" t="n">
        <v>9.474</v>
      </c>
      <c r="AN333" t="n">
        <v>0</v>
      </c>
      <c r="AO333" t="n">
        <v>0</v>
      </c>
      <c r="AP333" t="n">
        <v>0</v>
      </c>
      <c r="AQ333" t="n">
        <v>0</v>
      </c>
      <c r="AR333" t="n">
        <v>0</v>
      </c>
      <c r="AS333" t="n">
        <v>0.026</v>
      </c>
      <c r="AT333" t="n">
        <v>0.167</v>
      </c>
      <c r="AU333" t="n">
        <v>3</v>
      </c>
      <c r="AV333" t="n">
        <v>0</v>
      </c>
      <c r="AW333" t="n">
        <v>1.26</v>
      </c>
      <c r="AX333" t="n">
        <v>6</v>
      </c>
      <c r="AY333" t="n">
        <v>1.19</v>
      </c>
      <c r="AZ333" t="n">
        <v>0.669</v>
      </c>
      <c r="BA333" t="n">
        <v>0.93</v>
      </c>
      <c r="BB333" t="n">
        <v>0.669</v>
      </c>
      <c r="BC333" t="n">
        <v>0.705</v>
      </c>
      <c r="BD333" t="n">
        <v>0.396</v>
      </c>
      <c r="BE333" t="n">
        <v>0.55</v>
      </c>
      <c r="BF333" t="n">
        <v>1</v>
      </c>
      <c r="BG333" t="n">
        <v>0.592</v>
      </c>
      <c r="BH333" t="n">
        <v>0.979</v>
      </c>
      <c r="BI333" t="n">
        <v>1.19</v>
      </c>
      <c r="BJ333" t="n">
        <v>1.165</v>
      </c>
      <c r="BK333" t="n">
        <v>0.6899999999999999</v>
      </c>
      <c r="BL333" t="n">
        <v>0.07000000000000001</v>
      </c>
      <c r="BM333" t="n">
        <v>-0.19</v>
      </c>
      <c r="BN333" t="n">
        <v>0</v>
      </c>
      <c r="BO333" t="n">
        <v>0.521</v>
      </c>
      <c r="BP333" t="n">
        <v>6</v>
      </c>
      <c r="BQ333" t="n">
        <v>1</v>
      </c>
      <c r="BS333" t="n">
        <v>19</v>
      </c>
      <c r="BT333" t="n">
        <v>11.25</v>
      </c>
      <c r="BW333" t="n">
        <v>0.3</v>
      </c>
      <c r="BX333" t="n">
        <v>0.634</v>
      </c>
      <c r="BY333" t="n">
        <v>0.467</v>
      </c>
      <c r="BZ333" t="n">
        <v>0.276</v>
      </c>
      <c r="CA333" t="n">
        <v>1.396</v>
      </c>
      <c r="CB333" t="n">
        <v>0.827</v>
      </c>
      <c r="CC333" t="n">
        <v>4</v>
      </c>
      <c r="CD333" t="n">
        <v>0</v>
      </c>
      <c r="CE333" t="n">
        <v>4</v>
      </c>
      <c r="CF333" t="n">
        <v>1</v>
      </c>
      <c r="CG333" t="n">
        <v>1</v>
      </c>
      <c r="CH333" t="n">
        <v>2</v>
      </c>
      <c r="CI333" t="n">
        <v>1.616</v>
      </c>
      <c r="CJ333" t="n">
        <v>0.48</v>
      </c>
      <c r="CK333" t="n">
        <v>1</v>
      </c>
      <c r="CL333" t="n">
        <v>13</v>
      </c>
      <c r="CM333" t="n">
        <v>2</v>
      </c>
      <c r="CN333" t="n">
        <v>2</v>
      </c>
      <c r="CO333" t="n">
        <v>1</v>
      </c>
      <c r="CR333" t="n">
        <v>15</v>
      </c>
      <c r="CW333" t="n">
        <v>0.88</v>
      </c>
      <c r="CX333" t="n">
        <v>0.521</v>
      </c>
      <c r="CY333" t="n">
        <v>0</v>
      </c>
      <c r="DB333" t="n">
        <v>0</v>
      </c>
      <c r="DF333" t="n">
        <v>0</v>
      </c>
      <c r="DG333" t="n">
        <v>0</v>
      </c>
      <c r="DH333" t="n">
        <v>2</v>
      </c>
      <c r="DI333" t="n">
        <v>7</v>
      </c>
      <c r="DJ333" t="n">
        <v>1</v>
      </c>
      <c r="DL333" t="n">
        <v>6</v>
      </c>
      <c r="DM333" t="n">
        <v>7</v>
      </c>
      <c r="DO333" t="n">
        <v>0.2</v>
      </c>
      <c r="DP333" t="n">
        <v>7.27</v>
      </c>
      <c r="DQ333" t="n">
        <v>3.82</v>
      </c>
      <c r="DR333" t="n">
        <v>7.64</v>
      </c>
      <c r="DS333" t="n">
        <v>-0.37</v>
      </c>
      <c r="DT333" t="n">
        <v>85</v>
      </c>
      <c r="DU333" t="n">
        <v>2.24</v>
      </c>
      <c r="DV333" t="inlineStr">
        <is>
          <t>flat</t>
        </is>
      </c>
      <c r="DW333" t="n">
        <v>83.73</v>
      </c>
      <c r="DX333" t="n">
        <v>80.38</v>
      </c>
      <c r="DY333" t="n">
        <v>86.06999999999999</v>
      </c>
      <c r="DZ333" t="n">
        <v>2.34</v>
      </c>
      <c r="EA333" t="n">
        <v>45</v>
      </c>
      <c r="EB333" t="n">
        <v>26.57</v>
      </c>
      <c r="EC333" t="n">
        <v>12</v>
      </c>
      <c r="ED333" t="n">
        <v>120</v>
      </c>
      <c r="EE333" t="n">
        <v>83</v>
      </c>
      <c r="EF333" t="b">
        <v>1</v>
      </c>
      <c r="EG333" t="n">
        <v>1.9</v>
      </c>
      <c r="EH333" t="n">
        <v>10.8</v>
      </c>
      <c r="EI333" t="n">
        <v>191</v>
      </c>
      <c r="EJ333" t="n">
        <v>25.3</v>
      </c>
      <c r="EK333" t="n">
        <v>8</v>
      </c>
      <c r="EL333" t="n">
        <v>38</v>
      </c>
      <c r="EM333" t="n">
        <v>163.5</v>
      </c>
      <c r="EN333" t="n">
        <v>325.6</v>
      </c>
      <c r="EO333" t="n">
        <v>108.9</v>
      </c>
      <c r="EP333" t="n">
        <v>9.5</v>
      </c>
    </row>
    <row r="334">
      <c r="A334" t="inlineStr">
        <is>
          <t>Harrison Reed</t>
        </is>
      </c>
      <c r="B334" t="inlineStr">
        <is>
          <t>FUL</t>
        </is>
      </c>
      <c r="C334" t="inlineStr">
        <is>
          <t>MID</t>
        </is>
      </c>
      <c r="D334" t="inlineStr">
        <is>
          <t>MID</t>
        </is>
      </c>
      <c r="E334" t="n">
        <v>4.5</v>
      </c>
      <c r="F334" t="b">
        <v>1</v>
      </c>
      <c r="G334" t="b">
        <v>1</v>
      </c>
      <c r="H334" t="n">
        <v>31.6</v>
      </c>
      <c r="I334" t="inlineStr">
        <is>
          <t>a</t>
        </is>
      </c>
      <c r="L334" t="inlineStr">
        <is>
          <t>p153366</t>
        </is>
      </c>
      <c r="M334" t="n">
        <v>270</v>
      </c>
      <c r="Q334" t="n">
        <v>89</v>
      </c>
      <c r="R334" t="n">
        <v>7</v>
      </c>
      <c r="S334" t="n">
        <v>1</v>
      </c>
      <c r="T334" t="n">
        <v>0.989</v>
      </c>
      <c r="U334" t="n">
        <v>12.7</v>
      </c>
      <c r="V334" t="n">
        <v>15</v>
      </c>
      <c r="W334" t="n">
        <v>15.169</v>
      </c>
      <c r="X334" t="n">
        <v>1</v>
      </c>
      <c r="Y334" t="n">
        <v>0</v>
      </c>
      <c r="AA334" t="n">
        <v>0</v>
      </c>
      <c r="AB334" t="n">
        <v>4</v>
      </c>
      <c r="AC334" t="n">
        <v>2</v>
      </c>
      <c r="AD334" t="n">
        <v>2</v>
      </c>
      <c r="AE334" t="n">
        <v>0</v>
      </c>
      <c r="AF334" t="n">
        <v>48</v>
      </c>
      <c r="AG334" t="n">
        <v>48</v>
      </c>
      <c r="AH334" t="n">
        <v>0</v>
      </c>
      <c r="AI334" t="n">
        <v>15</v>
      </c>
      <c r="AJ334" t="n">
        <v>0.133</v>
      </c>
      <c r="AK334" t="n">
        <v>0.154</v>
      </c>
      <c r="AL334" t="n">
        <v>6</v>
      </c>
      <c r="AM334" t="n">
        <v>6.067</v>
      </c>
      <c r="AN334" t="n">
        <v>0</v>
      </c>
      <c r="AO334" t="n">
        <v>0</v>
      </c>
      <c r="AP334" t="n">
        <v>0</v>
      </c>
      <c r="AQ334" t="n">
        <v>0</v>
      </c>
      <c r="AR334" t="n">
        <v>0</v>
      </c>
      <c r="AS334" t="n">
        <v>0.026</v>
      </c>
      <c r="AT334" t="n">
        <v>0.143</v>
      </c>
      <c r="AU334" t="n">
        <v>6</v>
      </c>
      <c r="AV334" t="n">
        <v>0</v>
      </c>
      <c r="AW334" t="n">
        <v>1.35</v>
      </c>
      <c r="AX334" t="n">
        <v>8</v>
      </c>
      <c r="AY334" t="n">
        <v>0.13</v>
      </c>
      <c r="AZ334" t="n">
        <v>0.08699999999999999</v>
      </c>
      <c r="BA334" t="n">
        <v>0.108</v>
      </c>
      <c r="BB334" t="n">
        <v>0.08699999999999999</v>
      </c>
      <c r="BC334" t="n">
        <v>0.131</v>
      </c>
      <c r="BD334" t="n">
        <v>0.08799999999999999</v>
      </c>
      <c r="BE334" t="n">
        <v>0.11</v>
      </c>
      <c r="BF334" t="n">
        <v>0.8</v>
      </c>
      <c r="BG334" t="n">
        <v>0.8090000000000001</v>
      </c>
      <c r="BH334" t="n">
        <v>1.179</v>
      </c>
      <c r="BI334" t="n">
        <v>2.6</v>
      </c>
      <c r="BJ334" t="n">
        <v>0.153</v>
      </c>
      <c r="BK334" t="n">
        <v>0.155</v>
      </c>
      <c r="BL334" t="n">
        <v>0.892</v>
      </c>
      <c r="BM334" t="n">
        <v>0.67</v>
      </c>
      <c r="BN334" t="n">
        <v>0.2</v>
      </c>
      <c r="BO334" t="n">
        <v>0.043</v>
      </c>
      <c r="BP334" t="n">
        <v>2</v>
      </c>
      <c r="BQ334" t="n">
        <v>1</v>
      </c>
      <c r="BS334" t="n">
        <v>1</v>
      </c>
      <c r="BT334" t="n">
        <v>1.011</v>
      </c>
      <c r="BW334" t="n">
        <v>0.45</v>
      </c>
      <c r="BX334" t="n">
        <v>0.403</v>
      </c>
      <c r="BY334" t="n">
        <v>0.426</v>
      </c>
      <c r="BZ334" t="n">
        <v>0.431</v>
      </c>
      <c r="CA334" t="n">
        <v>0.535</v>
      </c>
      <c r="CB334" t="n">
        <v>0.541</v>
      </c>
      <c r="CC334" t="n">
        <v>3</v>
      </c>
      <c r="CD334" t="n">
        <v>0</v>
      </c>
      <c r="CE334" t="n">
        <v>3</v>
      </c>
      <c r="CF334" t="n">
        <v>3</v>
      </c>
      <c r="CH334" t="n">
        <v>3</v>
      </c>
      <c r="CI334" t="n">
        <v>0.404</v>
      </c>
      <c r="CJ334" t="n">
        <v>0.269</v>
      </c>
      <c r="CK334" t="n">
        <v>1</v>
      </c>
      <c r="CL334" t="n">
        <v>5</v>
      </c>
      <c r="CM334" t="n">
        <v>0</v>
      </c>
      <c r="CP334" t="n">
        <v>1</v>
      </c>
      <c r="CR334" t="n">
        <v>2</v>
      </c>
      <c r="CS334" t="n">
        <v>1</v>
      </c>
      <c r="CW334" t="n">
        <v>3.43</v>
      </c>
      <c r="CX334" t="n">
        <v>3.469</v>
      </c>
      <c r="CY334" t="n">
        <v>0</v>
      </c>
      <c r="DB334" t="n">
        <v>0</v>
      </c>
      <c r="DF334" t="n">
        <v>0</v>
      </c>
      <c r="DG334" t="n">
        <v>0</v>
      </c>
      <c r="DH334" t="n">
        <v>2</v>
      </c>
      <c r="DI334" t="n">
        <v>1</v>
      </c>
      <c r="DO334" t="n">
        <v>1.1</v>
      </c>
      <c r="DP334" t="n">
        <v>8.640000000000001</v>
      </c>
      <c r="DQ334" t="n">
        <v>4.34</v>
      </c>
      <c r="DR334" t="n">
        <v>8.68</v>
      </c>
      <c r="DS334" t="n">
        <v>-0.04</v>
      </c>
      <c r="DT334" t="n">
        <v>46</v>
      </c>
      <c r="DU334" t="n">
        <v>1.21</v>
      </c>
      <c r="DV334" t="inlineStr">
        <is>
          <t>flat</t>
        </is>
      </c>
      <c r="DW334" t="n">
        <v>77.33</v>
      </c>
      <c r="EC334" t="n">
        <v>77.33</v>
      </c>
      <c r="ED334" t="n">
        <v>77.33</v>
      </c>
      <c r="EE334" t="n">
        <v>1</v>
      </c>
      <c r="EF334" t="b">
        <v>0</v>
      </c>
      <c r="EG334" t="n">
        <v>0</v>
      </c>
      <c r="EH334" t="n">
        <v>0</v>
      </c>
      <c r="EI334" t="n">
        <v>446</v>
      </c>
      <c r="EJ334" t="n">
        <v>44.5</v>
      </c>
      <c r="EK334" t="n">
        <v>89</v>
      </c>
      <c r="EL334" t="n">
        <v>29.7</v>
      </c>
      <c r="EM334" t="n">
        <v>821.8</v>
      </c>
      <c r="EN334" t="n">
        <v>208.7</v>
      </c>
      <c r="EO334" t="n">
        <v>166.4</v>
      </c>
      <c r="EP334" t="n">
        <v>5.9</v>
      </c>
    </row>
    <row r="335">
      <c r="A335" t="inlineStr">
        <is>
          <t>Romaine Mundle</t>
        </is>
      </c>
      <c r="B335" t="inlineStr">
        <is>
          <t>SUN</t>
        </is>
      </c>
      <c r="C335" t="inlineStr">
        <is>
          <t>MID</t>
        </is>
      </c>
      <c r="D335" t="inlineStr">
        <is>
          <t>MID</t>
        </is>
      </c>
      <c r="E335" t="n">
        <v>5</v>
      </c>
      <c r="F335" t="b">
        <v>1</v>
      </c>
      <c r="G335" t="b">
        <v>1</v>
      </c>
      <c r="H335" t="n">
        <v>23.3</v>
      </c>
      <c r="I335" t="inlineStr">
        <is>
          <t>a</t>
        </is>
      </c>
      <c r="L335" t="inlineStr">
        <is>
          <t>p461199</t>
        </is>
      </c>
      <c r="M335" t="n">
        <v>547</v>
      </c>
      <c r="Q335" t="n">
        <v>399</v>
      </c>
      <c r="R335" t="n">
        <v>14</v>
      </c>
      <c r="S335" t="n">
        <v>2</v>
      </c>
      <c r="T335" t="n">
        <v>4.433</v>
      </c>
      <c r="U335" t="n">
        <v>28.5</v>
      </c>
      <c r="V335" t="n">
        <v>14</v>
      </c>
      <c r="W335" t="n">
        <v>3.158</v>
      </c>
      <c r="X335" t="n">
        <v>0</v>
      </c>
      <c r="Y335" t="n">
        <v>0</v>
      </c>
      <c r="AA335" t="n">
        <v>0</v>
      </c>
      <c r="AB335" t="n">
        <v>11</v>
      </c>
      <c r="AC335" t="n">
        <v>0</v>
      </c>
      <c r="AD335" t="n">
        <v>0</v>
      </c>
      <c r="AE335" t="n">
        <v>0</v>
      </c>
      <c r="AF335" t="n">
        <v>42</v>
      </c>
      <c r="AG335" t="n">
        <v>41</v>
      </c>
      <c r="AH335" t="n">
        <v>-1</v>
      </c>
      <c r="AI335" t="n">
        <v>14</v>
      </c>
      <c r="AJ335" t="n">
        <v>0</v>
      </c>
      <c r="AK335" t="n">
        <v>0</v>
      </c>
      <c r="AL335" t="n">
        <v>33</v>
      </c>
      <c r="AM335" t="n">
        <v>7.444</v>
      </c>
      <c r="AN335" t="n">
        <v>0</v>
      </c>
      <c r="AO335" t="n">
        <v>0</v>
      </c>
      <c r="AP335" t="n">
        <v>0</v>
      </c>
      <c r="AQ335" t="n">
        <v>0</v>
      </c>
      <c r="AR335" t="n">
        <v>0</v>
      </c>
      <c r="AS335" t="n">
        <v>0.053</v>
      </c>
      <c r="AT335" t="n">
        <v>0.07099999999999999</v>
      </c>
      <c r="AU335" t="n">
        <v>14</v>
      </c>
      <c r="AV335" t="n">
        <v>0</v>
      </c>
      <c r="AW335" t="n">
        <v>0.54</v>
      </c>
      <c r="AX335" t="n">
        <v>2</v>
      </c>
      <c r="AY335" t="n">
        <v>0.87</v>
      </c>
      <c r="AZ335" t="n">
        <v>0.673</v>
      </c>
      <c r="BA335" t="n">
        <v>0.772</v>
      </c>
      <c r="BB335" t="n">
        <v>0.673</v>
      </c>
      <c r="BC335" t="n">
        <v>0.196</v>
      </c>
      <c r="BD335" t="n">
        <v>0.152</v>
      </c>
      <c r="BE335" t="n">
        <v>0.174</v>
      </c>
      <c r="BF335" t="n">
        <v>0.1</v>
      </c>
      <c r="BG335" t="n">
        <v>0.023</v>
      </c>
      <c r="BH335" t="n">
        <v>0.913</v>
      </c>
      <c r="BI335" t="n">
        <v>0.87</v>
      </c>
      <c r="BJ335" t="n">
        <v>0.794</v>
      </c>
      <c r="BK335" t="n">
        <v>0.179</v>
      </c>
      <c r="BL335" t="n">
        <v>-0.772</v>
      </c>
      <c r="BM335" t="n">
        <v>-0.77</v>
      </c>
      <c r="BN335" t="n">
        <v>-0.1</v>
      </c>
      <c r="BO335" t="n">
        <v>0.197</v>
      </c>
      <c r="BP335" t="n">
        <v>7</v>
      </c>
      <c r="BQ335" t="n">
        <v>2</v>
      </c>
      <c r="BR335" t="n">
        <v>1</v>
      </c>
      <c r="BS335" t="n">
        <v>18</v>
      </c>
      <c r="BT335" t="n">
        <v>4.06</v>
      </c>
      <c r="BW335" t="n">
        <v>0.48</v>
      </c>
      <c r="BX335" t="n">
        <v>0.017</v>
      </c>
      <c r="BY335" t="n">
        <v>0.249</v>
      </c>
      <c r="BZ335" t="n">
        <v>0.056</v>
      </c>
      <c r="CA335" t="n">
        <v>1.02</v>
      </c>
      <c r="CB335" t="n">
        <v>0.23</v>
      </c>
      <c r="CC335" t="n">
        <v>1</v>
      </c>
      <c r="CE335" t="n">
        <v>1</v>
      </c>
      <c r="CF335" t="n">
        <v>2</v>
      </c>
      <c r="CH335" t="n">
        <v>1</v>
      </c>
      <c r="CI335" t="n">
        <v>1.284</v>
      </c>
      <c r="CJ335" t="n">
        <v>0.611</v>
      </c>
      <c r="CK335" t="n">
        <v>6</v>
      </c>
      <c r="CL335" t="n">
        <v>22</v>
      </c>
      <c r="CM335" t="n">
        <v>5</v>
      </c>
      <c r="CN335" t="n">
        <v>5</v>
      </c>
      <c r="CO335" t="n">
        <v>1</v>
      </c>
      <c r="CP335" t="n">
        <v>6</v>
      </c>
      <c r="CR335" t="n">
        <v>24</v>
      </c>
      <c r="CS335" t="n">
        <v>5</v>
      </c>
      <c r="CW335" t="n">
        <v>8.539999999999999</v>
      </c>
      <c r="CX335" t="n">
        <v>1.926</v>
      </c>
      <c r="CY335" t="n">
        <v>0</v>
      </c>
      <c r="DB335" t="n">
        <v>0</v>
      </c>
      <c r="DF335" t="n">
        <v>1</v>
      </c>
      <c r="DG335" t="n">
        <v>0</v>
      </c>
      <c r="DH335" t="n">
        <v>7</v>
      </c>
      <c r="DI335" t="n">
        <v>8</v>
      </c>
      <c r="DL335" t="n">
        <v>7</v>
      </c>
      <c r="DM335" t="n">
        <v>14</v>
      </c>
      <c r="DO335" t="n">
        <v>0</v>
      </c>
      <c r="DP335" t="n">
        <v>21.46</v>
      </c>
      <c r="DQ335" t="n">
        <v>10.73</v>
      </c>
      <c r="DR335" t="n">
        <v>21.46</v>
      </c>
      <c r="DS335" t="n">
        <v>0</v>
      </c>
      <c r="DT335" t="n">
        <v>52</v>
      </c>
      <c r="DU335" t="n">
        <v>1.38</v>
      </c>
      <c r="DV335" t="inlineStr">
        <is>
          <t>flat</t>
        </is>
      </c>
      <c r="DW335" t="n">
        <v>4</v>
      </c>
      <c r="DX335" t="n">
        <v>4</v>
      </c>
      <c r="EC335" t="n">
        <v>4</v>
      </c>
      <c r="ED335" t="n">
        <v>4</v>
      </c>
      <c r="EE335" t="n">
        <v>1</v>
      </c>
      <c r="EF335" t="b">
        <v>0</v>
      </c>
      <c r="EG335" t="n">
        <v>0</v>
      </c>
      <c r="EH335" t="n">
        <v>50</v>
      </c>
      <c r="EI335" t="n">
        <v>308</v>
      </c>
      <c r="EJ335" t="n">
        <v>57</v>
      </c>
      <c r="EK335" t="n">
        <v>22.2</v>
      </c>
      <c r="EL335" t="n">
        <v>399</v>
      </c>
      <c r="EM335" t="n">
        <v>517</v>
      </c>
      <c r="EN335" t="n">
        <v>1605.2</v>
      </c>
      <c r="EO335" t="n">
        <v>391.1</v>
      </c>
      <c r="EP335" t="n">
        <v>28.5</v>
      </c>
    </row>
    <row r="336">
      <c r="A336" t="inlineStr">
        <is>
          <t>Ethan Pinnock</t>
        </is>
      </c>
      <c r="B336" t="inlineStr">
        <is>
          <t>BRE</t>
        </is>
      </c>
      <c r="C336" t="inlineStr">
        <is>
          <t>DEF</t>
        </is>
      </c>
      <c r="D336" t="inlineStr">
        <is>
          <t>DEF</t>
        </is>
      </c>
      <c r="E336" t="n">
        <v>4.5</v>
      </c>
      <c r="F336" t="b">
        <v>1</v>
      </c>
      <c r="G336" t="b">
        <v>1</v>
      </c>
      <c r="H336" t="n">
        <v>33.2</v>
      </c>
      <c r="I336" t="inlineStr">
        <is>
          <t>a</t>
        </is>
      </c>
      <c r="L336" t="inlineStr">
        <is>
          <t>p231065</t>
        </is>
      </c>
      <c r="M336" t="n">
        <v>91</v>
      </c>
      <c r="Q336" t="n">
        <v>318</v>
      </c>
      <c r="R336" t="n">
        <v>4</v>
      </c>
      <c r="S336" t="n">
        <v>4</v>
      </c>
      <c r="T336" t="n">
        <v>3.533</v>
      </c>
      <c r="U336" t="n">
        <v>79.5</v>
      </c>
      <c r="V336" t="n">
        <v>14</v>
      </c>
      <c r="W336" t="n">
        <v>3.962</v>
      </c>
      <c r="X336" t="n">
        <v>0</v>
      </c>
      <c r="Y336" t="n">
        <v>0</v>
      </c>
      <c r="AA336" t="n">
        <v>1</v>
      </c>
      <c r="AB336" t="n">
        <v>5</v>
      </c>
      <c r="AC336" t="n">
        <v>2</v>
      </c>
      <c r="AD336" t="n">
        <v>2</v>
      </c>
      <c r="AE336" t="n">
        <v>0</v>
      </c>
      <c r="AF336" t="n">
        <v>53</v>
      </c>
      <c r="AG336" t="n">
        <v>47</v>
      </c>
      <c r="AH336" t="n">
        <v>-6</v>
      </c>
      <c r="AI336" t="n">
        <v>14</v>
      </c>
      <c r="AJ336" t="n">
        <v>0.143</v>
      </c>
      <c r="AK336" t="n">
        <v>0.167</v>
      </c>
      <c r="AL336" t="n">
        <v>42</v>
      </c>
      <c r="AM336" t="n">
        <v>11.887</v>
      </c>
      <c r="AN336" t="n">
        <v>2</v>
      </c>
      <c r="AO336" t="n">
        <v>4</v>
      </c>
      <c r="AP336" t="n">
        <v>0.5</v>
      </c>
      <c r="AQ336" t="n">
        <v>0.5</v>
      </c>
      <c r="AR336" t="n">
        <v>0.5</v>
      </c>
      <c r="AS336" t="n">
        <v>0.105</v>
      </c>
      <c r="AT336" t="n">
        <v>1</v>
      </c>
      <c r="AU336" t="n">
        <v>2</v>
      </c>
      <c r="AV336" t="n">
        <v>1</v>
      </c>
      <c r="AW336" t="n">
        <v>1.75</v>
      </c>
      <c r="AX336" t="n">
        <v>10</v>
      </c>
      <c r="AY336" t="n">
        <v>0.01</v>
      </c>
      <c r="AZ336" t="n">
        <v>0.008999999999999999</v>
      </c>
      <c r="BA336" t="n">
        <v>0.01</v>
      </c>
      <c r="BB336" t="n">
        <v>0.008999999999999999</v>
      </c>
      <c r="BC336" t="n">
        <v>0.003</v>
      </c>
      <c r="BD336" t="n">
        <v>0.003</v>
      </c>
      <c r="BE336" t="n">
        <v>0.003</v>
      </c>
      <c r="BF336" t="n">
        <v>0.1</v>
      </c>
      <c r="BG336" t="n">
        <v>0.028</v>
      </c>
      <c r="BH336" t="n">
        <v>1.034</v>
      </c>
      <c r="BI336" t="n">
        <v>5.83</v>
      </c>
      <c r="BJ336" t="n">
        <v>0.01</v>
      </c>
      <c r="BK336" t="n">
        <v>0.003</v>
      </c>
      <c r="BL336" t="n">
        <v>-0.01</v>
      </c>
      <c r="BM336" t="n">
        <v>0.09</v>
      </c>
      <c r="BN336" t="n">
        <v>-0.1</v>
      </c>
      <c r="BO336" t="n">
        <v>0.001</v>
      </c>
      <c r="BP336" t="n">
        <v>1</v>
      </c>
      <c r="BQ336" t="n">
        <v>1</v>
      </c>
      <c r="BS336" t="n">
        <v>9</v>
      </c>
      <c r="BT336" t="n">
        <v>2.547</v>
      </c>
      <c r="BW336" t="n">
        <v>0.06</v>
      </c>
      <c r="BX336" t="n">
        <v>0</v>
      </c>
      <c r="BY336" t="n">
        <v>0.03</v>
      </c>
      <c r="BZ336" t="n">
        <v>0.008</v>
      </c>
      <c r="CA336" t="n">
        <v>0.04</v>
      </c>
      <c r="CB336" t="n">
        <v>0.011</v>
      </c>
      <c r="CC336" t="n">
        <v>0</v>
      </c>
      <c r="CE336" t="n">
        <v>0</v>
      </c>
      <c r="CI336" t="n">
        <v>0.109</v>
      </c>
      <c r="CJ336" t="n">
        <v>0.109</v>
      </c>
      <c r="CK336" t="n">
        <v>37</v>
      </c>
      <c r="CL336" t="n">
        <v>11</v>
      </c>
      <c r="CM336" t="n">
        <v>5</v>
      </c>
      <c r="CN336" t="n">
        <v>4</v>
      </c>
      <c r="CO336" t="n">
        <v>5</v>
      </c>
      <c r="CP336" t="n">
        <v>27</v>
      </c>
      <c r="CQ336" t="n">
        <v>5</v>
      </c>
      <c r="CR336" t="n">
        <v>20</v>
      </c>
      <c r="CS336" t="n">
        <v>13</v>
      </c>
      <c r="CW336" t="n">
        <v>3.7</v>
      </c>
      <c r="CX336" t="n">
        <v>1.047</v>
      </c>
      <c r="CY336" t="n">
        <v>0</v>
      </c>
      <c r="DB336" t="n">
        <v>0</v>
      </c>
      <c r="DF336" t="n">
        <v>1</v>
      </c>
      <c r="DG336" t="n">
        <v>0</v>
      </c>
      <c r="DI336" t="n">
        <v>2</v>
      </c>
      <c r="DL336" t="n">
        <v>1</v>
      </c>
      <c r="DM336" t="n">
        <v>1</v>
      </c>
      <c r="DO336" t="n">
        <v>0.1</v>
      </c>
      <c r="DP336" t="n">
        <v>1.16</v>
      </c>
      <c r="DQ336" t="n">
        <v>1.16</v>
      </c>
      <c r="DR336" t="n">
        <v>2.32</v>
      </c>
      <c r="DS336" t="n">
        <v>-1.16</v>
      </c>
      <c r="DT336" t="n">
        <v>0</v>
      </c>
      <c r="DU336" t="n">
        <v>0</v>
      </c>
      <c r="DV336" t="inlineStr">
        <is>
          <t>flat</t>
        </is>
      </c>
      <c r="DW336" t="n">
        <v>86.27</v>
      </c>
      <c r="DX336" t="n">
        <v>98</v>
      </c>
      <c r="DY336" t="n">
        <v>83.72</v>
      </c>
      <c r="DZ336" t="n">
        <v>-2.56</v>
      </c>
      <c r="EA336" t="n">
        <v>5</v>
      </c>
      <c r="EB336" t="n">
        <v>36.57</v>
      </c>
      <c r="EC336" t="n">
        <v>8.67</v>
      </c>
      <c r="ED336" t="n">
        <v>119</v>
      </c>
      <c r="EE336" t="n">
        <v>10</v>
      </c>
      <c r="EF336" t="b">
        <v>1</v>
      </c>
      <c r="EG336" t="n">
        <v>0.2</v>
      </c>
      <c r="EH336" t="n">
        <v>0</v>
      </c>
      <c r="EI336" t="n">
        <v>447</v>
      </c>
      <c r="EJ336" t="n">
        <v>318</v>
      </c>
      <c r="EK336" t="n">
        <v>35.3</v>
      </c>
      <c r="EM336" t="n">
        <v>33133.6</v>
      </c>
      <c r="EN336" t="n">
        <v>10600</v>
      </c>
      <c r="EO336" t="n">
        <v>8030.8</v>
      </c>
      <c r="EP336" t="n">
        <v>22.7</v>
      </c>
    </row>
    <row r="337">
      <c r="A337" t="inlineStr">
        <is>
          <t>Marc Guiu</t>
        </is>
      </c>
      <c r="B337" t="inlineStr">
        <is>
          <t>CHE</t>
        </is>
      </c>
      <c r="C337" t="inlineStr">
        <is>
          <t>FWD</t>
        </is>
      </c>
      <c r="D337" t="inlineStr">
        <is>
          <t>FWD</t>
        </is>
      </c>
      <c r="E337" t="n">
        <v>5</v>
      </c>
      <c r="F337" t="b">
        <v>1</v>
      </c>
      <c r="G337" t="b">
        <v>1</v>
      </c>
      <c r="H337" t="n">
        <v>20.6</v>
      </c>
      <c r="I337" t="inlineStr">
        <is>
          <t>a</t>
        </is>
      </c>
      <c r="L337" t="inlineStr">
        <is>
          <t>p499309</t>
        </is>
      </c>
      <c r="M337" t="n">
        <v>168</v>
      </c>
      <c r="Q337" t="n">
        <v>265</v>
      </c>
      <c r="R337" t="n">
        <v>10</v>
      </c>
      <c r="S337" t="n">
        <v>1</v>
      </c>
      <c r="T337" t="n">
        <v>2.944</v>
      </c>
      <c r="U337" t="n">
        <v>26.5</v>
      </c>
      <c r="V337" t="n">
        <v>13</v>
      </c>
      <c r="W337" t="n">
        <v>4.415</v>
      </c>
      <c r="X337" t="n">
        <v>0</v>
      </c>
      <c r="Y337" t="n">
        <v>1</v>
      </c>
      <c r="Z337" t="n">
        <v>1</v>
      </c>
      <c r="AA337" t="n">
        <v>0</v>
      </c>
      <c r="AB337" t="n">
        <v>3</v>
      </c>
      <c r="AC337" t="n">
        <v>0</v>
      </c>
      <c r="AD337" t="n">
        <v>0</v>
      </c>
      <c r="AE337" t="n">
        <v>0</v>
      </c>
      <c r="AF337" t="n">
        <v>19</v>
      </c>
      <c r="AG337" t="n">
        <v>18</v>
      </c>
      <c r="AH337" t="n">
        <v>-1</v>
      </c>
      <c r="AI337" t="n">
        <v>13</v>
      </c>
      <c r="AJ337" t="n">
        <v>0</v>
      </c>
      <c r="AK337" t="n">
        <v>0</v>
      </c>
      <c r="AL337" t="n">
        <v>8</v>
      </c>
      <c r="AM337" t="n">
        <v>2.717</v>
      </c>
      <c r="AN337" t="n">
        <v>0</v>
      </c>
      <c r="AO337" t="n">
        <v>0</v>
      </c>
      <c r="AP337" t="n">
        <v>0</v>
      </c>
      <c r="AQ337" t="n">
        <v>0</v>
      </c>
      <c r="AR337" t="n">
        <v>0</v>
      </c>
      <c r="AS337" t="n">
        <v>0.026</v>
      </c>
      <c r="AT337" t="n">
        <v>0.1</v>
      </c>
      <c r="AU337" t="n">
        <v>9</v>
      </c>
      <c r="AV337" t="n">
        <v>0</v>
      </c>
      <c r="AW337" t="n">
        <v>0.78</v>
      </c>
      <c r="AX337" t="n">
        <v>4</v>
      </c>
      <c r="AY337" t="n">
        <v>1.54</v>
      </c>
      <c r="AZ337" t="n">
        <v>2.507</v>
      </c>
      <c r="BA337" t="n">
        <v>2.024</v>
      </c>
      <c r="BB337" t="n">
        <v>2.507</v>
      </c>
      <c r="BC337" t="n">
        <v>0.523</v>
      </c>
      <c r="BD337" t="n">
        <v>0.851</v>
      </c>
      <c r="BE337" t="n">
        <v>0.6870000000000001</v>
      </c>
      <c r="BF337" t="n">
        <v>0.1</v>
      </c>
      <c r="BG337" t="n">
        <v>0.034</v>
      </c>
      <c r="BH337" t="n">
        <v>0.849</v>
      </c>
      <c r="BI337" t="n">
        <v>1.54</v>
      </c>
      <c r="BJ337" t="n">
        <v>1.308</v>
      </c>
      <c r="BK337" t="n">
        <v>0.444</v>
      </c>
      <c r="BL337" t="n">
        <v>-2.024</v>
      </c>
      <c r="BM337" t="n">
        <v>-1.44</v>
      </c>
      <c r="BN337" t="n">
        <v>-0.1</v>
      </c>
      <c r="BO337" t="n">
        <v>-0.967</v>
      </c>
      <c r="BP337" t="n">
        <v>13</v>
      </c>
      <c r="BQ337" t="n">
        <v>2</v>
      </c>
      <c r="BR337" t="n">
        <v>3</v>
      </c>
      <c r="BS337" t="n">
        <v>16</v>
      </c>
      <c r="BT337" t="n">
        <v>5.434</v>
      </c>
      <c r="BW337" t="n">
        <v>0.29</v>
      </c>
      <c r="BX337" t="n">
        <v>0.759</v>
      </c>
      <c r="BY337" t="n">
        <v>0.524</v>
      </c>
      <c r="BZ337" t="n">
        <v>0.178</v>
      </c>
      <c r="CA337" t="n">
        <v>2.548</v>
      </c>
      <c r="CB337" t="n">
        <v>0.865</v>
      </c>
      <c r="CC337" t="n">
        <v>3</v>
      </c>
      <c r="CD337" t="n">
        <v>1</v>
      </c>
      <c r="CE337" t="n">
        <v>3</v>
      </c>
      <c r="CI337" t="n">
        <v>3.278</v>
      </c>
      <c r="CJ337" t="n">
        <v>0.123</v>
      </c>
      <c r="CK337" t="n">
        <v>4</v>
      </c>
      <c r="CL337" t="n">
        <v>4</v>
      </c>
      <c r="CM337" t="n">
        <v>0</v>
      </c>
      <c r="CP337" t="n">
        <v>4</v>
      </c>
      <c r="CR337" t="n">
        <v>8</v>
      </c>
      <c r="CS337" t="n">
        <v>5</v>
      </c>
      <c r="CW337" t="n">
        <v>5.89</v>
      </c>
      <c r="CX337" t="n">
        <v>2</v>
      </c>
      <c r="CY337" t="n">
        <v>0</v>
      </c>
      <c r="DB337" t="n">
        <v>0</v>
      </c>
      <c r="DF337" t="n">
        <v>1</v>
      </c>
      <c r="DG337" t="n">
        <v>0</v>
      </c>
      <c r="DH337" t="n">
        <v>10</v>
      </c>
      <c r="DI337" t="n">
        <v>2</v>
      </c>
      <c r="DL337" t="n">
        <v>1</v>
      </c>
      <c r="DM337" t="n">
        <v>1</v>
      </c>
      <c r="DN337" t="n">
        <v>2</v>
      </c>
      <c r="DO337" t="n">
        <v>0.4</v>
      </c>
      <c r="DP337" t="n">
        <v>0</v>
      </c>
      <c r="DQ337" t="n">
        <v>0</v>
      </c>
      <c r="DR337" t="n">
        <v>0</v>
      </c>
      <c r="DS337" t="n">
        <v>0</v>
      </c>
      <c r="DT337" t="n">
        <v>0</v>
      </c>
      <c r="DU337" t="n">
        <v>0</v>
      </c>
      <c r="DV337" t="inlineStr">
        <is>
          <t>flat</t>
        </is>
      </c>
      <c r="DW337" t="n">
        <v>94.34999999999999</v>
      </c>
      <c r="DX337" t="n">
        <v>107.29</v>
      </c>
      <c r="DY337" t="n">
        <v>90</v>
      </c>
      <c r="DZ337" t="n">
        <v>-4.35</v>
      </c>
      <c r="EA337" t="n">
        <v>27</v>
      </c>
      <c r="EB337" t="n">
        <v>29.46</v>
      </c>
      <c r="EC337" t="n">
        <v>16.8</v>
      </c>
      <c r="ED337" t="n">
        <v>119.5</v>
      </c>
      <c r="EE337" t="n">
        <v>37</v>
      </c>
      <c r="EF337" t="b">
        <v>1</v>
      </c>
      <c r="EG337" t="n">
        <v>0.9</v>
      </c>
      <c r="EH337" t="n">
        <v>15.9</v>
      </c>
      <c r="EI337" t="n">
        <v>311</v>
      </c>
      <c r="EJ337" t="n">
        <v>20.4</v>
      </c>
      <c r="EK337" t="n">
        <v>16.6</v>
      </c>
      <c r="EL337" t="n">
        <v>88.3</v>
      </c>
      <c r="EM337" t="n">
        <v>131</v>
      </c>
      <c r="EN337" t="n">
        <v>505.4</v>
      </c>
      <c r="EO337" t="n">
        <v>104</v>
      </c>
      <c r="EP337" t="n">
        <v>20.4</v>
      </c>
    </row>
    <row r="338">
      <c r="A338" t="inlineStr">
        <is>
          <t>Jair Cunha</t>
        </is>
      </c>
      <c r="B338" t="inlineStr">
        <is>
          <t>NFO</t>
        </is>
      </c>
      <c r="C338" t="inlineStr">
        <is>
          <t>DEF</t>
        </is>
      </c>
      <c r="D338" t="inlineStr">
        <is>
          <t>DEF</t>
        </is>
      </c>
      <c r="E338" t="n">
        <v>4.5</v>
      </c>
      <c r="F338" t="b">
        <v>1</v>
      </c>
      <c r="G338" t="b">
        <v>1</v>
      </c>
      <c r="H338" t="n">
        <v>21.5</v>
      </c>
      <c r="I338" t="inlineStr">
        <is>
          <t>a</t>
        </is>
      </c>
      <c r="L338" t="inlineStr">
        <is>
          <t>p575458</t>
        </is>
      </c>
      <c r="M338" t="n">
        <v>474</v>
      </c>
      <c r="Q338" t="n">
        <v>514</v>
      </c>
      <c r="R338" t="n">
        <v>9</v>
      </c>
      <c r="S338" t="n">
        <v>6</v>
      </c>
      <c r="T338" t="n">
        <v>5.711</v>
      </c>
      <c r="U338" t="n">
        <v>57.1</v>
      </c>
      <c r="V338" t="n">
        <v>13</v>
      </c>
      <c r="W338" t="n">
        <v>2.276</v>
      </c>
      <c r="X338" t="n">
        <v>0</v>
      </c>
      <c r="Y338" t="n">
        <v>0</v>
      </c>
      <c r="AA338" t="n">
        <v>0</v>
      </c>
      <c r="AB338" t="n">
        <v>7</v>
      </c>
      <c r="AC338" t="n">
        <v>0</v>
      </c>
      <c r="AD338" t="n">
        <v>0</v>
      </c>
      <c r="AE338" t="n">
        <v>0</v>
      </c>
      <c r="AF338" t="n">
        <v>48</v>
      </c>
      <c r="AG338" t="n">
        <v>41</v>
      </c>
      <c r="AH338" t="n">
        <v>-7</v>
      </c>
      <c r="AI338" t="n">
        <v>13</v>
      </c>
      <c r="AJ338" t="n">
        <v>0</v>
      </c>
      <c r="AK338" t="n">
        <v>0</v>
      </c>
      <c r="AL338" t="n">
        <v>47</v>
      </c>
      <c r="AM338" t="n">
        <v>8.23</v>
      </c>
      <c r="AN338" t="n">
        <v>1</v>
      </c>
      <c r="AO338" t="n">
        <v>2</v>
      </c>
      <c r="AP338" t="n">
        <v>0.167</v>
      </c>
      <c r="AQ338" t="n">
        <v>0.167</v>
      </c>
      <c r="AR338" t="n">
        <v>0</v>
      </c>
      <c r="AS338" t="n">
        <v>0.158</v>
      </c>
      <c r="AT338" t="n">
        <v>0.444</v>
      </c>
      <c r="AU338" t="n">
        <v>8</v>
      </c>
      <c r="AV338" t="n">
        <v>0</v>
      </c>
      <c r="AW338" t="n">
        <v>0.71</v>
      </c>
      <c r="AX338" t="n">
        <v>3</v>
      </c>
      <c r="AY338" t="n">
        <v>0.27</v>
      </c>
      <c r="AZ338" t="n">
        <v>0.485</v>
      </c>
      <c r="BA338" t="n">
        <v>0.377</v>
      </c>
      <c r="BB338" t="n">
        <v>0.485</v>
      </c>
      <c r="BC338" t="n">
        <v>0.047</v>
      </c>
      <c r="BD338" t="n">
        <v>0.08500000000000001</v>
      </c>
      <c r="BE338" t="n">
        <v>0.066</v>
      </c>
      <c r="BF338" t="n">
        <v>0.1</v>
      </c>
      <c r="BG338" t="n">
        <v>0.018</v>
      </c>
      <c r="BH338" t="n">
        <v>0.979</v>
      </c>
      <c r="BI338" t="n">
        <v>0.27</v>
      </c>
      <c r="BJ338" t="n">
        <v>0.264</v>
      </c>
      <c r="BK338" t="n">
        <v>0.046</v>
      </c>
      <c r="BL338" t="n">
        <v>-0.377</v>
      </c>
      <c r="BM338" t="n">
        <v>-0.17</v>
      </c>
      <c r="BN338" t="n">
        <v>-0.1</v>
      </c>
      <c r="BO338" t="n">
        <v>-0.215</v>
      </c>
      <c r="BP338" t="n">
        <v>3</v>
      </c>
      <c r="BQ338" t="n">
        <v>1</v>
      </c>
      <c r="BR338" t="n">
        <v>1</v>
      </c>
      <c r="BS338" t="n">
        <v>4</v>
      </c>
      <c r="BT338" t="n">
        <v>0.7</v>
      </c>
      <c r="BW338" t="n">
        <v>0.06</v>
      </c>
      <c r="BX338" t="n">
        <v>0.079</v>
      </c>
      <c r="BY338" t="n">
        <v>0.06900000000000001</v>
      </c>
      <c r="BZ338" t="n">
        <v>0.012</v>
      </c>
      <c r="CA338" t="n">
        <v>0.447</v>
      </c>
      <c r="CB338" t="n">
        <v>0.078</v>
      </c>
      <c r="CC338" t="n">
        <v>1</v>
      </c>
      <c r="CE338" t="n">
        <v>1</v>
      </c>
      <c r="CF338" t="n">
        <v>0</v>
      </c>
      <c r="CI338" t="n">
        <v>1.19</v>
      </c>
      <c r="CJ338" t="n">
        <v>0.627</v>
      </c>
      <c r="CK338" t="n">
        <v>38</v>
      </c>
      <c r="CL338" t="n">
        <v>13</v>
      </c>
      <c r="CM338" t="n">
        <v>9</v>
      </c>
      <c r="CN338" t="n">
        <v>5</v>
      </c>
      <c r="CO338" t="n">
        <v>5</v>
      </c>
      <c r="CP338" t="n">
        <v>31</v>
      </c>
      <c r="CQ338" t="n">
        <v>2</v>
      </c>
      <c r="CR338" t="n">
        <v>22</v>
      </c>
      <c r="CS338" t="n">
        <v>5</v>
      </c>
      <c r="CU338" t="n">
        <v>1</v>
      </c>
      <c r="CV338" t="n">
        <v>2</v>
      </c>
      <c r="CW338" t="n">
        <v>10.35</v>
      </c>
      <c r="CX338" t="n">
        <v>1.812</v>
      </c>
      <c r="CY338" t="n">
        <v>0</v>
      </c>
      <c r="DB338" t="n">
        <v>0</v>
      </c>
      <c r="DF338" t="n">
        <v>0</v>
      </c>
      <c r="DG338" t="n">
        <v>0</v>
      </c>
      <c r="DI338" t="n">
        <v>6</v>
      </c>
      <c r="DL338" t="n">
        <v>2</v>
      </c>
      <c r="DM338" t="n">
        <v>1</v>
      </c>
      <c r="DO338" t="n">
        <v>0.3</v>
      </c>
      <c r="DP338" t="n">
        <v>10.49</v>
      </c>
      <c r="DQ338" t="n">
        <v>5.25</v>
      </c>
      <c r="DR338" t="n">
        <v>10.5</v>
      </c>
      <c r="DS338" t="n">
        <v>-0.01</v>
      </c>
      <c r="DT338" t="n">
        <v>249</v>
      </c>
      <c r="DU338" t="n">
        <v>6.55</v>
      </c>
      <c r="DV338" t="inlineStr">
        <is>
          <t>flat</t>
        </is>
      </c>
      <c r="DW338" t="n">
        <v>63.84</v>
      </c>
      <c r="DX338" t="n">
        <v>61.43</v>
      </c>
      <c r="DY338" t="n">
        <v>62.7</v>
      </c>
      <c r="DZ338" t="n">
        <v>-1.14</v>
      </c>
      <c r="EA338" t="n">
        <v>12</v>
      </c>
      <c r="EB338" t="n">
        <v>36.34</v>
      </c>
      <c r="EC338" t="n">
        <v>7.11</v>
      </c>
      <c r="ED338" t="n">
        <v>116.92</v>
      </c>
      <c r="EE338" t="n">
        <v>22</v>
      </c>
      <c r="EF338" t="b">
        <v>1</v>
      </c>
      <c r="EG338" t="n">
        <v>0.5</v>
      </c>
      <c r="EH338" t="n">
        <v>12</v>
      </c>
      <c r="EI338" t="n">
        <v>448</v>
      </c>
      <c r="EJ338" t="n">
        <v>171.3</v>
      </c>
      <c r="EK338" t="n">
        <v>128.5</v>
      </c>
      <c r="EL338" t="n">
        <v>514</v>
      </c>
      <c r="EM338" t="n">
        <v>1361.9</v>
      </c>
      <c r="EN338" t="n">
        <v>7407</v>
      </c>
      <c r="EO338" t="n">
        <v>1150.4</v>
      </c>
      <c r="EP338" t="n">
        <v>39.5</v>
      </c>
    </row>
    <row r="339">
      <c r="A339" t="inlineStr">
        <is>
          <t>Roméo Lavia</t>
        </is>
      </c>
      <c r="B339" t="inlineStr">
        <is>
          <t>CHE</t>
        </is>
      </c>
      <c r="C339" t="inlineStr">
        <is>
          <t>MID</t>
        </is>
      </c>
      <c r="D339" t="inlineStr">
        <is>
          <t>MID</t>
        </is>
      </c>
      <c r="E339" t="n">
        <v>5</v>
      </c>
      <c r="F339" t="b">
        <v>1</v>
      </c>
      <c r="G339" t="b">
        <v>1</v>
      </c>
      <c r="H339" t="n">
        <v>22.6</v>
      </c>
      <c r="I339" t="inlineStr">
        <is>
          <t>a</t>
        </is>
      </c>
      <c r="L339" t="inlineStr">
        <is>
          <t>p514356</t>
        </is>
      </c>
      <c r="M339" t="n">
        <v>161</v>
      </c>
      <c r="Q339" t="n">
        <v>374</v>
      </c>
      <c r="R339" t="n">
        <v>12</v>
      </c>
      <c r="S339" t="n">
        <v>4</v>
      </c>
      <c r="T339" t="n">
        <v>4.156</v>
      </c>
      <c r="U339" t="n">
        <v>31.2</v>
      </c>
      <c r="V339" t="n">
        <v>13</v>
      </c>
      <c r="W339" t="n">
        <v>3.128</v>
      </c>
      <c r="X339" t="n">
        <v>0</v>
      </c>
      <c r="Y339" t="n">
        <v>0</v>
      </c>
      <c r="AA339" t="n">
        <v>0</v>
      </c>
      <c r="AB339" t="n">
        <v>10</v>
      </c>
      <c r="AC339" t="n">
        <v>0</v>
      </c>
      <c r="AD339" t="n">
        <v>0</v>
      </c>
      <c r="AE339" t="n">
        <v>0</v>
      </c>
      <c r="AF339" t="n">
        <v>81</v>
      </c>
      <c r="AG339" t="n">
        <v>79</v>
      </c>
      <c r="AH339" t="n">
        <v>-2</v>
      </c>
      <c r="AI339" t="n">
        <v>13</v>
      </c>
      <c r="AJ339" t="n">
        <v>0</v>
      </c>
      <c r="AK339" t="n">
        <v>0</v>
      </c>
      <c r="AL339" t="n">
        <v>37</v>
      </c>
      <c r="AM339" t="n">
        <v>8.904</v>
      </c>
      <c r="AN339" t="n">
        <v>0</v>
      </c>
      <c r="AO339" t="n">
        <v>0</v>
      </c>
      <c r="AP339" t="n">
        <v>0</v>
      </c>
      <c r="AQ339" t="n">
        <v>0</v>
      </c>
      <c r="AR339" t="n">
        <v>0</v>
      </c>
      <c r="AS339" t="n">
        <v>0.105</v>
      </c>
      <c r="AT339" t="n">
        <v>0.083</v>
      </c>
      <c r="AU339" t="n">
        <v>12</v>
      </c>
      <c r="AV339" t="n">
        <v>0</v>
      </c>
      <c r="AW339" t="n">
        <v>0.53</v>
      </c>
      <c r="AX339" t="n">
        <v>2</v>
      </c>
      <c r="AY339" t="n">
        <v>0.21</v>
      </c>
      <c r="AZ339" t="n">
        <v>0.277</v>
      </c>
      <c r="BA339" t="n">
        <v>0.243</v>
      </c>
      <c r="BB339" t="n">
        <v>0.277</v>
      </c>
      <c r="BC339" t="n">
        <v>0.051</v>
      </c>
      <c r="BD339" t="n">
        <v>0.067</v>
      </c>
      <c r="BE339" t="n">
        <v>0.059</v>
      </c>
      <c r="BH339" t="n">
        <v>0.957</v>
      </c>
      <c r="BI339" t="n">
        <v>0.88</v>
      </c>
      <c r="BJ339" t="n">
        <v>0.201</v>
      </c>
      <c r="BK339" t="n">
        <v>0.048</v>
      </c>
      <c r="BL339" t="n">
        <v>-0.243</v>
      </c>
      <c r="BO339" t="n">
        <v>-0.067</v>
      </c>
      <c r="BP339" t="n">
        <v>3</v>
      </c>
      <c r="BR339" t="n">
        <v>0</v>
      </c>
      <c r="BS339" t="n">
        <v>3</v>
      </c>
      <c r="BT339" t="n">
        <v>0.722</v>
      </c>
      <c r="BW339" t="n">
        <v>0.55</v>
      </c>
      <c r="BX339" t="n">
        <v>0.415</v>
      </c>
      <c r="BY339" t="n">
        <v>0.483</v>
      </c>
      <c r="BZ339" t="n">
        <v>0.116</v>
      </c>
      <c r="CA339" t="n">
        <v>0.726</v>
      </c>
      <c r="CB339" t="n">
        <v>0.175</v>
      </c>
      <c r="CC339" t="n">
        <v>1</v>
      </c>
      <c r="CD339" t="n">
        <v>1</v>
      </c>
      <c r="CE339" t="n">
        <v>1</v>
      </c>
      <c r="CG339" t="n">
        <v>2</v>
      </c>
      <c r="CI339" t="n">
        <v>3.3</v>
      </c>
      <c r="CJ339" t="n">
        <v>3.252</v>
      </c>
      <c r="CK339" t="n">
        <v>9</v>
      </c>
      <c r="CL339" t="n">
        <v>20</v>
      </c>
      <c r="CM339" t="n">
        <v>8</v>
      </c>
      <c r="CN339" t="n">
        <v>7</v>
      </c>
      <c r="CO339" t="n">
        <v>5</v>
      </c>
      <c r="CP339" t="n">
        <v>4</v>
      </c>
      <c r="CQ339" t="n">
        <v>0</v>
      </c>
      <c r="CR339" t="n">
        <v>22</v>
      </c>
      <c r="CS339" t="n">
        <v>3</v>
      </c>
      <c r="CV339" t="n">
        <v>1</v>
      </c>
      <c r="CW339" t="n">
        <v>8.529999999999999</v>
      </c>
      <c r="CX339" t="n">
        <v>2.053</v>
      </c>
      <c r="CY339" t="n">
        <v>0</v>
      </c>
      <c r="DB339" t="n">
        <v>0</v>
      </c>
      <c r="DF339" t="n">
        <v>0</v>
      </c>
      <c r="DG339" t="n">
        <v>0</v>
      </c>
      <c r="DH339" t="n">
        <v>8</v>
      </c>
      <c r="DI339" t="n">
        <v>8</v>
      </c>
      <c r="DL339" t="n">
        <v>3</v>
      </c>
      <c r="DM339" t="n">
        <v>6</v>
      </c>
      <c r="DO339" t="n">
        <v>0.1</v>
      </c>
      <c r="DP339" t="n">
        <v>18.36</v>
      </c>
      <c r="DQ339" t="n">
        <v>9.529999999999999</v>
      </c>
      <c r="DR339" t="n">
        <v>19.06</v>
      </c>
      <c r="DS339" t="n">
        <v>-0.7</v>
      </c>
      <c r="DT339" t="n">
        <v>128</v>
      </c>
      <c r="DU339" t="n">
        <v>3.36</v>
      </c>
      <c r="DV339" t="inlineStr">
        <is>
          <t>flat</t>
        </is>
      </c>
      <c r="DW339" t="n">
        <v>104</v>
      </c>
      <c r="DY339" t="n">
        <v>104</v>
      </c>
      <c r="DZ339" t="n">
        <v>0</v>
      </c>
      <c r="EA339" t="n">
        <v>1</v>
      </c>
      <c r="EC339" t="n">
        <v>104</v>
      </c>
      <c r="ED339" t="n">
        <v>104</v>
      </c>
      <c r="EE339" t="n">
        <v>1</v>
      </c>
      <c r="EF339" t="b">
        <v>0</v>
      </c>
      <c r="EG339" t="n">
        <v>0</v>
      </c>
      <c r="EH339" t="n">
        <v>50</v>
      </c>
      <c r="EI339" t="n">
        <v>310</v>
      </c>
      <c r="EJ339" t="n">
        <v>124.7</v>
      </c>
      <c r="EK339" t="n">
        <v>124.7</v>
      </c>
      <c r="EL339" t="n">
        <v>374</v>
      </c>
      <c r="EM339" t="n">
        <v>1536.8</v>
      </c>
      <c r="EN339" t="n">
        <v>774.9</v>
      </c>
      <c r="EO339" t="n">
        <v>515.1</v>
      </c>
      <c r="EP339" t="n">
        <v>28.8</v>
      </c>
    </row>
    <row r="340">
      <c r="A340" t="inlineStr">
        <is>
          <t>Nilson Angulo</t>
        </is>
      </c>
      <c r="B340" t="inlineStr">
        <is>
          <t>SUN</t>
        </is>
      </c>
      <c r="C340" t="inlineStr">
        <is>
          <t>MID</t>
        </is>
      </c>
      <c r="D340" t="inlineStr">
        <is>
          <t>MID</t>
        </is>
      </c>
      <c r="E340" t="n">
        <v>5</v>
      </c>
      <c r="F340" t="b">
        <v>1</v>
      </c>
      <c r="G340" t="b">
        <v>1</v>
      </c>
      <c r="H340" t="n">
        <v>23.2</v>
      </c>
      <c r="I340" t="inlineStr">
        <is>
          <t>a</t>
        </is>
      </c>
      <c r="L340" t="inlineStr">
        <is>
          <t>p536661</t>
        </is>
      </c>
      <c r="M340" t="n">
        <v>551</v>
      </c>
      <c r="Q340" t="n">
        <v>401</v>
      </c>
      <c r="R340" t="n">
        <v>8</v>
      </c>
      <c r="S340" t="n">
        <v>5</v>
      </c>
      <c r="T340" t="n">
        <v>4.456</v>
      </c>
      <c r="U340" t="n">
        <v>50.1</v>
      </c>
      <c r="V340" t="n">
        <v>13</v>
      </c>
      <c r="W340" t="n">
        <v>2.918</v>
      </c>
      <c r="X340" t="n">
        <v>0</v>
      </c>
      <c r="Y340" t="n">
        <v>0</v>
      </c>
      <c r="AA340" t="n">
        <v>1</v>
      </c>
      <c r="AB340" t="n">
        <v>6</v>
      </c>
      <c r="AC340" t="n">
        <v>0</v>
      </c>
      <c r="AD340" t="n">
        <v>0</v>
      </c>
      <c r="AE340" t="n">
        <v>0</v>
      </c>
      <c r="AF340" t="n">
        <v>43</v>
      </c>
      <c r="AG340" t="n">
        <v>40</v>
      </c>
      <c r="AH340" t="n">
        <v>-3</v>
      </c>
      <c r="AI340" t="n">
        <v>13</v>
      </c>
      <c r="AJ340" t="n">
        <v>0</v>
      </c>
      <c r="AK340" t="n">
        <v>0</v>
      </c>
      <c r="AL340" t="n">
        <v>35</v>
      </c>
      <c r="AM340" t="n">
        <v>7.855</v>
      </c>
      <c r="AN340" t="n">
        <v>0</v>
      </c>
      <c r="AO340" t="n">
        <v>0</v>
      </c>
      <c r="AP340" t="n">
        <v>0</v>
      </c>
      <c r="AQ340" t="n">
        <v>0.4</v>
      </c>
      <c r="AR340" t="n">
        <v>0</v>
      </c>
      <c r="AS340" t="n">
        <v>0.132</v>
      </c>
      <c r="AT340" t="n">
        <v>0.625</v>
      </c>
      <c r="AU340" t="n">
        <v>7</v>
      </c>
      <c r="AV340" t="n">
        <v>0</v>
      </c>
      <c r="AW340" t="n">
        <v>1</v>
      </c>
      <c r="AX340" t="n">
        <v>3</v>
      </c>
      <c r="AY340" t="n">
        <v>0.77</v>
      </c>
      <c r="AZ340" t="n">
        <v>0.906</v>
      </c>
      <c r="BA340" t="n">
        <v>0.838</v>
      </c>
      <c r="BB340" t="n">
        <v>0.906</v>
      </c>
      <c r="BC340" t="n">
        <v>0.173</v>
      </c>
      <c r="BD340" t="n">
        <v>0.203</v>
      </c>
      <c r="BE340" t="n">
        <v>0.188</v>
      </c>
      <c r="BF340" t="n">
        <v>0.5</v>
      </c>
      <c r="BG340" t="n">
        <v>0.112</v>
      </c>
      <c r="BH340" t="n">
        <v>0.969</v>
      </c>
      <c r="BI340" t="n">
        <v>0.77</v>
      </c>
      <c r="BJ340" t="n">
        <v>0.746</v>
      </c>
      <c r="BK340" t="n">
        <v>0.167</v>
      </c>
      <c r="BL340" t="n">
        <v>-0.838</v>
      </c>
      <c r="BM340" t="n">
        <v>-0.27</v>
      </c>
      <c r="BN340" t="n">
        <v>-0.5</v>
      </c>
      <c r="BO340" t="n">
        <v>-0.136</v>
      </c>
      <c r="BP340" t="n">
        <v>7</v>
      </c>
      <c r="BQ340" t="n">
        <v>3</v>
      </c>
      <c r="BR340" t="n">
        <v>2</v>
      </c>
      <c r="BS340" t="n">
        <v>16</v>
      </c>
      <c r="BT340" t="n">
        <v>3.591</v>
      </c>
      <c r="BW340" t="n">
        <v>0.12</v>
      </c>
      <c r="BX340" t="n">
        <v>0.053</v>
      </c>
      <c r="BY340" t="n">
        <v>0.08599999999999999</v>
      </c>
      <c r="BZ340" t="n">
        <v>0.019</v>
      </c>
      <c r="CA340" t="n">
        <v>0.924</v>
      </c>
      <c r="CB340" t="n">
        <v>0.207</v>
      </c>
      <c r="CC340" t="n">
        <v>3</v>
      </c>
      <c r="CE340" t="n">
        <v>3</v>
      </c>
      <c r="CF340" t="n">
        <v>1</v>
      </c>
      <c r="CI340" t="n">
        <v>0.894</v>
      </c>
      <c r="CJ340" t="n">
        <v>0.162</v>
      </c>
      <c r="CK340" t="n">
        <v>16</v>
      </c>
      <c r="CL340" t="n">
        <v>9</v>
      </c>
      <c r="CM340" t="n">
        <v>10</v>
      </c>
      <c r="CN340" t="n">
        <v>7</v>
      </c>
      <c r="CO340" t="n">
        <v>5</v>
      </c>
      <c r="CP340" t="n">
        <v>11</v>
      </c>
      <c r="CR340" t="n">
        <v>25</v>
      </c>
      <c r="CS340" t="n">
        <v>5</v>
      </c>
      <c r="CW340" t="n">
        <v>7.26</v>
      </c>
      <c r="CX340" t="n">
        <v>1.629</v>
      </c>
      <c r="CY340" t="n">
        <v>0</v>
      </c>
      <c r="DB340" t="n">
        <v>0</v>
      </c>
      <c r="DF340" t="n">
        <v>1</v>
      </c>
      <c r="DG340" t="n">
        <v>0</v>
      </c>
      <c r="DH340" t="n">
        <v>11</v>
      </c>
      <c r="DI340" t="n">
        <v>3</v>
      </c>
      <c r="DL340" t="n">
        <v>7</v>
      </c>
      <c r="DM340" t="n">
        <v>5</v>
      </c>
      <c r="DN340" t="n">
        <v>1</v>
      </c>
      <c r="DO340" t="n">
        <v>0.1</v>
      </c>
      <c r="DP340" t="n">
        <v>47.2</v>
      </c>
      <c r="DQ340" t="n">
        <v>23.6</v>
      </c>
      <c r="DR340" t="n">
        <v>47.2</v>
      </c>
      <c r="DS340" t="n">
        <v>0</v>
      </c>
      <c r="DT340" t="n">
        <v>648</v>
      </c>
      <c r="DU340" t="n">
        <v>17.04</v>
      </c>
      <c r="DV340" t="inlineStr">
        <is>
          <t>flat</t>
        </is>
      </c>
      <c r="DW340" t="n">
        <v>71.03</v>
      </c>
      <c r="DX340" t="n">
        <v>89</v>
      </c>
      <c r="DY340" t="n">
        <v>76.17</v>
      </c>
      <c r="DZ340" t="n">
        <v>5.14</v>
      </c>
      <c r="EA340" t="n">
        <v>5</v>
      </c>
      <c r="EB340" t="n">
        <v>33.66</v>
      </c>
      <c r="EC340" t="n">
        <v>26</v>
      </c>
      <c r="ED340" t="n">
        <v>118.67</v>
      </c>
      <c r="EE340" t="n">
        <v>6</v>
      </c>
      <c r="EF340" t="b">
        <v>0</v>
      </c>
      <c r="EG340" t="n">
        <v>0.1</v>
      </c>
      <c r="EH340" t="n">
        <v>14.3</v>
      </c>
      <c r="EI340" t="n">
        <v>313</v>
      </c>
      <c r="EJ340" t="n">
        <v>57.3</v>
      </c>
      <c r="EK340" t="n">
        <v>25.1</v>
      </c>
      <c r="EL340" t="n">
        <v>133.7</v>
      </c>
      <c r="EM340" t="n">
        <v>478.6</v>
      </c>
      <c r="EN340" t="n">
        <v>4639.3</v>
      </c>
      <c r="EO340" t="n">
        <v>433.9</v>
      </c>
      <c r="EP340" t="n">
        <v>30.8</v>
      </c>
    </row>
    <row r="341">
      <c r="A341" t="inlineStr">
        <is>
          <t>Fábio Carvalho</t>
        </is>
      </c>
      <c r="B341" t="inlineStr">
        <is>
          <t>BRE</t>
        </is>
      </c>
      <c r="C341" t="inlineStr">
        <is>
          <t>MID</t>
        </is>
      </c>
      <c r="D341" t="inlineStr">
        <is>
          <t>MID</t>
        </is>
      </c>
      <c r="E341" t="n">
        <v>5</v>
      </c>
      <c r="F341" t="b">
        <v>1</v>
      </c>
      <c r="G341" t="b">
        <v>1</v>
      </c>
      <c r="H341" t="n">
        <v>24</v>
      </c>
      <c r="I341" t="inlineStr">
        <is>
          <t>a</t>
        </is>
      </c>
      <c r="K341" t="n">
        <v>100</v>
      </c>
      <c r="L341" t="inlineStr">
        <is>
          <t>p244858</t>
        </is>
      </c>
      <c r="M341" t="n">
        <v>100</v>
      </c>
      <c r="Q341" t="n">
        <v>100</v>
      </c>
      <c r="R341" t="n">
        <v>6</v>
      </c>
      <c r="S341" t="n">
        <v>1</v>
      </c>
      <c r="T341" t="n">
        <v>1.111</v>
      </c>
      <c r="U341" t="n">
        <v>16.7</v>
      </c>
      <c r="V341" t="n">
        <v>13</v>
      </c>
      <c r="W341" t="n">
        <v>11.7</v>
      </c>
      <c r="X341" t="n">
        <v>1</v>
      </c>
      <c r="Y341" t="n">
        <v>0</v>
      </c>
      <c r="AA341" t="n">
        <v>0</v>
      </c>
      <c r="AB341" t="n">
        <v>4</v>
      </c>
      <c r="AC341" t="n">
        <v>1</v>
      </c>
      <c r="AD341" t="n">
        <v>1</v>
      </c>
      <c r="AE341" t="n">
        <v>0</v>
      </c>
      <c r="AF341" t="n">
        <v>42</v>
      </c>
      <c r="AG341" t="n">
        <v>42</v>
      </c>
      <c r="AH341" t="n">
        <v>0</v>
      </c>
      <c r="AI341" t="n">
        <v>13</v>
      </c>
      <c r="AJ341" t="n">
        <v>0.077</v>
      </c>
      <c r="AK341" t="n">
        <v>0.083</v>
      </c>
      <c r="AL341" t="n">
        <v>8</v>
      </c>
      <c r="AM341" t="n">
        <v>7.2</v>
      </c>
      <c r="AN341" t="n">
        <v>0</v>
      </c>
      <c r="AO341" t="n">
        <v>0</v>
      </c>
      <c r="AP341" t="n">
        <v>0</v>
      </c>
      <c r="AQ341" t="n">
        <v>0</v>
      </c>
      <c r="AR341" t="n">
        <v>0</v>
      </c>
      <c r="AS341" t="n">
        <v>0.026</v>
      </c>
      <c r="AT341" t="n">
        <v>0.167</v>
      </c>
      <c r="AU341" t="n">
        <v>5</v>
      </c>
      <c r="AV341" t="n">
        <v>0</v>
      </c>
      <c r="AW341" t="n">
        <v>1.19</v>
      </c>
      <c r="AX341" t="n">
        <v>7</v>
      </c>
      <c r="AY341" t="n">
        <v>0.7</v>
      </c>
      <c r="AZ341" t="n">
        <v>0.6899999999999999</v>
      </c>
      <c r="BA341" t="n">
        <v>0.695</v>
      </c>
      <c r="BB341" t="n">
        <v>0.6899999999999999</v>
      </c>
      <c r="BC341" t="n">
        <v>0.63</v>
      </c>
      <c r="BD341" t="n">
        <v>0.621</v>
      </c>
      <c r="BE341" t="n">
        <v>0.625</v>
      </c>
      <c r="BF341" t="n">
        <v>0.7</v>
      </c>
      <c r="BG341" t="n">
        <v>0.63</v>
      </c>
      <c r="BH341" t="n">
        <v>1</v>
      </c>
      <c r="BI341" t="n">
        <v>4.3</v>
      </c>
      <c r="BJ341" t="n">
        <v>0.7</v>
      </c>
      <c r="BK341" t="n">
        <v>0.63</v>
      </c>
      <c r="BL341" t="n">
        <v>0.305</v>
      </c>
      <c r="BM341" t="n">
        <v>0</v>
      </c>
      <c r="BN341" t="n">
        <v>0.3</v>
      </c>
      <c r="BO341" t="n">
        <v>0.01</v>
      </c>
      <c r="BP341" t="n">
        <v>2</v>
      </c>
      <c r="BQ341" t="n">
        <v>1</v>
      </c>
      <c r="BS341" t="n">
        <v>2</v>
      </c>
      <c r="BT341" t="n">
        <v>1.8</v>
      </c>
      <c r="BW341" t="n">
        <v>0.03</v>
      </c>
      <c r="BX341" t="n">
        <v>0</v>
      </c>
      <c r="BY341" t="n">
        <v>0.015</v>
      </c>
      <c r="BZ341" t="n">
        <v>0.013</v>
      </c>
      <c r="CA341" t="n">
        <v>0.71</v>
      </c>
      <c r="CB341" t="n">
        <v>0.639</v>
      </c>
      <c r="CC341" t="n">
        <v>0</v>
      </c>
      <c r="CF341" t="n">
        <v>1</v>
      </c>
      <c r="CH341" t="n">
        <v>3</v>
      </c>
      <c r="CI341" t="n">
        <v>0.6899999999999999</v>
      </c>
      <c r="CJ341" t="n">
        <v>0</v>
      </c>
      <c r="CK341" t="n">
        <v>0</v>
      </c>
      <c r="CL341" t="n">
        <v>5</v>
      </c>
      <c r="CM341" t="n">
        <v>3</v>
      </c>
      <c r="CN341" t="n">
        <v>2</v>
      </c>
      <c r="CR341" t="n">
        <v>5</v>
      </c>
      <c r="CS341" t="n">
        <v>1</v>
      </c>
      <c r="CW341" t="n">
        <v>2.08</v>
      </c>
      <c r="CX341" t="n">
        <v>1.872</v>
      </c>
      <c r="CY341" t="n">
        <v>0</v>
      </c>
      <c r="DB341" t="n">
        <v>0</v>
      </c>
      <c r="DF341" t="n">
        <v>0</v>
      </c>
      <c r="DG341" t="n">
        <v>0</v>
      </c>
      <c r="DH341" t="n">
        <v>0</v>
      </c>
      <c r="DL341" t="n">
        <v>1</v>
      </c>
      <c r="DM341" t="n">
        <v>1</v>
      </c>
      <c r="DO341" t="n">
        <v>0</v>
      </c>
      <c r="DP341" t="n">
        <v>19</v>
      </c>
      <c r="DQ341" t="n">
        <v>9.5</v>
      </c>
      <c r="DR341" t="n">
        <v>19</v>
      </c>
      <c r="DS341" t="n">
        <v>0</v>
      </c>
      <c r="DT341" t="n">
        <v>10</v>
      </c>
      <c r="DU341" t="n">
        <v>0.25</v>
      </c>
      <c r="DV341" t="inlineStr">
        <is>
          <t>flat</t>
        </is>
      </c>
      <c r="DW341" t="n">
        <v>2.67</v>
      </c>
      <c r="EC341" t="n">
        <v>2.67</v>
      </c>
      <c r="ED341" t="n">
        <v>2.67</v>
      </c>
      <c r="EE341" t="n">
        <v>1</v>
      </c>
      <c r="EF341" t="b">
        <v>0</v>
      </c>
      <c r="EG341" t="n">
        <v>0</v>
      </c>
      <c r="EH341" t="n">
        <v>0</v>
      </c>
      <c r="EI341" t="n">
        <v>309</v>
      </c>
      <c r="EJ341" t="n">
        <v>50</v>
      </c>
      <c r="EK341" t="n">
        <v>50</v>
      </c>
      <c r="EM341" t="n">
        <v>143.9</v>
      </c>
      <c r="EN341" t="n">
        <v>6666.7</v>
      </c>
      <c r="EO341" t="n">
        <v>140.9</v>
      </c>
      <c r="EP341" t="n">
        <v>7.7</v>
      </c>
    </row>
    <row r="342">
      <c r="A342" t="inlineStr">
        <is>
          <t>Reiss Nelson</t>
        </is>
      </c>
      <c r="B342" t="inlineStr">
        <is>
          <t>ARS</t>
        </is>
      </c>
      <c r="C342" t="inlineStr">
        <is>
          <t>MID</t>
        </is>
      </c>
      <c r="D342" t="inlineStr">
        <is>
          <t>MID</t>
        </is>
      </c>
      <c r="E342" t="n">
        <v>5.5</v>
      </c>
      <c r="F342" t="b">
        <v>1</v>
      </c>
      <c r="G342" t="b">
        <v>1</v>
      </c>
      <c r="H342" t="n">
        <v>26.7</v>
      </c>
      <c r="I342" t="inlineStr">
        <is>
          <t>a</t>
        </is>
      </c>
      <c r="L342" t="inlineStr">
        <is>
          <t>p200641</t>
        </is>
      </c>
      <c r="M342" t="n">
        <v>24</v>
      </c>
      <c r="Q342" t="n">
        <v>118</v>
      </c>
      <c r="R342" t="n">
        <v>10</v>
      </c>
      <c r="S342" t="n">
        <v>0</v>
      </c>
      <c r="T342" t="n">
        <v>1.311</v>
      </c>
      <c r="U342" t="n">
        <v>11.8</v>
      </c>
      <c r="V342" t="n">
        <v>13</v>
      </c>
      <c r="W342" t="n">
        <v>9.914999999999999</v>
      </c>
      <c r="X342" t="n">
        <v>0</v>
      </c>
      <c r="Y342" t="n">
        <v>1</v>
      </c>
      <c r="Z342" t="n">
        <v>1</v>
      </c>
      <c r="AA342" t="n">
        <v>0</v>
      </c>
      <c r="AB342" t="n">
        <v>2</v>
      </c>
      <c r="AC342" t="n">
        <v>0</v>
      </c>
      <c r="AD342" t="n">
        <v>0</v>
      </c>
      <c r="AE342" t="n">
        <v>0</v>
      </c>
      <c r="AF342" t="n">
        <v>39</v>
      </c>
      <c r="AG342" t="n">
        <v>38</v>
      </c>
      <c r="AH342" t="n">
        <v>-1</v>
      </c>
      <c r="AI342" t="n">
        <v>13</v>
      </c>
      <c r="AJ342" t="n">
        <v>0</v>
      </c>
      <c r="AK342" t="n">
        <v>0</v>
      </c>
      <c r="AL342" t="n">
        <v>23</v>
      </c>
      <c r="AM342" t="n">
        <v>17.542</v>
      </c>
      <c r="AN342" t="n">
        <v>0</v>
      </c>
      <c r="AO342" t="n">
        <v>0</v>
      </c>
      <c r="AS342" t="n">
        <v>0</v>
      </c>
      <c r="AT342" t="n">
        <v>0</v>
      </c>
      <c r="AU342" t="n">
        <v>9</v>
      </c>
      <c r="AV342" t="n">
        <v>0</v>
      </c>
      <c r="AW342" t="n">
        <v>0.75</v>
      </c>
      <c r="AX342" t="n">
        <v>4</v>
      </c>
      <c r="AY342" t="n">
        <v>0.71</v>
      </c>
      <c r="AZ342" t="n">
        <v>0.901</v>
      </c>
      <c r="BA342" t="n">
        <v>0.805</v>
      </c>
      <c r="BB342" t="n">
        <v>0.901</v>
      </c>
      <c r="BC342" t="n">
        <v>0.542</v>
      </c>
      <c r="BD342" t="n">
        <v>0.6870000000000001</v>
      </c>
      <c r="BE342" t="n">
        <v>0.614</v>
      </c>
      <c r="BF342" t="n">
        <v>0.5</v>
      </c>
      <c r="BG342" t="n">
        <v>0.381</v>
      </c>
      <c r="BH342" t="n">
        <v>1.122</v>
      </c>
      <c r="BI342" t="n">
        <v>3.05</v>
      </c>
      <c r="BJ342" t="n">
        <v>0.797</v>
      </c>
      <c r="BK342" t="n">
        <v>0.608</v>
      </c>
      <c r="BL342" t="n">
        <v>-0.805</v>
      </c>
      <c r="BM342" t="n">
        <v>-0.21</v>
      </c>
      <c r="BN342" t="n">
        <v>-0.5</v>
      </c>
      <c r="BO342" t="n">
        <v>-0.191</v>
      </c>
      <c r="BP342" t="n">
        <v>5</v>
      </c>
      <c r="BQ342" t="n">
        <v>1</v>
      </c>
      <c r="BR342" t="n">
        <v>2</v>
      </c>
      <c r="BS342" t="n">
        <v>8</v>
      </c>
      <c r="BT342" t="n">
        <v>6.102</v>
      </c>
      <c r="BW342" t="n">
        <v>0.11</v>
      </c>
      <c r="BX342" t="n">
        <v>0.059</v>
      </c>
      <c r="BY342" t="n">
        <v>0.08500000000000001</v>
      </c>
      <c r="BZ342" t="n">
        <v>0.064</v>
      </c>
      <c r="CA342" t="n">
        <v>0.89</v>
      </c>
      <c r="CB342" t="n">
        <v>0.679</v>
      </c>
      <c r="CC342" t="n">
        <v>2</v>
      </c>
      <c r="CE342" t="n">
        <v>2</v>
      </c>
      <c r="CI342" t="n">
        <v>1.589</v>
      </c>
      <c r="CJ342" t="n">
        <v>1.123</v>
      </c>
      <c r="CK342" t="n">
        <v>3</v>
      </c>
      <c r="CL342" t="n">
        <v>16</v>
      </c>
      <c r="CM342" t="n">
        <v>4</v>
      </c>
      <c r="CN342" t="n">
        <v>3</v>
      </c>
      <c r="CP342" t="n">
        <v>2</v>
      </c>
      <c r="CQ342" t="n">
        <v>1</v>
      </c>
      <c r="CR342" t="n">
        <v>11</v>
      </c>
      <c r="CW342" t="n">
        <v>3.02</v>
      </c>
      <c r="CX342" t="n">
        <v>2.303</v>
      </c>
      <c r="CY342" t="n">
        <v>0</v>
      </c>
      <c r="DB342" t="n">
        <v>0</v>
      </c>
      <c r="DF342" t="n">
        <v>0</v>
      </c>
      <c r="DG342" t="n">
        <v>0</v>
      </c>
      <c r="DI342" t="n">
        <v>2</v>
      </c>
      <c r="DL342" t="n">
        <v>5</v>
      </c>
      <c r="DM342" t="n">
        <v>4</v>
      </c>
      <c r="DO342" t="n">
        <v>0</v>
      </c>
      <c r="DP342" t="n">
        <v>0</v>
      </c>
      <c r="DQ342" t="n">
        <v>0</v>
      </c>
      <c r="DR342" t="n">
        <v>0</v>
      </c>
      <c r="DS342" t="n">
        <v>0</v>
      </c>
      <c r="DT342" t="n">
        <v>0</v>
      </c>
      <c r="DU342" t="n">
        <v>0</v>
      </c>
      <c r="DV342" t="inlineStr">
        <is>
          <t>flat</t>
        </is>
      </c>
      <c r="DW342" t="n">
        <v>100</v>
      </c>
      <c r="EC342" t="n">
        <v>100</v>
      </c>
      <c r="ED342" t="n">
        <v>100</v>
      </c>
      <c r="EE342" t="n">
        <v>1</v>
      </c>
      <c r="EF342" t="b">
        <v>0</v>
      </c>
      <c r="EG342" t="n">
        <v>0</v>
      </c>
      <c r="EH342" t="n">
        <v>0</v>
      </c>
      <c r="EI342" t="n">
        <v>195</v>
      </c>
      <c r="EJ342" t="n">
        <v>23.6</v>
      </c>
      <c r="EK342" t="n">
        <v>14.8</v>
      </c>
      <c r="EL342" t="n">
        <v>59</v>
      </c>
      <c r="EM342" t="n">
        <v>146.5</v>
      </c>
      <c r="EN342" t="n">
        <v>1396.3</v>
      </c>
      <c r="EO342" t="n">
        <v>132.6</v>
      </c>
      <c r="EP342" t="n">
        <v>9.1</v>
      </c>
    </row>
    <row r="343">
      <c r="A343" t="inlineStr">
        <is>
          <t>James Trafford</t>
        </is>
      </c>
      <c r="B343" t="inlineStr">
        <is>
          <t>LEE</t>
        </is>
      </c>
      <c r="C343" t="inlineStr">
        <is>
          <t>GKP</t>
        </is>
      </c>
      <c r="D343" t="inlineStr">
        <is>
          <t>GKP</t>
        </is>
      </c>
      <c r="E343" t="n">
        <v>5</v>
      </c>
      <c r="F343" t="b">
        <v>1</v>
      </c>
      <c r="G343" t="b">
        <v>1</v>
      </c>
      <c r="H343" t="n">
        <v>23.9</v>
      </c>
      <c r="I343" t="inlineStr">
        <is>
          <t>a</t>
        </is>
      </c>
      <c r="L343" t="inlineStr">
        <is>
          <t>p432720</t>
        </is>
      </c>
      <c r="M343" t="n">
        <v>385</v>
      </c>
      <c r="Q343" t="n">
        <v>360</v>
      </c>
      <c r="R343" t="n">
        <v>4</v>
      </c>
      <c r="S343" t="n">
        <v>4</v>
      </c>
      <c r="T343" t="n">
        <v>4</v>
      </c>
      <c r="U343" t="n">
        <v>90</v>
      </c>
      <c r="V343" t="n">
        <v>13</v>
      </c>
      <c r="W343" t="n">
        <v>3.25</v>
      </c>
      <c r="X343" t="n">
        <v>0</v>
      </c>
      <c r="Y343" t="n">
        <v>0</v>
      </c>
      <c r="AA343" t="n">
        <v>1</v>
      </c>
      <c r="AB343" t="n">
        <v>6</v>
      </c>
      <c r="AC343" t="n">
        <v>0</v>
      </c>
      <c r="AD343" t="n">
        <v>0</v>
      </c>
      <c r="AE343" t="n">
        <v>0</v>
      </c>
      <c r="AF343" t="n">
        <v>67</v>
      </c>
      <c r="AG343" t="n">
        <v>66</v>
      </c>
      <c r="AH343" t="n">
        <v>-1</v>
      </c>
      <c r="AI343" t="n">
        <v>13</v>
      </c>
      <c r="AJ343" t="n">
        <v>0</v>
      </c>
      <c r="AK343" t="n">
        <v>0</v>
      </c>
      <c r="AL343" t="n">
        <v>0</v>
      </c>
      <c r="AM343" t="n">
        <v>0</v>
      </c>
      <c r="AN343" t="n">
        <v>0</v>
      </c>
      <c r="AO343" t="n">
        <v>0</v>
      </c>
      <c r="AP343" t="n">
        <v>0</v>
      </c>
      <c r="AQ343" t="n">
        <v>0</v>
      </c>
      <c r="AR343" t="n">
        <v>0</v>
      </c>
      <c r="AS343" t="n">
        <v>0.105</v>
      </c>
      <c r="AT343" t="n">
        <v>1</v>
      </c>
      <c r="AU343" t="n">
        <v>3</v>
      </c>
      <c r="AV343" t="n">
        <v>0</v>
      </c>
      <c r="AW343" t="n">
        <v>1.24</v>
      </c>
      <c r="AX343" t="n">
        <v>7</v>
      </c>
      <c r="AY343" t="n">
        <v>0</v>
      </c>
      <c r="AZ343" t="n">
        <v>0</v>
      </c>
      <c r="BA343" t="n">
        <v>0</v>
      </c>
      <c r="BB343" t="n">
        <v>0</v>
      </c>
      <c r="BC343" t="n">
        <v>0</v>
      </c>
      <c r="BD343" t="n">
        <v>0</v>
      </c>
      <c r="BE343" t="n">
        <v>0</v>
      </c>
      <c r="BH343" t="n">
        <v>1</v>
      </c>
      <c r="BI343" t="n">
        <v>0</v>
      </c>
      <c r="BJ343" t="n">
        <v>0</v>
      </c>
      <c r="BK343" t="n">
        <v>0</v>
      </c>
      <c r="BL343" t="n">
        <v>0</v>
      </c>
      <c r="BO343" t="n">
        <v>0</v>
      </c>
      <c r="BS343" t="n">
        <v>0</v>
      </c>
      <c r="BT343" t="n">
        <v>0</v>
      </c>
      <c r="BW343" t="n">
        <v>0</v>
      </c>
      <c r="BX343" t="n">
        <v>0</v>
      </c>
      <c r="BY343" t="n">
        <v>0</v>
      </c>
      <c r="BZ343" t="n">
        <v>0</v>
      </c>
      <c r="CA343" t="n">
        <v>0</v>
      </c>
      <c r="CB343" t="n">
        <v>0</v>
      </c>
      <c r="CC343" t="n">
        <v>0</v>
      </c>
      <c r="CI343" t="n">
        <v>1.546</v>
      </c>
      <c r="CJ343" t="n">
        <v>1.546</v>
      </c>
      <c r="CK343" t="n">
        <v>6</v>
      </c>
      <c r="CL343" t="n">
        <v>35</v>
      </c>
      <c r="CM343" t="n">
        <v>2</v>
      </c>
      <c r="CN343" t="n">
        <v>1</v>
      </c>
      <c r="CP343" t="n">
        <v>6</v>
      </c>
      <c r="CR343" t="n">
        <v>5</v>
      </c>
      <c r="CS343" t="n">
        <v>1</v>
      </c>
      <c r="CU343" t="n">
        <v>1</v>
      </c>
      <c r="CW343" t="n">
        <v>5.74</v>
      </c>
      <c r="CX343" t="n">
        <v>1.435</v>
      </c>
      <c r="CY343" t="n">
        <v>14</v>
      </c>
      <c r="DB343" t="n">
        <v>0</v>
      </c>
      <c r="DC343" t="n">
        <v>2</v>
      </c>
      <c r="DD343" t="n">
        <v>1</v>
      </c>
      <c r="DF343" t="n">
        <v>0</v>
      </c>
      <c r="DG343" t="n">
        <v>0</v>
      </c>
      <c r="DI343" t="n">
        <v>1</v>
      </c>
      <c r="DL343" t="n">
        <v>1</v>
      </c>
      <c r="DO343" t="n">
        <v>2.5</v>
      </c>
      <c r="DP343" t="n">
        <v>123.14</v>
      </c>
      <c r="DQ343" t="n">
        <v>61.57</v>
      </c>
      <c r="DR343" t="n">
        <v>123.14</v>
      </c>
      <c r="DS343" t="n">
        <v>0</v>
      </c>
      <c r="DT343" t="n">
        <v>3385</v>
      </c>
      <c r="DU343" t="n">
        <v>89.09</v>
      </c>
      <c r="DV343" t="inlineStr">
        <is>
          <t>flat</t>
        </is>
      </c>
      <c r="DW343" t="n">
        <v>97.81</v>
      </c>
      <c r="DX343" t="n">
        <v>104.29</v>
      </c>
      <c r="DY343" t="n">
        <v>94.3</v>
      </c>
      <c r="DZ343" t="n">
        <v>-3.51</v>
      </c>
      <c r="EA343" t="n">
        <v>1374</v>
      </c>
      <c r="EB343" t="n">
        <v>24.61</v>
      </c>
      <c r="EC343" t="n">
        <v>0.8</v>
      </c>
      <c r="ED343" t="n">
        <v>120</v>
      </c>
      <c r="EE343" t="n">
        <v>2592</v>
      </c>
      <c r="EF343" t="b">
        <v>1</v>
      </c>
      <c r="EG343" t="n">
        <v>80.2</v>
      </c>
      <c r="EH343" t="n">
        <v>33.7</v>
      </c>
      <c r="EI343" t="n">
        <v>312</v>
      </c>
      <c r="EP343" t="n">
        <v>27.7</v>
      </c>
    </row>
    <row r="344">
      <c r="A344" t="inlineStr">
        <is>
          <t>Jack Harrison</t>
        </is>
      </c>
      <c r="B344" t="inlineStr">
        <is>
          <t>LEE</t>
        </is>
      </c>
      <c r="C344" t="inlineStr">
        <is>
          <t>MID</t>
        </is>
      </c>
      <c r="D344" t="inlineStr">
        <is>
          <t>MID</t>
        </is>
      </c>
      <c r="E344" t="n">
        <v>5</v>
      </c>
      <c r="F344" t="b">
        <v>1</v>
      </c>
      <c r="G344" t="b">
        <v>1</v>
      </c>
      <c r="H344" t="n">
        <v>29.7</v>
      </c>
      <c r="I344" t="inlineStr">
        <is>
          <t>u</t>
        </is>
      </c>
      <c r="J344" t="inlineStr">
        <is>
          <t>Has joined New England Revolution permanently</t>
        </is>
      </c>
      <c r="K344" t="n">
        <v>0</v>
      </c>
      <c r="L344" t="inlineStr">
        <is>
          <t>p221399</t>
        </is>
      </c>
      <c r="M344" t="n">
        <v>342</v>
      </c>
      <c r="Q344" t="n">
        <v>262</v>
      </c>
      <c r="R344" t="n">
        <v>11</v>
      </c>
      <c r="S344" t="n">
        <v>1</v>
      </c>
      <c r="T344" t="n">
        <v>2.911</v>
      </c>
      <c r="U344" t="n">
        <v>23.8</v>
      </c>
      <c r="V344" t="n">
        <v>12</v>
      </c>
      <c r="W344" t="n">
        <v>4.122</v>
      </c>
      <c r="X344" t="n">
        <v>0</v>
      </c>
      <c r="Y344" t="n">
        <v>0</v>
      </c>
      <c r="AA344" t="n">
        <v>0</v>
      </c>
      <c r="AB344" t="n">
        <v>5</v>
      </c>
      <c r="AC344" t="n">
        <v>0</v>
      </c>
      <c r="AD344" t="n">
        <v>0</v>
      </c>
      <c r="AE344" t="n">
        <v>0</v>
      </c>
      <c r="AF344" t="n">
        <v>51</v>
      </c>
      <c r="AG344" t="n">
        <v>50</v>
      </c>
      <c r="AH344" t="n">
        <v>-1</v>
      </c>
      <c r="AI344" t="n">
        <v>12</v>
      </c>
      <c r="AJ344" t="n">
        <v>0</v>
      </c>
      <c r="AK344" t="n">
        <v>0</v>
      </c>
      <c r="AL344" t="n">
        <v>24</v>
      </c>
      <c r="AM344" t="n">
        <v>8.244</v>
      </c>
      <c r="AN344" t="n">
        <v>0</v>
      </c>
      <c r="AO344" t="n">
        <v>0</v>
      </c>
      <c r="AP344" t="n">
        <v>0</v>
      </c>
      <c r="AQ344" t="n">
        <v>0</v>
      </c>
      <c r="AR344" t="n">
        <v>0</v>
      </c>
      <c r="AS344" t="n">
        <v>0.026</v>
      </c>
      <c r="AT344" t="n">
        <v>0.091</v>
      </c>
      <c r="AU344" t="n">
        <v>11</v>
      </c>
      <c r="AV344" t="n">
        <v>0</v>
      </c>
      <c r="AW344" t="n">
        <v>0.53</v>
      </c>
      <c r="AX344" t="n">
        <v>2</v>
      </c>
      <c r="AY344" t="n">
        <v>0.28</v>
      </c>
      <c r="AZ344" t="n">
        <v>0.434</v>
      </c>
      <c r="BA344" t="n">
        <v>0.357</v>
      </c>
      <c r="BB344" t="n">
        <v>0.434</v>
      </c>
      <c r="BC344" t="n">
        <v>0.096</v>
      </c>
      <c r="BD344" t="n">
        <v>0.149</v>
      </c>
      <c r="BE344" t="n">
        <v>0.123</v>
      </c>
      <c r="BF344" t="n">
        <v>0.1</v>
      </c>
      <c r="BG344" t="n">
        <v>0.034</v>
      </c>
      <c r="BH344" t="n">
        <v>0.845</v>
      </c>
      <c r="BI344" t="n">
        <v>12.94</v>
      </c>
      <c r="BJ344" t="n">
        <v>0.237</v>
      </c>
      <c r="BK344" t="n">
        <v>0.081</v>
      </c>
      <c r="BL344" t="n">
        <v>-0.357</v>
      </c>
      <c r="BM344" t="n">
        <v>-0.18</v>
      </c>
      <c r="BN344" t="n">
        <v>-0.1</v>
      </c>
      <c r="BO344" t="n">
        <v>-0.154</v>
      </c>
      <c r="BP344" t="n">
        <v>6</v>
      </c>
      <c r="BQ344" t="n">
        <v>2</v>
      </c>
      <c r="BR344" t="n">
        <v>1</v>
      </c>
      <c r="BS344" t="n">
        <v>7</v>
      </c>
      <c r="BT344" t="n">
        <v>2.405</v>
      </c>
      <c r="BW344" t="n">
        <v>0.23</v>
      </c>
      <c r="BX344" t="n">
        <v>0.338</v>
      </c>
      <c r="BY344" t="n">
        <v>0.284</v>
      </c>
      <c r="BZ344" t="n">
        <v>0.098</v>
      </c>
      <c r="CA344" t="n">
        <v>0.641</v>
      </c>
      <c r="CB344" t="n">
        <v>0.22</v>
      </c>
      <c r="CC344" t="n">
        <v>1</v>
      </c>
      <c r="CD344" t="n">
        <v>1</v>
      </c>
      <c r="CE344" t="n">
        <v>2</v>
      </c>
      <c r="CF344" t="n">
        <v>2</v>
      </c>
      <c r="CH344" t="n">
        <v>3</v>
      </c>
      <c r="CI344" t="n">
        <v>1.066</v>
      </c>
      <c r="CJ344" t="n">
        <v>0.329</v>
      </c>
      <c r="CK344" t="n">
        <v>6</v>
      </c>
      <c r="CL344" t="n">
        <v>13</v>
      </c>
      <c r="CM344" t="n">
        <v>5</v>
      </c>
      <c r="CN344" t="n">
        <v>2</v>
      </c>
      <c r="CO344" t="n">
        <v>4</v>
      </c>
      <c r="CP344" t="n">
        <v>2</v>
      </c>
      <c r="CR344" t="n">
        <v>13</v>
      </c>
      <c r="CS344" t="n">
        <v>1</v>
      </c>
      <c r="CW344" t="n">
        <v>3.82</v>
      </c>
      <c r="CX344" t="n">
        <v>1.312</v>
      </c>
      <c r="CY344" t="n">
        <v>0</v>
      </c>
      <c r="DB344" t="n">
        <v>0</v>
      </c>
      <c r="DF344" t="n">
        <v>0</v>
      </c>
      <c r="DG344" t="n">
        <v>0</v>
      </c>
      <c r="DH344" t="n">
        <v>1</v>
      </c>
      <c r="DI344" t="n">
        <v>4</v>
      </c>
      <c r="DK344" t="n">
        <v>1</v>
      </c>
      <c r="DL344" t="n">
        <v>3</v>
      </c>
      <c r="DO344" t="n">
        <v>0</v>
      </c>
      <c r="EJ344" t="n">
        <v>43.7</v>
      </c>
      <c r="EK344" t="n">
        <v>37.4</v>
      </c>
      <c r="EL344" t="n">
        <v>131</v>
      </c>
      <c r="EM344" t="n">
        <v>734</v>
      </c>
      <c r="EN344" t="n">
        <v>922.5</v>
      </c>
      <c r="EO344" t="n">
        <v>408.8</v>
      </c>
      <c r="EP344" t="n">
        <v>21.8</v>
      </c>
    </row>
    <row r="345">
      <c r="A345" t="inlineStr">
        <is>
          <t>Wataru Endo</t>
        </is>
      </c>
      <c r="B345" t="inlineStr">
        <is>
          <t>LIV</t>
        </is>
      </c>
      <c r="C345" t="inlineStr">
        <is>
          <t>MID</t>
        </is>
      </c>
      <c r="D345" t="inlineStr">
        <is>
          <t>MID</t>
        </is>
      </c>
      <c r="E345" t="n">
        <v>5</v>
      </c>
      <c r="F345" t="b">
        <v>1</v>
      </c>
      <c r="G345" t="b">
        <v>1</v>
      </c>
      <c r="H345" t="n">
        <v>33.5</v>
      </c>
      <c r="I345" t="inlineStr">
        <is>
          <t>a</t>
        </is>
      </c>
      <c r="K345" t="n">
        <v>100</v>
      </c>
      <c r="L345" t="inlineStr">
        <is>
          <t>p158983</t>
        </is>
      </c>
      <c r="M345" t="n">
        <v>374</v>
      </c>
      <c r="Q345" t="n">
        <v>170</v>
      </c>
      <c r="R345" t="n">
        <v>8</v>
      </c>
      <c r="S345" t="n">
        <v>1</v>
      </c>
      <c r="T345" t="n">
        <v>1.889</v>
      </c>
      <c r="U345" t="n">
        <v>21.2</v>
      </c>
      <c r="V345" t="n">
        <v>12</v>
      </c>
      <c r="W345" t="n">
        <v>6.353</v>
      </c>
      <c r="X345" t="n">
        <v>0</v>
      </c>
      <c r="Y345" t="n">
        <v>1</v>
      </c>
      <c r="Z345" t="n">
        <v>1</v>
      </c>
      <c r="AA345" t="n">
        <v>1</v>
      </c>
      <c r="AB345" t="n">
        <v>5</v>
      </c>
      <c r="AC345" t="n">
        <v>0</v>
      </c>
      <c r="AD345" t="n">
        <v>0</v>
      </c>
      <c r="AE345" t="n">
        <v>0</v>
      </c>
      <c r="AF345" t="n">
        <v>49</v>
      </c>
      <c r="AG345" t="n">
        <v>47</v>
      </c>
      <c r="AH345" t="n">
        <v>-2</v>
      </c>
      <c r="AI345" t="n">
        <v>12</v>
      </c>
      <c r="AJ345" t="n">
        <v>0</v>
      </c>
      <c r="AK345" t="n">
        <v>0</v>
      </c>
      <c r="AL345" t="n">
        <v>23</v>
      </c>
      <c r="AM345" t="n">
        <v>12.176</v>
      </c>
      <c r="AN345" t="n">
        <v>0</v>
      </c>
      <c r="AO345" t="n">
        <v>0</v>
      </c>
      <c r="AP345" t="n">
        <v>0</v>
      </c>
      <c r="AQ345" t="n">
        <v>1</v>
      </c>
      <c r="AR345" t="n">
        <v>0</v>
      </c>
      <c r="AS345" t="n">
        <v>0.026</v>
      </c>
      <c r="AT345" t="n">
        <v>0.125</v>
      </c>
      <c r="AU345" t="n">
        <v>6</v>
      </c>
      <c r="AV345" t="n">
        <v>0</v>
      </c>
      <c r="AW345" t="n">
        <v>0.84</v>
      </c>
      <c r="AX345" t="n">
        <v>4</v>
      </c>
      <c r="AY345" t="n">
        <v>0.04</v>
      </c>
      <c r="AZ345" t="n">
        <v>0.062</v>
      </c>
      <c r="BA345" t="n">
        <v>0.051</v>
      </c>
      <c r="BB345" t="n">
        <v>0.062</v>
      </c>
      <c r="BC345" t="n">
        <v>0.021</v>
      </c>
      <c r="BD345" t="n">
        <v>0.033</v>
      </c>
      <c r="BE345" t="n">
        <v>0.027</v>
      </c>
      <c r="BH345" t="n">
        <v>1.041</v>
      </c>
      <c r="BI345" t="n">
        <v>0.55</v>
      </c>
      <c r="BJ345" t="n">
        <v>0.042</v>
      </c>
      <c r="BK345" t="n">
        <v>0.022</v>
      </c>
      <c r="BL345" t="n">
        <v>-0.051</v>
      </c>
      <c r="BO345" t="n">
        <v>-0.022</v>
      </c>
      <c r="BP345" t="n">
        <v>1</v>
      </c>
      <c r="BS345" t="n">
        <v>2</v>
      </c>
      <c r="BT345" t="n">
        <v>1.059</v>
      </c>
      <c r="BW345" t="n">
        <v>0.05</v>
      </c>
      <c r="BX345" t="n">
        <v>0.139</v>
      </c>
      <c r="BY345" t="n">
        <v>0.094</v>
      </c>
      <c r="BZ345" t="n">
        <v>0.05</v>
      </c>
      <c r="CA345" t="n">
        <v>0.145</v>
      </c>
      <c r="CB345" t="n">
        <v>0.077</v>
      </c>
      <c r="CC345" t="n">
        <v>1</v>
      </c>
      <c r="CE345" t="n">
        <v>1</v>
      </c>
      <c r="CI345" t="n">
        <v>0.96</v>
      </c>
      <c r="CJ345" t="n">
        <v>0.759</v>
      </c>
      <c r="CK345" t="n">
        <v>13</v>
      </c>
      <c r="CL345" t="n">
        <v>3</v>
      </c>
      <c r="CM345" t="n">
        <v>7</v>
      </c>
      <c r="CN345" t="n">
        <v>3</v>
      </c>
      <c r="CP345" t="n">
        <v>13</v>
      </c>
      <c r="CR345" t="n">
        <v>18</v>
      </c>
      <c r="CS345" t="n">
        <v>8</v>
      </c>
      <c r="CW345" t="n">
        <v>4.11</v>
      </c>
      <c r="CX345" t="n">
        <v>2.176</v>
      </c>
      <c r="CY345" t="n">
        <v>0</v>
      </c>
      <c r="DB345" t="n">
        <v>0</v>
      </c>
      <c r="DF345" t="n">
        <v>1</v>
      </c>
      <c r="DG345" t="n">
        <v>0</v>
      </c>
      <c r="DH345" t="n">
        <v>2</v>
      </c>
      <c r="DI345" t="n">
        <v>3</v>
      </c>
      <c r="DM345" t="n">
        <v>1</v>
      </c>
      <c r="DO345" t="n">
        <v>0</v>
      </c>
      <c r="DP345" t="n">
        <v>6.15</v>
      </c>
      <c r="DQ345" t="n">
        <v>3.17</v>
      </c>
      <c r="DR345" t="n">
        <v>6.34</v>
      </c>
      <c r="DS345" t="n">
        <v>-0.19</v>
      </c>
      <c r="DT345" t="n">
        <v>76</v>
      </c>
      <c r="DU345" t="n">
        <v>2</v>
      </c>
      <c r="DV345" t="inlineStr">
        <is>
          <t>flat</t>
        </is>
      </c>
      <c r="DW345" t="n">
        <v>49.22</v>
      </c>
      <c r="DY345" t="n">
        <v>49.22</v>
      </c>
      <c r="DZ345" t="n">
        <v>0</v>
      </c>
      <c r="EA345" t="n">
        <v>4</v>
      </c>
      <c r="EB345" t="n">
        <v>24.34</v>
      </c>
      <c r="EC345" t="n">
        <v>19</v>
      </c>
      <c r="ED345" t="n">
        <v>69.87</v>
      </c>
      <c r="EE345" t="n">
        <v>4</v>
      </c>
      <c r="EF345" t="b">
        <v>0</v>
      </c>
      <c r="EG345" t="n">
        <v>0.2</v>
      </c>
      <c r="EH345" t="n">
        <v>50</v>
      </c>
      <c r="EI345" t="n">
        <v>316</v>
      </c>
      <c r="EJ345" t="n">
        <v>170</v>
      </c>
      <c r="EK345" t="n">
        <v>85</v>
      </c>
      <c r="EL345" t="n">
        <v>170</v>
      </c>
      <c r="EM345" t="n">
        <v>3334.6</v>
      </c>
      <c r="EN345" t="n">
        <v>1799.8</v>
      </c>
      <c r="EO345" t="n">
        <v>1168.9</v>
      </c>
      <c r="EP345" t="n">
        <v>14.2</v>
      </c>
    </row>
    <row r="346">
      <c r="A346" t="inlineStr">
        <is>
          <t>Frank Onyeka</t>
        </is>
      </c>
      <c r="B346" t="inlineStr">
        <is>
          <t>COV</t>
        </is>
      </c>
      <c r="C346" t="inlineStr">
        <is>
          <t>MID</t>
        </is>
      </c>
      <c r="D346" t="inlineStr">
        <is>
          <t>MID</t>
        </is>
      </c>
      <c r="E346" t="n">
        <v>5</v>
      </c>
      <c r="F346" t="b">
        <v>1</v>
      </c>
      <c r="G346" t="b">
        <v>1</v>
      </c>
      <c r="H346" t="n">
        <v>28.6</v>
      </c>
      <c r="I346" t="inlineStr">
        <is>
          <t>a</t>
        </is>
      </c>
      <c r="L346" t="inlineStr">
        <is>
          <t>p428580</t>
        </is>
      </c>
      <c r="M346" t="n">
        <v>104</v>
      </c>
      <c r="Q346" t="n">
        <v>88</v>
      </c>
      <c r="R346" t="n">
        <v>6</v>
      </c>
      <c r="S346" t="n">
        <v>0</v>
      </c>
      <c r="T346" t="n">
        <v>0.978</v>
      </c>
      <c r="U346" t="n">
        <v>14.7</v>
      </c>
      <c r="V346" t="n">
        <v>12</v>
      </c>
      <c r="W346" t="n">
        <v>12.273</v>
      </c>
      <c r="X346" t="n">
        <v>0</v>
      </c>
      <c r="Y346" t="n">
        <v>2</v>
      </c>
      <c r="Z346" t="n">
        <v>1</v>
      </c>
      <c r="AA346" t="n">
        <v>0</v>
      </c>
      <c r="AB346" t="n">
        <v>2</v>
      </c>
      <c r="AC346" t="n">
        <v>0</v>
      </c>
      <c r="AD346" t="n">
        <v>0</v>
      </c>
      <c r="AE346" t="n">
        <v>0</v>
      </c>
      <c r="AF346" t="n">
        <v>41</v>
      </c>
      <c r="AG346" t="n">
        <v>40</v>
      </c>
      <c r="AH346" t="n">
        <v>-1</v>
      </c>
      <c r="AI346" t="n">
        <v>12</v>
      </c>
      <c r="AJ346" t="n">
        <v>0</v>
      </c>
      <c r="AK346" t="n">
        <v>0</v>
      </c>
      <c r="AL346" t="n">
        <v>10</v>
      </c>
      <c r="AM346" t="n">
        <v>10.227</v>
      </c>
      <c r="AN346" t="n">
        <v>0</v>
      </c>
      <c r="AO346" t="n">
        <v>0</v>
      </c>
      <c r="AS346" t="n">
        <v>0</v>
      </c>
      <c r="AT346" t="n">
        <v>0</v>
      </c>
      <c r="AU346" t="n">
        <v>4</v>
      </c>
      <c r="AV346" t="n">
        <v>0</v>
      </c>
      <c r="AW346" t="n">
        <v>0.93</v>
      </c>
      <c r="AX346" t="n">
        <v>4</v>
      </c>
      <c r="AY346" t="n">
        <v>0</v>
      </c>
      <c r="AZ346" t="n">
        <v>0</v>
      </c>
      <c r="BA346" t="n">
        <v>0</v>
      </c>
      <c r="BB346" t="n">
        <v>0</v>
      </c>
      <c r="BC346" t="n">
        <v>0</v>
      </c>
      <c r="BD346" t="n">
        <v>0</v>
      </c>
      <c r="BE346" t="n">
        <v>0</v>
      </c>
      <c r="BH346" t="n">
        <v>0.908</v>
      </c>
      <c r="BI346" t="n">
        <v>3.12</v>
      </c>
      <c r="BJ346" t="n">
        <v>0</v>
      </c>
      <c r="BK346" t="n">
        <v>0</v>
      </c>
      <c r="BL346" t="n">
        <v>0</v>
      </c>
      <c r="BO346" t="n">
        <v>0</v>
      </c>
      <c r="BS346" t="n">
        <v>2</v>
      </c>
      <c r="BT346" t="n">
        <v>2.045</v>
      </c>
      <c r="BW346" t="n">
        <v>0.36</v>
      </c>
      <c r="BX346" t="n">
        <v>0.371</v>
      </c>
      <c r="BY346" t="n">
        <v>0.365</v>
      </c>
      <c r="BZ346" t="n">
        <v>0.374</v>
      </c>
      <c r="CA346" t="n">
        <v>0.365</v>
      </c>
      <c r="CB346" t="n">
        <v>0.374</v>
      </c>
      <c r="CC346" t="n">
        <v>1</v>
      </c>
      <c r="CD346" t="n">
        <v>1</v>
      </c>
      <c r="CE346" t="n">
        <v>1</v>
      </c>
      <c r="CI346" t="n">
        <v>0.371</v>
      </c>
      <c r="CJ346" t="n">
        <v>0.371</v>
      </c>
      <c r="CK346" t="n">
        <v>3</v>
      </c>
      <c r="CL346" t="n">
        <v>5</v>
      </c>
      <c r="CM346" t="n">
        <v>2</v>
      </c>
      <c r="CP346" t="n">
        <v>3</v>
      </c>
      <c r="CR346" t="n">
        <v>8</v>
      </c>
      <c r="CS346" t="n">
        <v>1</v>
      </c>
      <c r="CW346" t="n">
        <v>2.02</v>
      </c>
      <c r="CX346" t="n">
        <v>2.066</v>
      </c>
      <c r="CY346" t="n">
        <v>0</v>
      </c>
      <c r="DB346" t="n">
        <v>0</v>
      </c>
      <c r="DF346" t="n">
        <v>0</v>
      </c>
      <c r="DG346" t="n">
        <v>0</v>
      </c>
      <c r="DH346" t="n">
        <v>3</v>
      </c>
      <c r="DI346" t="n">
        <v>3</v>
      </c>
      <c r="DL346" t="n">
        <v>2</v>
      </c>
      <c r="DO346" t="n">
        <v>0.2</v>
      </c>
      <c r="DP346" t="n">
        <v>21.91</v>
      </c>
      <c r="DQ346" t="n">
        <v>10.96</v>
      </c>
      <c r="DR346" t="n">
        <v>21.92</v>
      </c>
      <c r="DS346" t="n">
        <v>-0.01</v>
      </c>
      <c r="DT346" t="n">
        <v>480</v>
      </c>
      <c r="DU346" t="n">
        <v>12.63</v>
      </c>
      <c r="DV346" t="inlineStr">
        <is>
          <t>flat</t>
        </is>
      </c>
      <c r="DW346" t="n">
        <v>100.54</v>
      </c>
      <c r="DX346" t="n">
        <v>104</v>
      </c>
      <c r="DY346" t="n">
        <v>100.39</v>
      </c>
      <c r="DZ346" t="n">
        <v>-0.15</v>
      </c>
      <c r="EA346" t="n">
        <v>3</v>
      </c>
      <c r="EB346" t="n">
        <v>5.48</v>
      </c>
      <c r="EC346" t="n">
        <v>93.59999999999999</v>
      </c>
      <c r="ED346" t="n">
        <v>107</v>
      </c>
      <c r="EE346" t="n">
        <v>4</v>
      </c>
      <c r="EF346" t="b">
        <v>0</v>
      </c>
      <c r="EG346" t="n">
        <v>0.1</v>
      </c>
      <c r="EH346" t="n">
        <v>0</v>
      </c>
      <c r="EI346" t="n">
        <v>314</v>
      </c>
      <c r="EK346" t="n">
        <v>44</v>
      </c>
      <c r="EL346" t="n">
        <v>88</v>
      </c>
      <c r="EN346" t="n">
        <v>240.9</v>
      </c>
      <c r="EO346" t="n">
        <v>240.9</v>
      </c>
      <c r="EP346" t="n">
        <v>7.3</v>
      </c>
    </row>
    <row r="347">
      <c r="A347" t="inlineStr">
        <is>
          <t>Altay Bayindir</t>
        </is>
      </c>
      <c r="B347" t="inlineStr">
        <is>
          <t>MUN</t>
        </is>
      </c>
      <c r="C347" t="inlineStr">
        <is>
          <t>GKP</t>
        </is>
      </c>
      <c r="D347" t="inlineStr">
        <is>
          <t>GKP</t>
        </is>
      </c>
      <c r="E347" t="n">
        <v>4.5</v>
      </c>
      <c r="F347" t="b">
        <v>1</v>
      </c>
      <c r="G347" t="b">
        <v>1</v>
      </c>
      <c r="H347" t="n">
        <v>28.4</v>
      </c>
      <c r="I347" t="inlineStr">
        <is>
          <t>u</t>
        </is>
      </c>
      <c r="J347" t="inlineStr">
        <is>
          <t>Has joined Celta Vigo on loan for the rest of the season</t>
        </is>
      </c>
      <c r="K347" t="n">
        <v>0</v>
      </c>
      <c r="L347" t="inlineStr">
        <is>
          <t>p451302</t>
        </is>
      </c>
      <c r="M347" t="n">
        <v>413</v>
      </c>
      <c r="Q347" t="n">
        <v>540</v>
      </c>
      <c r="R347" t="n">
        <v>6</v>
      </c>
      <c r="S347" t="n">
        <v>6</v>
      </c>
      <c r="T347" t="n">
        <v>6</v>
      </c>
      <c r="U347" t="n">
        <v>90</v>
      </c>
      <c r="V347" t="n">
        <v>11</v>
      </c>
      <c r="W347" t="n">
        <v>1.833</v>
      </c>
      <c r="X347" t="n">
        <v>0</v>
      </c>
      <c r="Y347" t="n">
        <v>0</v>
      </c>
      <c r="AA347" t="n">
        <v>0</v>
      </c>
      <c r="AB347" t="n">
        <v>11</v>
      </c>
      <c r="AC347" t="n">
        <v>0</v>
      </c>
      <c r="AD347" t="n">
        <v>0</v>
      </c>
      <c r="AE347" t="n">
        <v>0</v>
      </c>
      <c r="AF347" t="n">
        <v>49</v>
      </c>
      <c r="AG347" t="n">
        <v>48</v>
      </c>
      <c r="AH347" t="n">
        <v>-1</v>
      </c>
      <c r="AI347" t="n">
        <v>11</v>
      </c>
      <c r="AJ347" t="n">
        <v>0</v>
      </c>
      <c r="AK347" t="n">
        <v>0</v>
      </c>
      <c r="AL347" t="n">
        <v>0</v>
      </c>
      <c r="AM347" t="n">
        <v>0</v>
      </c>
      <c r="AN347" t="n">
        <v>0</v>
      </c>
      <c r="AO347" t="n">
        <v>0</v>
      </c>
      <c r="AP347" t="n">
        <v>0</v>
      </c>
      <c r="AQ347" t="n">
        <v>0</v>
      </c>
      <c r="AR347" t="n">
        <v>0</v>
      </c>
      <c r="AS347" t="n">
        <v>0.158</v>
      </c>
      <c r="AT347" t="n">
        <v>1</v>
      </c>
      <c r="AU347" t="n">
        <v>6</v>
      </c>
      <c r="AV347" t="n">
        <v>0</v>
      </c>
      <c r="AW347" t="n">
        <v>0.6899999999999999</v>
      </c>
      <c r="AX347" t="n">
        <v>2</v>
      </c>
      <c r="AY347" t="n">
        <v>0</v>
      </c>
      <c r="AZ347" t="n">
        <v>0</v>
      </c>
      <c r="BA347" t="n">
        <v>0</v>
      </c>
      <c r="BB347" t="n">
        <v>0</v>
      </c>
      <c r="BC347" t="n">
        <v>0</v>
      </c>
      <c r="BD347" t="n">
        <v>0</v>
      </c>
      <c r="BE347" t="n">
        <v>0</v>
      </c>
      <c r="BH347" t="n">
        <v>1</v>
      </c>
      <c r="BI347" t="n">
        <v>0</v>
      </c>
      <c r="BJ347" t="n">
        <v>0</v>
      </c>
      <c r="BK347" t="n">
        <v>0</v>
      </c>
      <c r="BL347" t="n">
        <v>0</v>
      </c>
      <c r="BO347" t="n">
        <v>0</v>
      </c>
      <c r="BW347" t="n">
        <v>0.05</v>
      </c>
      <c r="BX347" t="n">
        <v>0.294</v>
      </c>
      <c r="BY347" t="n">
        <v>0.172</v>
      </c>
      <c r="BZ347" t="n">
        <v>0.029</v>
      </c>
      <c r="CA347" t="n">
        <v>0.172</v>
      </c>
      <c r="CB347" t="n">
        <v>0.029</v>
      </c>
      <c r="CC347" t="n">
        <v>1</v>
      </c>
      <c r="CD347" t="n">
        <v>1</v>
      </c>
      <c r="CE347" t="n">
        <v>1</v>
      </c>
      <c r="CI347" t="n">
        <v>1.049</v>
      </c>
      <c r="CJ347" t="n">
        <v>0.755</v>
      </c>
      <c r="CK347" t="n">
        <v>7</v>
      </c>
      <c r="CL347" t="n">
        <v>39</v>
      </c>
      <c r="CM347" t="n">
        <v>0</v>
      </c>
      <c r="CP347" t="n">
        <v>7</v>
      </c>
      <c r="CR347" t="n">
        <v>5</v>
      </c>
      <c r="CS347" t="n">
        <v>1</v>
      </c>
      <c r="CU347" t="n">
        <v>1</v>
      </c>
      <c r="CW347" t="n">
        <v>9.24</v>
      </c>
      <c r="CX347" t="n">
        <v>1.54</v>
      </c>
      <c r="CY347" t="n">
        <v>13</v>
      </c>
      <c r="DB347" t="n">
        <v>0</v>
      </c>
      <c r="DC347" t="n">
        <v>6</v>
      </c>
      <c r="DD347" t="n">
        <v>1</v>
      </c>
      <c r="DF347" t="n">
        <v>0</v>
      </c>
      <c r="DG347" t="n">
        <v>0</v>
      </c>
      <c r="DI347" t="n">
        <v>3</v>
      </c>
      <c r="DL347" t="n">
        <v>1</v>
      </c>
      <c r="DO347" t="n">
        <v>0.1</v>
      </c>
      <c r="DW347" t="n">
        <v>108.38</v>
      </c>
      <c r="DX347" t="n">
        <v>96.2</v>
      </c>
      <c r="DY347" t="n">
        <v>115.5</v>
      </c>
      <c r="DZ347" t="n">
        <v>7.12</v>
      </c>
      <c r="EA347" t="n">
        <v>5</v>
      </c>
      <c r="EB347" t="n">
        <v>22.83</v>
      </c>
      <c r="EC347" t="n">
        <v>26</v>
      </c>
      <c r="ED347" t="n">
        <v>120</v>
      </c>
      <c r="EE347" t="n">
        <v>27</v>
      </c>
      <c r="EF347" t="b">
        <v>1</v>
      </c>
      <c r="EG347" t="n">
        <v>0.7</v>
      </c>
      <c r="EH347" t="n">
        <v>22.9</v>
      </c>
      <c r="EI347" t="n">
        <v>449</v>
      </c>
      <c r="EL347" t="n">
        <v>540</v>
      </c>
      <c r="EN347" t="n">
        <v>3140.3</v>
      </c>
      <c r="EO347" t="n">
        <v>3140.3</v>
      </c>
      <c r="EP347" t="n">
        <v>49.1</v>
      </c>
    </row>
    <row r="348">
      <c r="A348" t="inlineStr">
        <is>
          <t>Ben Gannon-Doak</t>
        </is>
      </c>
      <c r="B348" t="inlineStr">
        <is>
          <t>BOU</t>
        </is>
      </c>
      <c r="C348" t="inlineStr">
        <is>
          <t>MID</t>
        </is>
      </c>
      <c r="D348" t="inlineStr">
        <is>
          <t>MID</t>
        </is>
      </c>
      <c r="E348" t="n">
        <v>5</v>
      </c>
      <c r="F348" t="b">
        <v>1</v>
      </c>
      <c r="G348" t="b">
        <v>1</v>
      </c>
      <c r="H348" t="n">
        <v>20.8</v>
      </c>
      <c r="I348" t="inlineStr">
        <is>
          <t>a</t>
        </is>
      </c>
      <c r="L348" t="inlineStr">
        <is>
          <t>p496208</t>
        </is>
      </c>
      <c r="M348" t="n">
        <v>72</v>
      </c>
      <c r="Q348" t="n">
        <v>105</v>
      </c>
      <c r="R348" t="n">
        <v>8</v>
      </c>
      <c r="S348" t="n">
        <v>0</v>
      </c>
      <c r="T348" t="n">
        <v>1.167</v>
      </c>
      <c r="U348" t="n">
        <v>13.1</v>
      </c>
      <c r="V348" t="n">
        <v>11</v>
      </c>
      <c r="W348" t="n">
        <v>9.429</v>
      </c>
      <c r="X348" t="n">
        <v>0</v>
      </c>
      <c r="Y348" t="n">
        <v>1</v>
      </c>
      <c r="Z348" t="n">
        <v>1</v>
      </c>
      <c r="AA348" t="n">
        <v>0</v>
      </c>
      <c r="AB348" t="n">
        <v>1</v>
      </c>
      <c r="AC348" t="n">
        <v>0</v>
      </c>
      <c r="AD348" t="n">
        <v>0</v>
      </c>
      <c r="AE348" t="n">
        <v>0</v>
      </c>
      <c r="AF348" t="n">
        <v>33</v>
      </c>
      <c r="AG348" t="n">
        <v>33</v>
      </c>
      <c r="AH348" t="n">
        <v>0</v>
      </c>
      <c r="AI348" t="n">
        <v>11</v>
      </c>
      <c r="AJ348" t="n">
        <v>0</v>
      </c>
      <c r="AK348" t="n">
        <v>0</v>
      </c>
      <c r="AL348" t="n">
        <v>13</v>
      </c>
      <c r="AM348" t="n">
        <v>11.143</v>
      </c>
      <c r="AN348" t="n">
        <v>0</v>
      </c>
      <c r="AO348" t="n">
        <v>0</v>
      </c>
      <c r="AS348" t="n">
        <v>0</v>
      </c>
      <c r="AT348" t="n">
        <v>0</v>
      </c>
      <c r="AU348" t="n">
        <v>7</v>
      </c>
      <c r="AV348" t="n">
        <v>0</v>
      </c>
      <c r="AW348" t="n">
        <v>0.73</v>
      </c>
      <c r="AX348" t="n">
        <v>4</v>
      </c>
      <c r="AY348" t="n">
        <v>0.26</v>
      </c>
      <c r="AZ348" t="n">
        <v>0.446</v>
      </c>
      <c r="BA348" t="n">
        <v>0.353</v>
      </c>
      <c r="BB348" t="n">
        <v>0.446</v>
      </c>
      <c r="BC348" t="n">
        <v>0.223</v>
      </c>
      <c r="BD348" t="n">
        <v>0.382</v>
      </c>
      <c r="BE348" t="n">
        <v>0.303</v>
      </c>
      <c r="BF348" t="n">
        <v>0.1</v>
      </c>
      <c r="BG348" t="n">
        <v>0.08599999999999999</v>
      </c>
      <c r="BH348" t="n">
        <v>0.981</v>
      </c>
      <c r="BI348" t="n">
        <v>0.26</v>
      </c>
      <c r="BJ348" t="n">
        <v>0.255</v>
      </c>
      <c r="BK348" t="n">
        <v>0.219</v>
      </c>
      <c r="BL348" t="n">
        <v>-0.353</v>
      </c>
      <c r="BM348" t="n">
        <v>-0.16</v>
      </c>
      <c r="BN348" t="n">
        <v>-0.1</v>
      </c>
      <c r="BO348" t="n">
        <v>-0.186</v>
      </c>
      <c r="BP348" t="n">
        <v>3</v>
      </c>
      <c r="BQ348" t="n">
        <v>1</v>
      </c>
      <c r="BR348" t="n">
        <v>1</v>
      </c>
      <c r="BS348" t="n">
        <v>10</v>
      </c>
      <c r="BT348" t="n">
        <v>8.571</v>
      </c>
      <c r="BW348" t="n">
        <v>0.13</v>
      </c>
      <c r="BX348" t="n">
        <v>0.457</v>
      </c>
      <c r="BY348" t="n">
        <v>0.294</v>
      </c>
      <c r="BZ348" t="n">
        <v>0.252</v>
      </c>
      <c r="CA348" t="n">
        <v>0.647</v>
      </c>
      <c r="CB348" t="n">
        <v>0.554</v>
      </c>
      <c r="CC348" t="n">
        <v>1</v>
      </c>
      <c r="CD348" t="n">
        <v>1</v>
      </c>
      <c r="CE348" t="n">
        <v>1</v>
      </c>
      <c r="CI348" t="n">
        <v>1.941</v>
      </c>
      <c r="CJ348" t="n">
        <v>1.038</v>
      </c>
      <c r="CK348" t="n">
        <v>1</v>
      </c>
      <c r="CL348" t="n">
        <v>6</v>
      </c>
      <c r="CM348" t="n">
        <v>6</v>
      </c>
      <c r="CN348" t="n">
        <v>2</v>
      </c>
      <c r="CO348" t="n">
        <v>1</v>
      </c>
      <c r="CR348" t="n">
        <v>10</v>
      </c>
      <c r="CS348" t="n">
        <v>1</v>
      </c>
      <c r="CW348" t="n">
        <v>4.74</v>
      </c>
      <c r="CX348" t="n">
        <v>4.063</v>
      </c>
      <c r="CY348" t="n">
        <v>0</v>
      </c>
      <c r="DB348" t="n">
        <v>0</v>
      </c>
      <c r="DF348" t="n">
        <v>0</v>
      </c>
      <c r="DG348" t="n">
        <v>0</v>
      </c>
      <c r="DH348" t="n">
        <v>3</v>
      </c>
      <c r="DI348" t="n">
        <v>1</v>
      </c>
      <c r="DL348" t="n">
        <v>2</v>
      </c>
      <c r="DO348" t="n">
        <v>0.1</v>
      </c>
      <c r="DP348" t="n">
        <v>17.28</v>
      </c>
      <c r="DQ348" t="n">
        <v>9.07</v>
      </c>
      <c r="DR348" t="n">
        <v>18.14</v>
      </c>
      <c r="DS348" t="n">
        <v>-0.86</v>
      </c>
      <c r="DT348" t="n">
        <v>160</v>
      </c>
      <c r="DU348" t="n">
        <v>4.2</v>
      </c>
      <c r="DV348" t="inlineStr">
        <is>
          <t>flat</t>
        </is>
      </c>
      <c r="DW348" t="n">
        <v>70.75</v>
      </c>
      <c r="DX348" t="n">
        <v>23</v>
      </c>
      <c r="DY348" t="n">
        <v>23</v>
      </c>
      <c r="DZ348" t="n">
        <v>-47.75</v>
      </c>
      <c r="EA348" t="n">
        <v>1</v>
      </c>
      <c r="EB348" t="n">
        <v>42.55</v>
      </c>
      <c r="EC348" t="n">
        <v>23</v>
      </c>
      <c r="ED348" t="n">
        <v>104.67</v>
      </c>
      <c r="EE348" t="n">
        <v>3</v>
      </c>
      <c r="EF348" t="b">
        <v>0</v>
      </c>
      <c r="EG348" t="n">
        <v>0.1</v>
      </c>
      <c r="EH348" t="n">
        <v>40</v>
      </c>
      <c r="EI348" t="n">
        <v>317</v>
      </c>
      <c r="EJ348" t="n">
        <v>35</v>
      </c>
      <c r="EK348" t="n">
        <v>10.5</v>
      </c>
      <c r="EL348" t="n">
        <v>105</v>
      </c>
      <c r="EM348" t="n">
        <v>297.5</v>
      </c>
      <c r="EN348" t="n">
        <v>357.7</v>
      </c>
      <c r="EO348" t="n">
        <v>162.4</v>
      </c>
      <c r="EP348" t="n">
        <v>9.5</v>
      </c>
    </row>
    <row r="349">
      <c r="A349" t="inlineStr">
        <is>
          <t>John Victor</t>
        </is>
      </c>
      <c r="B349" t="inlineStr">
        <is>
          <t>NFO</t>
        </is>
      </c>
      <c r="C349" t="inlineStr">
        <is>
          <t>GKP</t>
        </is>
      </c>
      <c r="D349" t="inlineStr">
        <is>
          <t>GKP</t>
        </is>
      </c>
      <c r="E349" t="n">
        <v>4.5</v>
      </c>
      <c r="F349" t="b">
        <v>1</v>
      </c>
      <c r="G349" t="b">
        <v>1</v>
      </c>
      <c r="H349" t="n">
        <v>30.5</v>
      </c>
      <c r="I349" t="inlineStr">
        <is>
          <t>a</t>
        </is>
      </c>
      <c r="L349" t="inlineStr">
        <is>
          <t>p221389</t>
        </is>
      </c>
      <c r="M349" t="n">
        <v>468</v>
      </c>
      <c r="Q349" t="n">
        <v>437</v>
      </c>
      <c r="R349" t="n">
        <v>5</v>
      </c>
      <c r="S349" t="n">
        <v>5</v>
      </c>
      <c r="T349" t="n">
        <v>4.856</v>
      </c>
      <c r="U349" t="n">
        <v>87.40000000000001</v>
      </c>
      <c r="V349" t="n">
        <v>11</v>
      </c>
      <c r="W349" t="n">
        <v>2.265</v>
      </c>
      <c r="X349" t="n">
        <v>0</v>
      </c>
      <c r="Y349" t="n">
        <v>0</v>
      </c>
      <c r="AA349" t="n">
        <v>1</v>
      </c>
      <c r="AB349" t="n">
        <v>8</v>
      </c>
      <c r="AC349" t="n">
        <v>0</v>
      </c>
      <c r="AD349" t="n">
        <v>0</v>
      </c>
      <c r="AE349" t="n">
        <v>0</v>
      </c>
      <c r="AF349" t="n">
        <v>32</v>
      </c>
      <c r="AG349" t="n">
        <v>31</v>
      </c>
      <c r="AH349" t="n">
        <v>-1</v>
      </c>
      <c r="AI349" t="n">
        <v>11</v>
      </c>
      <c r="AJ349" t="n">
        <v>0</v>
      </c>
      <c r="AK349" t="n">
        <v>0</v>
      </c>
      <c r="AL349" t="n">
        <v>0</v>
      </c>
      <c r="AM349" t="n">
        <v>0</v>
      </c>
      <c r="AN349" t="n">
        <v>0</v>
      </c>
      <c r="AO349" t="n">
        <v>0</v>
      </c>
      <c r="AP349" t="n">
        <v>0</v>
      </c>
      <c r="AQ349" t="n">
        <v>0</v>
      </c>
      <c r="AR349" t="n">
        <v>0</v>
      </c>
      <c r="AS349" t="n">
        <v>0.132</v>
      </c>
      <c r="AT349" t="n">
        <v>1</v>
      </c>
      <c r="AU349" t="n">
        <v>4</v>
      </c>
      <c r="AV349" t="n">
        <v>0</v>
      </c>
      <c r="AW349" t="n">
        <v>1.08</v>
      </c>
      <c r="AX349" t="n">
        <v>6</v>
      </c>
      <c r="AY349" t="n">
        <v>0</v>
      </c>
      <c r="AZ349" t="n">
        <v>0</v>
      </c>
      <c r="BA349" t="n">
        <v>0</v>
      </c>
      <c r="BB349" t="n">
        <v>0</v>
      </c>
      <c r="BC349" t="n">
        <v>0</v>
      </c>
      <c r="BD349" t="n">
        <v>0</v>
      </c>
      <c r="BE349" t="n">
        <v>0</v>
      </c>
      <c r="BH349" t="n">
        <v>1</v>
      </c>
      <c r="BI349" t="n">
        <v>0</v>
      </c>
      <c r="BJ349" t="n">
        <v>0</v>
      </c>
      <c r="BK349" t="n">
        <v>0</v>
      </c>
      <c r="BL349" t="n">
        <v>0</v>
      </c>
      <c r="BO349" t="n">
        <v>0</v>
      </c>
      <c r="BW349" t="n">
        <v>0</v>
      </c>
      <c r="BX349" t="n">
        <v>0</v>
      </c>
      <c r="BY349" t="n">
        <v>0</v>
      </c>
      <c r="BZ349" t="n">
        <v>0</v>
      </c>
      <c r="CA349" t="n">
        <v>0</v>
      </c>
      <c r="CB349" t="n">
        <v>0</v>
      </c>
      <c r="CC349" t="n">
        <v>0</v>
      </c>
      <c r="CI349" t="n">
        <v>0.848</v>
      </c>
      <c r="CJ349" t="n">
        <v>0.848</v>
      </c>
      <c r="CK349" t="n">
        <v>4</v>
      </c>
      <c r="CL349" t="n">
        <v>26</v>
      </c>
      <c r="CM349" t="n">
        <v>0</v>
      </c>
      <c r="CP349" t="n">
        <v>4</v>
      </c>
      <c r="CU349" t="n">
        <v>1</v>
      </c>
      <c r="CW349" t="n">
        <v>6.13</v>
      </c>
      <c r="CX349" t="n">
        <v>1.262</v>
      </c>
      <c r="CY349" t="n">
        <v>6</v>
      </c>
      <c r="DB349" t="n">
        <v>0</v>
      </c>
      <c r="DC349" t="n">
        <v>1</v>
      </c>
      <c r="DD349" t="n">
        <v>3</v>
      </c>
      <c r="DF349" t="n">
        <v>1</v>
      </c>
      <c r="DG349" t="n">
        <v>0</v>
      </c>
      <c r="DO349" t="n">
        <v>0.1</v>
      </c>
      <c r="DP349" t="n">
        <v>1.5</v>
      </c>
      <c r="DQ349" t="n">
        <v>0.75</v>
      </c>
      <c r="DR349" t="n">
        <v>1.5</v>
      </c>
      <c r="DS349" t="n">
        <v>0</v>
      </c>
      <c r="DT349" t="n">
        <v>35</v>
      </c>
      <c r="DU349" t="n">
        <v>0.91</v>
      </c>
      <c r="DV349" t="inlineStr">
        <is>
          <t>flat</t>
        </is>
      </c>
      <c r="DW349" t="n">
        <v>112.79</v>
      </c>
      <c r="DX349" t="n">
        <v>117.5</v>
      </c>
      <c r="DY349" t="n">
        <v>115.46</v>
      </c>
      <c r="DZ349" t="n">
        <v>2.67</v>
      </c>
      <c r="EA349" t="n">
        <v>29</v>
      </c>
      <c r="EB349" t="n">
        <v>13.57</v>
      </c>
      <c r="EC349" t="n">
        <v>56.8</v>
      </c>
      <c r="ED349" t="n">
        <v>120</v>
      </c>
      <c r="EE349" t="n">
        <v>39</v>
      </c>
      <c r="EF349" t="b">
        <v>1</v>
      </c>
      <c r="EG349" t="n">
        <v>1.1</v>
      </c>
      <c r="EH349" t="n">
        <v>26.4</v>
      </c>
      <c r="EI349" t="n">
        <v>450</v>
      </c>
      <c r="EP349" t="n">
        <v>39.7</v>
      </c>
    </row>
    <row r="350">
      <c r="A350" t="inlineStr">
        <is>
          <t>Luca Netz</t>
        </is>
      </c>
      <c r="B350" t="inlineStr">
        <is>
          <t>NFO</t>
        </is>
      </c>
      <c r="C350" t="inlineStr">
        <is>
          <t>DEF</t>
        </is>
      </c>
      <c r="D350" t="inlineStr">
        <is>
          <t>DEF</t>
        </is>
      </c>
      <c r="E350" t="n">
        <v>4.5</v>
      </c>
      <c r="F350" t="b">
        <v>1</v>
      </c>
      <c r="G350" t="b">
        <v>1</v>
      </c>
      <c r="H350" t="n">
        <v>23.3</v>
      </c>
      <c r="I350" t="inlineStr">
        <is>
          <t>a</t>
        </is>
      </c>
      <c r="L350" t="inlineStr">
        <is>
          <t>p470315</t>
        </is>
      </c>
      <c r="M350" t="n">
        <v>478</v>
      </c>
      <c r="Q350" t="n">
        <v>353</v>
      </c>
      <c r="R350" t="n">
        <v>7</v>
      </c>
      <c r="S350" t="n">
        <v>3</v>
      </c>
      <c r="T350" t="n">
        <v>3.922</v>
      </c>
      <c r="U350" t="n">
        <v>50.4</v>
      </c>
      <c r="V350" t="n">
        <v>11</v>
      </c>
      <c r="W350" t="n">
        <v>2.805</v>
      </c>
      <c r="X350" t="n">
        <v>0</v>
      </c>
      <c r="Y350" t="n">
        <v>0</v>
      </c>
      <c r="AA350" t="n">
        <v>0</v>
      </c>
      <c r="AB350" t="n">
        <v>5</v>
      </c>
      <c r="AC350" t="n">
        <v>0</v>
      </c>
      <c r="AD350" t="n">
        <v>0</v>
      </c>
      <c r="AE350" t="n">
        <v>0</v>
      </c>
      <c r="AF350" t="n">
        <v>33</v>
      </c>
      <c r="AG350" t="n">
        <v>30</v>
      </c>
      <c r="AH350" t="n">
        <v>-3</v>
      </c>
      <c r="AI350" t="n">
        <v>11</v>
      </c>
      <c r="AJ350" t="n">
        <v>0</v>
      </c>
      <c r="AK350" t="n">
        <v>0</v>
      </c>
      <c r="AL350" t="n">
        <v>27</v>
      </c>
      <c r="AM350" t="n">
        <v>6.884</v>
      </c>
      <c r="AN350" t="n">
        <v>1</v>
      </c>
      <c r="AO350" t="n">
        <v>2</v>
      </c>
      <c r="AP350" t="n">
        <v>0.333</v>
      </c>
      <c r="AQ350" t="n">
        <v>0.333</v>
      </c>
      <c r="AR350" t="n">
        <v>0</v>
      </c>
      <c r="AS350" t="n">
        <v>0.079</v>
      </c>
      <c r="AT350" t="n">
        <v>0.429</v>
      </c>
      <c r="AU350" t="n">
        <v>6</v>
      </c>
      <c r="AV350" t="n">
        <v>0</v>
      </c>
      <c r="AW350" t="n">
        <v>1.12</v>
      </c>
      <c r="AX350" t="n">
        <v>4</v>
      </c>
      <c r="AY350" t="n">
        <v>0</v>
      </c>
      <c r="AZ350" t="n">
        <v>0</v>
      </c>
      <c r="BA350" t="n">
        <v>0</v>
      </c>
      <c r="BB350" t="n">
        <v>0</v>
      </c>
      <c r="BC350" t="n">
        <v>0</v>
      </c>
      <c r="BD350" t="n">
        <v>0</v>
      </c>
      <c r="BE350" t="n">
        <v>0</v>
      </c>
      <c r="BH350" t="n">
        <v>1</v>
      </c>
      <c r="BI350" t="n">
        <v>0</v>
      </c>
      <c r="BJ350" t="n">
        <v>0</v>
      </c>
      <c r="BK350" t="n">
        <v>0</v>
      </c>
      <c r="BL350" t="n">
        <v>0</v>
      </c>
      <c r="BO350" t="n">
        <v>0</v>
      </c>
      <c r="BS350" t="n">
        <v>5</v>
      </c>
      <c r="BT350" t="n">
        <v>1.275</v>
      </c>
      <c r="BW350" t="n">
        <v>0.41</v>
      </c>
      <c r="BX350" t="n">
        <v>0.098</v>
      </c>
      <c r="BY350" t="n">
        <v>0.254</v>
      </c>
      <c r="BZ350" t="n">
        <v>0.065</v>
      </c>
      <c r="CA350" t="n">
        <v>0.254</v>
      </c>
      <c r="CB350" t="n">
        <v>0.065</v>
      </c>
      <c r="CC350" t="n">
        <v>2</v>
      </c>
      <c r="CE350" t="n">
        <v>2</v>
      </c>
      <c r="CI350" t="n">
        <v>3.101</v>
      </c>
      <c r="CJ350" t="n">
        <v>3.084</v>
      </c>
      <c r="CK350" t="n">
        <v>15</v>
      </c>
      <c r="CL350" t="n">
        <v>15</v>
      </c>
      <c r="CM350" t="n">
        <v>12</v>
      </c>
      <c r="CN350" t="n">
        <v>7</v>
      </c>
      <c r="CO350" t="n">
        <v>3</v>
      </c>
      <c r="CP350" t="n">
        <v>9</v>
      </c>
      <c r="CQ350" t="n">
        <v>3</v>
      </c>
      <c r="CR350" t="n">
        <v>18</v>
      </c>
      <c r="CS350" t="n">
        <v>2</v>
      </c>
      <c r="CW350" t="n">
        <v>7.87</v>
      </c>
      <c r="CX350" t="n">
        <v>2.007</v>
      </c>
      <c r="CY350" t="n">
        <v>0</v>
      </c>
      <c r="DB350" t="n">
        <v>0</v>
      </c>
      <c r="DF350" t="n">
        <v>0</v>
      </c>
      <c r="DG350" t="n">
        <v>0</v>
      </c>
      <c r="DH350" t="n">
        <v>5</v>
      </c>
      <c r="DI350" t="n">
        <v>2</v>
      </c>
      <c r="DL350" t="n">
        <v>2</v>
      </c>
      <c r="DO350" t="n">
        <v>0</v>
      </c>
      <c r="DP350" t="n">
        <v>16.43</v>
      </c>
      <c r="DQ350" t="n">
        <v>8.23</v>
      </c>
      <c r="DR350" t="n">
        <v>16.46</v>
      </c>
      <c r="DS350" t="n">
        <v>-0.03</v>
      </c>
      <c r="DT350" t="n">
        <v>115</v>
      </c>
      <c r="DU350" t="n">
        <v>3.02</v>
      </c>
      <c r="DV350" t="inlineStr">
        <is>
          <t>flat</t>
        </is>
      </c>
      <c r="DW350" t="n">
        <v>113.73</v>
      </c>
      <c r="DX350" t="n">
        <v>117</v>
      </c>
      <c r="DY350" t="n">
        <v>114</v>
      </c>
      <c r="DZ350" t="n">
        <v>0.27</v>
      </c>
      <c r="EA350" t="n">
        <v>1</v>
      </c>
      <c r="EB350" t="n">
        <v>6.4</v>
      </c>
      <c r="EC350" t="n">
        <v>107.2</v>
      </c>
      <c r="ED350" t="n">
        <v>120</v>
      </c>
      <c r="EE350" t="n">
        <v>3</v>
      </c>
      <c r="EF350" t="b">
        <v>0</v>
      </c>
      <c r="EG350" t="n">
        <v>0.1</v>
      </c>
      <c r="EH350" t="n">
        <v>0</v>
      </c>
      <c r="EI350" t="n">
        <v>451</v>
      </c>
      <c r="EK350" t="n">
        <v>70.59999999999999</v>
      </c>
      <c r="EL350" t="n">
        <v>176.5</v>
      </c>
      <c r="EN350" t="n">
        <v>1389.6</v>
      </c>
      <c r="EO350" t="n">
        <v>1389.6</v>
      </c>
      <c r="EP350" t="n">
        <v>32.1</v>
      </c>
    </row>
    <row r="351">
      <c r="A351" t="inlineStr">
        <is>
          <t>Ben Davies</t>
        </is>
      </c>
      <c r="B351" t="inlineStr">
        <is>
          <t>TOT</t>
        </is>
      </c>
      <c r="C351" t="inlineStr">
        <is>
          <t>DEF</t>
        </is>
      </c>
      <c r="D351" t="inlineStr">
        <is>
          <t>DEF</t>
        </is>
      </c>
      <c r="E351" t="n">
        <v>4</v>
      </c>
      <c r="F351" t="b">
        <v>1</v>
      </c>
      <c r="G351" t="b">
        <v>1</v>
      </c>
      <c r="H351" t="n">
        <v>33.3</v>
      </c>
      <c r="I351" t="inlineStr">
        <is>
          <t>a</t>
        </is>
      </c>
      <c r="L351" t="inlineStr">
        <is>
          <t>p115556</t>
        </is>
      </c>
      <c r="M351" t="n">
        <v>508</v>
      </c>
      <c r="Q351" t="n">
        <v>136</v>
      </c>
      <c r="R351" t="n">
        <v>3</v>
      </c>
      <c r="S351" t="n">
        <v>2</v>
      </c>
      <c r="T351" t="n">
        <v>1.511</v>
      </c>
      <c r="U351" t="n">
        <v>45.3</v>
      </c>
      <c r="V351" t="n">
        <v>10</v>
      </c>
      <c r="W351" t="n">
        <v>6.618</v>
      </c>
      <c r="X351" t="n">
        <v>1</v>
      </c>
      <c r="Y351" t="n">
        <v>0</v>
      </c>
      <c r="AA351" t="n">
        <v>0</v>
      </c>
      <c r="AB351" t="n">
        <v>3</v>
      </c>
      <c r="AC351" t="n">
        <v>1</v>
      </c>
      <c r="AD351" t="n">
        <v>1</v>
      </c>
      <c r="AE351" t="n">
        <v>0</v>
      </c>
      <c r="AF351" t="n">
        <v>29</v>
      </c>
      <c r="AG351" t="n">
        <v>27</v>
      </c>
      <c r="AH351" t="n">
        <v>-2</v>
      </c>
      <c r="AI351" t="n">
        <v>10</v>
      </c>
      <c r="AJ351" t="n">
        <v>0.1</v>
      </c>
      <c r="AK351" t="n">
        <v>0.111</v>
      </c>
      <c r="AL351" t="n">
        <v>14</v>
      </c>
      <c r="AM351" t="n">
        <v>9.265000000000001</v>
      </c>
      <c r="AN351" t="n">
        <v>0</v>
      </c>
      <c r="AO351" t="n">
        <v>0</v>
      </c>
      <c r="AP351" t="n">
        <v>0</v>
      </c>
      <c r="AQ351" t="n">
        <v>0</v>
      </c>
      <c r="AR351" t="n">
        <v>0</v>
      </c>
      <c r="AS351" t="n">
        <v>0.053</v>
      </c>
      <c r="AT351" t="n">
        <v>0.333</v>
      </c>
      <c r="AU351" t="n">
        <v>2</v>
      </c>
      <c r="AV351" t="n">
        <v>0</v>
      </c>
      <c r="AW351" t="n">
        <v>1.46</v>
      </c>
      <c r="AX351" t="n">
        <v>9</v>
      </c>
      <c r="AY351" t="n">
        <v>0.49</v>
      </c>
      <c r="AZ351" t="n">
        <v>0.798</v>
      </c>
      <c r="BA351" t="n">
        <v>0.644</v>
      </c>
      <c r="BB351" t="n">
        <v>0.798</v>
      </c>
      <c r="BC351" t="n">
        <v>0.324</v>
      </c>
      <c r="BD351" t="n">
        <v>0.528</v>
      </c>
      <c r="BE351" t="n">
        <v>0.426</v>
      </c>
      <c r="BF351" t="n">
        <v>1</v>
      </c>
      <c r="BG351" t="n">
        <v>0.662</v>
      </c>
      <c r="BH351" t="n">
        <v>0.9409999999999999</v>
      </c>
      <c r="BI351" t="n">
        <v>4.11</v>
      </c>
      <c r="BJ351" t="n">
        <v>0.461</v>
      </c>
      <c r="BK351" t="n">
        <v>0.305</v>
      </c>
      <c r="BL351" t="n">
        <v>0.356</v>
      </c>
      <c r="BM351" t="n">
        <v>0.51</v>
      </c>
      <c r="BN351" t="n">
        <v>0</v>
      </c>
      <c r="BO351" t="n">
        <v>-0.308</v>
      </c>
      <c r="BP351" t="n">
        <v>2</v>
      </c>
      <c r="BQ351" t="n">
        <v>2</v>
      </c>
      <c r="BS351" t="n">
        <v>3</v>
      </c>
      <c r="BT351" t="n">
        <v>1.985</v>
      </c>
      <c r="BW351" t="n">
        <v>0.07000000000000001</v>
      </c>
      <c r="BX351" t="n">
        <v>0.025</v>
      </c>
      <c r="BY351" t="n">
        <v>0.047</v>
      </c>
      <c r="BZ351" t="n">
        <v>0.031</v>
      </c>
      <c r="CA351" t="n">
        <v>0.6909999999999999</v>
      </c>
      <c r="CB351" t="n">
        <v>0.458</v>
      </c>
      <c r="CC351" t="n">
        <v>1</v>
      </c>
      <c r="CE351" t="n">
        <v>1</v>
      </c>
      <c r="CF351" t="n">
        <v>2</v>
      </c>
      <c r="CI351" t="n">
        <v>0.025</v>
      </c>
      <c r="CJ351" t="n">
        <v>0.025</v>
      </c>
      <c r="CK351" t="n">
        <v>9</v>
      </c>
      <c r="CL351" t="n">
        <v>5</v>
      </c>
      <c r="CM351" t="n">
        <v>5</v>
      </c>
      <c r="CN351" t="n">
        <v>4</v>
      </c>
      <c r="CO351" t="n">
        <v>1</v>
      </c>
      <c r="CP351" t="n">
        <v>8</v>
      </c>
      <c r="CQ351" t="n">
        <v>1</v>
      </c>
      <c r="CR351" t="n">
        <v>9</v>
      </c>
      <c r="CS351" t="n">
        <v>4</v>
      </c>
      <c r="CW351" t="n">
        <v>1.11</v>
      </c>
      <c r="CX351" t="n">
        <v>0.735</v>
      </c>
      <c r="CY351" t="n">
        <v>0</v>
      </c>
      <c r="DB351" t="n">
        <v>0</v>
      </c>
      <c r="DF351" t="n">
        <v>1</v>
      </c>
      <c r="DG351" t="n">
        <v>0</v>
      </c>
      <c r="DH351" t="n">
        <v>2</v>
      </c>
      <c r="DI351" t="n">
        <v>0</v>
      </c>
      <c r="DM351" t="n">
        <v>1</v>
      </c>
      <c r="DO351" t="n">
        <v>0.9</v>
      </c>
      <c r="DP351" t="n">
        <v>6.08</v>
      </c>
      <c r="DQ351" t="n">
        <v>3.05</v>
      </c>
      <c r="DR351" t="n">
        <v>6.1</v>
      </c>
      <c r="DS351" t="n">
        <v>-0.02</v>
      </c>
      <c r="DT351" t="n">
        <v>108</v>
      </c>
      <c r="DU351" t="n">
        <v>2.84</v>
      </c>
      <c r="DV351" t="inlineStr">
        <is>
          <t>flat</t>
        </is>
      </c>
      <c r="DW351" t="n">
        <v>103.33</v>
      </c>
      <c r="DY351" t="n">
        <v>103.33</v>
      </c>
      <c r="DZ351" t="n">
        <v>0</v>
      </c>
      <c r="EA351" t="n">
        <v>1</v>
      </c>
      <c r="EC351" t="n">
        <v>103.33</v>
      </c>
      <c r="ED351" t="n">
        <v>103.33</v>
      </c>
      <c r="EE351" t="n">
        <v>1</v>
      </c>
      <c r="EF351" t="b">
        <v>0</v>
      </c>
      <c r="EG351" t="n">
        <v>0</v>
      </c>
      <c r="EH351" t="n">
        <v>0</v>
      </c>
      <c r="EI351" t="n">
        <v>522</v>
      </c>
      <c r="EJ351" t="n">
        <v>68</v>
      </c>
      <c r="EK351" t="n">
        <v>45.3</v>
      </c>
      <c r="EL351" t="n">
        <v>136</v>
      </c>
      <c r="EM351" t="n">
        <v>211.1</v>
      </c>
      <c r="EN351" t="n">
        <v>2871.1</v>
      </c>
      <c r="EO351" t="n">
        <v>196.7</v>
      </c>
      <c r="EP351" t="n">
        <v>13.6</v>
      </c>
    </row>
    <row r="352">
      <c r="A352" t="inlineStr">
        <is>
          <t>Diego Coppola</t>
        </is>
      </c>
      <c r="B352" t="inlineStr">
        <is>
          <t>BHA</t>
        </is>
      </c>
      <c r="C352" t="inlineStr">
        <is>
          <t>DEF</t>
        </is>
      </c>
      <c r="D352" t="inlineStr">
        <is>
          <t>DEF</t>
        </is>
      </c>
      <c r="E352" t="n">
        <v>4.5</v>
      </c>
      <c r="F352" t="b">
        <v>1</v>
      </c>
      <c r="G352" t="b">
        <v>1</v>
      </c>
      <c r="I352" t="inlineStr">
        <is>
          <t>a</t>
        </is>
      </c>
      <c r="L352" t="inlineStr">
        <is>
          <t>p550090</t>
        </is>
      </c>
      <c r="M352" t="n">
        <v>117</v>
      </c>
      <c r="Q352" t="n">
        <v>193</v>
      </c>
      <c r="R352" t="n">
        <v>5</v>
      </c>
      <c r="S352" t="n">
        <v>2</v>
      </c>
      <c r="T352" t="n">
        <v>2.144</v>
      </c>
      <c r="U352" t="n">
        <v>38.6</v>
      </c>
      <c r="V352" t="n">
        <v>10</v>
      </c>
      <c r="W352" t="n">
        <v>4.663</v>
      </c>
      <c r="X352" t="n">
        <v>0</v>
      </c>
      <c r="Y352" t="n">
        <v>0</v>
      </c>
      <c r="AA352" t="n">
        <v>1</v>
      </c>
      <c r="AB352" t="n">
        <v>3</v>
      </c>
      <c r="AC352" t="n">
        <v>0</v>
      </c>
      <c r="AD352" t="n">
        <v>0</v>
      </c>
      <c r="AE352" t="n">
        <v>0</v>
      </c>
      <c r="AF352" t="n">
        <v>32</v>
      </c>
      <c r="AG352" t="n">
        <v>29</v>
      </c>
      <c r="AH352" t="n">
        <v>-3</v>
      </c>
      <c r="AI352" t="n">
        <v>10</v>
      </c>
      <c r="AJ352" t="n">
        <v>0</v>
      </c>
      <c r="AK352" t="n">
        <v>0</v>
      </c>
      <c r="AL352" t="n">
        <v>18</v>
      </c>
      <c r="AM352" t="n">
        <v>8.394</v>
      </c>
      <c r="AN352" t="n">
        <v>1</v>
      </c>
      <c r="AO352" t="n">
        <v>2</v>
      </c>
      <c r="AP352" t="n">
        <v>0.5</v>
      </c>
      <c r="AQ352" t="n">
        <v>0.5</v>
      </c>
      <c r="AR352" t="n">
        <v>0</v>
      </c>
      <c r="AS352" t="n">
        <v>0.053</v>
      </c>
      <c r="AT352" t="n">
        <v>0.4</v>
      </c>
      <c r="AU352" t="n">
        <v>4</v>
      </c>
      <c r="AV352" t="n">
        <v>0</v>
      </c>
      <c r="AW352" t="n">
        <v>1.16</v>
      </c>
      <c r="AX352" t="n">
        <v>7</v>
      </c>
      <c r="AY352" t="n">
        <v>0</v>
      </c>
      <c r="AZ352" t="n">
        <v>0</v>
      </c>
      <c r="BA352" t="n">
        <v>0</v>
      </c>
      <c r="BB352" t="n">
        <v>0</v>
      </c>
      <c r="BC352" t="n">
        <v>0</v>
      </c>
      <c r="BD352" t="n">
        <v>0</v>
      </c>
      <c r="BE352" t="n">
        <v>0</v>
      </c>
      <c r="BH352" t="n">
        <v>1</v>
      </c>
      <c r="BI352" t="n">
        <v>0</v>
      </c>
      <c r="BJ352" t="n">
        <v>0</v>
      </c>
      <c r="BK352" t="n">
        <v>0</v>
      </c>
      <c r="BL352" t="n">
        <v>0</v>
      </c>
      <c r="BO352" t="n">
        <v>0</v>
      </c>
      <c r="BS352" t="n">
        <v>1</v>
      </c>
      <c r="BT352" t="n">
        <v>0.466</v>
      </c>
      <c r="BW352" t="n">
        <v>0.01</v>
      </c>
      <c r="BX352" t="n">
        <v>0</v>
      </c>
      <c r="BY352" t="n">
        <v>0.005</v>
      </c>
      <c r="BZ352" t="n">
        <v>0.002</v>
      </c>
      <c r="CA352" t="n">
        <v>0.005</v>
      </c>
      <c r="CB352" t="n">
        <v>0.002</v>
      </c>
      <c r="CC352" t="n">
        <v>0</v>
      </c>
      <c r="CI352" t="n">
        <v>0.486</v>
      </c>
      <c r="CJ352" t="n">
        <v>0.486</v>
      </c>
      <c r="CK352" t="n">
        <v>16</v>
      </c>
      <c r="CL352" t="n">
        <v>6</v>
      </c>
      <c r="CM352" t="n">
        <v>2</v>
      </c>
      <c r="CN352" t="n">
        <v>2</v>
      </c>
      <c r="CO352" t="n">
        <v>1</v>
      </c>
      <c r="CP352" t="n">
        <v>13</v>
      </c>
      <c r="CQ352" t="n">
        <v>2</v>
      </c>
      <c r="CR352" t="n">
        <v>13</v>
      </c>
      <c r="CS352" t="n">
        <v>10</v>
      </c>
      <c r="CW352" t="n">
        <v>4.52</v>
      </c>
      <c r="CX352" t="n">
        <v>2.108</v>
      </c>
      <c r="CY352" t="n">
        <v>0</v>
      </c>
      <c r="DB352" t="n">
        <v>0</v>
      </c>
      <c r="DF352" t="n">
        <v>2</v>
      </c>
      <c r="DG352" t="n">
        <v>0</v>
      </c>
      <c r="DH352" t="n">
        <v>4</v>
      </c>
      <c r="DL352" t="n">
        <v>1</v>
      </c>
      <c r="DO352" t="n">
        <v>0</v>
      </c>
      <c r="DP352" t="n">
        <v>2.96</v>
      </c>
      <c r="DQ352" t="n">
        <v>1.52</v>
      </c>
      <c r="DR352" t="n">
        <v>3.04</v>
      </c>
      <c r="DS352" t="n">
        <v>-0.08</v>
      </c>
      <c r="DT352" t="n">
        <v>3</v>
      </c>
      <c r="DU352" t="n">
        <v>0.08</v>
      </c>
      <c r="DV352" t="inlineStr">
        <is>
          <t>flat</t>
        </is>
      </c>
      <c r="EK352" t="n">
        <v>193</v>
      </c>
      <c r="EN352" t="n">
        <v>38600</v>
      </c>
      <c r="EO352" t="n">
        <v>38600</v>
      </c>
      <c r="EP352" t="n">
        <v>19.3</v>
      </c>
    </row>
    <row r="353">
      <c r="A353" t="inlineStr">
        <is>
          <t>Mateo Kovacic</t>
        </is>
      </c>
      <c r="B353" t="inlineStr">
        <is>
          <t>MCI</t>
        </is>
      </c>
      <c r="C353" t="inlineStr">
        <is>
          <t>MID</t>
        </is>
      </c>
      <c r="D353" t="inlineStr">
        <is>
          <t>MID</t>
        </is>
      </c>
      <c r="E353" t="n">
        <v>5.5</v>
      </c>
      <c r="F353" t="b">
        <v>1</v>
      </c>
      <c r="G353" t="b">
        <v>1</v>
      </c>
      <c r="H353" t="n">
        <v>32.3</v>
      </c>
      <c r="I353" t="inlineStr">
        <is>
          <t>a</t>
        </is>
      </c>
      <c r="L353" t="inlineStr">
        <is>
          <t>p91651</t>
        </is>
      </c>
      <c r="M353" t="n">
        <v>406</v>
      </c>
      <c r="Q353" t="n">
        <v>125</v>
      </c>
      <c r="R353" t="n">
        <v>6</v>
      </c>
      <c r="S353" t="n">
        <v>1</v>
      </c>
      <c r="T353" t="n">
        <v>1.389</v>
      </c>
      <c r="U353" t="n">
        <v>20.8</v>
      </c>
      <c r="V353" t="n">
        <v>9</v>
      </c>
      <c r="W353" t="n">
        <v>6.48</v>
      </c>
      <c r="X353" t="n">
        <v>0</v>
      </c>
      <c r="Y353" t="n">
        <v>1</v>
      </c>
      <c r="Z353" t="n">
        <v>1</v>
      </c>
      <c r="AA353" t="n">
        <v>0</v>
      </c>
      <c r="AB353" t="n">
        <v>3</v>
      </c>
      <c r="AC353" t="n">
        <v>0</v>
      </c>
      <c r="AD353" t="n">
        <v>0</v>
      </c>
      <c r="AE353" t="n">
        <v>0</v>
      </c>
      <c r="AF353" t="n">
        <v>41</v>
      </c>
      <c r="AG353" t="n">
        <v>39</v>
      </c>
      <c r="AH353" t="n">
        <v>-2</v>
      </c>
      <c r="AI353" t="n">
        <v>9</v>
      </c>
      <c r="AJ353" t="n">
        <v>0</v>
      </c>
      <c r="AK353" t="n">
        <v>0</v>
      </c>
      <c r="AL353" t="n">
        <v>18</v>
      </c>
      <c r="AM353" t="n">
        <v>12.96</v>
      </c>
      <c r="AN353" t="n">
        <v>0</v>
      </c>
      <c r="AO353" t="n">
        <v>0</v>
      </c>
      <c r="AP353" t="n">
        <v>0</v>
      </c>
      <c r="AQ353" t="n">
        <v>0</v>
      </c>
      <c r="AR353" t="n">
        <v>0</v>
      </c>
      <c r="AS353" t="n">
        <v>0.026</v>
      </c>
      <c r="AT353" t="n">
        <v>0</v>
      </c>
      <c r="AU353" t="n">
        <v>5</v>
      </c>
      <c r="AV353" t="n">
        <v>0</v>
      </c>
      <c r="AW353" t="n">
        <v>0.71</v>
      </c>
      <c r="AX353" t="n">
        <v>4</v>
      </c>
      <c r="AY353" t="n">
        <v>0.13</v>
      </c>
      <c r="AZ353" t="n">
        <v>0.092</v>
      </c>
      <c r="BA353" t="n">
        <v>0.111</v>
      </c>
      <c r="BB353" t="n">
        <v>0.092</v>
      </c>
      <c r="BC353" t="n">
        <v>0.094</v>
      </c>
      <c r="BD353" t="n">
        <v>0.066</v>
      </c>
      <c r="BE353" t="n">
        <v>0.08</v>
      </c>
      <c r="BH353" t="n">
        <v>0.88</v>
      </c>
      <c r="BI353" t="n">
        <v>5.07</v>
      </c>
      <c r="BJ353" t="n">
        <v>0.114</v>
      </c>
      <c r="BK353" t="n">
        <v>0.082</v>
      </c>
      <c r="BL353" t="n">
        <v>-0.111</v>
      </c>
      <c r="BO353" t="n">
        <v>0.038</v>
      </c>
      <c r="BP353" t="n">
        <v>2</v>
      </c>
      <c r="BW353" t="n">
        <v>0.42</v>
      </c>
      <c r="BX353" t="n">
        <v>0.427</v>
      </c>
      <c r="BY353" t="n">
        <v>0.424</v>
      </c>
      <c r="BZ353" t="n">
        <v>0.305</v>
      </c>
      <c r="CA353" t="n">
        <v>0.535</v>
      </c>
      <c r="CB353" t="n">
        <v>0.385</v>
      </c>
      <c r="CC353" t="n">
        <v>4</v>
      </c>
      <c r="CD353" t="n">
        <v>1</v>
      </c>
      <c r="CE353" t="n">
        <v>4</v>
      </c>
      <c r="CG353" t="n">
        <v>1</v>
      </c>
      <c r="CI353" t="n">
        <v>1.729</v>
      </c>
      <c r="CJ353" t="n">
        <v>1.26</v>
      </c>
      <c r="CK353" t="n">
        <v>6</v>
      </c>
      <c r="CL353" t="n">
        <v>10</v>
      </c>
      <c r="CM353" t="n">
        <v>2</v>
      </c>
      <c r="CN353" t="n">
        <v>1</v>
      </c>
      <c r="CO353" t="n">
        <v>2</v>
      </c>
      <c r="CP353" t="n">
        <v>4</v>
      </c>
      <c r="CR353" t="n">
        <v>6</v>
      </c>
      <c r="CW353" t="n">
        <v>4</v>
      </c>
      <c r="CX353" t="n">
        <v>2.88</v>
      </c>
      <c r="CY353" t="n">
        <v>0</v>
      </c>
      <c r="DB353" t="n">
        <v>0</v>
      </c>
      <c r="DF353" t="n">
        <v>0</v>
      </c>
      <c r="DG353" t="n">
        <v>0</v>
      </c>
      <c r="DI353" t="n">
        <v>2</v>
      </c>
      <c r="DL353" t="n">
        <v>2</v>
      </c>
      <c r="DM353" t="n">
        <v>5</v>
      </c>
      <c r="DO353" t="n">
        <v>0</v>
      </c>
      <c r="DP353" t="n">
        <v>17.64</v>
      </c>
      <c r="DQ353" t="n">
        <v>10.59</v>
      </c>
      <c r="DR353" t="n">
        <v>21.18</v>
      </c>
      <c r="DS353" t="n">
        <v>-3.54</v>
      </c>
      <c r="DT353" t="n">
        <v>206</v>
      </c>
      <c r="DU353" t="n">
        <v>5.42</v>
      </c>
      <c r="DV353" t="inlineStr">
        <is>
          <t>flat</t>
        </is>
      </c>
      <c r="DW353" t="n">
        <v>75.95</v>
      </c>
      <c r="DX353" t="n">
        <v>79.11</v>
      </c>
      <c r="DY353" t="n">
        <v>66.34999999999999</v>
      </c>
      <c r="DZ353" t="n">
        <v>-9.6</v>
      </c>
      <c r="EA353" t="n">
        <v>12</v>
      </c>
      <c r="EB353" t="n">
        <v>24.52</v>
      </c>
      <c r="EC353" t="n">
        <v>26.91</v>
      </c>
      <c r="ED353" t="n">
        <v>117</v>
      </c>
      <c r="EE353" t="n">
        <v>25</v>
      </c>
      <c r="EF353" t="b">
        <v>1</v>
      </c>
      <c r="EG353" t="n">
        <v>0.7</v>
      </c>
      <c r="EH353" t="n">
        <v>21.9</v>
      </c>
      <c r="EI353" t="n">
        <v>196</v>
      </c>
      <c r="EJ353" t="n">
        <v>62.5</v>
      </c>
      <c r="EL353" t="n">
        <v>31.2</v>
      </c>
      <c r="EM353" t="n">
        <v>1125.3</v>
      </c>
      <c r="EN353" t="n">
        <v>295</v>
      </c>
      <c r="EO353" t="n">
        <v>233.7</v>
      </c>
      <c r="EP353" t="n">
        <v>13.9</v>
      </c>
    </row>
    <row r="354">
      <c r="A354" t="inlineStr">
        <is>
          <t>Arnaud Kalimuendo</t>
        </is>
      </c>
      <c r="B354" t="inlineStr">
        <is>
          <t>NFO</t>
        </is>
      </c>
      <c r="C354" t="inlineStr">
        <is>
          <t>FWD</t>
        </is>
      </c>
      <c r="D354" t="inlineStr">
        <is>
          <t>FWD</t>
        </is>
      </c>
      <c r="E354" t="n">
        <v>5.5</v>
      </c>
      <c r="F354" t="b">
        <v>1</v>
      </c>
      <c r="G354" t="b">
        <v>1</v>
      </c>
      <c r="H354" t="n">
        <v>24.6</v>
      </c>
      <c r="I354" t="inlineStr">
        <is>
          <t>a</t>
        </is>
      </c>
      <c r="L354" t="inlineStr">
        <is>
          <t>p465680</t>
        </is>
      </c>
      <c r="M354" t="n">
        <v>493</v>
      </c>
      <c r="Q354" t="n">
        <v>89</v>
      </c>
      <c r="R354" t="n">
        <v>9</v>
      </c>
      <c r="S354" t="n">
        <v>0</v>
      </c>
      <c r="T354" t="n">
        <v>0.989</v>
      </c>
      <c r="U354" t="n">
        <v>9.9</v>
      </c>
      <c r="V354" t="n">
        <v>9</v>
      </c>
      <c r="W354" t="n">
        <v>9.101000000000001</v>
      </c>
      <c r="X354" t="n">
        <v>0</v>
      </c>
      <c r="Y354" t="n">
        <v>0</v>
      </c>
      <c r="AA354" t="n">
        <v>0</v>
      </c>
      <c r="AB354" t="n">
        <v>3</v>
      </c>
      <c r="AC354" t="n">
        <v>0</v>
      </c>
      <c r="AD354" t="n">
        <v>0</v>
      </c>
      <c r="AE354" t="n">
        <v>0</v>
      </c>
      <c r="AF354" t="n">
        <v>24</v>
      </c>
      <c r="AG354" t="n">
        <v>24</v>
      </c>
      <c r="AH354" t="n">
        <v>0</v>
      </c>
      <c r="AI354" t="n">
        <v>9</v>
      </c>
      <c r="AJ354" t="n">
        <v>0</v>
      </c>
      <c r="AK354" t="n">
        <v>0</v>
      </c>
      <c r="AL354" t="n">
        <v>6</v>
      </c>
      <c r="AM354" t="n">
        <v>6.067</v>
      </c>
      <c r="AN354" t="n">
        <v>0</v>
      </c>
      <c r="AO354" t="n">
        <v>0</v>
      </c>
      <c r="AS354" t="n">
        <v>0</v>
      </c>
      <c r="AT354" t="n">
        <v>0</v>
      </c>
      <c r="AU354" t="n">
        <v>9</v>
      </c>
      <c r="AV354" t="n">
        <v>0</v>
      </c>
      <c r="AW354" t="n">
        <v>0.43</v>
      </c>
      <c r="AX354" t="n">
        <v>1</v>
      </c>
      <c r="AY354" t="n">
        <v>0.44</v>
      </c>
      <c r="AZ354" t="n">
        <v>0.251</v>
      </c>
      <c r="BA354" t="n">
        <v>0.346</v>
      </c>
      <c r="BB354" t="n">
        <v>0.251</v>
      </c>
      <c r="BC354" t="n">
        <v>0.445</v>
      </c>
      <c r="BD354" t="n">
        <v>0.254</v>
      </c>
      <c r="BE354" t="n">
        <v>0.349</v>
      </c>
      <c r="BF354" t="n">
        <v>0.1</v>
      </c>
      <c r="BG354" t="n">
        <v>0.101</v>
      </c>
      <c r="BH354" t="n">
        <v>0.96</v>
      </c>
      <c r="BI354" t="n">
        <v>0.44</v>
      </c>
      <c r="BJ354" t="n">
        <v>0.422</v>
      </c>
      <c r="BK354" t="n">
        <v>0.427</v>
      </c>
      <c r="BL354" t="n">
        <v>-0.346</v>
      </c>
      <c r="BM354" t="n">
        <v>-0.34</v>
      </c>
      <c r="BN354" t="n">
        <v>-0.1</v>
      </c>
      <c r="BO354" t="n">
        <v>0.189</v>
      </c>
      <c r="BP354" t="n">
        <v>4</v>
      </c>
      <c r="BQ354" t="n">
        <v>1</v>
      </c>
      <c r="BR354" t="n">
        <v>1</v>
      </c>
      <c r="BS354" t="n">
        <v>8</v>
      </c>
      <c r="BT354" t="n">
        <v>8.09</v>
      </c>
      <c r="BW354" t="n">
        <v>0.02</v>
      </c>
      <c r="BX354" t="n">
        <v>0.011</v>
      </c>
      <c r="BY354" t="n">
        <v>0.016</v>
      </c>
      <c r="BZ354" t="n">
        <v>0.016</v>
      </c>
      <c r="CA354" t="n">
        <v>0.361</v>
      </c>
      <c r="CB354" t="n">
        <v>0.365</v>
      </c>
      <c r="CC354" t="n">
        <v>1</v>
      </c>
      <c r="CE354" t="n">
        <v>1</v>
      </c>
      <c r="CI354" t="n">
        <v>0.313</v>
      </c>
      <c r="CJ354" t="n">
        <v>0.062</v>
      </c>
      <c r="CK354" t="n">
        <v>1</v>
      </c>
      <c r="CL354" t="n">
        <v>4</v>
      </c>
      <c r="CM354" t="n">
        <v>1</v>
      </c>
      <c r="CN354" t="n">
        <v>1</v>
      </c>
      <c r="CP354" t="n">
        <v>1</v>
      </c>
      <c r="CR354" t="n">
        <v>5</v>
      </c>
      <c r="CS354" t="n">
        <v>4</v>
      </c>
      <c r="CW354" t="n">
        <v>1.57</v>
      </c>
      <c r="CX354" t="n">
        <v>1.588</v>
      </c>
      <c r="CY354" t="n">
        <v>0</v>
      </c>
      <c r="DB354" t="n">
        <v>0</v>
      </c>
      <c r="DF354" t="n">
        <v>0</v>
      </c>
      <c r="DG354" t="n">
        <v>0</v>
      </c>
      <c r="DH354" t="n">
        <v>2</v>
      </c>
      <c r="DM354" t="n">
        <v>1</v>
      </c>
      <c r="DN354" t="n">
        <v>1</v>
      </c>
      <c r="DO354" t="n">
        <v>0.1</v>
      </c>
      <c r="DP354" t="n">
        <v>8.34</v>
      </c>
      <c r="DQ354" t="n">
        <v>4.17</v>
      </c>
      <c r="DR354" t="n">
        <v>8.34</v>
      </c>
      <c r="DS354" t="n">
        <v>0</v>
      </c>
      <c r="DT354" t="n">
        <v>38</v>
      </c>
      <c r="DU354" t="n">
        <v>1</v>
      </c>
      <c r="DV354" t="inlineStr">
        <is>
          <t>flat</t>
        </is>
      </c>
      <c r="DW354" t="n">
        <v>102.7</v>
      </c>
      <c r="DX354" t="n">
        <v>87.25</v>
      </c>
      <c r="DY354" t="n">
        <v>103.69</v>
      </c>
      <c r="DZ354" t="n">
        <v>0.99</v>
      </c>
      <c r="EA354" t="n">
        <v>27</v>
      </c>
      <c r="EB354" t="n">
        <v>16.25</v>
      </c>
      <c r="EC354" t="n">
        <v>38</v>
      </c>
      <c r="ED354" t="n">
        <v>120</v>
      </c>
      <c r="EE354" t="n">
        <v>47</v>
      </c>
      <c r="EF354" t="b">
        <v>1</v>
      </c>
      <c r="EG354" t="n">
        <v>1.1</v>
      </c>
      <c r="EH354" t="n">
        <v>16.1</v>
      </c>
      <c r="EI354" t="n">
        <v>197</v>
      </c>
      <c r="EJ354" t="n">
        <v>22.2</v>
      </c>
      <c r="EK354" t="n">
        <v>11.1</v>
      </c>
      <c r="EL354" t="n">
        <v>89</v>
      </c>
      <c r="EM354" t="n">
        <v>257.6</v>
      </c>
      <c r="EN354" t="n">
        <v>5678.1</v>
      </c>
      <c r="EO354" t="n">
        <v>246.4</v>
      </c>
      <c r="EP354" t="n">
        <v>9.9</v>
      </c>
    </row>
    <row r="355">
      <c r="A355" t="inlineStr">
        <is>
          <t>Filip Jörgensen</t>
        </is>
      </c>
      <c r="B355" t="inlineStr">
        <is>
          <t>CHE</t>
        </is>
      </c>
      <c r="C355" t="inlineStr">
        <is>
          <t>GKP</t>
        </is>
      </c>
      <c r="D355" t="inlineStr">
        <is>
          <t>GKP</t>
        </is>
      </c>
      <c r="E355" t="n">
        <v>5</v>
      </c>
      <c r="F355" t="b">
        <v>1</v>
      </c>
      <c r="G355" t="b">
        <v>1</v>
      </c>
      <c r="H355" t="n">
        <v>24.3</v>
      </c>
      <c r="I355" t="inlineStr">
        <is>
          <t>u</t>
        </is>
      </c>
      <c r="J355" t="inlineStr">
        <is>
          <t>Has joined RC Strasbourg on loan for the rest of the season</t>
        </is>
      </c>
      <c r="K355" t="n">
        <v>0</v>
      </c>
      <c r="L355" t="inlineStr">
        <is>
          <t>p508479</t>
        </is>
      </c>
      <c r="M355" t="n">
        <v>141</v>
      </c>
      <c r="Q355" t="n">
        <v>378</v>
      </c>
      <c r="R355" t="n">
        <v>5</v>
      </c>
      <c r="S355" t="n">
        <v>3</v>
      </c>
      <c r="T355" t="n">
        <v>4.2</v>
      </c>
      <c r="U355" t="n">
        <v>75.59999999999999</v>
      </c>
      <c r="V355" t="n">
        <v>9</v>
      </c>
      <c r="W355" t="n">
        <v>2.143</v>
      </c>
      <c r="X355" t="n">
        <v>0</v>
      </c>
      <c r="Y355" t="n">
        <v>0</v>
      </c>
      <c r="AA355" t="n">
        <v>0</v>
      </c>
      <c r="AB355" t="n">
        <v>5</v>
      </c>
      <c r="AC355" t="n">
        <v>0</v>
      </c>
      <c r="AD355" t="n">
        <v>0</v>
      </c>
      <c r="AE355" t="n">
        <v>0</v>
      </c>
      <c r="AF355" t="n">
        <v>50</v>
      </c>
      <c r="AG355" t="n">
        <v>49</v>
      </c>
      <c r="AH355" t="n">
        <v>-1</v>
      </c>
      <c r="AI355" t="n">
        <v>9</v>
      </c>
      <c r="AJ355" t="n">
        <v>0</v>
      </c>
      <c r="AK355" t="n">
        <v>0</v>
      </c>
      <c r="AL355" t="n">
        <v>0</v>
      </c>
      <c r="AM355" t="n">
        <v>0</v>
      </c>
      <c r="AN355" t="n">
        <v>0</v>
      </c>
      <c r="AO355" t="n">
        <v>0</v>
      </c>
      <c r="AP355" t="n">
        <v>0</v>
      </c>
      <c r="AQ355" t="n">
        <v>0</v>
      </c>
      <c r="AR355" t="n">
        <v>0</v>
      </c>
      <c r="AS355" t="n">
        <v>0.079</v>
      </c>
      <c r="AT355" t="n">
        <v>0.8</v>
      </c>
      <c r="AU355" t="n">
        <v>4</v>
      </c>
      <c r="AV355" t="n">
        <v>0</v>
      </c>
      <c r="AW355" t="n">
        <v>0.68</v>
      </c>
      <c r="AX355" t="n">
        <v>3</v>
      </c>
      <c r="AY355" t="n">
        <v>0</v>
      </c>
      <c r="AZ355" t="n">
        <v>0</v>
      </c>
      <c r="BA355" t="n">
        <v>0</v>
      </c>
      <c r="BB355" t="n">
        <v>0</v>
      </c>
      <c r="BC355" t="n">
        <v>0</v>
      </c>
      <c r="BD355" t="n">
        <v>0</v>
      </c>
      <c r="BE355" t="n">
        <v>0</v>
      </c>
      <c r="BH355" t="n">
        <v>1</v>
      </c>
      <c r="BI355" t="n">
        <v>0</v>
      </c>
      <c r="BJ355" t="n">
        <v>0</v>
      </c>
      <c r="BK355" t="n">
        <v>0</v>
      </c>
      <c r="BL355" t="n">
        <v>0</v>
      </c>
      <c r="BO355" t="n">
        <v>0</v>
      </c>
      <c r="BW355" t="n">
        <v>0</v>
      </c>
      <c r="BX355" t="n">
        <v>0</v>
      </c>
      <c r="BY355" t="n">
        <v>0</v>
      </c>
      <c r="BZ355" t="n">
        <v>0</v>
      </c>
      <c r="CA355" t="n">
        <v>0</v>
      </c>
      <c r="CB355" t="n">
        <v>0</v>
      </c>
      <c r="CC355" t="n">
        <v>0</v>
      </c>
      <c r="CI355" t="n">
        <v>1.313</v>
      </c>
      <c r="CJ355" t="n">
        <v>1.313</v>
      </c>
      <c r="CK355" t="n">
        <v>3</v>
      </c>
      <c r="CL355" t="n">
        <v>34</v>
      </c>
      <c r="CM355" t="n">
        <v>0</v>
      </c>
      <c r="CO355" t="n">
        <v>1</v>
      </c>
      <c r="CP355" t="n">
        <v>2</v>
      </c>
      <c r="CR355" t="n">
        <v>3</v>
      </c>
      <c r="CS355" t="n">
        <v>2</v>
      </c>
      <c r="CW355" t="n">
        <v>4.12</v>
      </c>
      <c r="CX355" t="n">
        <v>0.981</v>
      </c>
      <c r="CY355" t="n">
        <v>8</v>
      </c>
      <c r="DB355" t="n">
        <v>0</v>
      </c>
      <c r="DC355" t="n">
        <v>4</v>
      </c>
      <c r="DD355" t="n">
        <v>1</v>
      </c>
      <c r="DF355" t="n">
        <v>0</v>
      </c>
      <c r="DG355" t="n">
        <v>0</v>
      </c>
      <c r="DL355" t="n">
        <v>1</v>
      </c>
      <c r="DM355" t="n">
        <v>1</v>
      </c>
      <c r="DO355" t="n">
        <v>0.1</v>
      </c>
      <c r="DW355" t="n">
        <v>112.71</v>
      </c>
      <c r="DX355" t="n">
        <v>113.05</v>
      </c>
      <c r="DY355" t="n">
        <v>110.8</v>
      </c>
      <c r="DZ355" t="n">
        <v>-1.91</v>
      </c>
      <c r="EA355" t="n">
        <v>91</v>
      </c>
      <c r="EB355" t="n">
        <v>13.32</v>
      </c>
      <c r="EC355" t="n">
        <v>22</v>
      </c>
      <c r="ED355" t="n">
        <v>120</v>
      </c>
      <c r="EE355" t="n">
        <v>211</v>
      </c>
      <c r="EF355" t="b">
        <v>1</v>
      </c>
      <c r="EG355" t="n">
        <v>29.3</v>
      </c>
      <c r="EH355" t="n">
        <v>85.2</v>
      </c>
      <c r="EI355" t="n">
        <v>318</v>
      </c>
      <c r="EP355" t="n">
        <v>42</v>
      </c>
    </row>
    <row r="356">
      <c r="A356" t="inlineStr">
        <is>
          <t>Levi Colwill</t>
        </is>
      </c>
      <c r="B356" t="inlineStr">
        <is>
          <t>CHE</t>
        </is>
      </c>
      <c r="C356" t="inlineStr">
        <is>
          <t>DEF</t>
        </is>
      </c>
      <c r="D356" t="inlineStr">
        <is>
          <t>DEF</t>
        </is>
      </c>
      <c r="E356" t="n">
        <v>5</v>
      </c>
      <c r="F356" t="b">
        <v>1</v>
      </c>
      <c r="G356" t="b">
        <v>1</v>
      </c>
      <c r="H356" t="n">
        <v>23.5</v>
      </c>
      <c r="I356" t="inlineStr">
        <is>
          <t>a</t>
        </is>
      </c>
      <c r="L356" t="inlineStr">
        <is>
          <t>p460028</t>
        </is>
      </c>
      <c r="M356" t="n">
        <v>149</v>
      </c>
      <c r="Q356" t="n">
        <v>225</v>
      </c>
      <c r="R356" t="n">
        <v>3</v>
      </c>
      <c r="S356" t="n">
        <v>2</v>
      </c>
      <c r="T356" t="n">
        <v>2.5</v>
      </c>
      <c r="U356" t="n">
        <v>75</v>
      </c>
      <c r="V356" t="n">
        <v>8</v>
      </c>
      <c r="W356" t="n">
        <v>3.2</v>
      </c>
      <c r="X356" t="n">
        <v>0</v>
      </c>
      <c r="Y356" t="n">
        <v>0</v>
      </c>
      <c r="AA356" t="n">
        <v>0</v>
      </c>
      <c r="AB356" t="n">
        <v>4</v>
      </c>
      <c r="AC356" t="n">
        <v>0</v>
      </c>
      <c r="AD356" t="n">
        <v>0</v>
      </c>
      <c r="AE356" t="n">
        <v>0</v>
      </c>
      <c r="AF356" t="n">
        <v>30</v>
      </c>
      <c r="AG356" t="n">
        <v>26</v>
      </c>
      <c r="AH356" t="n">
        <v>-4</v>
      </c>
      <c r="AI356" t="n">
        <v>8</v>
      </c>
      <c r="AJ356" t="n">
        <v>0</v>
      </c>
      <c r="AK356" t="n">
        <v>0</v>
      </c>
      <c r="AL356" t="n">
        <v>25</v>
      </c>
      <c r="AM356" t="n">
        <v>10</v>
      </c>
      <c r="AN356" t="n">
        <v>2</v>
      </c>
      <c r="AO356" t="n">
        <v>4</v>
      </c>
      <c r="AP356" t="n">
        <v>1</v>
      </c>
      <c r="AQ356" t="n">
        <v>1</v>
      </c>
      <c r="AR356" t="n">
        <v>0.5</v>
      </c>
      <c r="AS356" t="n">
        <v>0.053</v>
      </c>
      <c r="AT356" t="n">
        <v>0.667</v>
      </c>
      <c r="AU356" t="n">
        <v>1</v>
      </c>
      <c r="AV356" t="n">
        <v>0</v>
      </c>
      <c r="AW356" t="n">
        <v>0.8100000000000001</v>
      </c>
      <c r="AX356" t="n">
        <v>4</v>
      </c>
      <c r="AY356" t="n">
        <v>0</v>
      </c>
      <c r="AZ356" t="n">
        <v>0</v>
      </c>
      <c r="BA356" t="n">
        <v>0</v>
      </c>
      <c r="BB356" t="n">
        <v>0</v>
      </c>
      <c r="BC356" t="n">
        <v>0</v>
      </c>
      <c r="BD356" t="n">
        <v>0</v>
      </c>
      <c r="BE356" t="n">
        <v>0</v>
      </c>
      <c r="BH356" t="n">
        <v>0.951</v>
      </c>
      <c r="BI356" t="n">
        <v>4.62</v>
      </c>
      <c r="BJ356" t="n">
        <v>0</v>
      </c>
      <c r="BK356" t="n">
        <v>0</v>
      </c>
      <c r="BL356" t="n">
        <v>0</v>
      </c>
      <c r="BO356" t="n">
        <v>0</v>
      </c>
      <c r="BS356" t="n">
        <v>3</v>
      </c>
      <c r="BT356" t="n">
        <v>1.2</v>
      </c>
      <c r="BW356" t="n">
        <v>0.12</v>
      </c>
      <c r="BX356" t="n">
        <v>0</v>
      </c>
      <c r="BY356" t="n">
        <v>0.06</v>
      </c>
      <c r="BZ356" t="n">
        <v>0.024</v>
      </c>
      <c r="CA356" t="n">
        <v>0.06</v>
      </c>
      <c r="CB356" t="n">
        <v>0.024</v>
      </c>
      <c r="CC356" t="n">
        <v>0</v>
      </c>
      <c r="CI356" t="n">
        <v>1.294</v>
      </c>
      <c r="CJ356" t="n">
        <v>1.294</v>
      </c>
      <c r="CK356" t="n">
        <v>22</v>
      </c>
      <c r="CL356" t="n">
        <v>9</v>
      </c>
      <c r="CM356" t="n">
        <v>3</v>
      </c>
      <c r="CN356" t="n">
        <v>2</v>
      </c>
      <c r="CO356" t="n">
        <v>5</v>
      </c>
      <c r="CP356" t="n">
        <v>14</v>
      </c>
      <c r="CQ356" t="n">
        <v>3</v>
      </c>
      <c r="CR356" t="n">
        <v>11</v>
      </c>
      <c r="CS356" t="n">
        <v>6</v>
      </c>
      <c r="CW356" t="n">
        <v>3.36</v>
      </c>
      <c r="CX356" t="n">
        <v>1.344</v>
      </c>
      <c r="CY356" t="n">
        <v>0</v>
      </c>
      <c r="DB356" t="n">
        <v>0</v>
      </c>
      <c r="DF356" t="n">
        <v>0</v>
      </c>
      <c r="DG356" t="n">
        <v>0</v>
      </c>
      <c r="DH356" t="n">
        <v>1</v>
      </c>
      <c r="DI356" t="n">
        <v>2</v>
      </c>
      <c r="DM356" t="n">
        <v>1</v>
      </c>
      <c r="DO356" t="n">
        <v>1.7</v>
      </c>
      <c r="DP356" t="n">
        <v>102.63</v>
      </c>
      <c r="DQ356" t="n">
        <v>51.32</v>
      </c>
      <c r="DR356" t="n">
        <v>102.64</v>
      </c>
      <c r="DS356" t="n">
        <v>-0.01</v>
      </c>
      <c r="DT356" t="n">
        <v>2576</v>
      </c>
      <c r="DU356" t="n">
        <v>67.8</v>
      </c>
      <c r="DV356" t="inlineStr">
        <is>
          <t>flat</t>
        </is>
      </c>
      <c r="DW356" t="n">
        <v>88.23</v>
      </c>
      <c r="DX356" t="n">
        <v>92.48</v>
      </c>
      <c r="DY356" t="n">
        <v>86.43000000000001</v>
      </c>
      <c r="DZ356" t="n">
        <v>-1.8</v>
      </c>
      <c r="EA356" t="n">
        <v>683</v>
      </c>
      <c r="EB356" t="n">
        <v>20.41</v>
      </c>
      <c r="EC356" t="n">
        <v>25.33</v>
      </c>
      <c r="ED356" t="n">
        <v>120</v>
      </c>
      <c r="EE356" t="n">
        <v>1217</v>
      </c>
      <c r="EF356" t="b">
        <v>1</v>
      </c>
      <c r="EG356" t="n">
        <v>26.6</v>
      </c>
      <c r="EH356" t="n">
        <v>6</v>
      </c>
      <c r="EI356" t="n">
        <v>320</v>
      </c>
      <c r="EK356" t="n">
        <v>75</v>
      </c>
      <c r="EN356" t="n">
        <v>3750</v>
      </c>
      <c r="EO356" t="n">
        <v>3750</v>
      </c>
      <c r="EP356" t="n">
        <v>28.1</v>
      </c>
    </row>
    <row r="357">
      <c r="A357" t="inlineStr">
        <is>
          <t>Alex Tóth</t>
        </is>
      </c>
      <c r="B357" t="inlineStr">
        <is>
          <t>BOU</t>
        </is>
      </c>
      <c r="C357" t="inlineStr">
        <is>
          <t>MID</t>
        </is>
      </c>
      <c r="D357" t="inlineStr">
        <is>
          <t>MID</t>
        </is>
      </c>
      <c r="E357" t="n">
        <v>5</v>
      </c>
      <c r="F357" t="b">
        <v>1</v>
      </c>
      <c r="G357" t="b">
        <v>1</v>
      </c>
      <c r="H357" t="n">
        <v>20.8</v>
      </c>
      <c r="I357" t="inlineStr">
        <is>
          <t>a</t>
        </is>
      </c>
      <c r="L357" t="inlineStr">
        <is>
          <t>p614574</t>
        </is>
      </c>
      <c r="M357" t="n">
        <v>76</v>
      </c>
      <c r="Q357" t="n">
        <v>135</v>
      </c>
      <c r="R357" t="n">
        <v>9</v>
      </c>
      <c r="S357" t="n">
        <v>2</v>
      </c>
      <c r="T357" t="n">
        <v>1.5</v>
      </c>
      <c r="U357" t="n">
        <v>15</v>
      </c>
      <c r="V357" t="n">
        <v>8</v>
      </c>
      <c r="W357" t="n">
        <v>5.333</v>
      </c>
      <c r="X357" t="n">
        <v>0</v>
      </c>
      <c r="Y357" t="n">
        <v>0</v>
      </c>
      <c r="AA357" t="n">
        <v>0</v>
      </c>
      <c r="AB357" t="n">
        <v>3</v>
      </c>
      <c r="AC357" t="n">
        <v>0</v>
      </c>
      <c r="AD357" t="n">
        <v>0</v>
      </c>
      <c r="AE357" t="n">
        <v>0</v>
      </c>
      <c r="AF357" t="n">
        <v>32</v>
      </c>
      <c r="AG357" t="n">
        <v>31</v>
      </c>
      <c r="AH357" t="n">
        <v>-1</v>
      </c>
      <c r="AI357" t="n">
        <v>8</v>
      </c>
      <c r="AJ357" t="n">
        <v>0</v>
      </c>
      <c r="AK357" t="n">
        <v>0</v>
      </c>
      <c r="AL357" t="n">
        <v>17</v>
      </c>
      <c r="AM357" t="n">
        <v>11.333</v>
      </c>
      <c r="AN357" t="n">
        <v>0</v>
      </c>
      <c r="AO357" t="n">
        <v>0</v>
      </c>
      <c r="AP357" t="n">
        <v>0</v>
      </c>
      <c r="AQ357" t="n">
        <v>0</v>
      </c>
      <c r="AR357" t="n">
        <v>0</v>
      </c>
      <c r="AS357" t="n">
        <v>0.053</v>
      </c>
      <c r="AT357" t="n">
        <v>0</v>
      </c>
      <c r="AU357" t="n">
        <v>9</v>
      </c>
      <c r="AV357" t="n">
        <v>0</v>
      </c>
      <c r="AW357" t="n">
        <v>0.52</v>
      </c>
      <c r="AX357" t="n">
        <v>1</v>
      </c>
      <c r="AY357" t="n">
        <v>0.11</v>
      </c>
      <c r="AZ357" t="n">
        <v>0.181</v>
      </c>
      <c r="BA357" t="n">
        <v>0.146</v>
      </c>
      <c r="BB357" t="n">
        <v>0.181</v>
      </c>
      <c r="BC357" t="n">
        <v>0.073</v>
      </c>
      <c r="BD357" t="n">
        <v>0.121</v>
      </c>
      <c r="BE357" t="n">
        <v>0.097</v>
      </c>
      <c r="BH357" t="n">
        <v>0.986</v>
      </c>
      <c r="BI357" t="n">
        <v>0.11</v>
      </c>
      <c r="BJ357" t="n">
        <v>0.109</v>
      </c>
      <c r="BK357" t="n">
        <v>0.073</v>
      </c>
      <c r="BL357" t="n">
        <v>-0.146</v>
      </c>
      <c r="BO357" t="n">
        <v>-0.07099999999999999</v>
      </c>
      <c r="BP357" t="n">
        <v>2</v>
      </c>
      <c r="BS357" t="n">
        <v>7</v>
      </c>
      <c r="BT357" t="n">
        <v>4.667</v>
      </c>
      <c r="BW357" t="n">
        <v>0.33</v>
      </c>
      <c r="BX357" t="n">
        <v>0.357</v>
      </c>
      <c r="BY357" t="n">
        <v>0.344</v>
      </c>
      <c r="BZ357" t="n">
        <v>0.229</v>
      </c>
      <c r="CA357" t="n">
        <v>0.489</v>
      </c>
      <c r="CB357" t="n">
        <v>0.326</v>
      </c>
      <c r="CC357" t="n">
        <v>5</v>
      </c>
      <c r="CE357" t="n">
        <v>5</v>
      </c>
      <c r="CH357" t="n">
        <v>2</v>
      </c>
      <c r="CI357" t="n">
        <v>1.299</v>
      </c>
      <c r="CJ357" t="n">
        <v>0.868</v>
      </c>
      <c r="CK357" t="n">
        <v>8</v>
      </c>
      <c r="CL357" t="n">
        <v>8</v>
      </c>
      <c r="CM357" t="n">
        <v>1</v>
      </c>
      <c r="CO357" t="n">
        <v>3</v>
      </c>
      <c r="CP357" t="n">
        <v>4</v>
      </c>
      <c r="CQ357" t="n">
        <v>1</v>
      </c>
      <c r="CR357" t="n">
        <v>4</v>
      </c>
      <c r="CV357" t="n">
        <v>1</v>
      </c>
      <c r="CW357" t="n">
        <v>4.9</v>
      </c>
      <c r="CX357" t="n">
        <v>3.267</v>
      </c>
      <c r="CY357" t="n">
        <v>0</v>
      </c>
      <c r="DB357" t="n">
        <v>0</v>
      </c>
      <c r="DF357" t="n">
        <v>1</v>
      </c>
      <c r="DG357" t="n">
        <v>0</v>
      </c>
      <c r="DH357" t="n">
        <v>1</v>
      </c>
      <c r="DI357" t="n">
        <v>2</v>
      </c>
      <c r="DL357" t="n">
        <v>1</v>
      </c>
      <c r="DM357" t="n">
        <v>2</v>
      </c>
      <c r="DO357" t="n">
        <v>0</v>
      </c>
      <c r="DP357" t="n">
        <v>19.79</v>
      </c>
      <c r="DQ357" t="n">
        <v>10.15</v>
      </c>
      <c r="DR357" t="n">
        <v>20.3</v>
      </c>
      <c r="DS357" t="n">
        <v>-0.51</v>
      </c>
      <c r="DT357" t="n">
        <v>126</v>
      </c>
      <c r="DU357" t="n">
        <v>3.31</v>
      </c>
      <c r="DV357" t="inlineStr">
        <is>
          <t>flat</t>
        </is>
      </c>
      <c r="DW357" t="n">
        <v>69.33</v>
      </c>
      <c r="EC357" t="n">
        <v>69.33</v>
      </c>
      <c r="ED357" t="n">
        <v>69.33</v>
      </c>
      <c r="EE357" t="n">
        <v>1</v>
      </c>
      <c r="EF357" t="b">
        <v>0</v>
      </c>
      <c r="EG357" t="n">
        <v>0</v>
      </c>
      <c r="EH357" t="n">
        <v>0</v>
      </c>
      <c r="EI357" t="n">
        <v>319</v>
      </c>
      <c r="EJ357" t="n">
        <v>67.5</v>
      </c>
      <c r="EK357" t="n">
        <v>19.3</v>
      </c>
      <c r="EL357" t="n">
        <v>27</v>
      </c>
      <c r="EM357" t="n">
        <v>927.3</v>
      </c>
      <c r="EN357" t="n">
        <v>392.9</v>
      </c>
      <c r="EO357" t="n">
        <v>276</v>
      </c>
      <c r="EP357" t="n">
        <v>16.9</v>
      </c>
    </row>
    <row r="358">
      <c r="A358" t="inlineStr">
        <is>
          <t>Ethan Nwaneri</t>
        </is>
      </c>
      <c r="B358" t="inlineStr">
        <is>
          <t>ARS</t>
        </is>
      </c>
      <c r="C358" t="inlineStr">
        <is>
          <t>MID</t>
        </is>
      </c>
      <c r="D358" t="inlineStr">
        <is>
          <t>MID</t>
        </is>
      </c>
      <c r="E358" t="n">
        <v>5.5</v>
      </c>
      <c r="F358" t="b">
        <v>1</v>
      </c>
      <c r="G358" t="b">
        <v>1</v>
      </c>
      <c r="H358" t="n">
        <v>19.4</v>
      </c>
      <c r="I358" t="inlineStr">
        <is>
          <t>a</t>
        </is>
      </c>
      <c r="L358" t="inlineStr">
        <is>
          <t>p499175</t>
        </is>
      </c>
      <c r="M358" t="n">
        <v>22</v>
      </c>
      <c r="Q358" t="n">
        <v>165</v>
      </c>
      <c r="R358" t="n">
        <v>6</v>
      </c>
      <c r="S358" t="n">
        <v>0</v>
      </c>
      <c r="T358" t="n">
        <v>1.833</v>
      </c>
      <c r="U358" t="n">
        <v>27.5</v>
      </c>
      <c r="V358" t="n">
        <v>8</v>
      </c>
      <c r="W358" t="n">
        <v>4.364</v>
      </c>
      <c r="X358" t="n">
        <v>0</v>
      </c>
      <c r="Y358" t="n">
        <v>0</v>
      </c>
      <c r="AA358" t="n">
        <v>1</v>
      </c>
      <c r="AB358" t="n">
        <v>0</v>
      </c>
      <c r="AC358" t="n">
        <v>0</v>
      </c>
      <c r="AD358" t="n">
        <v>0</v>
      </c>
      <c r="AE358" t="n">
        <v>0</v>
      </c>
      <c r="AF358" t="n">
        <v>20</v>
      </c>
      <c r="AG358" t="n">
        <v>20</v>
      </c>
      <c r="AH358" t="n">
        <v>0</v>
      </c>
      <c r="AI358" t="n">
        <v>8</v>
      </c>
      <c r="AJ358" t="n">
        <v>0</v>
      </c>
      <c r="AK358" t="n">
        <v>0</v>
      </c>
      <c r="AL358" t="n">
        <v>13</v>
      </c>
      <c r="AM358" t="n">
        <v>7.091</v>
      </c>
      <c r="AN358" t="n">
        <v>0</v>
      </c>
      <c r="AO358" t="n">
        <v>0</v>
      </c>
      <c r="AS358" t="n">
        <v>0</v>
      </c>
      <c r="AT358" t="n">
        <v>0.167</v>
      </c>
      <c r="AU358" t="n">
        <v>5</v>
      </c>
      <c r="AV358" t="n">
        <v>0</v>
      </c>
      <c r="AW358" t="n">
        <v>0.58</v>
      </c>
      <c r="AX358" t="n">
        <v>3</v>
      </c>
      <c r="AY358" t="n">
        <v>0.23</v>
      </c>
      <c r="AZ358" t="n">
        <v>0.329</v>
      </c>
      <c r="BA358" t="n">
        <v>0.28</v>
      </c>
      <c r="BB358" t="n">
        <v>0.329</v>
      </c>
      <c r="BC358" t="n">
        <v>0.125</v>
      </c>
      <c r="BD358" t="n">
        <v>0.18</v>
      </c>
      <c r="BE358" t="n">
        <v>0.153</v>
      </c>
      <c r="BH358" t="n">
        <v>1.03</v>
      </c>
      <c r="BI358" t="n">
        <v>1.42</v>
      </c>
      <c r="BJ358" t="n">
        <v>0.237</v>
      </c>
      <c r="BK358" t="n">
        <v>0.129</v>
      </c>
      <c r="BL358" t="n">
        <v>-0.28</v>
      </c>
      <c r="BO358" t="n">
        <v>-0.099</v>
      </c>
      <c r="BP358" t="n">
        <v>6</v>
      </c>
      <c r="BS358" t="n">
        <v>6</v>
      </c>
      <c r="BT358" t="n">
        <v>3.273</v>
      </c>
      <c r="BW358" t="n">
        <v>0.08</v>
      </c>
      <c r="BX358" t="n">
        <v>0.048</v>
      </c>
      <c r="BY358" t="n">
        <v>0.064</v>
      </c>
      <c r="BZ358" t="n">
        <v>0.035</v>
      </c>
      <c r="CA358" t="n">
        <v>0.344</v>
      </c>
      <c r="CB358" t="n">
        <v>0.188</v>
      </c>
      <c r="CC358" t="n">
        <v>1</v>
      </c>
      <c r="CE358" t="n">
        <v>1</v>
      </c>
      <c r="CI358" t="n">
        <v>1.166</v>
      </c>
      <c r="CJ358" t="n">
        <v>0.985</v>
      </c>
      <c r="CK358" t="n">
        <v>1</v>
      </c>
      <c r="CL358" t="n">
        <v>10</v>
      </c>
      <c r="CM358" t="n">
        <v>2</v>
      </c>
      <c r="CN358" t="n">
        <v>0</v>
      </c>
      <c r="CP358" t="n">
        <v>1</v>
      </c>
      <c r="CR358" t="n">
        <v>5</v>
      </c>
      <c r="CS358" t="n">
        <v>1</v>
      </c>
      <c r="CW358" t="n">
        <v>0.73</v>
      </c>
      <c r="CX358" t="n">
        <v>0.398</v>
      </c>
      <c r="CY358" t="n">
        <v>0</v>
      </c>
      <c r="DB358" t="n">
        <v>0</v>
      </c>
      <c r="DF358" t="n">
        <v>0</v>
      </c>
      <c r="DG358" t="n">
        <v>0</v>
      </c>
      <c r="DH358" t="n">
        <v>2</v>
      </c>
      <c r="DL358" t="n">
        <v>3</v>
      </c>
      <c r="DM358" t="n">
        <v>2</v>
      </c>
      <c r="DO358" t="n">
        <v>0</v>
      </c>
      <c r="DP358" t="n">
        <v>4.14</v>
      </c>
      <c r="DQ358" t="n">
        <v>2.09</v>
      </c>
      <c r="DR358" t="n">
        <v>4.18</v>
      </c>
      <c r="DS358" t="n">
        <v>-0.04</v>
      </c>
      <c r="DT358" t="n">
        <v>11</v>
      </c>
      <c r="DU358" t="n">
        <v>0.28</v>
      </c>
      <c r="DV358" t="inlineStr">
        <is>
          <t>flat</t>
        </is>
      </c>
      <c r="DW358" t="n">
        <v>86.01000000000001</v>
      </c>
      <c r="DX358" t="n">
        <v>77.33</v>
      </c>
      <c r="DY358" t="n">
        <v>80.52</v>
      </c>
      <c r="DZ358" t="n">
        <v>-5.48</v>
      </c>
      <c r="EA358" t="n">
        <v>3</v>
      </c>
      <c r="EB358" t="n">
        <v>19.17</v>
      </c>
      <c r="EC358" t="n">
        <v>63</v>
      </c>
      <c r="ED358" t="n">
        <v>113.45</v>
      </c>
      <c r="EE358" t="n">
        <v>5</v>
      </c>
      <c r="EF358" t="b">
        <v>0</v>
      </c>
      <c r="EG358" t="n">
        <v>0.2</v>
      </c>
      <c r="EH358" t="n">
        <v>37.5</v>
      </c>
      <c r="EI358" t="n">
        <v>198</v>
      </c>
      <c r="EJ358" t="n">
        <v>27.5</v>
      </c>
      <c r="EK358" t="n">
        <v>27.5</v>
      </c>
      <c r="EL358" t="n">
        <v>165</v>
      </c>
      <c r="EM358" t="n">
        <v>590.1</v>
      </c>
      <c r="EN358" t="n">
        <v>2569.9</v>
      </c>
      <c r="EO358" t="n">
        <v>479.9</v>
      </c>
      <c r="EP358" t="n">
        <v>20.6</v>
      </c>
    </row>
    <row r="359">
      <c r="A359" t="inlineStr">
        <is>
          <t>Walter Benítez</t>
        </is>
      </c>
      <c r="B359" t="inlineStr">
        <is>
          <t>CRY</t>
        </is>
      </c>
      <c r="C359" t="inlineStr">
        <is>
          <t>GKP</t>
        </is>
      </c>
      <c r="D359" t="inlineStr">
        <is>
          <t>GKP</t>
        </is>
      </c>
      <c r="E359" t="n">
        <v>4.5</v>
      </c>
      <c r="F359" t="b">
        <v>1</v>
      </c>
      <c r="G359" t="b">
        <v>1</v>
      </c>
      <c r="H359" t="n">
        <v>33.6</v>
      </c>
      <c r="I359" t="inlineStr">
        <is>
          <t>a</t>
        </is>
      </c>
      <c r="L359" t="inlineStr">
        <is>
          <t>p121709</t>
        </is>
      </c>
      <c r="M359" t="n">
        <v>199</v>
      </c>
      <c r="Q359" t="n">
        <v>90</v>
      </c>
      <c r="R359" t="n">
        <v>1</v>
      </c>
      <c r="S359" t="n">
        <v>1</v>
      </c>
      <c r="T359" t="n">
        <v>1</v>
      </c>
      <c r="U359" t="n">
        <v>90</v>
      </c>
      <c r="V359" t="n">
        <v>7</v>
      </c>
      <c r="W359" t="n">
        <v>7</v>
      </c>
      <c r="X359" t="n">
        <v>0</v>
      </c>
      <c r="Y359" t="n">
        <v>0</v>
      </c>
      <c r="AA359" t="n">
        <v>1</v>
      </c>
      <c r="AB359" t="n">
        <v>0</v>
      </c>
      <c r="AC359" t="n">
        <v>0</v>
      </c>
      <c r="AD359" t="n">
        <v>1</v>
      </c>
      <c r="AE359" t="n">
        <v>1</v>
      </c>
      <c r="AF359" t="n">
        <v>29</v>
      </c>
      <c r="AG359" t="n">
        <v>29</v>
      </c>
      <c r="AH359" t="n">
        <v>0</v>
      </c>
      <c r="AI359" t="n">
        <v>8</v>
      </c>
      <c r="AJ359" t="n">
        <v>0</v>
      </c>
      <c r="AK359" t="n">
        <v>0</v>
      </c>
      <c r="AL359" t="n">
        <v>0</v>
      </c>
      <c r="AM359" t="n">
        <v>0</v>
      </c>
      <c r="AN359" t="n">
        <v>0</v>
      </c>
      <c r="AO359" t="n">
        <v>0</v>
      </c>
      <c r="AP359" t="n">
        <v>0</v>
      </c>
      <c r="AQ359" t="n">
        <v>0</v>
      </c>
      <c r="AR359" t="n">
        <v>0</v>
      </c>
      <c r="AS359" t="n">
        <v>0.026</v>
      </c>
      <c r="AT359" t="n">
        <v>1</v>
      </c>
      <c r="AU359" t="n">
        <v>0</v>
      </c>
      <c r="AV359" t="n">
        <v>0</v>
      </c>
      <c r="AW359" t="n">
        <v>1.14</v>
      </c>
      <c r="AX359" t="n">
        <v>7</v>
      </c>
      <c r="AY359" t="n">
        <v>0</v>
      </c>
      <c r="AZ359" t="n">
        <v>0</v>
      </c>
      <c r="BA359" t="n">
        <v>0</v>
      </c>
      <c r="BB359" t="n">
        <v>0</v>
      </c>
      <c r="BC359" t="n">
        <v>0</v>
      </c>
      <c r="BD359" t="n">
        <v>0</v>
      </c>
      <c r="BE359" t="n">
        <v>0</v>
      </c>
      <c r="BH359" t="n">
        <v>1</v>
      </c>
      <c r="BI359" t="n">
        <v>0</v>
      </c>
      <c r="BJ359" t="n">
        <v>0</v>
      </c>
      <c r="BK359" t="n">
        <v>0</v>
      </c>
      <c r="BL359" t="n">
        <v>0</v>
      </c>
      <c r="BO359" t="n">
        <v>0</v>
      </c>
      <c r="BW359" t="n">
        <v>0</v>
      </c>
      <c r="BX359" t="n">
        <v>0</v>
      </c>
      <c r="BY359" t="n">
        <v>0</v>
      </c>
      <c r="BZ359" t="n">
        <v>0</v>
      </c>
      <c r="CA359" t="n">
        <v>0</v>
      </c>
      <c r="CB359" t="n">
        <v>0</v>
      </c>
      <c r="CC359" t="n">
        <v>0</v>
      </c>
      <c r="CI359" t="n">
        <v>0</v>
      </c>
      <c r="CJ359" t="n">
        <v>0</v>
      </c>
      <c r="CK359" t="n">
        <v>1</v>
      </c>
      <c r="CL359" t="n">
        <v>9</v>
      </c>
      <c r="CM359" t="n">
        <v>0</v>
      </c>
      <c r="CP359" t="n">
        <v>1</v>
      </c>
      <c r="CW359" t="n">
        <v>1.12</v>
      </c>
      <c r="CX359" t="n">
        <v>1.12</v>
      </c>
      <c r="CY359" t="n">
        <v>3</v>
      </c>
      <c r="DB359" t="n">
        <v>0</v>
      </c>
      <c r="DC359" t="n">
        <v>1</v>
      </c>
      <c r="DD359" t="n">
        <v>1</v>
      </c>
      <c r="DF359" t="n">
        <v>0</v>
      </c>
      <c r="DG359" t="n">
        <v>0</v>
      </c>
      <c r="DO359" t="n">
        <v>0.1</v>
      </c>
      <c r="DP359" t="n">
        <v>1.5</v>
      </c>
      <c r="DQ359" t="n">
        <v>0.75</v>
      </c>
      <c r="DR359" t="n">
        <v>1.5</v>
      </c>
      <c r="DS359" t="n">
        <v>0</v>
      </c>
      <c r="DT359" t="n">
        <v>35</v>
      </c>
      <c r="DU359" t="n">
        <v>0.91</v>
      </c>
      <c r="DV359" t="inlineStr">
        <is>
          <t>flat</t>
        </is>
      </c>
      <c r="DW359" t="n">
        <v>92.42</v>
      </c>
      <c r="DX359" t="n">
        <v>77.45999999999999</v>
      </c>
      <c r="DY359" t="n">
        <v>97.8</v>
      </c>
      <c r="DZ359" t="n">
        <v>5.38</v>
      </c>
      <c r="EA359" t="n">
        <v>69</v>
      </c>
      <c r="EB359" t="n">
        <v>33.01</v>
      </c>
      <c r="EC359" t="n">
        <v>2.67</v>
      </c>
      <c r="ED359" t="n">
        <v>120</v>
      </c>
      <c r="EE359" t="n">
        <v>125</v>
      </c>
      <c r="EF359" t="b">
        <v>1</v>
      </c>
      <c r="EG359" t="n">
        <v>3.5</v>
      </c>
      <c r="EH359" t="n">
        <v>27.7</v>
      </c>
      <c r="EI359" t="n">
        <v>454</v>
      </c>
      <c r="EP359" t="n">
        <v>12.9</v>
      </c>
    </row>
    <row r="360">
      <c r="A360" t="inlineStr">
        <is>
          <t>Christian Nørgaard</t>
        </is>
      </c>
      <c r="B360" t="inlineStr">
        <is>
          <t>EVE</t>
        </is>
      </c>
      <c r="C360" t="inlineStr">
        <is>
          <t>MID</t>
        </is>
      </c>
      <c r="D360" t="inlineStr">
        <is>
          <t>MID</t>
        </is>
      </c>
      <c r="E360" t="n">
        <v>5</v>
      </c>
      <c r="F360" t="b">
        <v>1</v>
      </c>
      <c r="G360" t="b">
        <v>1</v>
      </c>
      <c r="H360" t="n">
        <v>32.4</v>
      </c>
      <c r="I360" t="inlineStr">
        <is>
          <t>a</t>
        </is>
      </c>
      <c r="L360" t="inlineStr">
        <is>
          <t>p128295</t>
        </is>
      </c>
      <c r="M360" t="n">
        <v>21</v>
      </c>
      <c r="Q360" t="n">
        <v>101</v>
      </c>
      <c r="R360" t="n">
        <v>7</v>
      </c>
      <c r="S360" t="n">
        <v>1</v>
      </c>
      <c r="T360" t="n">
        <v>1.122</v>
      </c>
      <c r="U360" t="n">
        <v>14.4</v>
      </c>
      <c r="V360" t="n">
        <v>7</v>
      </c>
      <c r="W360" t="n">
        <v>6.238</v>
      </c>
      <c r="X360" t="n">
        <v>0</v>
      </c>
      <c r="Y360" t="n">
        <v>0</v>
      </c>
      <c r="AA360" t="n">
        <v>0</v>
      </c>
      <c r="AB360" t="n">
        <v>1</v>
      </c>
      <c r="AC360" t="n">
        <v>0</v>
      </c>
      <c r="AD360" t="n">
        <v>0</v>
      </c>
      <c r="AE360" t="n">
        <v>0</v>
      </c>
      <c r="AF360" t="n">
        <v>28</v>
      </c>
      <c r="AG360" t="n">
        <v>27</v>
      </c>
      <c r="AH360" t="n">
        <v>-1</v>
      </c>
      <c r="AI360" t="n">
        <v>7</v>
      </c>
      <c r="AJ360" t="n">
        <v>0</v>
      </c>
      <c r="AK360" t="n">
        <v>0</v>
      </c>
      <c r="AL360" t="n">
        <v>16</v>
      </c>
      <c r="AM360" t="n">
        <v>14.257</v>
      </c>
      <c r="AN360" t="n">
        <v>0</v>
      </c>
      <c r="AO360" t="n">
        <v>0</v>
      </c>
      <c r="AP360" t="n">
        <v>0</v>
      </c>
      <c r="AQ360" t="n">
        <v>0</v>
      </c>
      <c r="AR360" t="n">
        <v>0</v>
      </c>
      <c r="AS360" t="n">
        <v>0.026</v>
      </c>
      <c r="AT360" t="n">
        <v>0</v>
      </c>
      <c r="AU360" t="n">
        <v>7</v>
      </c>
      <c r="AV360" t="n">
        <v>0</v>
      </c>
      <c r="AW360" t="n">
        <v>0.39</v>
      </c>
      <c r="AX360" t="n">
        <v>1</v>
      </c>
      <c r="AY360" t="n">
        <v>0.08</v>
      </c>
      <c r="AZ360" t="n">
        <v>0.06900000000000001</v>
      </c>
      <c r="BA360" t="n">
        <v>0.074</v>
      </c>
      <c r="BB360" t="n">
        <v>0.06900000000000001</v>
      </c>
      <c r="BC360" t="n">
        <v>0.07099999999999999</v>
      </c>
      <c r="BD360" t="n">
        <v>0.061</v>
      </c>
      <c r="BE360" t="n">
        <v>0.066</v>
      </c>
      <c r="BF360" t="n">
        <v>0.1</v>
      </c>
      <c r="BG360" t="n">
        <v>0.089</v>
      </c>
      <c r="BH360" t="n">
        <v>0.928</v>
      </c>
      <c r="BI360" t="n">
        <v>9.56</v>
      </c>
      <c r="BJ360" t="n">
        <v>0.074</v>
      </c>
      <c r="BK360" t="n">
        <v>0.066</v>
      </c>
      <c r="BL360" t="n">
        <v>-0.074</v>
      </c>
      <c r="BM360" t="n">
        <v>0.02</v>
      </c>
      <c r="BN360" t="n">
        <v>-0.1</v>
      </c>
      <c r="BO360" t="n">
        <v>0.011</v>
      </c>
      <c r="BP360" t="n">
        <v>2</v>
      </c>
      <c r="BQ360" t="n">
        <v>1</v>
      </c>
      <c r="BS360" t="n">
        <v>1</v>
      </c>
      <c r="BT360" t="n">
        <v>0.891</v>
      </c>
      <c r="BW360" t="n">
        <v>0.04</v>
      </c>
      <c r="BX360" t="n">
        <v>0</v>
      </c>
      <c r="BY360" t="n">
        <v>0.02</v>
      </c>
      <c r="BZ360" t="n">
        <v>0.018</v>
      </c>
      <c r="CA360" t="n">
        <v>0.094</v>
      </c>
      <c r="CB360" t="n">
        <v>0.08400000000000001</v>
      </c>
      <c r="CC360" t="n">
        <v>0</v>
      </c>
      <c r="CI360" t="n">
        <v>0.821</v>
      </c>
      <c r="CJ360" t="n">
        <v>0.772</v>
      </c>
      <c r="CK360" t="n">
        <v>9</v>
      </c>
      <c r="CL360" t="n">
        <v>4</v>
      </c>
      <c r="CM360" t="n">
        <v>3</v>
      </c>
      <c r="CN360" t="n">
        <v>2</v>
      </c>
      <c r="CO360" t="n">
        <v>0</v>
      </c>
      <c r="CP360" t="n">
        <v>8</v>
      </c>
      <c r="CQ360" t="n">
        <v>1</v>
      </c>
      <c r="CR360" t="n">
        <v>5</v>
      </c>
      <c r="CS360" t="n">
        <v>2</v>
      </c>
      <c r="CW360" t="n">
        <v>2.28</v>
      </c>
      <c r="CX360" t="n">
        <v>2.032</v>
      </c>
      <c r="CY360" t="n">
        <v>0</v>
      </c>
      <c r="DB360" t="n">
        <v>0</v>
      </c>
      <c r="DF360" t="n">
        <v>0</v>
      </c>
      <c r="DG360" t="n">
        <v>0</v>
      </c>
      <c r="DH360" t="n">
        <v>3</v>
      </c>
      <c r="DM360" t="n">
        <v>1</v>
      </c>
      <c r="DO360" t="n">
        <v>0.7</v>
      </c>
      <c r="DP360" t="n">
        <v>129.67</v>
      </c>
      <c r="DQ360" t="n">
        <v>63.84</v>
      </c>
      <c r="DR360" t="n">
        <v>127.68</v>
      </c>
      <c r="DS360" t="n">
        <v>1.99</v>
      </c>
      <c r="DT360" t="n">
        <v>2804</v>
      </c>
      <c r="DU360" t="n">
        <v>73.8</v>
      </c>
      <c r="DV360" t="inlineStr">
        <is>
          <t>flat</t>
        </is>
      </c>
      <c r="DW360" t="n">
        <v>91.95999999999999</v>
      </c>
      <c r="DX360" t="n">
        <v>88.86</v>
      </c>
      <c r="DY360" t="n">
        <v>89.91</v>
      </c>
      <c r="DZ360" t="n">
        <v>-2.06</v>
      </c>
      <c r="EA360" t="n">
        <v>21</v>
      </c>
      <c r="EB360" t="n">
        <v>15.28</v>
      </c>
      <c r="EC360" t="n">
        <v>52</v>
      </c>
      <c r="ED360" t="n">
        <v>117.33</v>
      </c>
      <c r="EE360" t="n">
        <v>34</v>
      </c>
      <c r="EF360" t="b">
        <v>1</v>
      </c>
      <c r="EG360" t="n">
        <v>0.8</v>
      </c>
      <c r="EH360" t="n">
        <v>17.1</v>
      </c>
      <c r="EI360" t="n">
        <v>321</v>
      </c>
      <c r="EJ360" t="n">
        <v>50.5</v>
      </c>
      <c r="EK360" t="n">
        <v>101</v>
      </c>
      <c r="EM360" t="n">
        <v>1358.5</v>
      </c>
      <c r="EN360" t="n">
        <v>5050</v>
      </c>
      <c r="EO360" t="n">
        <v>1070.5</v>
      </c>
      <c r="EP360" t="n">
        <v>14.4</v>
      </c>
    </row>
    <row r="361">
      <c r="A361" t="inlineStr">
        <is>
          <t>Benoît Badiashile</t>
        </is>
      </c>
      <c r="B361" t="inlineStr">
        <is>
          <t>CHE</t>
        </is>
      </c>
      <c r="C361" t="inlineStr">
        <is>
          <t>DEF</t>
        </is>
      </c>
      <c r="D361" t="inlineStr">
        <is>
          <t>DEF</t>
        </is>
      </c>
      <c r="E361" t="n">
        <v>4.5</v>
      </c>
      <c r="F361" t="b">
        <v>1</v>
      </c>
      <c r="G361" t="b">
        <v>1</v>
      </c>
      <c r="H361" t="n">
        <v>25.4</v>
      </c>
      <c r="I361" t="inlineStr">
        <is>
          <t>a</t>
        </is>
      </c>
      <c r="L361" t="inlineStr">
        <is>
          <t>p242880</t>
        </is>
      </c>
      <c r="M361" t="n">
        <v>146</v>
      </c>
      <c r="Q361" t="n">
        <v>470</v>
      </c>
      <c r="R361" t="n">
        <v>8</v>
      </c>
      <c r="S361" t="n">
        <v>6</v>
      </c>
      <c r="T361" t="n">
        <v>5.222</v>
      </c>
      <c r="U361" t="n">
        <v>58.8</v>
      </c>
      <c r="V361" t="n">
        <v>7</v>
      </c>
      <c r="W361" t="n">
        <v>1.34</v>
      </c>
      <c r="X361" t="n">
        <v>0</v>
      </c>
      <c r="Y361" t="n">
        <v>0</v>
      </c>
      <c r="AA361" t="n">
        <v>0</v>
      </c>
      <c r="AB361" t="n">
        <v>10</v>
      </c>
      <c r="AC361" t="n">
        <v>0</v>
      </c>
      <c r="AD361" t="n">
        <v>0</v>
      </c>
      <c r="AE361" t="n">
        <v>0</v>
      </c>
      <c r="AF361" t="n">
        <v>48</v>
      </c>
      <c r="AG361" t="n">
        <v>40</v>
      </c>
      <c r="AH361" t="n">
        <v>-8</v>
      </c>
      <c r="AI361" t="n">
        <v>7</v>
      </c>
      <c r="AJ361" t="n">
        <v>0</v>
      </c>
      <c r="AK361" t="n">
        <v>0</v>
      </c>
      <c r="AL361" t="n">
        <v>48</v>
      </c>
      <c r="AM361" t="n">
        <v>9.191000000000001</v>
      </c>
      <c r="AN361" t="n">
        <v>1</v>
      </c>
      <c r="AO361" t="n">
        <v>2</v>
      </c>
      <c r="AP361" t="n">
        <v>0.167</v>
      </c>
      <c r="AQ361" t="n">
        <v>0.167</v>
      </c>
      <c r="AR361" t="n">
        <v>0.167</v>
      </c>
      <c r="AS361" t="n">
        <v>0.158</v>
      </c>
      <c r="AT361" t="n">
        <v>0.375</v>
      </c>
      <c r="AU361" t="n">
        <v>7</v>
      </c>
      <c r="AV361" t="n">
        <v>0</v>
      </c>
      <c r="AW361" t="n">
        <v>0.77</v>
      </c>
      <c r="AX361" t="n">
        <v>4</v>
      </c>
      <c r="AY361" t="n">
        <v>0</v>
      </c>
      <c r="AZ361" t="n">
        <v>0</v>
      </c>
      <c r="BA361" t="n">
        <v>0</v>
      </c>
      <c r="BB361" t="n">
        <v>0</v>
      </c>
      <c r="BC361" t="n">
        <v>0</v>
      </c>
      <c r="BD361" t="n">
        <v>0</v>
      </c>
      <c r="BE361" t="n">
        <v>0</v>
      </c>
      <c r="BH361" t="n">
        <v>0.913</v>
      </c>
      <c r="BI361" t="n">
        <v>1.53</v>
      </c>
      <c r="BJ361" t="n">
        <v>0</v>
      </c>
      <c r="BK361" t="n">
        <v>0</v>
      </c>
      <c r="BL361" t="n">
        <v>0</v>
      </c>
      <c r="BO361" t="n">
        <v>0</v>
      </c>
      <c r="BS361" t="n">
        <v>1</v>
      </c>
      <c r="BT361" t="n">
        <v>0.191</v>
      </c>
      <c r="BW361" t="n">
        <v>0.06</v>
      </c>
      <c r="BX361" t="n">
        <v>0</v>
      </c>
      <c r="BY361" t="n">
        <v>0.03</v>
      </c>
      <c r="BZ361" t="n">
        <v>0.006</v>
      </c>
      <c r="CA361" t="n">
        <v>0.03</v>
      </c>
      <c r="CB361" t="n">
        <v>0.006</v>
      </c>
      <c r="CC361" t="n">
        <v>0</v>
      </c>
      <c r="CI361" t="n">
        <v>1.046</v>
      </c>
      <c r="CJ361" t="n">
        <v>1.046</v>
      </c>
      <c r="CK361" t="n">
        <v>41</v>
      </c>
      <c r="CL361" t="n">
        <v>16</v>
      </c>
      <c r="CM361" t="n">
        <v>7</v>
      </c>
      <c r="CN361" t="n">
        <v>4</v>
      </c>
      <c r="CO361" t="n">
        <v>10</v>
      </c>
      <c r="CP361" t="n">
        <v>27</v>
      </c>
      <c r="CQ361" t="n">
        <v>4</v>
      </c>
      <c r="CR361" t="n">
        <v>17</v>
      </c>
      <c r="CS361" t="n">
        <v>8</v>
      </c>
      <c r="CU361" t="n">
        <v>1</v>
      </c>
      <c r="CV361" t="n">
        <v>1</v>
      </c>
      <c r="CW361" t="n">
        <v>7.41</v>
      </c>
      <c r="CX361" t="n">
        <v>1.419</v>
      </c>
      <c r="CY361" t="n">
        <v>0</v>
      </c>
      <c r="DB361" t="n">
        <v>0</v>
      </c>
      <c r="DF361" t="n">
        <v>2</v>
      </c>
      <c r="DG361" t="n">
        <v>0</v>
      </c>
      <c r="DH361" t="n">
        <v>6</v>
      </c>
      <c r="DI361" t="n">
        <v>2</v>
      </c>
      <c r="DO361" t="n">
        <v>0</v>
      </c>
      <c r="DP361" t="n">
        <v>2.79</v>
      </c>
      <c r="DQ361" t="n">
        <v>1.56</v>
      </c>
      <c r="DR361" t="n">
        <v>3.12</v>
      </c>
      <c r="DS361" t="n">
        <v>-0.33</v>
      </c>
      <c r="DT361" t="n">
        <v>14</v>
      </c>
      <c r="DU361" t="n">
        <v>0.36</v>
      </c>
      <c r="DV361" t="inlineStr">
        <is>
          <t>flat</t>
        </is>
      </c>
      <c r="DW361" t="n">
        <v>97.84999999999999</v>
      </c>
      <c r="EB361" t="n">
        <v>30.19</v>
      </c>
      <c r="EC361" t="n">
        <v>76.5</v>
      </c>
      <c r="ED361" t="n">
        <v>119.2</v>
      </c>
      <c r="EE361" t="n">
        <v>2</v>
      </c>
      <c r="EF361" t="b">
        <v>0</v>
      </c>
      <c r="EG361" t="n">
        <v>0</v>
      </c>
      <c r="EH361" t="n">
        <v>0</v>
      </c>
      <c r="EI361" t="n">
        <v>453</v>
      </c>
      <c r="EK361" t="n">
        <v>470</v>
      </c>
      <c r="EN361" t="n">
        <v>15666.7</v>
      </c>
      <c r="EO361" t="n">
        <v>15666.7</v>
      </c>
      <c r="EP361" t="n">
        <v>67.09999999999999</v>
      </c>
    </row>
    <row r="362">
      <c r="A362" t="inlineStr">
        <is>
          <t>Igor Julio</t>
        </is>
      </c>
      <c r="B362" t="inlineStr">
        <is>
          <t>BHA</t>
        </is>
      </c>
      <c r="C362" t="inlineStr">
        <is>
          <t>DEF</t>
        </is>
      </c>
      <c r="D362" t="inlineStr">
        <is>
          <t>DEF</t>
        </is>
      </c>
      <c r="E362" t="n">
        <v>4.5</v>
      </c>
      <c r="F362" t="b">
        <v>1</v>
      </c>
      <c r="G362" t="b">
        <v>1</v>
      </c>
      <c r="H362" t="n">
        <v>28.5</v>
      </c>
      <c r="I362" t="inlineStr">
        <is>
          <t>a</t>
        </is>
      </c>
      <c r="L362" t="inlineStr">
        <is>
          <t>p223434</t>
        </is>
      </c>
      <c r="M362" t="n">
        <v>118</v>
      </c>
      <c r="Q362" t="n">
        <v>103</v>
      </c>
      <c r="R362" t="n">
        <v>4</v>
      </c>
      <c r="S362" t="n">
        <v>1</v>
      </c>
      <c r="T362" t="n">
        <v>1.144</v>
      </c>
      <c r="U362" t="n">
        <v>25.8</v>
      </c>
      <c r="V362" t="n">
        <v>6</v>
      </c>
      <c r="W362" t="n">
        <v>5.243</v>
      </c>
      <c r="X362" t="n">
        <v>0</v>
      </c>
      <c r="Y362" t="n">
        <v>0</v>
      </c>
      <c r="AA362" t="n">
        <v>0</v>
      </c>
      <c r="AB362" t="n">
        <v>3</v>
      </c>
      <c r="AC362" t="n">
        <v>0</v>
      </c>
      <c r="AD362" t="n">
        <v>0</v>
      </c>
      <c r="AE362" t="n">
        <v>0</v>
      </c>
      <c r="AF362" t="n">
        <v>10</v>
      </c>
      <c r="AG362" t="n">
        <v>8</v>
      </c>
      <c r="AH362" t="n">
        <v>-2</v>
      </c>
      <c r="AI362" t="n">
        <v>6</v>
      </c>
      <c r="AJ362" t="n">
        <v>0</v>
      </c>
      <c r="AK362" t="n">
        <v>0</v>
      </c>
      <c r="AL362" t="n">
        <v>13</v>
      </c>
      <c r="AM362" t="n">
        <v>11.359</v>
      </c>
      <c r="AN362" t="n">
        <v>1</v>
      </c>
      <c r="AO362" t="n">
        <v>2</v>
      </c>
      <c r="AP362" t="n">
        <v>1</v>
      </c>
      <c r="AQ362" t="n">
        <v>1</v>
      </c>
      <c r="AR362" t="n">
        <v>1</v>
      </c>
      <c r="AS362" t="n">
        <v>0.026</v>
      </c>
      <c r="AT362" t="n">
        <v>0.25</v>
      </c>
      <c r="AU362" t="n">
        <v>3</v>
      </c>
      <c r="AV362" t="n">
        <v>0</v>
      </c>
      <c r="AW362" t="n">
        <v>0.55</v>
      </c>
      <c r="AX362" t="n">
        <v>3</v>
      </c>
      <c r="AY362" t="n">
        <v>0</v>
      </c>
      <c r="AZ362" t="n">
        <v>0</v>
      </c>
      <c r="BA362" t="n">
        <v>0</v>
      </c>
      <c r="BB362" t="n">
        <v>0</v>
      </c>
      <c r="BC362" t="n">
        <v>0</v>
      </c>
      <c r="BD362" t="n">
        <v>0</v>
      </c>
      <c r="BE362" t="n">
        <v>0</v>
      </c>
      <c r="BH362" t="n">
        <v>0.964</v>
      </c>
      <c r="BI362" t="n">
        <v>0.3</v>
      </c>
      <c r="BJ362" t="n">
        <v>0</v>
      </c>
      <c r="BK362" t="n">
        <v>0</v>
      </c>
      <c r="BL362" t="n">
        <v>0</v>
      </c>
      <c r="BO362" t="n">
        <v>0</v>
      </c>
      <c r="BW362" t="n">
        <v>0</v>
      </c>
      <c r="BX362" t="n">
        <v>0.018</v>
      </c>
      <c r="BY362" t="n">
        <v>0.008999999999999999</v>
      </c>
      <c r="BZ362" t="n">
        <v>0.008</v>
      </c>
      <c r="CA362" t="n">
        <v>0.008999999999999999</v>
      </c>
      <c r="CB362" t="n">
        <v>0.008</v>
      </c>
      <c r="CC362" t="n">
        <v>1</v>
      </c>
      <c r="CE362" t="n">
        <v>1</v>
      </c>
      <c r="CI362" t="n">
        <v>0.07000000000000001</v>
      </c>
      <c r="CJ362" t="n">
        <v>0.07000000000000001</v>
      </c>
      <c r="CK362" t="n">
        <v>13</v>
      </c>
      <c r="CL362" t="n">
        <v>3</v>
      </c>
      <c r="CM362" t="n">
        <v>0</v>
      </c>
      <c r="CO362" t="n">
        <v>1</v>
      </c>
      <c r="CP362" t="n">
        <v>10</v>
      </c>
      <c r="CQ362" t="n">
        <v>2</v>
      </c>
      <c r="CR362" t="n">
        <v>0</v>
      </c>
      <c r="CW362" t="n">
        <v>4.66</v>
      </c>
      <c r="CX362" t="n">
        <v>4.072</v>
      </c>
      <c r="CY362" t="n">
        <v>0</v>
      </c>
      <c r="DB362" t="n">
        <v>0</v>
      </c>
      <c r="DF362" t="n">
        <v>0</v>
      </c>
      <c r="DG362" t="n">
        <v>0</v>
      </c>
      <c r="DH362" t="n">
        <v>1</v>
      </c>
      <c r="DM362" t="n">
        <v>0</v>
      </c>
      <c r="DO362" t="n">
        <v>0.1</v>
      </c>
      <c r="DP362" t="n">
        <v>0</v>
      </c>
      <c r="DQ362" t="n">
        <v>0</v>
      </c>
      <c r="DR362" t="n">
        <v>0</v>
      </c>
      <c r="DS362" t="n">
        <v>0</v>
      </c>
      <c r="DT362" t="n">
        <v>0</v>
      </c>
      <c r="DU362" t="n">
        <v>0</v>
      </c>
      <c r="DV362" t="inlineStr">
        <is>
          <t>flat</t>
        </is>
      </c>
      <c r="DW362" t="n">
        <v>78.56</v>
      </c>
      <c r="DX362" t="n">
        <v>96</v>
      </c>
      <c r="DY362" t="n">
        <v>76.05</v>
      </c>
      <c r="DZ362" t="n">
        <v>-2.51</v>
      </c>
      <c r="EA362" t="n">
        <v>6</v>
      </c>
      <c r="EB362" t="n">
        <v>31.59</v>
      </c>
      <c r="EC362" t="n">
        <v>15.33</v>
      </c>
      <c r="ED362" t="n">
        <v>112</v>
      </c>
      <c r="EE362" t="n">
        <v>10</v>
      </c>
      <c r="EF362" t="b">
        <v>1</v>
      </c>
      <c r="EG362" t="n">
        <v>0.2</v>
      </c>
      <c r="EH362" t="n">
        <v>16.7</v>
      </c>
      <c r="EI362" t="n">
        <v>455</v>
      </c>
      <c r="EL362" t="n">
        <v>103</v>
      </c>
      <c r="EN362" t="n">
        <v>11381.6</v>
      </c>
      <c r="EO362" t="n">
        <v>11381.6</v>
      </c>
      <c r="EP362" t="n">
        <v>17.2</v>
      </c>
    </row>
    <row r="363">
      <c r="A363" t="inlineStr">
        <is>
          <t>Freddie Woodman</t>
        </is>
      </c>
      <c r="B363" t="inlineStr">
        <is>
          <t>LIV</t>
        </is>
      </c>
      <c r="C363" t="inlineStr">
        <is>
          <t>GKP</t>
        </is>
      </c>
      <c r="D363" t="inlineStr">
        <is>
          <t>GKP</t>
        </is>
      </c>
      <c r="E363" t="n">
        <v>4</v>
      </c>
      <c r="F363" t="b">
        <v>1</v>
      </c>
      <c r="G363" t="b">
        <v>1</v>
      </c>
      <c r="H363" t="n">
        <v>29.5</v>
      </c>
      <c r="I363" t="inlineStr">
        <is>
          <t>a</t>
        </is>
      </c>
      <c r="L363" t="inlineStr">
        <is>
          <t>p155503</t>
        </is>
      </c>
      <c r="M363" t="n">
        <v>352</v>
      </c>
      <c r="Q363" t="n">
        <v>212</v>
      </c>
      <c r="R363" t="n">
        <v>3</v>
      </c>
      <c r="S363" t="n">
        <v>2</v>
      </c>
      <c r="T363" t="n">
        <v>2.356</v>
      </c>
      <c r="U363" t="n">
        <v>70.7</v>
      </c>
      <c r="V363" t="n">
        <v>6</v>
      </c>
      <c r="W363" t="n">
        <v>2.547</v>
      </c>
      <c r="X363" t="n">
        <v>0</v>
      </c>
      <c r="Y363" t="n">
        <v>0</v>
      </c>
      <c r="AA363" t="n">
        <v>0</v>
      </c>
      <c r="AB363" t="n">
        <v>4</v>
      </c>
      <c r="AC363" t="n">
        <v>0</v>
      </c>
      <c r="AD363" t="n">
        <v>0</v>
      </c>
      <c r="AE363" t="n">
        <v>0</v>
      </c>
      <c r="AF363" t="n">
        <v>34</v>
      </c>
      <c r="AG363" t="n">
        <v>33</v>
      </c>
      <c r="AH363" t="n">
        <v>-1</v>
      </c>
      <c r="AI363" t="n">
        <v>6</v>
      </c>
      <c r="AJ363" t="n">
        <v>0</v>
      </c>
      <c r="AK363" t="n">
        <v>0</v>
      </c>
      <c r="AL363" t="n">
        <v>0</v>
      </c>
      <c r="AM363" t="n">
        <v>0</v>
      </c>
      <c r="AN363" t="n">
        <v>0</v>
      </c>
      <c r="AO363" t="n">
        <v>0</v>
      </c>
      <c r="AP363" t="n">
        <v>0</v>
      </c>
      <c r="AQ363" t="n">
        <v>0</v>
      </c>
      <c r="AR363" t="n">
        <v>0</v>
      </c>
      <c r="AS363" t="n">
        <v>0.053</v>
      </c>
      <c r="AT363" t="n">
        <v>0.667</v>
      </c>
      <c r="AU363" t="n">
        <v>2</v>
      </c>
      <c r="AV363" t="n">
        <v>0</v>
      </c>
      <c r="AW363" t="n">
        <v>0.59</v>
      </c>
      <c r="AX363" t="n">
        <v>3</v>
      </c>
      <c r="AY363" t="n">
        <v>0</v>
      </c>
      <c r="AZ363" t="n">
        <v>0</v>
      </c>
      <c r="BA363" t="n">
        <v>0</v>
      </c>
      <c r="BB363" t="n">
        <v>0</v>
      </c>
      <c r="BC363" t="n">
        <v>0</v>
      </c>
      <c r="BD363" t="n">
        <v>0</v>
      </c>
      <c r="BE363" t="n">
        <v>0</v>
      </c>
      <c r="BH363" t="n">
        <v>1</v>
      </c>
      <c r="BI363" t="n">
        <v>0</v>
      </c>
      <c r="BJ363" t="n">
        <v>0</v>
      </c>
      <c r="BK363" t="n">
        <v>0</v>
      </c>
      <c r="BL363" t="n">
        <v>0</v>
      </c>
      <c r="BO363" t="n">
        <v>0</v>
      </c>
      <c r="BW363" t="n">
        <v>0</v>
      </c>
      <c r="BX363" t="n">
        <v>0</v>
      </c>
      <c r="BY363" t="n">
        <v>0</v>
      </c>
      <c r="BZ363" t="n">
        <v>0</v>
      </c>
      <c r="CA363" t="n">
        <v>0</v>
      </c>
      <c r="CB363" t="n">
        <v>0</v>
      </c>
      <c r="CC363" t="n">
        <v>0</v>
      </c>
      <c r="CI363" t="n">
        <v>0.641</v>
      </c>
      <c r="CJ363" t="n">
        <v>0.641</v>
      </c>
      <c r="CK363" t="n">
        <v>4</v>
      </c>
      <c r="CL363" t="n">
        <v>22</v>
      </c>
      <c r="CM363" t="n">
        <v>0</v>
      </c>
      <c r="CO363" t="n">
        <v>1</v>
      </c>
      <c r="CP363" t="n">
        <v>3</v>
      </c>
      <c r="CW363" t="n">
        <v>4.76</v>
      </c>
      <c r="CX363" t="n">
        <v>2.021</v>
      </c>
      <c r="CY363" t="n">
        <v>9</v>
      </c>
      <c r="DB363" t="n">
        <v>0</v>
      </c>
      <c r="DC363" t="n">
        <v>1</v>
      </c>
      <c r="DF363" t="n">
        <v>0</v>
      </c>
      <c r="DG363" t="n">
        <v>0</v>
      </c>
      <c r="DO363" t="n">
        <v>1.2</v>
      </c>
      <c r="DP363" t="n">
        <v>0</v>
      </c>
      <c r="DQ363" t="n">
        <v>0</v>
      </c>
      <c r="DR363" t="n">
        <v>0</v>
      </c>
      <c r="DS363" t="n">
        <v>0</v>
      </c>
      <c r="DT363" t="n">
        <v>0</v>
      </c>
      <c r="DU363" t="n">
        <v>0</v>
      </c>
      <c r="DV363" t="inlineStr">
        <is>
          <t>flat</t>
        </is>
      </c>
      <c r="DW363" t="n">
        <v>106.6</v>
      </c>
      <c r="DX363" t="n">
        <v>80.67</v>
      </c>
      <c r="DY363" t="n">
        <v>114.81</v>
      </c>
      <c r="DZ363" t="n">
        <v>8.210000000000001</v>
      </c>
      <c r="EA363" t="n">
        <v>6</v>
      </c>
      <c r="EB363" t="n">
        <v>27.84</v>
      </c>
      <c r="EC363" t="n">
        <v>16</v>
      </c>
      <c r="ED363" t="n">
        <v>119.43</v>
      </c>
      <c r="EE363" t="n">
        <v>13</v>
      </c>
      <c r="EF363" t="b">
        <v>1</v>
      </c>
      <c r="EG363" t="n">
        <v>0.3</v>
      </c>
      <c r="EH363" t="n">
        <v>13.3</v>
      </c>
      <c r="EI363" t="n">
        <v>523</v>
      </c>
      <c r="EP363" t="n">
        <v>35.3</v>
      </c>
    </row>
    <row r="364">
      <c r="A364" t="inlineStr">
        <is>
          <t>Trey Nyoni</t>
        </is>
      </c>
      <c r="B364" t="inlineStr">
        <is>
          <t>LIV</t>
        </is>
      </c>
      <c r="C364" t="inlineStr">
        <is>
          <t>MID</t>
        </is>
      </c>
      <c r="D364" t="inlineStr">
        <is>
          <t>MID</t>
        </is>
      </c>
      <c r="E364" t="n">
        <v>5</v>
      </c>
      <c r="F364" t="b">
        <v>1</v>
      </c>
      <c r="G364" t="b">
        <v>1</v>
      </c>
      <c r="H364" t="n">
        <v>19.1</v>
      </c>
      <c r="I364" t="inlineStr">
        <is>
          <t>a</t>
        </is>
      </c>
      <c r="L364" t="inlineStr">
        <is>
          <t>p591386</t>
        </is>
      </c>
      <c r="M364" t="n">
        <v>375</v>
      </c>
      <c r="Q364" t="n">
        <v>21</v>
      </c>
      <c r="R364" t="n">
        <v>6</v>
      </c>
      <c r="S364" t="n">
        <v>0</v>
      </c>
      <c r="T364" t="n">
        <v>0.233</v>
      </c>
      <c r="U364" t="n">
        <v>3.5</v>
      </c>
      <c r="V364" t="n">
        <v>6</v>
      </c>
      <c r="W364" t="n">
        <v>25.714</v>
      </c>
      <c r="X364" t="n">
        <v>0</v>
      </c>
      <c r="Y364" t="n">
        <v>0</v>
      </c>
      <c r="AA364" t="n">
        <v>0</v>
      </c>
      <c r="AB364" t="n">
        <v>1</v>
      </c>
      <c r="AC364" t="n">
        <v>0</v>
      </c>
      <c r="AD364" t="n">
        <v>0</v>
      </c>
      <c r="AE364" t="n">
        <v>0</v>
      </c>
      <c r="AF364" t="n">
        <v>11</v>
      </c>
      <c r="AG364" t="n">
        <v>11</v>
      </c>
      <c r="AH364" t="n">
        <v>0</v>
      </c>
      <c r="AI364" t="n">
        <v>6</v>
      </c>
      <c r="AJ364" t="n">
        <v>0</v>
      </c>
      <c r="AK364" t="n">
        <v>0</v>
      </c>
      <c r="AL364" t="n">
        <v>5</v>
      </c>
      <c r="AM364" t="n">
        <v>21.429</v>
      </c>
      <c r="AN364" t="n">
        <v>0</v>
      </c>
      <c r="AO364" t="n">
        <v>0</v>
      </c>
      <c r="AS364" t="n">
        <v>0</v>
      </c>
      <c r="AT364" t="n">
        <v>0</v>
      </c>
      <c r="AU364" t="n">
        <v>6</v>
      </c>
      <c r="AV364" t="n">
        <v>0</v>
      </c>
      <c r="AW364" t="n">
        <v>0.37</v>
      </c>
      <c r="AX364" t="n">
        <v>1</v>
      </c>
      <c r="AY364" t="n">
        <v>0.37</v>
      </c>
      <c r="BA364" t="n">
        <v>0.37</v>
      </c>
      <c r="BC364" t="n">
        <v>1.586</v>
      </c>
      <c r="BE364" t="n">
        <v>1.586</v>
      </c>
      <c r="BH364" t="n">
        <v>0.956</v>
      </c>
      <c r="BI364" t="n">
        <v>0.37</v>
      </c>
      <c r="BJ364" t="n">
        <v>0.354</v>
      </c>
      <c r="BK364" t="n">
        <v>1.517</v>
      </c>
      <c r="BL364" t="n">
        <v>-0.37</v>
      </c>
      <c r="BP364" t="n">
        <v>1</v>
      </c>
      <c r="BR364" t="n">
        <v>1</v>
      </c>
      <c r="BS364" t="n">
        <v>1</v>
      </c>
      <c r="BT364" t="n">
        <v>4.286</v>
      </c>
      <c r="BW364" t="n">
        <v>0.02</v>
      </c>
      <c r="BY364" t="n">
        <v>0.02</v>
      </c>
      <c r="BZ364" t="n">
        <v>0.08599999999999999</v>
      </c>
      <c r="CA364" t="n">
        <v>0.39</v>
      </c>
      <c r="CB364" t="n">
        <v>1.671</v>
      </c>
      <c r="CE364" t="n">
        <v>1</v>
      </c>
      <c r="CK364" t="n">
        <v>0</v>
      </c>
      <c r="CL364" t="n">
        <v>4</v>
      </c>
      <c r="CM364" t="n">
        <v>1</v>
      </c>
      <c r="CP364" t="n">
        <v>0</v>
      </c>
      <c r="CR364" t="n">
        <v>1</v>
      </c>
      <c r="CW364" t="n">
        <v>0.85</v>
      </c>
      <c r="CX364" t="n">
        <v>3.643</v>
      </c>
      <c r="CY364" t="n">
        <v>0</v>
      </c>
      <c r="DB364" t="n">
        <v>0</v>
      </c>
      <c r="DF364" t="n">
        <v>0</v>
      </c>
      <c r="DG364" t="n">
        <v>0</v>
      </c>
      <c r="DH364" t="n">
        <v>1</v>
      </c>
      <c r="DM364" t="n">
        <v>1</v>
      </c>
      <c r="DN364" t="n">
        <v>1</v>
      </c>
      <c r="DO364" t="n">
        <v>0.1</v>
      </c>
      <c r="DP364" t="n">
        <v>5.63</v>
      </c>
      <c r="DQ364" t="n">
        <v>2.84</v>
      </c>
      <c r="DR364" t="n">
        <v>5.68</v>
      </c>
      <c r="DS364" t="n">
        <v>-0.05</v>
      </c>
      <c r="DT364" t="n">
        <v>24</v>
      </c>
      <c r="DU364" t="n">
        <v>0.63</v>
      </c>
      <c r="DV364" t="inlineStr">
        <is>
          <t>flat</t>
        </is>
      </c>
      <c r="DW364" t="n">
        <v>69.08</v>
      </c>
      <c r="DX364" t="n">
        <v>50.67</v>
      </c>
      <c r="DY364" t="n">
        <v>82.73</v>
      </c>
      <c r="DZ364" t="n">
        <v>13.65</v>
      </c>
      <c r="EA364" t="n">
        <v>5</v>
      </c>
      <c r="EB364" t="n">
        <v>29.39</v>
      </c>
      <c r="EC364" t="n">
        <v>7.11</v>
      </c>
      <c r="ED364" t="n">
        <v>106.46</v>
      </c>
      <c r="EE364" t="n">
        <v>12</v>
      </c>
      <c r="EF364" t="b">
        <v>1</v>
      </c>
      <c r="EG364" t="n">
        <v>0.3</v>
      </c>
      <c r="EH364" t="n">
        <v>25</v>
      </c>
      <c r="EI364" t="n">
        <v>322</v>
      </c>
      <c r="EJ364" t="n">
        <v>21</v>
      </c>
      <c r="EK364" t="n">
        <v>21</v>
      </c>
      <c r="EL364" t="n">
        <v>21</v>
      </c>
      <c r="EM364" t="n">
        <v>56.8</v>
      </c>
      <c r="EN364" t="n">
        <v>1050</v>
      </c>
      <c r="EO364" t="n">
        <v>53.8</v>
      </c>
      <c r="EP364" t="n">
        <v>3.5</v>
      </c>
    </row>
    <row r="365">
      <c r="A365" t="inlineStr">
        <is>
          <t>Borna Sosa</t>
        </is>
      </c>
      <c r="B365" t="inlineStr">
        <is>
          <t>CRY</t>
        </is>
      </c>
      <c r="C365" t="inlineStr">
        <is>
          <t>DEF</t>
        </is>
      </c>
      <c r="D365" t="inlineStr">
        <is>
          <t>DEF</t>
        </is>
      </c>
      <c r="E365" t="n">
        <v>4.5</v>
      </c>
      <c r="F365" t="b">
        <v>1</v>
      </c>
      <c r="G365" t="b">
        <v>1</v>
      </c>
      <c r="H365" t="n">
        <v>28.6</v>
      </c>
      <c r="I365" t="inlineStr">
        <is>
          <t>a</t>
        </is>
      </c>
      <c r="L365" t="inlineStr">
        <is>
          <t>p218364</t>
        </is>
      </c>
      <c r="M365" t="n">
        <v>205</v>
      </c>
      <c r="Q365" t="n">
        <v>99</v>
      </c>
      <c r="R365" t="n">
        <v>7</v>
      </c>
      <c r="S365" t="n">
        <v>0</v>
      </c>
      <c r="T365" t="n">
        <v>1.1</v>
      </c>
      <c r="U365" t="n">
        <v>14.1</v>
      </c>
      <c r="V365" t="n">
        <v>6</v>
      </c>
      <c r="W365" t="n">
        <v>5.455</v>
      </c>
      <c r="X365" t="n">
        <v>0</v>
      </c>
      <c r="Y365" t="n">
        <v>0</v>
      </c>
      <c r="AA365" t="n">
        <v>0</v>
      </c>
      <c r="AB365" t="n">
        <v>2</v>
      </c>
      <c r="AC365" t="n">
        <v>0</v>
      </c>
      <c r="AD365" t="n">
        <v>0</v>
      </c>
      <c r="AE365" t="n">
        <v>0</v>
      </c>
      <c r="AF365" t="n">
        <v>9</v>
      </c>
      <c r="AG365" t="n">
        <v>6</v>
      </c>
      <c r="AH365" t="n">
        <v>-3</v>
      </c>
      <c r="AI365" t="n">
        <v>6</v>
      </c>
      <c r="AJ365" t="n">
        <v>0</v>
      </c>
      <c r="AK365" t="n">
        <v>0</v>
      </c>
      <c r="AL365" t="n">
        <v>9</v>
      </c>
      <c r="AM365" t="n">
        <v>8.182</v>
      </c>
      <c r="AN365" t="n">
        <v>0</v>
      </c>
      <c r="AO365" t="n">
        <v>0</v>
      </c>
      <c r="AS365" t="n">
        <v>0</v>
      </c>
      <c r="AT365" t="n">
        <v>0</v>
      </c>
      <c r="AU365" t="n">
        <v>7</v>
      </c>
      <c r="AV365" t="n">
        <v>0</v>
      </c>
      <c r="AW365" t="n">
        <v>0.37</v>
      </c>
      <c r="AX365" t="n">
        <v>1</v>
      </c>
      <c r="AY365" t="n">
        <v>0.04</v>
      </c>
      <c r="AZ365" t="n">
        <v>0.039</v>
      </c>
      <c r="BA365" t="n">
        <v>0.04</v>
      </c>
      <c r="BB365" t="n">
        <v>0.039</v>
      </c>
      <c r="BC365" t="n">
        <v>0.036</v>
      </c>
      <c r="BD365" t="n">
        <v>0.035</v>
      </c>
      <c r="BE365" t="n">
        <v>0.036</v>
      </c>
      <c r="BH365" t="n">
        <v>0.995</v>
      </c>
      <c r="BI365" t="n">
        <v>0.04</v>
      </c>
      <c r="BJ365" t="n">
        <v>0.04</v>
      </c>
      <c r="BK365" t="n">
        <v>0.036</v>
      </c>
      <c r="BL365" t="n">
        <v>-0.04</v>
      </c>
      <c r="BO365" t="n">
        <v>0.001</v>
      </c>
      <c r="BP365" t="n">
        <v>1</v>
      </c>
      <c r="BS365" t="n">
        <v>3</v>
      </c>
      <c r="BT365" t="n">
        <v>2.727</v>
      </c>
      <c r="BW365" t="n">
        <v>0.07000000000000001</v>
      </c>
      <c r="BX365" t="n">
        <v>0.076</v>
      </c>
      <c r="BY365" t="n">
        <v>0.073</v>
      </c>
      <c r="BZ365" t="n">
        <v>0.066</v>
      </c>
      <c r="CA365" t="n">
        <v>0.113</v>
      </c>
      <c r="CB365" t="n">
        <v>0.102</v>
      </c>
      <c r="CC365" t="n">
        <v>2</v>
      </c>
      <c r="CE365" t="n">
        <v>2</v>
      </c>
      <c r="CH365" t="n">
        <v>3</v>
      </c>
      <c r="CI365" t="n">
        <v>0.484</v>
      </c>
      <c r="CJ365" t="n">
        <v>0.388</v>
      </c>
      <c r="CK365" t="n">
        <v>6</v>
      </c>
      <c r="CL365" t="n">
        <v>3</v>
      </c>
      <c r="CM365" t="n">
        <v>3</v>
      </c>
      <c r="CO365" t="n">
        <v>2</v>
      </c>
      <c r="CP365" t="n">
        <v>4</v>
      </c>
      <c r="CR365" t="n">
        <v>6</v>
      </c>
      <c r="CS365" t="n">
        <v>3</v>
      </c>
      <c r="CW365" t="n">
        <v>0.9</v>
      </c>
      <c r="CX365" t="n">
        <v>0.8179999999999999</v>
      </c>
      <c r="CY365" t="n">
        <v>0</v>
      </c>
      <c r="DB365" t="n">
        <v>0</v>
      </c>
      <c r="DF365" t="n">
        <v>1</v>
      </c>
      <c r="DG365" t="n">
        <v>0</v>
      </c>
      <c r="DH365" t="n">
        <v>4</v>
      </c>
      <c r="DK365" t="n">
        <v>0</v>
      </c>
      <c r="DM365" t="n">
        <v>0</v>
      </c>
      <c r="DO365" t="n">
        <v>0</v>
      </c>
      <c r="DP365" t="n">
        <v>7.6</v>
      </c>
      <c r="DQ365" t="n">
        <v>3.8</v>
      </c>
      <c r="DR365" t="n">
        <v>7.6</v>
      </c>
      <c r="DS365" t="n">
        <v>0</v>
      </c>
      <c r="DT365" t="n">
        <v>19</v>
      </c>
      <c r="DU365" t="n">
        <v>0.5</v>
      </c>
      <c r="DV365" t="inlineStr">
        <is>
          <t>flat</t>
        </is>
      </c>
      <c r="DW365" t="n">
        <v>76.40000000000001</v>
      </c>
      <c r="DY365" t="n">
        <v>80.8</v>
      </c>
      <c r="DZ365" t="n">
        <v>4.4</v>
      </c>
      <c r="EA365" t="n">
        <v>1</v>
      </c>
      <c r="EB365" t="n">
        <v>6.22</v>
      </c>
      <c r="EC365" t="n">
        <v>72</v>
      </c>
      <c r="ED365" t="n">
        <v>80.8</v>
      </c>
      <c r="EE365" t="n">
        <v>2</v>
      </c>
      <c r="EF365" t="b">
        <v>0</v>
      </c>
      <c r="EG365" t="n">
        <v>0.1</v>
      </c>
      <c r="EH365" t="n">
        <v>33.3</v>
      </c>
      <c r="EI365" t="n">
        <v>456</v>
      </c>
      <c r="EJ365" t="n">
        <v>99</v>
      </c>
      <c r="EK365" t="n">
        <v>33</v>
      </c>
      <c r="EL365" t="n">
        <v>49.5</v>
      </c>
      <c r="EM365" t="n">
        <v>2504.9</v>
      </c>
      <c r="EN365" t="n">
        <v>1353.7</v>
      </c>
      <c r="EO365" t="n">
        <v>878.8</v>
      </c>
      <c r="EP365" t="n">
        <v>16.5</v>
      </c>
    </row>
    <row r="366">
      <c r="A366" t="inlineStr">
        <is>
          <t>Jonah Kusi-Asare</t>
        </is>
      </c>
      <c r="B366" t="inlineStr">
        <is>
          <t>FUL</t>
        </is>
      </c>
      <c r="C366" t="inlineStr">
        <is>
          <t>FWD</t>
        </is>
      </c>
      <c r="D366" t="inlineStr">
        <is>
          <t>FWD</t>
        </is>
      </c>
      <c r="E366" t="n">
        <v>4.5</v>
      </c>
      <c r="F366" t="b">
        <v>1</v>
      </c>
      <c r="G366" t="b">
        <v>1</v>
      </c>
      <c r="H366" t="n">
        <v>19.1</v>
      </c>
      <c r="I366" t="inlineStr">
        <is>
          <t>a</t>
        </is>
      </c>
      <c r="L366" t="inlineStr">
        <is>
          <t>p631786</t>
        </is>
      </c>
      <c r="M366" t="n">
        <v>272</v>
      </c>
      <c r="Q366" t="n">
        <v>49</v>
      </c>
      <c r="R366" t="n">
        <v>7</v>
      </c>
      <c r="S366" t="n">
        <v>0</v>
      </c>
      <c r="T366" t="n">
        <v>0.544</v>
      </c>
      <c r="U366" t="n">
        <v>7</v>
      </c>
      <c r="V366" t="n">
        <v>6</v>
      </c>
      <c r="W366" t="n">
        <v>11.02</v>
      </c>
      <c r="X366" t="n">
        <v>0</v>
      </c>
      <c r="Y366" t="n">
        <v>0</v>
      </c>
      <c r="AA366" t="n">
        <v>0</v>
      </c>
      <c r="AB366" t="n">
        <v>2</v>
      </c>
      <c r="AC366" t="n">
        <v>0</v>
      </c>
      <c r="AD366" t="n">
        <v>0</v>
      </c>
      <c r="AE366" t="n">
        <v>0</v>
      </c>
      <c r="AF366" t="n">
        <v>19</v>
      </c>
      <c r="AG366" t="n">
        <v>19</v>
      </c>
      <c r="AH366" t="n">
        <v>0</v>
      </c>
      <c r="AI366" t="n">
        <v>6</v>
      </c>
      <c r="AJ366" t="n">
        <v>0</v>
      </c>
      <c r="AK366" t="n">
        <v>0</v>
      </c>
      <c r="AL366" t="n">
        <v>5</v>
      </c>
      <c r="AM366" t="n">
        <v>9.183999999999999</v>
      </c>
      <c r="AN366" t="n">
        <v>0</v>
      </c>
      <c r="AO366" t="n">
        <v>0</v>
      </c>
      <c r="AS366" t="n">
        <v>0</v>
      </c>
      <c r="AT366" t="n">
        <v>0</v>
      </c>
      <c r="AU366" t="n">
        <v>7</v>
      </c>
      <c r="AV366" t="n">
        <v>0</v>
      </c>
      <c r="AW366" t="n">
        <v>0.38</v>
      </c>
      <c r="AX366" t="n">
        <v>1</v>
      </c>
      <c r="AY366" t="n">
        <v>0</v>
      </c>
      <c r="AZ366" t="n">
        <v>0</v>
      </c>
      <c r="BA366" t="n">
        <v>0</v>
      </c>
      <c r="BB366" t="n">
        <v>0</v>
      </c>
      <c r="BC366" t="n">
        <v>0</v>
      </c>
      <c r="BD366" t="n">
        <v>0</v>
      </c>
      <c r="BE366" t="n">
        <v>0</v>
      </c>
      <c r="BH366" t="n">
        <v>1</v>
      </c>
      <c r="BI366" t="n">
        <v>0</v>
      </c>
      <c r="BJ366" t="n">
        <v>0</v>
      </c>
      <c r="BK366" t="n">
        <v>0</v>
      </c>
      <c r="BL366" t="n">
        <v>0</v>
      </c>
      <c r="BO366" t="n">
        <v>0</v>
      </c>
      <c r="BS366" t="n">
        <v>4</v>
      </c>
      <c r="BT366" t="n">
        <v>7.347</v>
      </c>
      <c r="BW366" t="n">
        <v>0.07000000000000001</v>
      </c>
      <c r="BX366" t="n">
        <v>0.082</v>
      </c>
      <c r="BY366" t="n">
        <v>0.076</v>
      </c>
      <c r="BZ366" t="n">
        <v>0.14</v>
      </c>
      <c r="CA366" t="n">
        <v>0.076</v>
      </c>
      <c r="CB366" t="n">
        <v>0.14</v>
      </c>
      <c r="CC366" t="n">
        <v>1</v>
      </c>
      <c r="CE366" t="n">
        <v>1</v>
      </c>
      <c r="CI366" t="n">
        <v>0.082</v>
      </c>
      <c r="CJ366" t="n">
        <v>0</v>
      </c>
      <c r="CK366" t="n">
        <v>0</v>
      </c>
      <c r="CL366" t="n">
        <v>4</v>
      </c>
      <c r="CM366" t="n">
        <v>1</v>
      </c>
      <c r="CN366" t="n">
        <v>1</v>
      </c>
      <c r="CR366" t="n">
        <v>4</v>
      </c>
      <c r="CS366" t="n">
        <v>1</v>
      </c>
      <c r="CW366" t="n">
        <v>1.1</v>
      </c>
      <c r="CX366" t="n">
        <v>2.02</v>
      </c>
      <c r="CY366" t="n">
        <v>0</v>
      </c>
      <c r="DB366" t="n">
        <v>0</v>
      </c>
      <c r="DF366" t="n">
        <v>1</v>
      </c>
      <c r="DG366" t="n">
        <v>0</v>
      </c>
      <c r="DH366" t="n">
        <v>4</v>
      </c>
      <c r="DI366" t="n">
        <v>2</v>
      </c>
      <c r="DO366" t="n">
        <v>7.3</v>
      </c>
      <c r="DP366" t="n">
        <v>9.16</v>
      </c>
      <c r="DQ366" t="n">
        <v>4.59</v>
      </c>
      <c r="DR366" t="n">
        <v>9.18</v>
      </c>
      <c r="DS366" t="n">
        <v>-0.02</v>
      </c>
      <c r="DT366" t="n">
        <v>42</v>
      </c>
      <c r="DU366" t="n">
        <v>1.1</v>
      </c>
      <c r="DV366" t="inlineStr">
        <is>
          <t>flat</t>
        </is>
      </c>
      <c r="DW366" t="n">
        <v>93.7</v>
      </c>
      <c r="DX366" t="n">
        <v>103.58</v>
      </c>
      <c r="DY366" t="n">
        <v>93.18000000000001</v>
      </c>
      <c r="DZ366" t="n">
        <v>-0.52</v>
      </c>
      <c r="EA366" t="n">
        <v>14</v>
      </c>
      <c r="EB366" t="n">
        <v>28.91</v>
      </c>
      <c r="EC366" t="n">
        <v>9.33</v>
      </c>
      <c r="ED366" t="n">
        <v>119.27</v>
      </c>
      <c r="EE366" t="n">
        <v>31</v>
      </c>
      <c r="EF366" t="b">
        <v>1</v>
      </c>
      <c r="EG366" t="n">
        <v>0.9</v>
      </c>
      <c r="EH366" t="n">
        <v>26.2</v>
      </c>
      <c r="EI366" t="n">
        <v>457</v>
      </c>
      <c r="EK366" t="n">
        <v>12.2</v>
      </c>
      <c r="EL366" t="n">
        <v>49</v>
      </c>
      <c r="EN366" t="n">
        <v>644.8</v>
      </c>
      <c r="EO366" t="n">
        <v>644.8</v>
      </c>
      <c r="EP366" t="n">
        <v>8.199999999999999</v>
      </c>
    </row>
    <row r="367">
      <c r="A367" t="inlineStr">
        <is>
          <t>Andrés García</t>
        </is>
      </c>
      <c r="B367" t="inlineStr">
        <is>
          <t>AVL</t>
        </is>
      </c>
      <c r="C367" t="inlineStr">
        <is>
          <t>DEF</t>
        </is>
      </c>
      <c r="D367" t="inlineStr">
        <is>
          <t>DEF</t>
        </is>
      </c>
      <c r="E367" t="n">
        <v>4</v>
      </c>
      <c r="F367" t="b">
        <v>1</v>
      </c>
      <c r="G367" t="b">
        <v>1</v>
      </c>
      <c r="I367" t="inlineStr">
        <is>
          <t>a</t>
        </is>
      </c>
      <c r="L367" t="inlineStr">
        <is>
          <t>p606798</t>
        </is>
      </c>
      <c r="M367" t="n">
        <v>38</v>
      </c>
      <c r="Q367" t="n">
        <v>83</v>
      </c>
      <c r="R367" t="n">
        <v>6</v>
      </c>
      <c r="S367" t="n">
        <v>1</v>
      </c>
      <c r="T367" t="n">
        <v>0.922</v>
      </c>
      <c r="U367" t="n">
        <v>13.8</v>
      </c>
      <c r="V367" t="n">
        <v>5</v>
      </c>
      <c r="W367" t="n">
        <v>5.422</v>
      </c>
      <c r="X367" t="n">
        <v>0</v>
      </c>
      <c r="Y367" t="n">
        <v>0</v>
      </c>
      <c r="AA367" t="n">
        <v>0</v>
      </c>
      <c r="AB367" t="n">
        <v>3</v>
      </c>
      <c r="AC367" t="n">
        <v>0</v>
      </c>
      <c r="AD367" t="n">
        <v>0</v>
      </c>
      <c r="AE367" t="n">
        <v>0</v>
      </c>
      <c r="AF367" t="n">
        <v>12</v>
      </c>
      <c r="AG367" t="n">
        <v>11</v>
      </c>
      <c r="AH367" t="n">
        <v>-1</v>
      </c>
      <c r="AI367" t="n">
        <v>5</v>
      </c>
      <c r="AJ367" t="n">
        <v>0</v>
      </c>
      <c r="AK367" t="n">
        <v>0</v>
      </c>
      <c r="AL367" t="n">
        <v>10</v>
      </c>
      <c r="AM367" t="n">
        <v>10.843</v>
      </c>
      <c r="AN367" t="n">
        <v>0</v>
      </c>
      <c r="AO367" t="n">
        <v>0</v>
      </c>
      <c r="AP367" t="n">
        <v>0</v>
      </c>
      <c r="AQ367" t="n">
        <v>0</v>
      </c>
      <c r="AR367" t="n">
        <v>0</v>
      </c>
      <c r="AS367" t="n">
        <v>0.026</v>
      </c>
      <c r="AT367" t="n">
        <v>0</v>
      </c>
      <c r="AU367" t="n">
        <v>6</v>
      </c>
      <c r="AV367" t="n">
        <v>0</v>
      </c>
      <c r="AW367" t="n">
        <v>0.34</v>
      </c>
      <c r="AX367" t="n">
        <v>1</v>
      </c>
      <c r="AY367" t="n">
        <v>0</v>
      </c>
      <c r="AZ367" t="n">
        <v>0</v>
      </c>
      <c r="BA367" t="n">
        <v>0</v>
      </c>
      <c r="BB367" t="n">
        <v>0</v>
      </c>
      <c r="BC367" t="n">
        <v>0</v>
      </c>
      <c r="BD367" t="n">
        <v>0</v>
      </c>
      <c r="BE367" t="n">
        <v>0</v>
      </c>
      <c r="BH367" t="n">
        <v>0.995</v>
      </c>
      <c r="BI367" t="n">
        <v>0.04</v>
      </c>
      <c r="BJ367" t="n">
        <v>0</v>
      </c>
      <c r="BK367" t="n">
        <v>0</v>
      </c>
      <c r="BL367" t="n">
        <v>0</v>
      </c>
      <c r="BO367" t="n">
        <v>0</v>
      </c>
      <c r="BS367" t="n">
        <v>1</v>
      </c>
      <c r="BT367" t="n">
        <v>1.084</v>
      </c>
      <c r="BW367" t="n">
        <v>0.01</v>
      </c>
      <c r="BX367" t="n">
        <v>0</v>
      </c>
      <c r="BY367" t="n">
        <v>0.005</v>
      </c>
      <c r="BZ367" t="n">
        <v>0.005</v>
      </c>
      <c r="CA367" t="n">
        <v>0.005</v>
      </c>
      <c r="CB367" t="n">
        <v>0.005</v>
      </c>
      <c r="CC367" t="n">
        <v>0</v>
      </c>
      <c r="CI367" t="n">
        <v>0.436</v>
      </c>
      <c r="CJ367" t="n">
        <v>0.436</v>
      </c>
      <c r="CK367" t="n">
        <v>5</v>
      </c>
      <c r="CL367" t="n">
        <v>4</v>
      </c>
      <c r="CM367" t="n">
        <v>5</v>
      </c>
      <c r="CN367" t="n">
        <v>4</v>
      </c>
      <c r="CO367" t="n">
        <v>0</v>
      </c>
      <c r="CP367" t="n">
        <v>4</v>
      </c>
      <c r="CQ367" t="n">
        <v>1</v>
      </c>
      <c r="CR367" t="n">
        <v>5</v>
      </c>
      <c r="CV367" t="n">
        <v>1</v>
      </c>
      <c r="CW367" t="n">
        <v>2.74</v>
      </c>
      <c r="CX367" t="n">
        <v>2.971</v>
      </c>
      <c r="CY367" t="n">
        <v>0</v>
      </c>
      <c r="DB367" t="n">
        <v>0</v>
      </c>
      <c r="DF367" t="n">
        <v>0</v>
      </c>
      <c r="DG367" t="n">
        <v>0</v>
      </c>
      <c r="DH367" t="n">
        <v>1</v>
      </c>
      <c r="DM367" t="n">
        <v>1</v>
      </c>
      <c r="DO367" t="n">
        <v>1.6</v>
      </c>
      <c r="DP367" t="n">
        <v>0</v>
      </c>
      <c r="DQ367" t="n">
        <v>0</v>
      </c>
      <c r="DR367" t="n">
        <v>0</v>
      </c>
      <c r="DS367" t="n">
        <v>0</v>
      </c>
      <c r="DT367" t="n">
        <v>0</v>
      </c>
      <c r="DU367" t="n">
        <v>0</v>
      </c>
      <c r="DV367" t="inlineStr">
        <is>
          <t>flat</t>
        </is>
      </c>
      <c r="DW367" t="n">
        <v>81.65000000000001</v>
      </c>
      <c r="DX367" t="n">
        <v>99</v>
      </c>
      <c r="DY367" t="n">
        <v>72.91</v>
      </c>
      <c r="DZ367" t="n">
        <v>-8.74</v>
      </c>
      <c r="EA367" t="n">
        <v>6</v>
      </c>
      <c r="EB367" t="n">
        <v>29.01</v>
      </c>
      <c r="EC367" t="n">
        <v>36.57</v>
      </c>
      <c r="ED367" t="n">
        <v>116.27</v>
      </c>
      <c r="EE367" t="n">
        <v>9</v>
      </c>
      <c r="EF367" t="b">
        <v>0</v>
      </c>
      <c r="EG367" t="n">
        <v>0.3</v>
      </c>
      <c r="EH367" t="n">
        <v>30.8</v>
      </c>
      <c r="EI367" t="n">
        <v>524</v>
      </c>
      <c r="EK367" t="n">
        <v>83</v>
      </c>
      <c r="EN367" t="n">
        <v>16600</v>
      </c>
      <c r="EO367" t="n">
        <v>16600</v>
      </c>
      <c r="EP367" t="n">
        <v>16.6</v>
      </c>
    </row>
    <row r="368">
      <c r="A368" t="inlineStr">
        <is>
          <t>Max Alleyne</t>
        </is>
      </c>
      <c r="B368" t="inlineStr">
        <is>
          <t>MCI</t>
        </is>
      </c>
      <c r="C368" t="inlineStr">
        <is>
          <t>DEF</t>
        </is>
      </c>
      <c r="D368" t="inlineStr">
        <is>
          <t>DEF</t>
        </is>
      </c>
      <c r="E368" t="n">
        <v>5</v>
      </c>
      <c r="F368" t="b">
        <v>1</v>
      </c>
      <c r="G368" t="b">
        <v>1</v>
      </c>
      <c r="H368" t="n">
        <v>21.1</v>
      </c>
      <c r="I368" t="inlineStr">
        <is>
          <t>a</t>
        </is>
      </c>
      <c r="L368" t="inlineStr">
        <is>
          <t>p494307</t>
        </is>
      </c>
      <c r="M368" t="n">
        <v>394</v>
      </c>
      <c r="Q368" t="n">
        <v>135</v>
      </c>
      <c r="R368" t="n">
        <v>2</v>
      </c>
      <c r="S368" t="n">
        <v>2</v>
      </c>
      <c r="T368" t="n">
        <v>1.5</v>
      </c>
      <c r="U368" t="n">
        <v>67.5</v>
      </c>
      <c r="V368" t="n">
        <v>5</v>
      </c>
      <c r="W368" t="n">
        <v>3.333</v>
      </c>
      <c r="X368" t="n">
        <v>0</v>
      </c>
      <c r="Y368" t="n">
        <v>0</v>
      </c>
      <c r="AA368" t="n">
        <v>0</v>
      </c>
      <c r="AB368" t="n">
        <v>1</v>
      </c>
      <c r="AC368" t="n">
        <v>0</v>
      </c>
      <c r="AD368" t="n">
        <v>0</v>
      </c>
      <c r="AE368" t="n">
        <v>0</v>
      </c>
      <c r="AF368" t="n">
        <v>27</v>
      </c>
      <c r="AG368" t="n">
        <v>26</v>
      </c>
      <c r="AH368" t="n">
        <v>-1</v>
      </c>
      <c r="AI368" t="n">
        <v>5</v>
      </c>
      <c r="AJ368" t="n">
        <v>0</v>
      </c>
      <c r="AK368" t="n">
        <v>0</v>
      </c>
      <c r="AL368" t="n">
        <v>11</v>
      </c>
      <c r="AM368" t="n">
        <v>7.333</v>
      </c>
      <c r="AN368" t="n">
        <v>1</v>
      </c>
      <c r="AO368" t="n">
        <v>2</v>
      </c>
      <c r="AP368" t="n">
        <v>0.5</v>
      </c>
      <c r="AQ368" t="n">
        <v>0.5</v>
      </c>
      <c r="AR368" t="n">
        <v>0</v>
      </c>
      <c r="AS368" t="n">
        <v>0.053</v>
      </c>
      <c r="AT368" t="n">
        <v>0.5</v>
      </c>
      <c r="AU368" t="n">
        <v>1</v>
      </c>
      <c r="AV368" t="n">
        <v>0</v>
      </c>
      <c r="AW368" t="n">
        <v>0.96</v>
      </c>
      <c r="AX368" t="n">
        <v>4</v>
      </c>
      <c r="AY368" t="n">
        <v>0.26</v>
      </c>
      <c r="AZ368" t="n">
        <v>0.381</v>
      </c>
      <c r="BA368" t="n">
        <v>0.321</v>
      </c>
      <c r="BB368" t="n">
        <v>0.381</v>
      </c>
      <c r="BC368" t="n">
        <v>0.173</v>
      </c>
      <c r="BD368" t="n">
        <v>0.254</v>
      </c>
      <c r="BE368" t="n">
        <v>0.214</v>
      </c>
      <c r="BF368" t="n">
        <v>0.3</v>
      </c>
      <c r="BG368" t="n">
        <v>0.2</v>
      </c>
      <c r="BH368" t="n">
        <v>1.005</v>
      </c>
      <c r="BI368" t="n">
        <v>0.26</v>
      </c>
      <c r="BJ368" t="n">
        <v>0.261</v>
      </c>
      <c r="BK368" t="n">
        <v>0.174</v>
      </c>
      <c r="BL368" t="n">
        <v>-0.321</v>
      </c>
      <c r="BM368" t="n">
        <v>0.04</v>
      </c>
      <c r="BN368" t="n">
        <v>-0.3</v>
      </c>
      <c r="BO368" t="n">
        <v>-0.121</v>
      </c>
      <c r="BP368" t="n">
        <v>2</v>
      </c>
      <c r="BQ368" t="n">
        <v>1</v>
      </c>
      <c r="BR368" t="n">
        <v>1</v>
      </c>
      <c r="BS368" t="n">
        <v>3</v>
      </c>
      <c r="BT368" t="n">
        <v>2</v>
      </c>
      <c r="BW368" t="n">
        <v>0.06</v>
      </c>
      <c r="BX368" t="n">
        <v>0.032</v>
      </c>
      <c r="BY368" t="n">
        <v>0.046</v>
      </c>
      <c r="BZ368" t="n">
        <v>0.031</v>
      </c>
      <c r="CA368" t="n">
        <v>0.367</v>
      </c>
      <c r="CB368" t="n">
        <v>0.245</v>
      </c>
      <c r="CC368" t="n">
        <v>1</v>
      </c>
      <c r="CE368" t="n">
        <v>1</v>
      </c>
      <c r="CI368" t="n">
        <v>0.368</v>
      </c>
      <c r="CJ368" t="n">
        <v>0.368</v>
      </c>
      <c r="CK368" t="n">
        <v>8</v>
      </c>
      <c r="CL368" t="n">
        <v>4</v>
      </c>
      <c r="CM368" t="n">
        <v>3</v>
      </c>
      <c r="CN368" t="n">
        <v>3</v>
      </c>
      <c r="CO368" t="n">
        <v>4</v>
      </c>
      <c r="CP368" t="n">
        <v>4</v>
      </c>
      <c r="CR368" t="n">
        <v>9</v>
      </c>
      <c r="CS368" t="n">
        <v>3</v>
      </c>
      <c r="CW368" t="n">
        <v>1.54</v>
      </c>
      <c r="CX368" t="n">
        <v>1.027</v>
      </c>
      <c r="CY368" t="n">
        <v>0</v>
      </c>
      <c r="DB368" t="n">
        <v>0</v>
      </c>
      <c r="DF368" t="n">
        <v>0</v>
      </c>
      <c r="DG368" t="n">
        <v>0</v>
      </c>
      <c r="DL368" t="n">
        <v>3</v>
      </c>
      <c r="DM368" t="n">
        <v>1</v>
      </c>
      <c r="DO368" t="n">
        <v>0</v>
      </c>
      <c r="DP368" t="n">
        <v>0</v>
      </c>
      <c r="DQ368" t="n">
        <v>0</v>
      </c>
      <c r="DR368" t="n">
        <v>0</v>
      </c>
      <c r="DS368" t="n">
        <v>0</v>
      </c>
      <c r="DT368" t="n">
        <v>0</v>
      </c>
      <c r="DU368" t="n">
        <v>0</v>
      </c>
      <c r="DV368" t="inlineStr">
        <is>
          <t>flat</t>
        </is>
      </c>
      <c r="DW368" t="n">
        <v>108.42</v>
      </c>
      <c r="DX368" t="n">
        <v>101</v>
      </c>
      <c r="DY368" t="n">
        <v>111.75</v>
      </c>
      <c r="DZ368" t="n">
        <v>3.33</v>
      </c>
      <c r="EA368" t="n">
        <v>6</v>
      </c>
      <c r="EB368" t="n">
        <v>11.74</v>
      </c>
      <c r="EC368" t="n">
        <v>82.40000000000001</v>
      </c>
      <c r="ED368" t="n">
        <v>120</v>
      </c>
      <c r="EE368" t="n">
        <v>11</v>
      </c>
      <c r="EF368" t="b">
        <v>1</v>
      </c>
      <c r="EG368" t="n">
        <v>0.4</v>
      </c>
      <c r="EH368" t="n">
        <v>47.6</v>
      </c>
      <c r="EI368" t="n">
        <v>324</v>
      </c>
      <c r="EJ368" t="n">
        <v>67.5</v>
      </c>
      <c r="EK368" t="n">
        <v>45</v>
      </c>
      <c r="EL368" t="n">
        <v>135</v>
      </c>
      <c r="EM368" t="n">
        <v>421</v>
      </c>
      <c r="EN368" t="n">
        <v>2929.6</v>
      </c>
      <c r="EO368" t="n">
        <v>368.1</v>
      </c>
      <c r="EP368" t="n">
        <v>27</v>
      </c>
    </row>
    <row r="369">
      <c r="A369" t="inlineStr">
        <is>
          <t>Harvey Elliott</t>
        </is>
      </c>
      <c r="B369" t="inlineStr">
        <is>
          <t>LIV</t>
        </is>
      </c>
      <c r="C369" t="inlineStr">
        <is>
          <t>MID</t>
        </is>
      </c>
      <c r="D369" t="inlineStr">
        <is>
          <t>MID</t>
        </is>
      </c>
      <c r="E369" t="n">
        <v>5.5</v>
      </c>
      <c r="F369" t="b">
        <v>1</v>
      </c>
      <c r="G369" t="b">
        <v>1</v>
      </c>
      <c r="H369" t="n">
        <v>23.4</v>
      </c>
      <c r="I369" t="inlineStr">
        <is>
          <t>a</t>
        </is>
      </c>
      <c r="L369" t="inlineStr">
        <is>
          <t>p444884</t>
        </is>
      </c>
      <c r="M369" t="n">
        <v>383</v>
      </c>
      <c r="Q369" t="n">
        <v>110</v>
      </c>
      <c r="R369" t="n">
        <v>5</v>
      </c>
      <c r="S369" t="n">
        <v>1</v>
      </c>
      <c r="T369" t="n">
        <v>1.222</v>
      </c>
      <c r="U369" t="n">
        <v>22</v>
      </c>
      <c r="V369" t="n">
        <v>5</v>
      </c>
      <c r="W369" t="n">
        <v>4.091</v>
      </c>
      <c r="X369" t="n">
        <v>0</v>
      </c>
      <c r="Y369" t="n">
        <v>0</v>
      </c>
      <c r="AA369" t="n">
        <v>0</v>
      </c>
      <c r="AB369" t="n">
        <v>2</v>
      </c>
      <c r="AC369" t="n">
        <v>0</v>
      </c>
      <c r="AD369" t="n">
        <v>0</v>
      </c>
      <c r="AE369" t="n">
        <v>0</v>
      </c>
      <c r="AF369" t="n">
        <v>17</v>
      </c>
      <c r="AG369" t="n">
        <v>17</v>
      </c>
      <c r="AH369" t="n">
        <v>0</v>
      </c>
      <c r="AI369" t="n">
        <v>5</v>
      </c>
      <c r="AJ369" t="n">
        <v>0</v>
      </c>
      <c r="AK369" t="n">
        <v>0</v>
      </c>
      <c r="AL369" t="n">
        <v>6</v>
      </c>
      <c r="AM369" t="n">
        <v>4.909</v>
      </c>
      <c r="AN369" t="n">
        <v>0</v>
      </c>
      <c r="AO369" t="n">
        <v>0</v>
      </c>
      <c r="AP369" t="n">
        <v>0</v>
      </c>
      <c r="AQ369" t="n">
        <v>0</v>
      </c>
      <c r="AR369" t="n">
        <v>0</v>
      </c>
      <c r="AS369" t="n">
        <v>0.026</v>
      </c>
      <c r="AT369" t="n">
        <v>0</v>
      </c>
      <c r="AU369" t="n">
        <v>5</v>
      </c>
      <c r="AV369" t="n">
        <v>0</v>
      </c>
      <c r="AW369" t="n">
        <v>0.34</v>
      </c>
      <c r="AX369" t="n">
        <v>1</v>
      </c>
      <c r="AY369" t="n">
        <v>0.29</v>
      </c>
      <c r="AZ369" t="n">
        <v>0.29</v>
      </c>
      <c r="BA369" t="n">
        <v>0.29</v>
      </c>
      <c r="BB369" t="n">
        <v>0.29</v>
      </c>
      <c r="BC369" t="n">
        <v>0.237</v>
      </c>
      <c r="BD369" t="n">
        <v>0.237</v>
      </c>
      <c r="BE369" t="n">
        <v>0.237</v>
      </c>
      <c r="BH369" t="n">
        <v>0.979</v>
      </c>
      <c r="BI369" t="n">
        <v>6.91</v>
      </c>
      <c r="BJ369" t="n">
        <v>0.284</v>
      </c>
      <c r="BK369" t="n">
        <v>0.232</v>
      </c>
      <c r="BL369" t="n">
        <v>-0.29</v>
      </c>
      <c r="BO369" t="n">
        <v>0</v>
      </c>
      <c r="BP369" t="n">
        <v>5</v>
      </c>
      <c r="BS369" t="n">
        <v>9</v>
      </c>
      <c r="BT369" t="n">
        <v>7.364</v>
      </c>
      <c r="BW369" t="n">
        <v>0.08</v>
      </c>
      <c r="BX369" t="n">
        <v>0.094</v>
      </c>
      <c r="BY369" t="n">
        <v>0.08699999999999999</v>
      </c>
      <c r="BZ369" t="n">
        <v>0.07099999999999999</v>
      </c>
      <c r="CA369" t="n">
        <v>0.377</v>
      </c>
      <c r="CB369" t="n">
        <v>0.308</v>
      </c>
      <c r="CC369" t="n">
        <v>1</v>
      </c>
      <c r="CE369" t="n">
        <v>1</v>
      </c>
      <c r="CF369" t="n">
        <v>1</v>
      </c>
      <c r="CI369" t="n">
        <v>0.738</v>
      </c>
      <c r="CJ369" t="n">
        <v>0.413</v>
      </c>
      <c r="CK369" t="n">
        <v>2</v>
      </c>
      <c r="CL369" t="n">
        <v>4</v>
      </c>
      <c r="CM369" t="n">
        <v>0</v>
      </c>
      <c r="CP369" t="n">
        <v>1</v>
      </c>
      <c r="CQ369" t="n">
        <v>1</v>
      </c>
      <c r="CR369" t="n">
        <v>3</v>
      </c>
      <c r="CS369" t="n">
        <v>1</v>
      </c>
      <c r="CW369" t="n">
        <v>1.74</v>
      </c>
      <c r="CX369" t="n">
        <v>1.424</v>
      </c>
      <c r="CY369" t="n">
        <v>0</v>
      </c>
      <c r="DB369" t="n">
        <v>0</v>
      </c>
      <c r="DF369" t="n">
        <v>0</v>
      </c>
      <c r="DG369" t="n">
        <v>0</v>
      </c>
      <c r="DI369" t="n">
        <v>2</v>
      </c>
      <c r="DO369" t="n">
        <v>0.1</v>
      </c>
      <c r="DP369" t="n">
        <v>4.5</v>
      </c>
      <c r="DQ369" t="n">
        <v>2.25</v>
      </c>
      <c r="DR369" t="n">
        <v>4.5</v>
      </c>
      <c r="DS369" t="n">
        <v>0</v>
      </c>
      <c r="DT369" t="n">
        <v>103</v>
      </c>
      <c r="DU369" t="n">
        <v>2.7</v>
      </c>
      <c r="DV369" t="inlineStr">
        <is>
          <t>flat</t>
        </is>
      </c>
      <c r="DW369" t="n">
        <v>82.67</v>
      </c>
      <c r="DX369" t="n">
        <v>89</v>
      </c>
      <c r="DY369" t="n">
        <v>86.45</v>
      </c>
      <c r="DZ369" t="n">
        <v>3.78</v>
      </c>
      <c r="EA369" t="n">
        <v>9</v>
      </c>
      <c r="EB369" t="n">
        <v>22.47</v>
      </c>
      <c r="EC369" t="n">
        <v>40</v>
      </c>
      <c r="ED369" t="n">
        <v>118.67</v>
      </c>
      <c r="EE369" t="n">
        <v>13</v>
      </c>
      <c r="EF369" t="b">
        <v>1</v>
      </c>
      <c r="EG369" t="n">
        <v>0.4</v>
      </c>
      <c r="EH369" t="n">
        <v>31.6</v>
      </c>
      <c r="EI369" t="n">
        <v>199</v>
      </c>
      <c r="EJ369" t="n">
        <v>22</v>
      </c>
      <c r="EK369" t="n">
        <v>12.2</v>
      </c>
      <c r="EL369" t="n">
        <v>110</v>
      </c>
      <c r="EM369" t="n">
        <v>379.6</v>
      </c>
      <c r="EN369" t="n">
        <v>1265.5</v>
      </c>
      <c r="EO369" t="n">
        <v>292</v>
      </c>
      <c r="EP369" t="n">
        <v>22</v>
      </c>
    </row>
    <row r="370">
      <c r="A370" t="inlineStr">
        <is>
          <t>Tom Watson</t>
        </is>
      </c>
      <c r="B370" t="inlineStr">
        <is>
          <t>BHA</t>
        </is>
      </c>
      <c r="C370" t="inlineStr">
        <is>
          <t>MID</t>
        </is>
      </c>
      <c r="D370" t="inlineStr">
        <is>
          <t>MID</t>
        </is>
      </c>
      <c r="E370" t="n">
        <v>5</v>
      </c>
      <c r="F370" t="b">
        <v>1</v>
      </c>
      <c r="G370" t="b">
        <v>1</v>
      </c>
      <c r="H370" t="n">
        <v>20.4</v>
      </c>
      <c r="I370" t="inlineStr">
        <is>
          <t>u</t>
        </is>
      </c>
      <c r="J370" t="inlineStr">
        <is>
          <t>Has joined Leicester City on loan for the rest of the season</t>
        </is>
      </c>
      <c r="K370" t="n">
        <v>0</v>
      </c>
      <c r="L370" t="inlineStr">
        <is>
          <t>p549074</t>
        </is>
      </c>
      <c r="M370" t="n">
        <v>133</v>
      </c>
      <c r="Q370" t="n">
        <v>57</v>
      </c>
      <c r="R370" t="n">
        <v>6</v>
      </c>
      <c r="S370" t="n">
        <v>0</v>
      </c>
      <c r="T370" t="n">
        <v>0.633</v>
      </c>
      <c r="U370" t="n">
        <v>9.5</v>
      </c>
      <c r="V370" t="n">
        <v>5</v>
      </c>
      <c r="W370" t="n">
        <v>7.895</v>
      </c>
      <c r="X370" t="n">
        <v>0</v>
      </c>
      <c r="Y370" t="n">
        <v>0</v>
      </c>
      <c r="AA370" t="n">
        <v>0</v>
      </c>
      <c r="AB370" t="n">
        <v>2</v>
      </c>
      <c r="AC370" t="n">
        <v>0</v>
      </c>
      <c r="AD370" t="n">
        <v>0</v>
      </c>
      <c r="AE370" t="n">
        <v>0</v>
      </c>
      <c r="AF370" t="n">
        <v>15</v>
      </c>
      <c r="AG370" t="n">
        <v>15</v>
      </c>
      <c r="AH370" t="n">
        <v>0</v>
      </c>
      <c r="AI370" t="n">
        <v>5</v>
      </c>
      <c r="AJ370" t="n">
        <v>0</v>
      </c>
      <c r="AK370" t="n">
        <v>0</v>
      </c>
      <c r="AL370" t="n">
        <v>5</v>
      </c>
      <c r="AM370" t="n">
        <v>7.895</v>
      </c>
      <c r="AN370" t="n">
        <v>0</v>
      </c>
      <c r="AO370" t="n">
        <v>0</v>
      </c>
      <c r="AS370" t="n">
        <v>0</v>
      </c>
      <c r="AT370" t="n">
        <v>0</v>
      </c>
      <c r="AU370" t="n">
        <v>6</v>
      </c>
      <c r="AV370" t="n">
        <v>0</v>
      </c>
      <c r="AW370" t="n">
        <v>0.34</v>
      </c>
      <c r="AX370" t="n">
        <v>1</v>
      </c>
      <c r="AY370" t="n">
        <v>0.04</v>
      </c>
      <c r="AZ370" t="n">
        <v>0.025</v>
      </c>
      <c r="BA370" t="n">
        <v>0.032</v>
      </c>
      <c r="BB370" t="n">
        <v>0.025</v>
      </c>
      <c r="BC370" t="n">
        <v>0.063</v>
      </c>
      <c r="BD370" t="n">
        <v>0.039</v>
      </c>
      <c r="BE370" t="n">
        <v>0.051</v>
      </c>
      <c r="BF370" t="n">
        <v>0.2</v>
      </c>
      <c r="BG370" t="n">
        <v>0.316</v>
      </c>
      <c r="BH370" t="n">
        <v>1.02</v>
      </c>
      <c r="BI370" t="n">
        <v>0.04</v>
      </c>
      <c r="BJ370" t="n">
        <v>0.041</v>
      </c>
      <c r="BK370" t="n">
        <v>0.065</v>
      </c>
      <c r="BL370" t="n">
        <v>-0.032</v>
      </c>
      <c r="BM370" t="n">
        <v>0.16</v>
      </c>
      <c r="BN370" t="n">
        <v>-0.2</v>
      </c>
      <c r="BO370" t="n">
        <v>0.015</v>
      </c>
      <c r="BP370" t="n">
        <v>1</v>
      </c>
      <c r="BQ370" t="n">
        <v>1</v>
      </c>
      <c r="BW370" t="n">
        <v>0.03</v>
      </c>
      <c r="BX370" t="n">
        <v>0</v>
      </c>
      <c r="BY370" t="n">
        <v>0.015</v>
      </c>
      <c r="BZ370" t="n">
        <v>0.024</v>
      </c>
      <c r="CA370" t="n">
        <v>0.047</v>
      </c>
      <c r="CB370" t="n">
        <v>0.075</v>
      </c>
      <c r="CC370" t="n">
        <v>0</v>
      </c>
      <c r="CI370" t="n">
        <v>0.025</v>
      </c>
      <c r="CJ370" t="n">
        <v>0</v>
      </c>
      <c r="CK370" t="n">
        <v>0</v>
      </c>
      <c r="CL370" t="n">
        <v>4</v>
      </c>
      <c r="CM370" t="n">
        <v>1</v>
      </c>
      <c r="CN370" t="n">
        <v>1</v>
      </c>
      <c r="CR370" t="n">
        <v>1</v>
      </c>
      <c r="CW370" t="n">
        <v>1.72</v>
      </c>
      <c r="CX370" t="n">
        <v>2.716</v>
      </c>
      <c r="CY370" t="n">
        <v>0</v>
      </c>
      <c r="DB370" t="n">
        <v>0</v>
      </c>
      <c r="DF370" t="n">
        <v>1</v>
      </c>
      <c r="DG370" t="n">
        <v>0</v>
      </c>
      <c r="DH370" t="n">
        <v>3</v>
      </c>
      <c r="DO370" t="n">
        <v>0</v>
      </c>
      <c r="EJ370" t="n">
        <v>57</v>
      </c>
      <c r="EM370" t="n">
        <v>1761.8</v>
      </c>
      <c r="EN370" t="n">
        <v>3800</v>
      </c>
      <c r="EO370" t="n">
        <v>1203.7</v>
      </c>
      <c r="EP370" t="n">
        <v>11.4</v>
      </c>
    </row>
    <row r="371">
      <c r="A371" t="inlineStr">
        <is>
          <t>Harry Howell</t>
        </is>
      </c>
      <c r="B371" t="inlineStr">
        <is>
          <t>BHA</t>
        </is>
      </c>
      <c r="C371" t="inlineStr">
        <is>
          <t>MID</t>
        </is>
      </c>
      <c r="D371" t="inlineStr">
        <is>
          <t>MID</t>
        </is>
      </c>
      <c r="E371" t="n">
        <v>4.5</v>
      </c>
      <c r="F371" t="b">
        <v>1</v>
      </c>
      <c r="G371" t="b">
        <v>1</v>
      </c>
      <c r="I371" t="inlineStr">
        <is>
          <t>a</t>
        </is>
      </c>
      <c r="L371" t="inlineStr">
        <is>
          <t>p597320</t>
        </is>
      </c>
      <c r="M371" t="n">
        <v>132</v>
      </c>
      <c r="Q371" t="n">
        <v>92</v>
      </c>
      <c r="R371" t="n">
        <v>3</v>
      </c>
      <c r="S371" t="n">
        <v>1</v>
      </c>
      <c r="T371" t="n">
        <v>1.022</v>
      </c>
      <c r="U371" t="n">
        <v>30.7</v>
      </c>
      <c r="V371" t="n">
        <v>4</v>
      </c>
      <c r="W371" t="n">
        <v>3.913</v>
      </c>
      <c r="X371" t="n">
        <v>0</v>
      </c>
      <c r="Y371" t="n">
        <v>0</v>
      </c>
      <c r="AA371" t="n">
        <v>0</v>
      </c>
      <c r="AB371" t="n">
        <v>2</v>
      </c>
      <c r="AC371" t="n">
        <v>0</v>
      </c>
      <c r="AD371" t="n">
        <v>0</v>
      </c>
      <c r="AE371" t="n">
        <v>0</v>
      </c>
      <c r="AF371" t="n">
        <v>11</v>
      </c>
      <c r="AG371" t="n">
        <v>10</v>
      </c>
      <c r="AH371" t="n">
        <v>-1</v>
      </c>
      <c r="AI371" t="n">
        <v>4</v>
      </c>
      <c r="AJ371" t="n">
        <v>0</v>
      </c>
      <c r="AK371" t="n">
        <v>0</v>
      </c>
      <c r="AL371" t="n">
        <v>7</v>
      </c>
      <c r="AM371" t="n">
        <v>6.848</v>
      </c>
      <c r="AN371" t="n">
        <v>0</v>
      </c>
      <c r="AO371" t="n">
        <v>0</v>
      </c>
      <c r="AP371" t="n">
        <v>0</v>
      </c>
      <c r="AQ371" t="n">
        <v>0</v>
      </c>
      <c r="AR371" t="n">
        <v>0</v>
      </c>
      <c r="AS371" t="n">
        <v>0.026</v>
      </c>
      <c r="AT371" t="n">
        <v>0.333</v>
      </c>
      <c r="AU371" t="n">
        <v>3</v>
      </c>
      <c r="AV371" t="n">
        <v>0</v>
      </c>
      <c r="AW371" t="n">
        <v>0.55</v>
      </c>
      <c r="AX371" t="n">
        <v>2</v>
      </c>
      <c r="AY371" t="n">
        <v>0</v>
      </c>
      <c r="AZ371" t="n">
        <v>0</v>
      </c>
      <c r="BA371" t="n">
        <v>0</v>
      </c>
      <c r="BB371" t="n">
        <v>0</v>
      </c>
      <c r="BC371" t="n">
        <v>0</v>
      </c>
      <c r="BD371" t="n">
        <v>0</v>
      </c>
      <c r="BE371" t="n">
        <v>0</v>
      </c>
      <c r="BH371" t="n">
        <v>1</v>
      </c>
      <c r="BI371" t="n">
        <v>0</v>
      </c>
      <c r="BJ371" t="n">
        <v>0</v>
      </c>
      <c r="BK371" t="n">
        <v>0</v>
      </c>
      <c r="BL371" t="n">
        <v>0</v>
      </c>
      <c r="BO371" t="n">
        <v>0</v>
      </c>
      <c r="BS371" t="n">
        <v>1</v>
      </c>
      <c r="BT371" t="n">
        <v>0.978</v>
      </c>
      <c r="BW371" t="n">
        <v>0.03</v>
      </c>
      <c r="BX371" t="n">
        <v>0</v>
      </c>
      <c r="BY371" t="n">
        <v>0.015</v>
      </c>
      <c r="BZ371" t="n">
        <v>0.015</v>
      </c>
      <c r="CA371" t="n">
        <v>0.015</v>
      </c>
      <c r="CB371" t="n">
        <v>0.015</v>
      </c>
      <c r="CC371" t="n">
        <v>0</v>
      </c>
      <c r="CI371" t="n">
        <v>0</v>
      </c>
      <c r="CJ371" t="n">
        <v>0</v>
      </c>
      <c r="CK371" t="n">
        <v>3</v>
      </c>
      <c r="CL371" t="n">
        <v>3</v>
      </c>
      <c r="CM371" t="n">
        <v>1</v>
      </c>
      <c r="CN371" t="n">
        <v>0</v>
      </c>
      <c r="CP371" t="n">
        <v>3</v>
      </c>
      <c r="CR371" t="n">
        <v>5</v>
      </c>
      <c r="CS371" t="n">
        <v>2</v>
      </c>
      <c r="CW371" t="n">
        <v>1.04</v>
      </c>
      <c r="CX371" t="n">
        <v>1.017</v>
      </c>
      <c r="CY371" t="n">
        <v>0</v>
      </c>
      <c r="DB371" t="n">
        <v>0</v>
      </c>
      <c r="DF371" t="n">
        <v>0</v>
      </c>
      <c r="DG371" t="n">
        <v>0</v>
      </c>
      <c r="DL371" t="n">
        <v>2</v>
      </c>
      <c r="DM371" t="n">
        <v>2</v>
      </c>
      <c r="DN371" t="n">
        <v>1</v>
      </c>
      <c r="DO371" t="n">
        <v>0.3</v>
      </c>
      <c r="DP371" t="n">
        <v>0</v>
      </c>
      <c r="DQ371" t="n">
        <v>0</v>
      </c>
      <c r="DR371" t="n">
        <v>0</v>
      </c>
      <c r="DS371" t="n">
        <v>0</v>
      </c>
      <c r="DT371" t="n">
        <v>0</v>
      </c>
      <c r="DU371" t="n">
        <v>0</v>
      </c>
      <c r="DV371" t="inlineStr">
        <is>
          <t>flat</t>
        </is>
      </c>
      <c r="EF371" t="b">
        <v>0</v>
      </c>
      <c r="EG371" t="n">
        <v>0</v>
      </c>
      <c r="EH371" t="n">
        <v>100</v>
      </c>
      <c r="EI371" t="n">
        <v>458</v>
      </c>
      <c r="EK371" t="n">
        <v>92</v>
      </c>
      <c r="EN371" t="n">
        <v>6133.3</v>
      </c>
      <c r="EO371" t="n">
        <v>6133.3</v>
      </c>
      <c r="EP371" t="n">
        <v>23</v>
      </c>
    </row>
    <row r="372">
      <c r="A372" t="inlineStr">
        <is>
          <t>Romain Esse</t>
        </is>
      </c>
      <c r="B372" t="inlineStr">
        <is>
          <t>CRY</t>
        </is>
      </c>
      <c r="C372" t="inlineStr">
        <is>
          <t>MID</t>
        </is>
      </c>
      <c r="D372" t="inlineStr">
        <is>
          <t>MID</t>
        </is>
      </c>
      <c r="E372" t="n">
        <v>5</v>
      </c>
      <c r="F372" t="b">
        <v>1</v>
      </c>
      <c r="G372" t="b">
        <v>1</v>
      </c>
      <c r="H372" t="n">
        <v>21.3</v>
      </c>
      <c r="I372" t="inlineStr">
        <is>
          <t>a</t>
        </is>
      </c>
      <c r="L372" t="inlineStr">
        <is>
          <t>p606921</t>
        </is>
      </c>
      <c r="M372" t="n">
        <v>216</v>
      </c>
      <c r="Q372" t="n">
        <v>40</v>
      </c>
      <c r="R372" t="n">
        <v>4</v>
      </c>
      <c r="S372" t="n">
        <v>0</v>
      </c>
      <c r="T372" t="n">
        <v>0.444</v>
      </c>
      <c r="U372" t="n">
        <v>10</v>
      </c>
      <c r="V372" t="n">
        <v>4</v>
      </c>
      <c r="W372" t="n">
        <v>9</v>
      </c>
      <c r="X372" t="n">
        <v>0</v>
      </c>
      <c r="Y372" t="n">
        <v>0</v>
      </c>
      <c r="AA372" t="n">
        <v>0</v>
      </c>
      <c r="AB372" t="n">
        <v>0</v>
      </c>
      <c r="AC372" t="n">
        <v>0</v>
      </c>
      <c r="AD372" t="n">
        <v>0</v>
      </c>
      <c r="AE372" t="n">
        <v>0</v>
      </c>
      <c r="AF372" t="n">
        <v>12</v>
      </c>
      <c r="AG372" t="n">
        <v>12</v>
      </c>
      <c r="AH372" t="n">
        <v>0</v>
      </c>
      <c r="AI372" t="n">
        <v>4</v>
      </c>
      <c r="AJ372" t="n">
        <v>0</v>
      </c>
      <c r="AK372" t="n">
        <v>0</v>
      </c>
      <c r="AL372" t="n">
        <v>5</v>
      </c>
      <c r="AM372" t="n">
        <v>11.25</v>
      </c>
      <c r="AN372" t="n">
        <v>0</v>
      </c>
      <c r="AO372" t="n">
        <v>0</v>
      </c>
      <c r="AS372" t="n">
        <v>0</v>
      </c>
      <c r="AT372" t="n">
        <v>0</v>
      </c>
      <c r="AU372" t="n">
        <v>4</v>
      </c>
      <c r="AV372" t="n">
        <v>0</v>
      </c>
      <c r="AW372" t="n">
        <v>0.31</v>
      </c>
      <c r="AX372" t="n">
        <v>1</v>
      </c>
      <c r="AY372" t="n">
        <v>0</v>
      </c>
      <c r="AZ372" t="n">
        <v>0</v>
      </c>
      <c r="BA372" t="n">
        <v>0</v>
      </c>
      <c r="BB372" t="n">
        <v>0</v>
      </c>
      <c r="BC372" t="n">
        <v>0</v>
      </c>
      <c r="BD372" t="n">
        <v>0</v>
      </c>
      <c r="BE372" t="n">
        <v>0</v>
      </c>
      <c r="BH372" t="n">
        <v>1.082</v>
      </c>
      <c r="BI372" t="n">
        <v>0.32</v>
      </c>
      <c r="BJ372" t="n">
        <v>0</v>
      </c>
      <c r="BK372" t="n">
        <v>0</v>
      </c>
      <c r="BL372" t="n">
        <v>0</v>
      </c>
      <c r="BO372" t="n">
        <v>0</v>
      </c>
      <c r="BS372" t="n">
        <v>3</v>
      </c>
      <c r="BT372" t="n">
        <v>6.75</v>
      </c>
      <c r="BW372" t="n">
        <v>0.04</v>
      </c>
      <c r="BX372" t="n">
        <v>0</v>
      </c>
      <c r="BY372" t="n">
        <v>0.02</v>
      </c>
      <c r="BZ372" t="n">
        <v>0.045</v>
      </c>
      <c r="CA372" t="n">
        <v>0.02</v>
      </c>
      <c r="CB372" t="n">
        <v>0.045</v>
      </c>
      <c r="CC372" t="n">
        <v>0</v>
      </c>
      <c r="CI372" t="n">
        <v>0</v>
      </c>
      <c r="CJ372" t="n">
        <v>0</v>
      </c>
      <c r="CK372" t="n">
        <v>0</v>
      </c>
      <c r="CL372" t="n">
        <v>2</v>
      </c>
      <c r="CM372" t="n">
        <v>3</v>
      </c>
      <c r="CN372" t="n">
        <v>1</v>
      </c>
      <c r="CR372" t="n">
        <v>6</v>
      </c>
      <c r="CS372" t="n">
        <v>1</v>
      </c>
      <c r="CW372" t="n">
        <v>1.74</v>
      </c>
      <c r="CX372" t="n">
        <v>3.915</v>
      </c>
      <c r="CY372" t="n">
        <v>0</v>
      </c>
      <c r="DB372" t="n">
        <v>0</v>
      </c>
      <c r="DF372" t="n">
        <v>0</v>
      </c>
      <c r="DG372" t="n">
        <v>0</v>
      </c>
      <c r="DH372" t="n">
        <v>2</v>
      </c>
      <c r="DI372" t="n">
        <v>2</v>
      </c>
      <c r="DL372" t="n">
        <v>1</v>
      </c>
      <c r="DM372" t="n">
        <v>2</v>
      </c>
      <c r="DO372" t="n">
        <v>0.1</v>
      </c>
      <c r="DP372" t="n">
        <v>0</v>
      </c>
      <c r="DQ372" t="n">
        <v>0</v>
      </c>
      <c r="DR372" t="n">
        <v>0</v>
      </c>
      <c r="DS372" t="n">
        <v>0</v>
      </c>
      <c r="DT372" t="n">
        <v>0</v>
      </c>
      <c r="DU372" t="n">
        <v>0</v>
      </c>
      <c r="DV372" t="inlineStr">
        <is>
          <t>flat</t>
        </is>
      </c>
      <c r="DW372" t="n">
        <v>79.44</v>
      </c>
      <c r="DX372" t="n">
        <v>68.5</v>
      </c>
      <c r="EB372" t="n">
        <v>19.28</v>
      </c>
      <c r="EC372" t="n">
        <v>65</v>
      </c>
      <c r="ED372" t="n">
        <v>101.33</v>
      </c>
      <c r="EE372" t="n">
        <v>3</v>
      </c>
      <c r="EF372" t="b">
        <v>0</v>
      </c>
      <c r="EG372" t="n">
        <v>0.1</v>
      </c>
      <c r="EH372" t="n">
        <v>40</v>
      </c>
      <c r="EI372" t="n">
        <v>325</v>
      </c>
      <c r="EK372" t="n">
        <v>13.3</v>
      </c>
      <c r="EN372" t="n">
        <v>2000</v>
      </c>
      <c r="EO372" t="n">
        <v>2000</v>
      </c>
      <c r="EP372" t="n">
        <v>10</v>
      </c>
    </row>
    <row r="373">
      <c r="A373" t="inlineStr">
        <is>
          <t>Alysson Edward</t>
        </is>
      </c>
      <c r="B373" t="inlineStr">
        <is>
          <t>AVL</t>
        </is>
      </c>
      <c r="C373" t="inlineStr">
        <is>
          <t>MID</t>
        </is>
      </c>
      <c r="D373" t="inlineStr">
        <is>
          <t>MID</t>
        </is>
      </c>
      <c r="E373" t="n">
        <v>5</v>
      </c>
      <c r="F373" t="b">
        <v>1</v>
      </c>
      <c r="G373" t="b">
        <v>1</v>
      </c>
      <c r="H373" t="n">
        <v>20.3</v>
      </c>
      <c r="I373" t="inlineStr">
        <is>
          <t>a</t>
        </is>
      </c>
      <c r="L373" t="inlineStr">
        <is>
          <t>p653481</t>
        </is>
      </c>
      <c r="M373" t="n">
        <v>52</v>
      </c>
      <c r="Q373" t="n">
        <v>47</v>
      </c>
      <c r="R373" t="n">
        <v>3</v>
      </c>
      <c r="S373" t="n">
        <v>0</v>
      </c>
      <c r="T373" t="n">
        <v>0.522</v>
      </c>
      <c r="U373" t="n">
        <v>15.7</v>
      </c>
      <c r="V373" t="n">
        <v>3</v>
      </c>
      <c r="W373" t="n">
        <v>5.745</v>
      </c>
      <c r="X373" t="n">
        <v>0</v>
      </c>
      <c r="Y373" t="n">
        <v>0</v>
      </c>
      <c r="AA373" t="n">
        <v>0</v>
      </c>
      <c r="AB373" t="n">
        <v>2</v>
      </c>
      <c r="AC373" t="n">
        <v>0</v>
      </c>
      <c r="AD373" t="n">
        <v>0</v>
      </c>
      <c r="AE373" t="n">
        <v>0</v>
      </c>
      <c r="AF373" t="n">
        <v>11</v>
      </c>
      <c r="AG373" t="n">
        <v>11</v>
      </c>
      <c r="AH373" t="n">
        <v>0</v>
      </c>
      <c r="AI373" t="n">
        <v>3</v>
      </c>
      <c r="AJ373" t="n">
        <v>0</v>
      </c>
      <c r="AK373" t="n">
        <v>0</v>
      </c>
      <c r="AL373" t="n">
        <v>4</v>
      </c>
      <c r="AM373" t="n">
        <v>7.66</v>
      </c>
      <c r="AN373" t="n">
        <v>0</v>
      </c>
      <c r="AO373" t="n">
        <v>0</v>
      </c>
      <c r="AS373" t="n">
        <v>0</v>
      </c>
      <c r="AT373" t="n">
        <v>0</v>
      </c>
      <c r="AU373" t="n">
        <v>3</v>
      </c>
      <c r="AV373" t="n">
        <v>0</v>
      </c>
      <c r="AW373" t="n">
        <v>0.38</v>
      </c>
      <c r="AX373" t="n">
        <v>1</v>
      </c>
      <c r="AY373" t="n">
        <v>0.05</v>
      </c>
      <c r="AZ373" t="n">
        <v>0.053</v>
      </c>
      <c r="BA373" t="n">
        <v>0.051</v>
      </c>
      <c r="BB373" t="n">
        <v>0.053</v>
      </c>
      <c r="BC373" t="n">
        <v>0.096</v>
      </c>
      <c r="BD373" t="n">
        <v>0.101</v>
      </c>
      <c r="BE373" t="n">
        <v>0.098</v>
      </c>
      <c r="BH373" t="n">
        <v>0.994</v>
      </c>
      <c r="BI373" t="n">
        <v>0.05</v>
      </c>
      <c r="BJ373" t="n">
        <v>0.05</v>
      </c>
      <c r="BK373" t="n">
        <v>0.096</v>
      </c>
      <c r="BL373" t="n">
        <v>-0.051</v>
      </c>
      <c r="BO373" t="n">
        <v>-0.003</v>
      </c>
      <c r="BP373" t="n">
        <v>1</v>
      </c>
      <c r="BS373" t="n">
        <v>4</v>
      </c>
      <c r="BT373" t="n">
        <v>7.66</v>
      </c>
      <c r="BW373" t="n">
        <v>0.05</v>
      </c>
      <c r="BX373" t="n">
        <v>0</v>
      </c>
      <c r="BY373" t="n">
        <v>0.025</v>
      </c>
      <c r="BZ373" t="n">
        <v>0.048</v>
      </c>
      <c r="CA373" t="n">
        <v>0.076</v>
      </c>
      <c r="CB373" t="n">
        <v>0.146</v>
      </c>
      <c r="CC373" t="n">
        <v>0</v>
      </c>
      <c r="CI373" t="n">
        <v>0.104</v>
      </c>
      <c r="CJ373" t="n">
        <v>0.051</v>
      </c>
      <c r="CK373" t="n">
        <v>1</v>
      </c>
      <c r="CL373" t="n">
        <v>3</v>
      </c>
      <c r="CM373" t="n">
        <v>0</v>
      </c>
      <c r="CO373" t="n">
        <v>1</v>
      </c>
      <c r="CR373" t="n">
        <v>3</v>
      </c>
      <c r="CW373" t="n">
        <v>1.87</v>
      </c>
      <c r="CX373" t="n">
        <v>3.581</v>
      </c>
      <c r="CY373" t="n">
        <v>0</v>
      </c>
      <c r="DB373" t="n">
        <v>0</v>
      </c>
      <c r="DF373" t="n">
        <v>0</v>
      </c>
      <c r="DG373" t="n">
        <v>0</v>
      </c>
      <c r="DI373" t="n">
        <v>1</v>
      </c>
      <c r="DL373" t="n">
        <v>2</v>
      </c>
      <c r="DO373" t="n">
        <v>0</v>
      </c>
      <c r="DP373" t="n">
        <v>9.35</v>
      </c>
      <c r="DQ373" t="n">
        <v>4.75</v>
      </c>
      <c r="DR373" t="n">
        <v>9.5</v>
      </c>
      <c r="DS373" t="n">
        <v>-0.15</v>
      </c>
      <c r="DT373" t="n">
        <v>116</v>
      </c>
      <c r="DU373" t="n">
        <v>3.04</v>
      </c>
      <c r="DV373" t="inlineStr">
        <is>
          <t>flat</t>
        </is>
      </c>
      <c r="DW373" t="n">
        <v>87.14</v>
      </c>
      <c r="DX373" t="n">
        <v>87</v>
      </c>
      <c r="DY373" t="n">
        <v>87.27</v>
      </c>
      <c r="DZ373" t="n">
        <v>0.14</v>
      </c>
      <c r="EA373" t="n">
        <v>1</v>
      </c>
      <c r="EB373" t="n">
        <v>0.19</v>
      </c>
      <c r="EC373" t="n">
        <v>87</v>
      </c>
      <c r="ED373" t="n">
        <v>87.27</v>
      </c>
      <c r="EE373" t="n">
        <v>2</v>
      </c>
      <c r="EF373" t="b">
        <v>0</v>
      </c>
      <c r="EG373" t="n">
        <v>0.1</v>
      </c>
      <c r="EH373" t="n">
        <v>33.3</v>
      </c>
      <c r="EI373" t="n">
        <v>326</v>
      </c>
      <c r="EJ373" t="n">
        <v>47</v>
      </c>
      <c r="EK373" t="n">
        <v>11.8</v>
      </c>
      <c r="EM373" t="n">
        <v>914.4</v>
      </c>
      <c r="EN373" t="n">
        <v>1880</v>
      </c>
      <c r="EO373" t="n">
        <v>615.2</v>
      </c>
      <c r="EP373" t="n">
        <v>15.7</v>
      </c>
    </row>
    <row r="374">
      <c r="A374" t="inlineStr">
        <is>
          <t>Souza</t>
        </is>
      </c>
      <c r="B374" t="inlineStr">
        <is>
          <t>TOT</t>
        </is>
      </c>
      <c r="C374" t="inlineStr">
        <is>
          <t>DEF</t>
        </is>
      </c>
      <c r="D374" t="inlineStr">
        <is>
          <t>DEF</t>
        </is>
      </c>
      <c r="E374" t="n">
        <v>4</v>
      </c>
      <c r="F374" t="b">
        <v>1</v>
      </c>
      <c r="G374" t="b">
        <v>1</v>
      </c>
      <c r="H374" t="n">
        <v>20.2</v>
      </c>
      <c r="I374" t="inlineStr">
        <is>
          <t>a</t>
        </is>
      </c>
      <c r="L374" t="inlineStr">
        <is>
          <t>p616221</t>
        </is>
      </c>
      <c r="M374" t="n">
        <v>511</v>
      </c>
      <c r="Q374" t="n">
        <v>142</v>
      </c>
      <c r="R374" t="n">
        <v>4</v>
      </c>
      <c r="S374" t="n">
        <v>2</v>
      </c>
      <c r="T374" t="n">
        <v>1.578</v>
      </c>
      <c r="U374" t="n">
        <v>35.5</v>
      </c>
      <c r="V374" t="n">
        <v>3</v>
      </c>
      <c r="W374" t="n">
        <v>1.901</v>
      </c>
      <c r="X374" t="n">
        <v>0</v>
      </c>
      <c r="Y374" t="n">
        <v>0</v>
      </c>
      <c r="AA374" t="n">
        <v>0</v>
      </c>
      <c r="AB374" t="n">
        <v>3</v>
      </c>
      <c r="AC374" t="n">
        <v>0</v>
      </c>
      <c r="AD374" t="n">
        <v>0</v>
      </c>
      <c r="AE374" t="n">
        <v>0</v>
      </c>
      <c r="AF374" t="n">
        <v>0</v>
      </c>
      <c r="AG374" t="n">
        <v>-1</v>
      </c>
      <c r="AH374" t="n">
        <v>-1</v>
      </c>
      <c r="AI374" t="n">
        <v>3</v>
      </c>
      <c r="AJ374" t="n">
        <v>0</v>
      </c>
      <c r="AK374" t="n">
        <v>0</v>
      </c>
      <c r="AL374" t="n">
        <v>6</v>
      </c>
      <c r="AM374" t="n">
        <v>3.803</v>
      </c>
      <c r="AN374" t="n">
        <v>0</v>
      </c>
      <c r="AO374" t="n">
        <v>0</v>
      </c>
      <c r="AP374" t="n">
        <v>0</v>
      </c>
      <c r="AQ374" t="n">
        <v>0</v>
      </c>
      <c r="AR374" t="n">
        <v>0</v>
      </c>
      <c r="AS374" t="n">
        <v>0.053</v>
      </c>
      <c r="AT374" t="n">
        <v>0</v>
      </c>
      <c r="AU374" t="n">
        <v>4</v>
      </c>
      <c r="AV374" t="n">
        <v>0</v>
      </c>
      <c r="AW374" t="n">
        <v>0.41</v>
      </c>
      <c r="AX374" t="n">
        <v>1</v>
      </c>
      <c r="AY374" t="n">
        <v>0.02</v>
      </c>
      <c r="AZ374" t="n">
        <v>0.012</v>
      </c>
      <c r="BA374" t="n">
        <v>0.016</v>
      </c>
      <c r="BB374" t="n">
        <v>0.012</v>
      </c>
      <c r="BC374" t="n">
        <v>0.013</v>
      </c>
      <c r="BD374" t="n">
        <v>0.007</v>
      </c>
      <c r="BE374" t="n">
        <v>0.01</v>
      </c>
      <c r="BF374" t="n">
        <v>0.2</v>
      </c>
      <c r="BG374" t="n">
        <v>0.127</v>
      </c>
      <c r="BH374" t="n">
        <v>1.022</v>
      </c>
      <c r="BI374" t="n">
        <v>0.02</v>
      </c>
      <c r="BJ374" t="n">
        <v>0.02</v>
      </c>
      <c r="BK374" t="n">
        <v>0.013</v>
      </c>
      <c r="BL374" t="n">
        <v>-0.016</v>
      </c>
      <c r="BM374" t="n">
        <v>0.18</v>
      </c>
      <c r="BN374" t="n">
        <v>-0.2</v>
      </c>
      <c r="BO374" t="n">
        <v>0.008</v>
      </c>
      <c r="BP374" t="n">
        <v>1</v>
      </c>
      <c r="BQ374" t="n">
        <v>1</v>
      </c>
      <c r="BS374" t="n">
        <v>5</v>
      </c>
      <c r="BT374" t="n">
        <v>3.169</v>
      </c>
      <c r="BW374" t="n">
        <v>0.03</v>
      </c>
      <c r="BX374" t="n">
        <v>0.202</v>
      </c>
      <c r="BY374" t="n">
        <v>0.116</v>
      </c>
      <c r="BZ374" t="n">
        <v>0.074</v>
      </c>
      <c r="CA374" t="n">
        <v>0.132</v>
      </c>
      <c r="CB374" t="n">
        <v>0.08400000000000001</v>
      </c>
      <c r="CC374" t="n">
        <v>3</v>
      </c>
      <c r="CE374" t="n">
        <v>3</v>
      </c>
      <c r="CH374" t="n">
        <v>1</v>
      </c>
      <c r="CI374" t="n">
        <v>0.5580000000000001</v>
      </c>
      <c r="CJ374" t="n">
        <v>0.374</v>
      </c>
      <c r="CK374" t="n">
        <v>6</v>
      </c>
      <c r="CL374" t="n">
        <v>3</v>
      </c>
      <c r="CM374" t="n">
        <v>0</v>
      </c>
      <c r="CO374" t="n">
        <v>2</v>
      </c>
      <c r="CP374" t="n">
        <v>4</v>
      </c>
      <c r="CR374" t="n">
        <v>2</v>
      </c>
      <c r="CW374" t="n">
        <v>2.61</v>
      </c>
      <c r="CX374" t="n">
        <v>1.654</v>
      </c>
      <c r="CY374" t="n">
        <v>0</v>
      </c>
      <c r="DB374" t="n">
        <v>0</v>
      </c>
      <c r="DF374" t="n">
        <v>1</v>
      </c>
      <c r="DG374" t="n">
        <v>0</v>
      </c>
      <c r="DH374" t="n">
        <v>3</v>
      </c>
      <c r="DI374" t="n">
        <v>2</v>
      </c>
      <c r="DM374" t="n">
        <v>1</v>
      </c>
      <c r="DO374" t="n">
        <v>0.3</v>
      </c>
      <c r="DP374" t="n">
        <v>10.07</v>
      </c>
      <c r="DQ374" t="n">
        <v>5.23</v>
      </c>
      <c r="DR374" t="n">
        <v>10.46</v>
      </c>
      <c r="DS374" t="n">
        <v>-0.39</v>
      </c>
      <c r="DT374" t="n">
        <v>112</v>
      </c>
      <c r="DU374" t="n">
        <v>2.94</v>
      </c>
      <c r="DV374" t="inlineStr">
        <is>
          <t>flat</t>
        </is>
      </c>
      <c r="DW374" t="n">
        <v>108</v>
      </c>
      <c r="DY374" t="n">
        <v>108</v>
      </c>
      <c r="DZ374" t="n">
        <v>0</v>
      </c>
      <c r="EA374" t="n">
        <v>1</v>
      </c>
      <c r="EC374" t="n">
        <v>108</v>
      </c>
      <c r="ED374" t="n">
        <v>108</v>
      </c>
      <c r="EE374" t="n">
        <v>1</v>
      </c>
      <c r="EF374" t="b">
        <v>0</v>
      </c>
      <c r="EG374" t="n">
        <v>0</v>
      </c>
      <c r="EH374" t="n">
        <v>0</v>
      </c>
      <c r="EI374" t="n">
        <v>527</v>
      </c>
      <c r="EJ374" t="n">
        <v>142</v>
      </c>
      <c r="EK374" t="n">
        <v>28.4</v>
      </c>
      <c r="EL374" t="n">
        <v>47.3</v>
      </c>
      <c r="EM374" t="n">
        <v>9003</v>
      </c>
      <c r="EN374" t="n">
        <v>1222.2</v>
      </c>
      <c r="EO374" t="n">
        <v>1076.1</v>
      </c>
      <c r="EP374" t="n">
        <v>47.3</v>
      </c>
    </row>
    <row r="375">
      <c r="A375" t="inlineStr">
        <is>
          <t>Facundo Buonanotte</t>
        </is>
      </c>
      <c r="B375" t="inlineStr">
        <is>
          <t>BHA</t>
        </is>
      </c>
      <c r="C375" t="inlineStr">
        <is>
          <t>MID</t>
        </is>
      </c>
      <c r="D375" t="inlineStr">
        <is>
          <t>MID</t>
        </is>
      </c>
      <c r="E375" t="n">
        <v>5</v>
      </c>
      <c r="F375" t="b">
        <v>1</v>
      </c>
      <c r="G375" t="b">
        <v>1</v>
      </c>
      <c r="H375" t="n">
        <v>21.7</v>
      </c>
      <c r="I375" t="inlineStr">
        <is>
          <t>u</t>
        </is>
      </c>
      <c r="J375" t="inlineStr">
        <is>
          <t>Has joined Elche on loan for the rest of the season</t>
        </is>
      </c>
      <c r="K375" t="n">
        <v>0</v>
      </c>
      <c r="L375" t="inlineStr">
        <is>
          <t>p536916</t>
        </is>
      </c>
      <c r="M375" t="n">
        <v>128</v>
      </c>
      <c r="Q375" t="n">
        <v>81</v>
      </c>
      <c r="R375" t="n">
        <v>4</v>
      </c>
      <c r="S375" t="n">
        <v>1</v>
      </c>
      <c r="T375" t="n">
        <v>0.9</v>
      </c>
      <c r="U375" t="n">
        <v>20.2</v>
      </c>
      <c r="V375" t="n">
        <v>3</v>
      </c>
      <c r="W375" t="n">
        <v>3.333</v>
      </c>
      <c r="X375" t="n">
        <v>0</v>
      </c>
      <c r="Y375" t="n">
        <v>0</v>
      </c>
      <c r="AA375" t="n">
        <v>0</v>
      </c>
      <c r="AB375" t="n">
        <v>4</v>
      </c>
      <c r="AC375" t="n">
        <v>0</v>
      </c>
      <c r="AD375" t="n">
        <v>0</v>
      </c>
      <c r="AE375" t="n">
        <v>0</v>
      </c>
      <c r="AF375" t="n">
        <v>9</v>
      </c>
      <c r="AG375" t="n">
        <v>9</v>
      </c>
      <c r="AH375" t="n">
        <v>0</v>
      </c>
      <c r="AI375" t="n">
        <v>3</v>
      </c>
      <c r="AJ375" t="n">
        <v>0</v>
      </c>
      <c r="AK375" t="n">
        <v>0</v>
      </c>
      <c r="AL375" t="n">
        <v>6</v>
      </c>
      <c r="AM375" t="n">
        <v>6.667</v>
      </c>
      <c r="AN375" t="n">
        <v>0</v>
      </c>
      <c r="AO375" t="n">
        <v>0</v>
      </c>
      <c r="AP375" t="n">
        <v>0</v>
      </c>
      <c r="AQ375" t="n">
        <v>0</v>
      </c>
      <c r="AR375" t="n">
        <v>0</v>
      </c>
      <c r="AS375" t="n">
        <v>0.026</v>
      </c>
      <c r="AT375" t="n">
        <v>0</v>
      </c>
      <c r="AU375" t="n">
        <v>4</v>
      </c>
      <c r="AV375" t="n">
        <v>0</v>
      </c>
      <c r="AW375" t="n">
        <v>0.27</v>
      </c>
      <c r="AX375" t="n">
        <v>1</v>
      </c>
      <c r="AY375" t="n">
        <v>0.06</v>
      </c>
      <c r="AZ375" t="n">
        <v>0.075</v>
      </c>
      <c r="BA375" t="n">
        <v>0.068</v>
      </c>
      <c r="BB375" t="n">
        <v>0.075</v>
      </c>
      <c r="BC375" t="n">
        <v>0.067</v>
      </c>
      <c r="BD375" t="n">
        <v>0.083</v>
      </c>
      <c r="BE375" t="n">
        <v>0.075</v>
      </c>
      <c r="BH375" t="n">
        <v>1.012</v>
      </c>
      <c r="BI375" t="n">
        <v>7.71</v>
      </c>
      <c r="BJ375" t="n">
        <v>0.061</v>
      </c>
      <c r="BK375" t="n">
        <v>0.068</v>
      </c>
      <c r="BL375" t="n">
        <v>-0.068</v>
      </c>
      <c r="BO375" t="n">
        <v>-0.015</v>
      </c>
      <c r="BP375" t="n">
        <v>2</v>
      </c>
      <c r="BS375" t="n">
        <v>8</v>
      </c>
      <c r="BT375" t="n">
        <v>8.888999999999999</v>
      </c>
      <c r="BW375" t="n">
        <v>0.28</v>
      </c>
      <c r="BX375" t="n">
        <v>0.301</v>
      </c>
      <c r="BY375" t="n">
        <v>0.29</v>
      </c>
      <c r="BZ375" t="n">
        <v>0.323</v>
      </c>
      <c r="CA375" t="n">
        <v>0.358</v>
      </c>
      <c r="CB375" t="n">
        <v>0.398</v>
      </c>
      <c r="CC375" t="n">
        <v>3</v>
      </c>
      <c r="CE375" t="n">
        <v>3</v>
      </c>
      <c r="CF375" t="n">
        <v>1</v>
      </c>
      <c r="CH375" t="n">
        <v>2</v>
      </c>
      <c r="CI375" t="n">
        <v>0.295</v>
      </c>
      <c r="CJ375" t="n">
        <v>0.22</v>
      </c>
      <c r="CK375" t="n">
        <v>2</v>
      </c>
      <c r="CL375" t="n">
        <v>3</v>
      </c>
      <c r="CM375" t="n">
        <v>1</v>
      </c>
      <c r="CO375" t="n">
        <v>1</v>
      </c>
      <c r="CQ375" t="n">
        <v>1</v>
      </c>
      <c r="CR375" t="n">
        <v>2</v>
      </c>
      <c r="CS375" t="n">
        <v>1</v>
      </c>
      <c r="CW375" t="n">
        <v>2.51</v>
      </c>
      <c r="CX375" t="n">
        <v>2.789</v>
      </c>
      <c r="CY375" t="n">
        <v>0</v>
      </c>
      <c r="DB375" t="n">
        <v>0</v>
      </c>
      <c r="DF375" t="n">
        <v>1</v>
      </c>
      <c r="DG375" t="n">
        <v>0</v>
      </c>
      <c r="DH375" t="n">
        <v>1</v>
      </c>
      <c r="DO375" t="n">
        <v>0</v>
      </c>
      <c r="DW375" t="n">
        <v>98</v>
      </c>
      <c r="DX375" t="n">
        <v>98</v>
      </c>
      <c r="DY375" t="n">
        <v>98</v>
      </c>
      <c r="DZ375" t="n">
        <v>0</v>
      </c>
      <c r="EA375" t="n">
        <v>1</v>
      </c>
      <c r="EC375" t="n">
        <v>98</v>
      </c>
      <c r="ED375" t="n">
        <v>98</v>
      </c>
      <c r="EE375" t="n">
        <v>1</v>
      </c>
      <c r="EF375" t="b">
        <v>0</v>
      </c>
      <c r="EG375" t="n">
        <v>0.1</v>
      </c>
      <c r="EH375" t="n">
        <v>75</v>
      </c>
      <c r="EI375" t="n">
        <v>327</v>
      </c>
      <c r="EJ375" t="n">
        <v>40.5</v>
      </c>
      <c r="EK375" t="n">
        <v>10.1</v>
      </c>
      <c r="EL375" t="n">
        <v>27</v>
      </c>
      <c r="EM375" t="n">
        <v>1199.1</v>
      </c>
      <c r="EN375" t="n">
        <v>279</v>
      </c>
      <c r="EO375" t="n">
        <v>226.3</v>
      </c>
      <c r="EP375" t="n">
        <v>27</v>
      </c>
    </row>
    <row r="376">
      <c r="A376" t="inlineStr">
        <is>
          <t>James Maddison</t>
        </is>
      </c>
      <c r="B376" t="inlineStr">
        <is>
          <t>TOT</t>
        </is>
      </c>
      <c r="C376" t="inlineStr">
        <is>
          <t>MID</t>
        </is>
      </c>
      <c r="D376" t="inlineStr">
        <is>
          <t>MID</t>
        </is>
      </c>
      <c r="E376" t="n">
        <v>6.5</v>
      </c>
      <c r="F376" t="b">
        <v>1</v>
      </c>
      <c r="G376" t="b">
        <v>1</v>
      </c>
      <c r="H376" t="n">
        <v>29.7</v>
      </c>
      <c r="I376" t="inlineStr">
        <is>
          <t>a</t>
        </is>
      </c>
      <c r="L376" t="inlineStr">
        <is>
          <t>p172780</t>
        </is>
      </c>
      <c r="M376" t="n">
        <v>515</v>
      </c>
      <c r="Q376" t="n">
        <v>34</v>
      </c>
      <c r="R376" t="n">
        <v>3</v>
      </c>
      <c r="S376" t="n">
        <v>0</v>
      </c>
      <c r="T376" t="n">
        <v>0.378</v>
      </c>
      <c r="U376" t="n">
        <v>11.3</v>
      </c>
      <c r="V376" t="n">
        <v>3</v>
      </c>
      <c r="W376" t="n">
        <v>7.941</v>
      </c>
      <c r="X376" t="n">
        <v>0</v>
      </c>
      <c r="Y376" t="n">
        <v>0</v>
      </c>
      <c r="AA376" t="n">
        <v>0</v>
      </c>
      <c r="AB376" t="n">
        <v>0</v>
      </c>
      <c r="AC376" t="n">
        <v>0</v>
      </c>
      <c r="AD376" t="n">
        <v>0</v>
      </c>
      <c r="AE376" t="n">
        <v>0</v>
      </c>
      <c r="AF376" t="n">
        <v>5</v>
      </c>
      <c r="AG376" t="n">
        <v>5</v>
      </c>
      <c r="AH376" t="n">
        <v>0</v>
      </c>
      <c r="AI376" t="n">
        <v>3</v>
      </c>
      <c r="AJ376" t="n">
        <v>0</v>
      </c>
      <c r="AK376" t="n">
        <v>0</v>
      </c>
      <c r="AL376" t="n">
        <v>5</v>
      </c>
      <c r="AM376" t="n">
        <v>13.235</v>
      </c>
      <c r="AN376" t="n">
        <v>0</v>
      </c>
      <c r="AO376" t="n">
        <v>0</v>
      </c>
      <c r="AS376" t="n">
        <v>0</v>
      </c>
      <c r="AT376" t="n">
        <v>0</v>
      </c>
      <c r="AU376" t="n">
        <v>3</v>
      </c>
      <c r="AV376" t="n">
        <v>0</v>
      </c>
      <c r="AW376" t="n">
        <v>0.27</v>
      </c>
      <c r="AX376" t="n">
        <v>1</v>
      </c>
      <c r="AY376" t="n">
        <v>0.21</v>
      </c>
      <c r="AZ376" t="n">
        <v>0.546</v>
      </c>
      <c r="BA376" t="n">
        <v>0.378</v>
      </c>
      <c r="BB376" t="n">
        <v>0.546</v>
      </c>
      <c r="BC376" t="n">
        <v>0.556</v>
      </c>
      <c r="BD376" t="n">
        <v>1.445</v>
      </c>
      <c r="BE376" t="n">
        <v>1.001</v>
      </c>
      <c r="BH376" t="n">
        <v>1.06</v>
      </c>
      <c r="BI376" t="n">
        <v>20.78</v>
      </c>
      <c r="BJ376" t="n">
        <v>0.223</v>
      </c>
      <c r="BK376" t="n">
        <v>0.59</v>
      </c>
      <c r="BL376" t="n">
        <v>-0.378</v>
      </c>
      <c r="BO376" t="n">
        <v>-0.336</v>
      </c>
      <c r="BP376" t="n">
        <v>2</v>
      </c>
      <c r="BR376" t="n">
        <v>1</v>
      </c>
      <c r="BS376" t="n">
        <v>5</v>
      </c>
      <c r="BT376" t="n">
        <v>13.235</v>
      </c>
      <c r="BW376" t="n">
        <v>0.06</v>
      </c>
      <c r="BX376" t="n">
        <v>0</v>
      </c>
      <c r="BY376" t="n">
        <v>0.03</v>
      </c>
      <c r="BZ376" t="n">
        <v>0.079</v>
      </c>
      <c r="CA376" t="n">
        <v>0.408</v>
      </c>
      <c r="CB376" t="n">
        <v>1.08</v>
      </c>
      <c r="CC376" t="n">
        <v>0</v>
      </c>
      <c r="CF376" t="n">
        <v>1</v>
      </c>
      <c r="CH376" t="n">
        <v>4</v>
      </c>
      <c r="CI376" t="n">
        <v>0.542</v>
      </c>
      <c r="CJ376" t="n">
        <v>0.054</v>
      </c>
      <c r="CK376" t="n">
        <v>0</v>
      </c>
      <c r="CL376" t="n">
        <v>4</v>
      </c>
      <c r="CM376" t="n">
        <v>1</v>
      </c>
      <c r="CN376" t="n">
        <v>1</v>
      </c>
      <c r="CR376" t="n">
        <v>2</v>
      </c>
      <c r="CW376" t="n">
        <v>0.65</v>
      </c>
      <c r="CX376" t="n">
        <v>1.721</v>
      </c>
      <c r="CY376" t="n">
        <v>0</v>
      </c>
      <c r="DB376" t="n">
        <v>0</v>
      </c>
      <c r="DF376" t="n">
        <v>0</v>
      </c>
      <c r="DG376" t="n">
        <v>0</v>
      </c>
      <c r="DH376" t="n">
        <v>1</v>
      </c>
      <c r="DI376" t="n">
        <v>1</v>
      </c>
      <c r="DM376" t="n">
        <v>1</v>
      </c>
      <c r="DO376" t="n">
        <v>1.8</v>
      </c>
      <c r="DP376" t="n">
        <v>65.47</v>
      </c>
      <c r="DQ376" t="n">
        <v>34.27</v>
      </c>
      <c r="DR376" t="n">
        <v>68.54000000000001</v>
      </c>
      <c r="DS376" t="n">
        <v>-3.07</v>
      </c>
      <c r="DT376" t="n">
        <v>1060</v>
      </c>
      <c r="DU376" t="n">
        <v>27.9</v>
      </c>
      <c r="DV376" t="inlineStr">
        <is>
          <t>flat</t>
        </is>
      </c>
      <c r="DW376" t="n">
        <v>64.42</v>
      </c>
      <c r="DX376" t="n">
        <v>68.34999999999999</v>
      </c>
      <c r="DY376" t="n">
        <v>60.76</v>
      </c>
      <c r="DZ376" t="n">
        <v>-3.65</v>
      </c>
      <c r="EA376" t="n">
        <v>1024</v>
      </c>
      <c r="EB376" t="n">
        <v>23.44</v>
      </c>
      <c r="EC376" t="n">
        <v>1.33</v>
      </c>
      <c r="ED376" t="n">
        <v>120</v>
      </c>
      <c r="EE376" t="n">
        <v>2191</v>
      </c>
      <c r="EF376" t="b">
        <v>1</v>
      </c>
      <c r="EG376" t="n">
        <v>55.7</v>
      </c>
      <c r="EH376" t="n">
        <v>19.3</v>
      </c>
      <c r="EI376" t="n">
        <v>51</v>
      </c>
      <c r="EJ376" t="n">
        <v>17</v>
      </c>
      <c r="EK376" t="n">
        <v>6.8</v>
      </c>
      <c r="EM376" t="n">
        <v>90</v>
      </c>
      <c r="EN376" t="n">
        <v>1133.3</v>
      </c>
      <c r="EO376" t="n">
        <v>83.3</v>
      </c>
      <c r="EP376" t="n">
        <v>11.3</v>
      </c>
    </row>
    <row r="377">
      <c r="A377" t="inlineStr">
        <is>
          <t>Shea Lacey</t>
        </is>
      </c>
      <c r="B377" t="inlineStr">
        <is>
          <t>MUN</t>
        </is>
      </c>
      <c r="C377" t="inlineStr">
        <is>
          <t>MID</t>
        </is>
      </c>
      <c r="D377" t="inlineStr">
        <is>
          <t>MID</t>
        </is>
      </c>
      <c r="E377" t="n">
        <v>5</v>
      </c>
      <c r="F377" t="b">
        <v>1</v>
      </c>
      <c r="G377" t="b">
        <v>1</v>
      </c>
      <c r="H377" t="n">
        <v>19.4</v>
      </c>
      <c r="I377" t="inlineStr">
        <is>
          <t>a</t>
        </is>
      </c>
      <c r="L377" t="inlineStr">
        <is>
          <t>p576628</t>
        </is>
      </c>
      <c r="M377" t="n">
        <v>435</v>
      </c>
      <c r="Q377" t="n">
        <v>40</v>
      </c>
      <c r="R377" t="n">
        <v>3</v>
      </c>
      <c r="S377" t="n">
        <v>0</v>
      </c>
      <c r="T377" t="n">
        <v>0.444</v>
      </c>
      <c r="U377" t="n">
        <v>13.3</v>
      </c>
      <c r="V377" t="n">
        <v>3</v>
      </c>
      <c r="W377" t="n">
        <v>6.75</v>
      </c>
      <c r="X377" t="n">
        <v>0</v>
      </c>
      <c r="Y377" t="n">
        <v>0</v>
      </c>
      <c r="AA377" t="n">
        <v>0</v>
      </c>
      <c r="AB377" t="n">
        <v>0</v>
      </c>
      <c r="AC377" t="n">
        <v>0</v>
      </c>
      <c r="AD377" t="n">
        <v>0</v>
      </c>
      <c r="AE377" t="n">
        <v>0</v>
      </c>
      <c r="AF377" t="n">
        <v>9</v>
      </c>
      <c r="AG377" t="n">
        <v>9</v>
      </c>
      <c r="AH377" t="n">
        <v>0</v>
      </c>
      <c r="AI377" t="n">
        <v>3</v>
      </c>
      <c r="AJ377" t="n">
        <v>0</v>
      </c>
      <c r="AK377" t="n">
        <v>0</v>
      </c>
      <c r="AL377" t="n">
        <v>3</v>
      </c>
      <c r="AM377" t="n">
        <v>6.75</v>
      </c>
      <c r="AN377" t="n">
        <v>0</v>
      </c>
      <c r="AO377" t="n">
        <v>0</v>
      </c>
      <c r="AS377" t="n">
        <v>0</v>
      </c>
      <c r="AT377" t="n">
        <v>0</v>
      </c>
      <c r="AU377" t="n">
        <v>3</v>
      </c>
      <c r="AV377" t="n">
        <v>0</v>
      </c>
      <c r="AW377" t="n">
        <v>0.32</v>
      </c>
      <c r="AX377" t="n">
        <v>1</v>
      </c>
      <c r="AY377" t="n">
        <v>0.1</v>
      </c>
      <c r="AZ377" t="n">
        <v>0.082</v>
      </c>
      <c r="BA377" t="n">
        <v>0.091</v>
      </c>
      <c r="BB377" t="n">
        <v>0.082</v>
      </c>
      <c r="BC377" t="n">
        <v>0.225</v>
      </c>
      <c r="BD377" t="n">
        <v>0.185</v>
      </c>
      <c r="BE377" t="n">
        <v>0.205</v>
      </c>
      <c r="BF377" t="n">
        <v>0</v>
      </c>
      <c r="BG377" t="n">
        <v>0</v>
      </c>
      <c r="BH377" t="n">
        <v>0.988</v>
      </c>
      <c r="BI377" t="n">
        <v>0.1</v>
      </c>
      <c r="BJ377" t="n">
        <v>0.099</v>
      </c>
      <c r="BK377" t="n">
        <v>0.223</v>
      </c>
      <c r="BL377" t="n">
        <v>-0.091</v>
      </c>
      <c r="BM377" t="n">
        <v>-0.1</v>
      </c>
      <c r="BN377" t="n">
        <v>0</v>
      </c>
      <c r="BO377" t="n">
        <v>0.018</v>
      </c>
      <c r="BP377" t="n">
        <v>4</v>
      </c>
      <c r="BQ377" t="n">
        <v>1</v>
      </c>
      <c r="BS377" t="n">
        <v>3</v>
      </c>
      <c r="BT377" t="n">
        <v>6.75</v>
      </c>
      <c r="BW377" t="n">
        <v>0.01</v>
      </c>
      <c r="BX377" t="n">
        <v>0</v>
      </c>
      <c r="BY377" t="n">
        <v>0.005</v>
      </c>
      <c r="BZ377" t="n">
        <v>0.011</v>
      </c>
      <c r="CA377" t="n">
        <v>0.096</v>
      </c>
      <c r="CB377" t="n">
        <v>0.216</v>
      </c>
      <c r="CC377" t="n">
        <v>0</v>
      </c>
      <c r="CI377" t="n">
        <v>0.153</v>
      </c>
      <c r="CJ377" t="n">
        <v>0.07099999999999999</v>
      </c>
      <c r="CK377" t="n">
        <v>0</v>
      </c>
      <c r="CL377" t="n">
        <v>2</v>
      </c>
      <c r="CM377" t="n">
        <v>1</v>
      </c>
      <c r="CN377" t="n">
        <v>1</v>
      </c>
      <c r="CP377" t="n">
        <v>0</v>
      </c>
      <c r="CR377" t="n">
        <v>4</v>
      </c>
      <c r="CW377" t="n">
        <v>0.51</v>
      </c>
      <c r="CX377" t="n">
        <v>1.148</v>
      </c>
      <c r="CY377" t="n">
        <v>0</v>
      </c>
      <c r="DB377" t="n">
        <v>0</v>
      </c>
      <c r="DF377" t="n">
        <v>0</v>
      </c>
      <c r="DG377" t="n">
        <v>0</v>
      </c>
      <c r="DH377" t="n">
        <v>2</v>
      </c>
      <c r="DI377" t="n">
        <v>2</v>
      </c>
      <c r="DL377" t="n">
        <v>1</v>
      </c>
      <c r="DM377" t="n">
        <v>1</v>
      </c>
      <c r="DO377" t="n">
        <v>0.1</v>
      </c>
      <c r="DP377" t="n">
        <v>5.64</v>
      </c>
      <c r="DQ377" t="n">
        <v>2.85</v>
      </c>
      <c r="DR377" t="n">
        <v>5.7</v>
      </c>
      <c r="DS377" t="n">
        <v>-0.06</v>
      </c>
      <c r="DT377" t="n">
        <v>14</v>
      </c>
      <c r="DU377" t="n">
        <v>0.38</v>
      </c>
      <c r="DV377" t="inlineStr">
        <is>
          <t>flat</t>
        </is>
      </c>
      <c r="DW377" t="n">
        <v>66.23</v>
      </c>
      <c r="DX377" t="n">
        <v>74</v>
      </c>
      <c r="DY377" t="n">
        <v>74.09</v>
      </c>
      <c r="DZ377" t="n">
        <v>7.86</v>
      </c>
      <c r="EA377" t="n">
        <v>3</v>
      </c>
      <c r="EB377" t="n">
        <v>20.16</v>
      </c>
      <c r="EC377" t="n">
        <v>42.67</v>
      </c>
      <c r="ED377" t="n">
        <v>89.59999999999999</v>
      </c>
      <c r="EE377" t="n">
        <v>4</v>
      </c>
      <c r="EF377" t="b">
        <v>0</v>
      </c>
      <c r="EG377" t="n">
        <v>0.2</v>
      </c>
      <c r="EH377" t="n">
        <v>55.6</v>
      </c>
      <c r="EI377" t="n">
        <v>329</v>
      </c>
      <c r="EJ377" t="n">
        <v>10</v>
      </c>
      <c r="EK377" t="n">
        <v>13.3</v>
      </c>
      <c r="EM377" t="n">
        <v>438.8</v>
      </c>
      <c r="EN377" t="n">
        <v>8000</v>
      </c>
      <c r="EO377" t="n">
        <v>416</v>
      </c>
      <c r="EP377" t="n">
        <v>13.3</v>
      </c>
    </row>
    <row r="378">
      <c r="A378" t="inlineStr">
        <is>
          <t>Jack Fletcher</t>
        </is>
      </c>
      <c r="B378" t="inlineStr">
        <is>
          <t>MUN</t>
        </is>
      </c>
      <c r="C378" t="inlineStr">
        <is>
          <t>MID</t>
        </is>
      </c>
      <c r="D378" t="inlineStr">
        <is>
          <t>MID</t>
        </is>
      </c>
      <c r="E378" t="n">
        <v>5</v>
      </c>
      <c r="F378" t="b">
        <v>1</v>
      </c>
      <c r="G378" t="b">
        <v>1</v>
      </c>
      <c r="H378" t="n">
        <v>19.4</v>
      </c>
      <c r="I378" t="inlineStr">
        <is>
          <t>a</t>
        </is>
      </c>
      <c r="L378" t="inlineStr">
        <is>
          <t>p547037</t>
        </is>
      </c>
      <c r="M378" t="n">
        <v>434</v>
      </c>
      <c r="Q378" t="n">
        <v>107</v>
      </c>
      <c r="R378" t="n">
        <v>3</v>
      </c>
      <c r="S378" t="n">
        <v>0</v>
      </c>
      <c r="T378" t="n">
        <v>1.189</v>
      </c>
      <c r="U378" t="n">
        <v>35.7</v>
      </c>
      <c r="V378" t="n">
        <v>3</v>
      </c>
      <c r="W378" t="n">
        <v>2.523</v>
      </c>
      <c r="X378" t="n">
        <v>0</v>
      </c>
      <c r="Y378" t="n">
        <v>0</v>
      </c>
      <c r="AA378" t="n">
        <v>0</v>
      </c>
      <c r="AB378" t="n">
        <v>0</v>
      </c>
      <c r="AC378" t="n">
        <v>0</v>
      </c>
      <c r="AD378" t="n">
        <v>0</v>
      </c>
      <c r="AE378" t="n">
        <v>0</v>
      </c>
      <c r="AF378" t="n">
        <v>10</v>
      </c>
      <c r="AG378" t="n">
        <v>9</v>
      </c>
      <c r="AH378" t="n">
        <v>-1</v>
      </c>
      <c r="AI378" t="n">
        <v>3</v>
      </c>
      <c r="AJ378" t="n">
        <v>0</v>
      </c>
      <c r="AK378" t="n">
        <v>0</v>
      </c>
      <c r="AL378" t="n">
        <v>11</v>
      </c>
      <c r="AM378" t="n">
        <v>9.252000000000001</v>
      </c>
      <c r="AN378" t="n">
        <v>0</v>
      </c>
      <c r="AO378" t="n">
        <v>0</v>
      </c>
      <c r="AS378" t="n">
        <v>0</v>
      </c>
      <c r="AT378" t="n">
        <v>0</v>
      </c>
      <c r="AU378" t="n">
        <v>3</v>
      </c>
      <c r="AV378" t="n">
        <v>0</v>
      </c>
      <c r="AW378" t="n">
        <v>0.27</v>
      </c>
      <c r="AX378" t="n">
        <v>1</v>
      </c>
      <c r="AY378" t="n">
        <v>0.03</v>
      </c>
      <c r="AZ378" t="n">
        <v>0.037</v>
      </c>
      <c r="BA378" t="n">
        <v>0.034</v>
      </c>
      <c r="BB378" t="n">
        <v>0.037</v>
      </c>
      <c r="BC378" t="n">
        <v>0.025</v>
      </c>
      <c r="BD378" t="n">
        <v>0.031</v>
      </c>
      <c r="BE378" t="n">
        <v>0.028</v>
      </c>
      <c r="BH378" t="n">
        <v>0.996</v>
      </c>
      <c r="BI378" t="n">
        <v>0.03</v>
      </c>
      <c r="BJ378" t="n">
        <v>0.03</v>
      </c>
      <c r="BK378" t="n">
        <v>0.025</v>
      </c>
      <c r="BL378" t="n">
        <v>-0.034</v>
      </c>
      <c r="BO378" t="n">
        <v>-0.007</v>
      </c>
      <c r="BP378" t="n">
        <v>1</v>
      </c>
      <c r="BS378" t="n">
        <v>2</v>
      </c>
      <c r="BT378" t="n">
        <v>1.682</v>
      </c>
      <c r="BW378" t="n">
        <v>0.02</v>
      </c>
      <c r="BX378" t="n">
        <v>0.115</v>
      </c>
      <c r="BY378" t="n">
        <v>0.067</v>
      </c>
      <c r="BZ378" t="n">
        <v>0.057</v>
      </c>
      <c r="CA378" t="n">
        <v>0.101</v>
      </c>
      <c r="CB378" t="n">
        <v>0.08500000000000001</v>
      </c>
      <c r="CC378" t="n">
        <v>2</v>
      </c>
      <c r="CE378" t="n">
        <v>2</v>
      </c>
      <c r="CI378" t="n">
        <v>0.263</v>
      </c>
      <c r="CJ378" t="n">
        <v>0.148</v>
      </c>
      <c r="CK378" t="n">
        <v>2</v>
      </c>
      <c r="CL378" t="n">
        <v>4</v>
      </c>
      <c r="CM378" t="n">
        <v>5</v>
      </c>
      <c r="CN378" t="n">
        <v>2</v>
      </c>
      <c r="CO378" t="n">
        <v>1</v>
      </c>
      <c r="CQ378" t="n">
        <v>1</v>
      </c>
      <c r="CR378" t="n">
        <v>7</v>
      </c>
      <c r="CS378" t="n">
        <v>1</v>
      </c>
      <c r="CW378" t="n">
        <v>1.86</v>
      </c>
      <c r="CX378" t="n">
        <v>1.564</v>
      </c>
      <c r="CY378" t="n">
        <v>0</v>
      </c>
      <c r="DB378" t="n">
        <v>0</v>
      </c>
      <c r="DF378" t="n">
        <v>0</v>
      </c>
      <c r="DG378" t="n">
        <v>0</v>
      </c>
      <c r="DH378" t="n">
        <v>2</v>
      </c>
      <c r="DI378" t="n">
        <v>1</v>
      </c>
      <c r="DM378" t="n">
        <v>4</v>
      </c>
      <c r="DO378" t="n">
        <v>0</v>
      </c>
      <c r="DP378" t="n">
        <v>0</v>
      </c>
      <c r="DQ378" t="n">
        <v>0</v>
      </c>
      <c r="DR378" t="n">
        <v>0</v>
      </c>
      <c r="DS378" t="n">
        <v>0</v>
      </c>
      <c r="DT378" t="n">
        <v>0</v>
      </c>
      <c r="DU378" t="n">
        <v>0</v>
      </c>
      <c r="DV378" t="inlineStr">
        <is>
          <t>flat</t>
        </is>
      </c>
      <c r="DW378" t="n">
        <v>82.25</v>
      </c>
      <c r="DX378" t="n">
        <v>45</v>
      </c>
      <c r="DY378" t="n">
        <v>119.5</v>
      </c>
      <c r="DZ378" t="n">
        <v>37.25</v>
      </c>
      <c r="EA378" t="n">
        <v>1</v>
      </c>
      <c r="EB378" t="n">
        <v>52.68</v>
      </c>
      <c r="EC378" t="n">
        <v>45</v>
      </c>
      <c r="ED378" t="n">
        <v>119.5</v>
      </c>
      <c r="EE378" t="n">
        <v>2</v>
      </c>
      <c r="EF378" t="b">
        <v>0</v>
      </c>
      <c r="EG378" t="n">
        <v>0.1</v>
      </c>
      <c r="EH378" t="n">
        <v>33.3</v>
      </c>
      <c r="EI378" t="n">
        <v>328</v>
      </c>
      <c r="EJ378" t="n">
        <v>107</v>
      </c>
      <c r="EK378" t="n">
        <v>53.5</v>
      </c>
      <c r="EL378" t="n">
        <v>53.5</v>
      </c>
      <c r="EM378" t="n">
        <v>3175.7</v>
      </c>
      <c r="EN378" t="n">
        <v>1586.6</v>
      </c>
      <c r="EO378" t="n">
        <v>1058</v>
      </c>
      <c r="EP378" t="n">
        <v>35.7</v>
      </c>
    </row>
    <row r="379">
      <c r="A379" t="inlineStr">
        <is>
          <t>Julio Soler</t>
        </is>
      </c>
      <c r="B379" t="inlineStr">
        <is>
          <t>BOU</t>
        </is>
      </c>
      <c r="C379" t="inlineStr">
        <is>
          <t>DEF</t>
        </is>
      </c>
      <c r="D379" t="inlineStr">
        <is>
          <t>DEF</t>
        </is>
      </c>
      <c r="E379" t="n">
        <v>4</v>
      </c>
      <c r="F379" t="b">
        <v>1</v>
      </c>
      <c r="G379" t="b">
        <v>1</v>
      </c>
      <c r="H379" t="n">
        <v>21.5</v>
      </c>
      <c r="I379" t="inlineStr">
        <is>
          <t>a</t>
        </is>
      </c>
      <c r="L379" t="inlineStr">
        <is>
          <t>p575901</t>
        </is>
      </c>
      <c r="M379" t="n">
        <v>66</v>
      </c>
      <c r="Q379" t="n">
        <v>34</v>
      </c>
      <c r="R379" t="n">
        <v>3</v>
      </c>
      <c r="S379" t="n">
        <v>0</v>
      </c>
      <c r="T379" t="n">
        <v>0.378</v>
      </c>
      <c r="U379" t="n">
        <v>11.3</v>
      </c>
      <c r="V379" t="n">
        <v>3</v>
      </c>
      <c r="W379" t="n">
        <v>7.941</v>
      </c>
      <c r="X379" t="n">
        <v>0</v>
      </c>
      <c r="Y379" t="n">
        <v>0</v>
      </c>
      <c r="AA379" t="n">
        <v>0</v>
      </c>
      <c r="AB379" t="n">
        <v>2</v>
      </c>
      <c r="AC379" t="n">
        <v>0</v>
      </c>
      <c r="AD379" t="n">
        <v>0</v>
      </c>
      <c r="AE379" t="n">
        <v>0</v>
      </c>
      <c r="AF379" t="n">
        <v>2</v>
      </c>
      <c r="AG379" t="n">
        <v>2</v>
      </c>
      <c r="AH379" t="n">
        <v>0</v>
      </c>
      <c r="AI379" t="n">
        <v>3</v>
      </c>
      <c r="AJ379" t="n">
        <v>0</v>
      </c>
      <c r="AK379" t="n">
        <v>0</v>
      </c>
      <c r="AL379" t="n">
        <v>1</v>
      </c>
      <c r="AM379" t="n">
        <v>2.647</v>
      </c>
      <c r="AN379" t="n">
        <v>0</v>
      </c>
      <c r="AO379" t="n">
        <v>0</v>
      </c>
      <c r="AS379" t="n">
        <v>0</v>
      </c>
      <c r="AT379" t="n">
        <v>0</v>
      </c>
      <c r="AU379" t="n">
        <v>3</v>
      </c>
      <c r="AV379" t="n">
        <v>0</v>
      </c>
      <c r="AW379" t="n">
        <v>0.27</v>
      </c>
      <c r="AX379" t="n">
        <v>1</v>
      </c>
      <c r="AY379" t="n">
        <v>0</v>
      </c>
      <c r="AZ379" t="n">
        <v>0</v>
      </c>
      <c r="BA379" t="n">
        <v>0</v>
      </c>
      <c r="BB379" t="n">
        <v>0</v>
      </c>
      <c r="BC379" t="n">
        <v>0</v>
      </c>
      <c r="BD379" t="n">
        <v>0</v>
      </c>
      <c r="BE379" t="n">
        <v>0</v>
      </c>
      <c r="BH379" t="n">
        <v>1</v>
      </c>
      <c r="BI379" t="n">
        <v>0</v>
      </c>
      <c r="BJ379" t="n">
        <v>0</v>
      </c>
      <c r="BK379" t="n">
        <v>0</v>
      </c>
      <c r="BL379" t="n">
        <v>0</v>
      </c>
      <c r="BO379" t="n">
        <v>0</v>
      </c>
      <c r="BS379" t="n">
        <v>1</v>
      </c>
      <c r="BT379" t="n">
        <v>2.647</v>
      </c>
      <c r="BW379" t="n">
        <v>0</v>
      </c>
      <c r="BX379" t="n">
        <v>0</v>
      </c>
      <c r="BY379" t="n">
        <v>0</v>
      </c>
      <c r="BZ379" t="n">
        <v>0</v>
      </c>
      <c r="CA379" t="n">
        <v>0</v>
      </c>
      <c r="CB379" t="n">
        <v>0</v>
      </c>
      <c r="CC379" t="n">
        <v>0</v>
      </c>
      <c r="CI379" t="n">
        <v>0.064</v>
      </c>
      <c r="CJ379" t="n">
        <v>0.064</v>
      </c>
      <c r="CK379" t="n">
        <v>0</v>
      </c>
      <c r="CL379" t="n">
        <v>4</v>
      </c>
      <c r="CM379" t="n">
        <v>1</v>
      </c>
      <c r="CR379" t="n">
        <v>3</v>
      </c>
      <c r="CW379" t="n">
        <v>1.62</v>
      </c>
      <c r="CX379" t="n">
        <v>4.288</v>
      </c>
      <c r="CY379" t="n">
        <v>0</v>
      </c>
      <c r="DB379" t="n">
        <v>0</v>
      </c>
      <c r="DF379" t="n">
        <v>0</v>
      </c>
      <c r="DG379" t="n">
        <v>0</v>
      </c>
      <c r="DH379" t="n">
        <v>2</v>
      </c>
      <c r="DI379" t="n">
        <v>2</v>
      </c>
      <c r="DO379" t="n">
        <v>0.6</v>
      </c>
      <c r="DP379" t="n">
        <v>0</v>
      </c>
      <c r="DQ379" t="n">
        <v>0</v>
      </c>
      <c r="DR379" t="n">
        <v>0</v>
      </c>
      <c r="DS379" t="n">
        <v>0</v>
      </c>
      <c r="DT379" t="n">
        <v>0</v>
      </c>
      <c r="DU379" t="n">
        <v>0</v>
      </c>
      <c r="DV379" t="inlineStr">
        <is>
          <t>flat</t>
        </is>
      </c>
      <c r="EF379" t="b">
        <v>0</v>
      </c>
      <c r="EG379" t="n">
        <v>0</v>
      </c>
      <c r="EH379" t="n">
        <v>100</v>
      </c>
      <c r="EI379" t="n">
        <v>525</v>
      </c>
      <c r="EK379" t="n">
        <v>34</v>
      </c>
      <c r="EP379" t="n">
        <v>11.3</v>
      </c>
    </row>
    <row r="380">
      <c r="A380" t="inlineStr">
        <is>
          <t>Mamadou Sarr</t>
        </is>
      </c>
      <c r="B380" t="inlineStr">
        <is>
          <t>CHE</t>
        </is>
      </c>
      <c r="C380" t="inlineStr">
        <is>
          <t>DEF</t>
        </is>
      </c>
      <c r="D380" t="inlineStr">
        <is>
          <t>DEF</t>
        </is>
      </c>
      <c r="E380" t="n">
        <v>4.5</v>
      </c>
      <c r="F380" t="b">
        <v>1</v>
      </c>
      <c r="G380" t="b">
        <v>1</v>
      </c>
      <c r="H380" t="n">
        <v>21</v>
      </c>
      <c r="I380" t="inlineStr">
        <is>
          <t>a</t>
        </is>
      </c>
      <c r="L380" t="inlineStr">
        <is>
          <t>p574458</t>
        </is>
      </c>
      <c r="M380" t="n">
        <v>150</v>
      </c>
      <c r="Q380" t="n">
        <v>100</v>
      </c>
      <c r="R380" t="n">
        <v>3</v>
      </c>
      <c r="S380" t="n">
        <v>1</v>
      </c>
      <c r="T380" t="n">
        <v>1.111</v>
      </c>
      <c r="U380" t="n">
        <v>33.3</v>
      </c>
      <c r="V380" t="n">
        <v>3</v>
      </c>
      <c r="W380" t="n">
        <v>2.7</v>
      </c>
      <c r="X380" t="n">
        <v>0</v>
      </c>
      <c r="Y380" t="n">
        <v>0</v>
      </c>
      <c r="AA380" t="n">
        <v>0</v>
      </c>
      <c r="AB380" t="n">
        <v>3</v>
      </c>
      <c r="AC380" t="n">
        <v>0</v>
      </c>
      <c r="AD380" t="n">
        <v>0</v>
      </c>
      <c r="AE380" t="n">
        <v>0</v>
      </c>
      <c r="AF380" t="n">
        <v>4</v>
      </c>
      <c r="AG380" t="n">
        <v>3</v>
      </c>
      <c r="AH380" t="n">
        <v>-1</v>
      </c>
      <c r="AI380" t="n">
        <v>3</v>
      </c>
      <c r="AJ380" t="n">
        <v>0</v>
      </c>
      <c r="AK380" t="n">
        <v>0</v>
      </c>
      <c r="AL380" t="n">
        <v>8</v>
      </c>
      <c r="AM380" t="n">
        <v>7.2</v>
      </c>
      <c r="AN380" t="n">
        <v>0</v>
      </c>
      <c r="AO380" t="n">
        <v>0</v>
      </c>
      <c r="AP380" t="n">
        <v>0</v>
      </c>
      <c r="AQ380" t="n">
        <v>0</v>
      </c>
      <c r="AR380" t="n">
        <v>0</v>
      </c>
      <c r="AS380" t="n">
        <v>0.026</v>
      </c>
      <c r="AT380" t="n">
        <v>0.333</v>
      </c>
      <c r="AU380" t="n">
        <v>3</v>
      </c>
      <c r="AV380" t="n">
        <v>0</v>
      </c>
      <c r="AW380" t="n">
        <v>0.27</v>
      </c>
      <c r="AX380" t="n">
        <v>1</v>
      </c>
      <c r="AY380" t="n">
        <v>0.35</v>
      </c>
      <c r="AZ380" t="n">
        <v>0.569</v>
      </c>
      <c r="BA380" t="n">
        <v>0.46</v>
      </c>
      <c r="BB380" t="n">
        <v>0.569</v>
      </c>
      <c r="BC380" t="n">
        <v>0.315</v>
      </c>
      <c r="BD380" t="n">
        <v>0.513</v>
      </c>
      <c r="BE380" t="n">
        <v>0.414</v>
      </c>
      <c r="BH380" t="n">
        <v>0.958</v>
      </c>
      <c r="BI380" t="n">
        <v>0.35</v>
      </c>
      <c r="BJ380" t="n">
        <v>0.335</v>
      </c>
      <c r="BK380" t="n">
        <v>0.302</v>
      </c>
      <c r="BL380" t="n">
        <v>-0.46</v>
      </c>
      <c r="BO380" t="n">
        <v>-0.219</v>
      </c>
      <c r="BP380" t="n">
        <v>1</v>
      </c>
      <c r="BR380" t="n">
        <v>1</v>
      </c>
      <c r="BS380" t="n">
        <v>1</v>
      </c>
      <c r="BT380" t="n">
        <v>0.9</v>
      </c>
      <c r="BW380" t="n">
        <v>0</v>
      </c>
      <c r="BX380" t="n">
        <v>0</v>
      </c>
      <c r="BY380" t="n">
        <v>0</v>
      </c>
      <c r="BZ380" t="n">
        <v>0</v>
      </c>
      <c r="CA380" t="n">
        <v>0.46</v>
      </c>
      <c r="CB380" t="n">
        <v>0.414</v>
      </c>
      <c r="CC380" t="n">
        <v>0</v>
      </c>
      <c r="CI380" t="n">
        <v>0.231</v>
      </c>
      <c r="CJ380" t="n">
        <v>0.231</v>
      </c>
      <c r="CK380" t="n">
        <v>7</v>
      </c>
      <c r="CL380" t="n">
        <v>2</v>
      </c>
      <c r="CM380" t="n">
        <v>1</v>
      </c>
      <c r="CO380" t="n">
        <v>1</v>
      </c>
      <c r="CP380" t="n">
        <v>5</v>
      </c>
      <c r="CQ380" t="n">
        <v>1</v>
      </c>
      <c r="CR380" t="n">
        <v>2</v>
      </c>
      <c r="CS380" t="n">
        <v>1</v>
      </c>
      <c r="CW380" t="n">
        <v>1.63</v>
      </c>
      <c r="CX380" t="n">
        <v>1.467</v>
      </c>
      <c r="CY380" t="n">
        <v>0</v>
      </c>
      <c r="DB380" t="n">
        <v>0</v>
      </c>
      <c r="DF380" t="n">
        <v>0</v>
      </c>
      <c r="DG380" t="n">
        <v>0</v>
      </c>
      <c r="DO380" t="n">
        <v>0.1</v>
      </c>
      <c r="DP380" t="n">
        <v>0</v>
      </c>
      <c r="DQ380" t="n">
        <v>0</v>
      </c>
      <c r="DR380" t="n">
        <v>0</v>
      </c>
      <c r="DS380" t="n">
        <v>0</v>
      </c>
      <c r="DT380" t="n">
        <v>0</v>
      </c>
      <c r="DU380" t="n">
        <v>0</v>
      </c>
      <c r="DV380" t="inlineStr">
        <is>
          <t>flat</t>
        </is>
      </c>
      <c r="DW380" t="n">
        <v>88.18000000000001</v>
      </c>
      <c r="DX380" t="n">
        <v>83.5</v>
      </c>
      <c r="DY380" t="n">
        <v>88.76000000000001</v>
      </c>
      <c r="DZ380" t="n">
        <v>0.58</v>
      </c>
      <c r="EA380" t="n">
        <v>4</v>
      </c>
      <c r="EB380" t="n">
        <v>19.9</v>
      </c>
      <c r="EC380" t="n">
        <v>55</v>
      </c>
      <c r="ED380" t="n">
        <v>112</v>
      </c>
      <c r="EE380" t="n">
        <v>8</v>
      </c>
      <c r="EF380" t="b">
        <v>0</v>
      </c>
      <c r="EG380" t="n">
        <v>0.2</v>
      </c>
      <c r="EH380" t="n">
        <v>11.1</v>
      </c>
      <c r="EI380" t="n">
        <v>459</v>
      </c>
      <c r="EJ380" t="n">
        <v>100</v>
      </c>
      <c r="EK380" t="n">
        <v>100</v>
      </c>
      <c r="EM380" t="n">
        <v>217.5</v>
      </c>
      <c r="EO380" t="n">
        <v>217.5</v>
      </c>
      <c r="EP380" t="n">
        <v>33.3</v>
      </c>
    </row>
    <row r="381">
      <c r="A381" t="inlineStr">
        <is>
          <t>Zach Abbott</t>
        </is>
      </c>
      <c r="B381" t="inlineStr">
        <is>
          <t>NFO</t>
        </is>
      </c>
      <c r="C381" t="inlineStr">
        <is>
          <t>DEF</t>
        </is>
      </c>
      <c r="D381" t="inlineStr">
        <is>
          <t>DEF</t>
        </is>
      </c>
      <c r="E381" t="n">
        <v>4</v>
      </c>
      <c r="F381" t="b">
        <v>1</v>
      </c>
      <c r="G381" t="b">
        <v>1</v>
      </c>
      <c r="H381" t="n">
        <v>20.3</v>
      </c>
      <c r="I381" t="inlineStr">
        <is>
          <t>a</t>
        </is>
      </c>
      <c r="L381" t="inlineStr">
        <is>
          <t>p549067</t>
        </is>
      </c>
      <c r="M381" t="n">
        <v>477</v>
      </c>
      <c r="Q381" t="n">
        <v>165</v>
      </c>
      <c r="R381" t="n">
        <v>3</v>
      </c>
      <c r="S381" t="n">
        <v>2</v>
      </c>
      <c r="T381" t="n">
        <v>1.833</v>
      </c>
      <c r="U381" t="n">
        <v>55</v>
      </c>
      <c r="V381" t="n">
        <v>3</v>
      </c>
      <c r="W381" t="n">
        <v>1.636</v>
      </c>
      <c r="X381" t="n">
        <v>0</v>
      </c>
      <c r="Y381" t="n">
        <v>0</v>
      </c>
      <c r="AA381" t="n">
        <v>0</v>
      </c>
      <c r="AB381" t="n">
        <v>4</v>
      </c>
      <c r="AC381" t="n">
        <v>0</v>
      </c>
      <c r="AD381" t="n">
        <v>0</v>
      </c>
      <c r="AE381" t="n">
        <v>0</v>
      </c>
      <c r="AF381" t="n">
        <v>3</v>
      </c>
      <c r="AG381" t="n">
        <v>1</v>
      </c>
      <c r="AH381" t="n">
        <v>-2</v>
      </c>
      <c r="AI381" t="n">
        <v>3</v>
      </c>
      <c r="AJ381" t="n">
        <v>0</v>
      </c>
      <c r="AK381" t="n">
        <v>0</v>
      </c>
      <c r="AL381" t="n">
        <v>13</v>
      </c>
      <c r="AM381" t="n">
        <v>7.091</v>
      </c>
      <c r="AN381" t="n">
        <v>0</v>
      </c>
      <c r="AO381" t="n">
        <v>0</v>
      </c>
      <c r="AP381" t="n">
        <v>0</v>
      </c>
      <c r="AQ381" t="n">
        <v>0</v>
      </c>
      <c r="AR381" t="n">
        <v>0</v>
      </c>
      <c r="AS381" t="n">
        <v>0.053</v>
      </c>
      <c r="AT381" t="n">
        <v>0.333</v>
      </c>
      <c r="AU381" t="n">
        <v>3</v>
      </c>
      <c r="AV381" t="n">
        <v>0</v>
      </c>
      <c r="AW381" t="n">
        <v>0.27</v>
      </c>
      <c r="AX381" t="n">
        <v>1</v>
      </c>
      <c r="AY381" t="n">
        <v>0</v>
      </c>
      <c r="AZ381" t="n">
        <v>0</v>
      </c>
      <c r="BA381" t="n">
        <v>0</v>
      </c>
      <c r="BB381" t="n">
        <v>0</v>
      </c>
      <c r="BC381" t="n">
        <v>0</v>
      </c>
      <c r="BD381" t="n">
        <v>0</v>
      </c>
      <c r="BE381" t="n">
        <v>0</v>
      </c>
      <c r="BH381" t="n">
        <v>1</v>
      </c>
      <c r="BI381" t="n">
        <v>0</v>
      </c>
      <c r="BJ381" t="n">
        <v>0</v>
      </c>
      <c r="BK381" t="n">
        <v>0</v>
      </c>
      <c r="BL381" t="n">
        <v>0</v>
      </c>
      <c r="BO381" t="n">
        <v>0</v>
      </c>
      <c r="BW381" t="n">
        <v>0.01</v>
      </c>
      <c r="BX381" t="n">
        <v>0</v>
      </c>
      <c r="BY381" t="n">
        <v>0.005</v>
      </c>
      <c r="BZ381" t="n">
        <v>0.003</v>
      </c>
      <c r="CA381" t="n">
        <v>0.005</v>
      </c>
      <c r="CB381" t="n">
        <v>0.003</v>
      </c>
      <c r="CC381" t="n">
        <v>0</v>
      </c>
      <c r="CF381" t="n">
        <v>1</v>
      </c>
      <c r="CI381" t="n">
        <v>0.08</v>
      </c>
      <c r="CJ381" t="n">
        <v>0.08</v>
      </c>
      <c r="CK381" t="n">
        <v>9</v>
      </c>
      <c r="CL381" t="n">
        <v>10</v>
      </c>
      <c r="CM381" t="n">
        <v>4</v>
      </c>
      <c r="CN381" t="n">
        <v>4</v>
      </c>
      <c r="CO381" t="n">
        <v>1</v>
      </c>
      <c r="CP381" t="n">
        <v>7</v>
      </c>
      <c r="CQ381" t="n">
        <v>1</v>
      </c>
      <c r="CR381" t="n">
        <v>12</v>
      </c>
      <c r="CS381" t="n">
        <v>6</v>
      </c>
      <c r="CW381" t="n">
        <v>3.47</v>
      </c>
      <c r="CX381" t="n">
        <v>1.893</v>
      </c>
      <c r="CY381" t="n">
        <v>0</v>
      </c>
      <c r="DB381" t="n">
        <v>0</v>
      </c>
      <c r="DF381" t="n">
        <v>0</v>
      </c>
      <c r="DG381" t="n">
        <v>0</v>
      </c>
      <c r="DH381" t="n">
        <v>3</v>
      </c>
      <c r="DI381" t="n">
        <v>1</v>
      </c>
      <c r="DK381" t="n">
        <v>1</v>
      </c>
      <c r="DL381" t="n">
        <v>1</v>
      </c>
      <c r="DM381" t="n">
        <v>2</v>
      </c>
      <c r="DO381" t="n">
        <v>0.2</v>
      </c>
      <c r="DP381" t="n">
        <v>0</v>
      </c>
      <c r="DQ381" t="n">
        <v>0</v>
      </c>
      <c r="DR381" t="n">
        <v>0</v>
      </c>
      <c r="DS381" t="n">
        <v>0</v>
      </c>
      <c r="DT381" t="n">
        <v>0</v>
      </c>
      <c r="DU381" t="n">
        <v>0</v>
      </c>
      <c r="DV381" t="inlineStr">
        <is>
          <t>flat</t>
        </is>
      </c>
      <c r="DW381" t="n">
        <v>103.67</v>
      </c>
      <c r="DX381" t="n">
        <v>90</v>
      </c>
      <c r="EB381" t="n">
        <v>19.33</v>
      </c>
      <c r="EC381" t="n">
        <v>90</v>
      </c>
      <c r="ED381" t="n">
        <v>117.33</v>
      </c>
      <c r="EE381" t="n">
        <v>2</v>
      </c>
      <c r="EF381" t="b">
        <v>0</v>
      </c>
      <c r="EG381" t="n">
        <v>0</v>
      </c>
      <c r="EH381" t="n">
        <v>0</v>
      </c>
      <c r="EI381" t="n">
        <v>526</v>
      </c>
      <c r="EN381" t="n">
        <v>33000</v>
      </c>
      <c r="EO381" t="n">
        <v>33000</v>
      </c>
      <c r="EP381" t="n">
        <v>55</v>
      </c>
    </row>
    <row r="382">
      <c r="A382" t="inlineStr">
        <is>
          <t>Alex Murphy</t>
        </is>
      </c>
      <c r="B382" t="inlineStr">
        <is>
          <t>NEW</t>
        </is>
      </c>
      <c r="C382" t="inlineStr">
        <is>
          <t>DEF</t>
        </is>
      </c>
      <c r="D382" t="inlineStr">
        <is>
          <t>DEF</t>
        </is>
      </c>
      <c r="E382" t="n">
        <v>4</v>
      </c>
      <c r="F382" t="b">
        <v>1</v>
      </c>
      <c r="G382" t="b">
        <v>1</v>
      </c>
      <c r="H382" t="n">
        <v>22.2</v>
      </c>
      <c r="I382" t="inlineStr">
        <is>
          <t>u</t>
        </is>
      </c>
      <c r="J382" t="inlineStr">
        <is>
          <t>Has joined FC Kaiserslautern on loan for the rest of the season</t>
        </is>
      </c>
      <c r="K382" t="n">
        <v>0</v>
      </c>
      <c r="L382" t="inlineStr">
        <is>
          <t>p545477</t>
        </is>
      </c>
      <c r="M382" t="n">
        <v>451</v>
      </c>
      <c r="Q382" t="n">
        <v>7</v>
      </c>
      <c r="R382" t="n">
        <v>2</v>
      </c>
      <c r="S382" t="n">
        <v>0</v>
      </c>
      <c r="T382" t="n">
        <v>0.078</v>
      </c>
      <c r="U382" t="n">
        <v>3.5</v>
      </c>
      <c r="V382" t="n">
        <v>2</v>
      </c>
      <c r="W382" t="n">
        <v>25.714</v>
      </c>
      <c r="X382" t="n">
        <v>0</v>
      </c>
      <c r="Y382" t="n">
        <v>0</v>
      </c>
      <c r="AA382" t="n">
        <v>0</v>
      </c>
      <c r="AB382" t="n">
        <v>1</v>
      </c>
      <c r="AC382" t="n">
        <v>0</v>
      </c>
      <c r="AD382" t="n">
        <v>0</v>
      </c>
      <c r="AE382" t="n">
        <v>0</v>
      </c>
      <c r="AF382" t="n">
        <v>3</v>
      </c>
      <c r="AG382" t="n">
        <v>3</v>
      </c>
      <c r="AH382" t="n">
        <v>0</v>
      </c>
      <c r="AI382" t="n">
        <v>2</v>
      </c>
      <c r="AJ382" t="n">
        <v>0</v>
      </c>
      <c r="AK382" t="n">
        <v>0</v>
      </c>
      <c r="AL382" t="n">
        <v>4</v>
      </c>
      <c r="AM382" t="n">
        <v>51.429</v>
      </c>
      <c r="AN382" t="n">
        <v>0</v>
      </c>
      <c r="AO382" t="n">
        <v>0</v>
      </c>
      <c r="AS382" t="n">
        <v>0</v>
      </c>
      <c r="AT382" t="n">
        <v>0</v>
      </c>
      <c r="AU382" t="n">
        <v>2</v>
      </c>
      <c r="AV382" t="n">
        <v>0</v>
      </c>
      <c r="AW382" t="n">
        <v>0.23</v>
      </c>
      <c r="AX382" t="n">
        <v>1</v>
      </c>
      <c r="AY382" t="n">
        <v>0</v>
      </c>
      <c r="BA382" t="n">
        <v>0</v>
      </c>
      <c r="BC382" t="n">
        <v>0</v>
      </c>
      <c r="BE382" t="n">
        <v>0</v>
      </c>
      <c r="BH382" t="n">
        <v>1</v>
      </c>
      <c r="BI382" t="n">
        <v>0</v>
      </c>
      <c r="BJ382" t="n">
        <v>0</v>
      </c>
      <c r="BK382" t="n">
        <v>0</v>
      </c>
      <c r="BL382" t="n">
        <v>0</v>
      </c>
      <c r="BS382" t="n">
        <v>1</v>
      </c>
      <c r="BT382" t="n">
        <v>12.857</v>
      </c>
      <c r="BW382" t="n">
        <v>0</v>
      </c>
      <c r="BY382" t="n">
        <v>0</v>
      </c>
      <c r="BZ382" t="n">
        <v>0</v>
      </c>
      <c r="CA382" t="n">
        <v>0</v>
      </c>
      <c r="CB382" t="n">
        <v>0</v>
      </c>
      <c r="CK382" t="n">
        <v>4</v>
      </c>
      <c r="CL382" t="n">
        <v>0</v>
      </c>
      <c r="CM382" t="n">
        <v>0</v>
      </c>
      <c r="CO382" t="n">
        <v>1</v>
      </c>
      <c r="CP382" t="n">
        <v>2</v>
      </c>
      <c r="CQ382" t="n">
        <v>1</v>
      </c>
      <c r="CW382" t="n">
        <v>0.49</v>
      </c>
      <c r="CX382" t="n">
        <v>6.3</v>
      </c>
      <c r="CY382" t="n">
        <v>0</v>
      </c>
      <c r="DB382" t="n">
        <v>0</v>
      </c>
      <c r="DF382" t="n">
        <v>0</v>
      </c>
      <c r="DG382" t="n">
        <v>0</v>
      </c>
      <c r="DO382" t="n">
        <v>0.6</v>
      </c>
      <c r="DW382" t="n">
        <v>107.68</v>
      </c>
      <c r="DX382" t="n">
        <v>113.5</v>
      </c>
      <c r="DY382" t="n">
        <v>91.73</v>
      </c>
      <c r="DZ382" t="n">
        <v>-15.95</v>
      </c>
      <c r="EA382" t="n">
        <v>1</v>
      </c>
      <c r="EB382" t="n">
        <v>10.73</v>
      </c>
      <c r="EC382" t="n">
        <v>91.73</v>
      </c>
      <c r="ED382" t="n">
        <v>115</v>
      </c>
      <c r="EE382" t="n">
        <v>4</v>
      </c>
      <c r="EF382" t="b">
        <v>0</v>
      </c>
      <c r="EG382" t="n">
        <v>0.1</v>
      </c>
      <c r="EH382" t="n">
        <v>0</v>
      </c>
      <c r="EI382" t="n">
        <v>528</v>
      </c>
      <c r="EK382" t="n">
        <v>7</v>
      </c>
      <c r="EP382" t="n">
        <v>3.5</v>
      </c>
    </row>
    <row r="383">
      <c r="A383" t="inlineStr">
        <is>
          <t>Joél Drakes-Thomas</t>
        </is>
      </c>
      <c r="B383" t="inlineStr">
        <is>
          <t>CRY</t>
        </is>
      </c>
      <c r="C383" t="inlineStr">
        <is>
          <t>MID</t>
        </is>
      </c>
      <c r="D383" t="inlineStr">
        <is>
          <t>MID</t>
        </is>
      </c>
      <c r="E383" t="n">
        <v>4.5</v>
      </c>
      <c r="F383" t="b">
        <v>1</v>
      </c>
      <c r="G383" t="b">
        <v>1</v>
      </c>
      <c r="H383" t="n">
        <v>17.2</v>
      </c>
      <c r="I383" t="inlineStr">
        <is>
          <t>a</t>
        </is>
      </c>
      <c r="L383" t="inlineStr">
        <is>
          <t>p672492</t>
        </is>
      </c>
      <c r="M383" t="n">
        <v>221</v>
      </c>
      <c r="Q383" t="n">
        <v>7</v>
      </c>
      <c r="R383" t="n">
        <v>2</v>
      </c>
      <c r="S383" t="n">
        <v>0</v>
      </c>
      <c r="T383" t="n">
        <v>0.078</v>
      </c>
      <c r="U383" t="n">
        <v>3.5</v>
      </c>
      <c r="V383" t="n">
        <v>2</v>
      </c>
      <c r="W383" t="n">
        <v>25.714</v>
      </c>
      <c r="X383" t="n">
        <v>0</v>
      </c>
      <c r="Y383" t="n">
        <v>0</v>
      </c>
      <c r="AA383" t="n">
        <v>0</v>
      </c>
      <c r="AB383" t="n">
        <v>1</v>
      </c>
      <c r="AC383" t="n">
        <v>0</v>
      </c>
      <c r="AD383" t="n">
        <v>0</v>
      </c>
      <c r="AE383" t="n">
        <v>0</v>
      </c>
      <c r="AF383" t="n">
        <v>6</v>
      </c>
      <c r="AG383" t="n">
        <v>6</v>
      </c>
      <c r="AH383" t="n">
        <v>0</v>
      </c>
      <c r="AI383" t="n">
        <v>2</v>
      </c>
      <c r="AJ383" t="n">
        <v>0</v>
      </c>
      <c r="AK383" t="n">
        <v>0</v>
      </c>
      <c r="AL383" t="n">
        <v>3</v>
      </c>
      <c r="AM383" t="n">
        <v>38.571</v>
      </c>
      <c r="AN383" t="n">
        <v>0</v>
      </c>
      <c r="AO383" t="n">
        <v>0</v>
      </c>
      <c r="AS383" t="n">
        <v>0</v>
      </c>
      <c r="AT383" t="n">
        <v>0</v>
      </c>
      <c r="AU383" t="n">
        <v>2</v>
      </c>
      <c r="AV383" t="n">
        <v>0</v>
      </c>
      <c r="AW383" t="n">
        <v>0.29</v>
      </c>
      <c r="AX383" t="n">
        <v>1</v>
      </c>
      <c r="AY383" t="n">
        <v>0</v>
      </c>
      <c r="BA383" t="n">
        <v>0</v>
      </c>
      <c r="BC383" t="n">
        <v>0</v>
      </c>
      <c r="BE383" t="n">
        <v>0</v>
      </c>
      <c r="BH383" t="n">
        <v>1</v>
      </c>
      <c r="BI383" t="n">
        <v>0</v>
      </c>
      <c r="BJ383" t="n">
        <v>0</v>
      </c>
      <c r="BK383" t="n">
        <v>0</v>
      </c>
      <c r="BL383" t="n">
        <v>0</v>
      </c>
      <c r="BW383" t="n">
        <v>0</v>
      </c>
      <c r="BY383" t="n">
        <v>0</v>
      </c>
      <c r="BZ383" t="n">
        <v>0</v>
      </c>
      <c r="CA383" t="n">
        <v>0</v>
      </c>
      <c r="CB383" t="n">
        <v>0</v>
      </c>
      <c r="CK383" t="n">
        <v>0</v>
      </c>
      <c r="CL383" t="n">
        <v>2</v>
      </c>
      <c r="CM383" t="n">
        <v>1</v>
      </c>
      <c r="CN383" t="n">
        <v>1</v>
      </c>
      <c r="CR383" t="n">
        <v>1</v>
      </c>
      <c r="CW383" t="n">
        <v>0.73</v>
      </c>
      <c r="CX383" t="n">
        <v>9.385999999999999</v>
      </c>
      <c r="CY383" t="n">
        <v>0</v>
      </c>
      <c r="DB383" t="n">
        <v>0</v>
      </c>
      <c r="DF383" t="n">
        <v>0</v>
      </c>
      <c r="DG383" t="n">
        <v>0</v>
      </c>
      <c r="DH383" t="n">
        <v>1</v>
      </c>
      <c r="DO383" t="n">
        <v>0.1</v>
      </c>
      <c r="DP383" t="n">
        <v>0</v>
      </c>
      <c r="DQ383" t="n">
        <v>0</v>
      </c>
      <c r="DR383" t="n">
        <v>0</v>
      </c>
      <c r="DS383" t="n">
        <v>0</v>
      </c>
      <c r="DT383" t="n">
        <v>0</v>
      </c>
      <c r="DU383" t="n">
        <v>0</v>
      </c>
      <c r="DV383" t="inlineStr">
        <is>
          <t>flat</t>
        </is>
      </c>
      <c r="EP383" t="n">
        <v>3.5</v>
      </c>
    </row>
    <row r="384">
      <c r="A384" t="inlineStr">
        <is>
          <t>Kepa Arrizabalaga</t>
        </is>
      </c>
      <c r="B384" t="inlineStr">
        <is>
          <t>ARS</t>
        </is>
      </c>
      <c r="C384" t="inlineStr">
        <is>
          <t>GKP</t>
        </is>
      </c>
      <c r="D384" t="inlineStr">
        <is>
          <t>GKP</t>
        </is>
      </c>
      <c r="E384" t="n">
        <v>5</v>
      </c>
      <c r="F384" t="b">
        <v>1</v>
      </c>
      <c r="G384" t="b">
        <v>1</v>
      </c>
      <c r="H384" t="n">
        <v>31.9</v>
      </c>
      <c r="I384" t="inlineStr">
        <is>
          <t>a</t>
        </is>
      </c>
      <c r="L384" t="inlineStr">
        <is>
          <t>p109745</t>
        </is>
      </c>
      <c r="M384" t="n">
        <v>2</v>
      </c>
      <c r="Q384" t="n">
        <v>90</v>
      </c>
      <c r="R384" t="n">
        <v>1</v>
      </c>
      <c r="S384" t="n">
        <v>1</v>
      </c>
      <c r="T384" t="n">
        <v>1</v>
      </c>
      <c r="U384" t="n">
        <v>90</v>
      </c>
      <c r="V384" t="n">
        <v>2</v>
      </c>
      <c r="W384" t="n">
        <v>2</v>
      </c>
      <c r="X384" t="n">
        <v>0</v>
      </c>
      <c r="Y384" t="n">
        <v>0</v>
      </c>
      <c r="AA384" t="n">
        <v>0</v>
      </c>
      <c r="AB384" t="n">
        <v>1</v>
      </c>
      <c r="AC384" t="n">
        <v>0</v>
      </c>
      <c r="AD384" t="n">
        <v>0</v>
      </c>
      <c r="AE384" t="n">
        <v>0</v>
      </c>
      <c r="AF384" t="n">
        <v>11</v>
      </c>
      <c r="AG384" t="n">
        <v>11</v>
      </c>
      <c r="AH384" t="n">
        <v>0</v>
      </c>
      <c r="AI384" t="n">
        <v>2</v>
      </c>
      <c r="AJ384" t="n">
        <v>0</v>
      </c>
      <c r="AK384" t="n">
        <v>0</v>
      </c>
      <c r="AL384" t="n">
        <v>0</v>
      </c>
      <c r="AM384" t="n">
        <v>0</v>
      </c>
      <c r="AN384" t="n">
        <v>0</v>
      </c>
      <c r="AO384" t="n">
        <v>0</v>
      </c>
      <c r="AP384" t="n">
        <v>0</v>
      </c>
      <c r="AQ384" t="n">
        <v>0</v>
      </c>
      <c r="AR384" t="n">
        <v>0</v>
      </c>
      <c r="AS384" t="n">
        <v>0.026</v>
      </c>
      <c r="AT384" t="n">
        <v>1</v>
      </c>
      <c r="AU384" t="n">
        <v>1</v>
      </c>
      <c r="AV384" t="n">
        <v>0</v>
      </c>
      <c r="AW384" t="n">
        <v>0.32</v>
      </c>
      <c r="AX384" t="n">
        <v>2</v>
      </c>
      <c r="AY384" t="n">
        <v>0</v>
      </c>
      <c r="AZ384" t="n">
        <v>0</v>
      </c>
      <c r="BA384" t="n">
        <v>0</v>
      </c>
      <c r="BB384" t="n">
        <v>0</v>
      </c>
      <c r="BC384" t="n">
        <v>0</v>
      </c>
      <c r="BD384" t="n">
        <v>0</v>
      </c>
      <c r="BE384" t="n">
        <v>0</v>
      </c>
      <c r="BH384" t="n">
        <v>0.993</v>
      </c>
      <c r="BI384" t="n">
        <v>0.06</v>
      </c>
      <c r="BJ384" t="n">
        <v>0</v>
      </c>
      <c r="BK384" t="n">
        <v>0</v>
      </c>
      <c r="BL384" t="n">
        <v>0</v>
      </c>
      <c r="BO384" t="n">
        <v>0</v>
      </c>
      <c r="BW384" t="n">
        <v>0</v>
      </c>
      <c r="BX384" t="n">
        <v>0</v>
      </c>
      <c r="BY384" t="n">
        <v>0</v>
      </c>
      <c r="BZ384" t="n">
        <v>0</v>
      </c>
      <c r="CA384" t="n">
        <v>0</v>
      </c>
      <c r="CB384" t="n">
        <v>0</v>
      </c>
      <c r="CC384" t="n">
        <v>0</v>
      </c>
      <c r="CI384" t="n">
        <v>0.697</v>
      </c>
      <c r="CJ384" t="n">
        <v>0.697</v>
      </c>
      <c r="CK384" t="n">
        <v>3</v>
      </c>
      <c r="CL384" t="n">
        <v>8</v>
      </c>
      <c r="CM384" t="n">
        <v>0</v>
      </c>
      <c r="CP384" t="n">
        <v>3</v>
      </c>
      <c r="CR384" t="n">
        <v>1</v>
      </c>
      <c r="CS384" t="n">
        <v>1</v>
      </c>
      <c r="CW384" t="n">
        <v>0.98</v>
      </c>
      <c r="CX384" t="n">
        <v>0.98</v>
      </c>
      <c r="CY384" t="n">
        <v>2</v>
      </c>
      <c r="DB384" t="n">
        <v>0</v>
      </c>
      <c r="DC384" t="n">
        <v>1</v>
      </c>
      <c r="DD384" t="n">
        <v>1</v>
      </c>
      <c r="DF384" t="n">
        <v>0</v>
      </c>
      <c r="DG384" t="n">
        <v>0</v>
      </c>
      <c r="DO384" t="n">
        <v>0.1</v>
      </c>
      <c r="DP384" t="n">
        <v>1.72</v>
      </c>
      <c r="DQ384" t="n">
        <v>0.86</v>
      </c>
      <c r="DR384" t="n">
        <v>1.72</v>
      </c>
      <c r="DS384" t="n">
        <v>0</v>
      </c>
      <c r="DT384" t="n">
        <v>35</v>
      </c>
      <c r="DU384" t="n">
        <v>0.91</v>
      </c>
      <c r="DV384" t="inlineStr">
        <is>
          <t>flat</t>
        </is>
      </c>
      <c r="DW384" t="n">
        <v>113.18</v>
      </c>
      <c r="DX384" t="n">
        <v>116.76</v>
      </c>
      <c r="DY384" t="n">
        <v>113.02</v>
      </c>
      <c r="DZ384" t="n">
        <v>-0.15</v>
      </c>
      <c r="EA384" t="n">
        <v>216</v>
      </c>
      <c r="EB384" t="n">
        <v>13.71</v>
      </c>
      <c r="EC384" t="n">
        <v>7.11</v>
      </c>
      <c r="ED384" t="n">
        <v>120</v>
      </c>
      <c r="EE384" t="n">
        <v>324</v>
      </c>
      <c r="EF384" t="b">
        <v>1</v>
      </c>
      <c r="EG384" t="n">
        <v>20</v>
      </c>
      <c r="EH384" t="n">
        <v>66.7</v>
      </c>
      <c r="EI384" t="n">
        <v>330</v>
      </c>
      <c r="EP384" t="n">
        <v>45</v>
      </c>
    </row>
    <row r="385">
      <c r="A385" t="inlineStr">
        <is>
          <t>Divine Mukasa</t>
        </is>
      </c>
      <c r="B385" t="inlineStr">
        <is>
          <t>MCI</t>
        </is>
      </c>
      <c r="C385" t="inlineStr">
        <is>
          <t>MID</t>
        </is>
      </c>
      <c r="D385" t="inlineStr">
        <is>
          <t>MID</t>
        </is>
      </c>
      <c r="E385" t="n">
        <v>4.5</v>
      </c>
      <c r="F385" t="b">
        <v>1</v>
      </c>
      <c r="G385" t="b">
        <v>1</v>
      </c>
      <c r="H385" t="n">
        <v>19</v>
      </c>
      <c r="I385" t="inlineStr">
        <is>
          <t>a</t>
        </is>
      </c>
      <c r="L385" t="inlineStr">
        <is>
          <t>p590039</t>
        </is>
      </c>
      <c r="M385" t="n">
        <v>409</v>
      </c>
      <c r="Q385" t="n">
        <v>25</v>
      </c>
      <c r="R385" t="n">
        <v>2</v>
      </c>
      <c r="S385" t="n">
        <v>0</v>
      </c>
      <c r="T385" t="n">
        <v>0.278</v>
      </c>
      <c r="U385" t="n">
        <v>12.5</v>
      </c>
      <c r="V385" t="n">
        <v>2</v>
      </c>
      <c r="W385" t="n">
        <v>7.2</v>
      </c>
      <c r="X385" t="n">
        <v>0</v>
      </c>
      <c r="Y385" t="n">
        <v>0</v>
      </c>
      <c r="AA385" t="n">
        <v>0</v>
      </c>
      <c r="AB385" t="n">
        <v>0</v>
      </c>
      <c r="AC385" t="n">
        <v>0</v>
      </c>
      <c r="AD385" t="n">
        <v>0</v>
      </c>
      <c r="AE385" t="n">
        <v>0</v>
      </c>
      <c r="AF385" t="n">
        <v>5</v>
      </c>
      <c r="AG385" t="n">
        <v>5</v>
      </c>
      <c r="AH385" t="n">
        <v>0</v>
      </c>
      <c r="AI385" t="n">
        <v>2</v>
      </c>
      <c r="AJ385" t="n">
        <v>0</v>
      </c>
      <c r="AK385" t="n">
        <v>0</v>
      </c>
      <c r="AL385" t="n">
        <v>1</v>
      </c>
      <c r="AM385" t="n">
        <v>3.6</v>
      </c>
      <c r="AN385" t="n">
        <v>0</v>
      </c>
      <c r="AO385" t="n">
        <v>0</v>
      </c>
      <c r="AS385" t="n">
        <v>0</v>
      </c>
      <c r="AT385" t="n">
        <v>0</v>
      </c>
      <c r="AU385" t="n">
        <v>2</v>
      </c>
      <c r="AV385" t="n">
        <v>0</v>
      </c>
      <c r="AW385" t="n">
        <v>0.24</v>
      </c>
      <c r="AX385" t="n">
        <v>1</v>
      </c>
      <c r="AY385" t="n">
        <v>0</v>
      </c>
      <c r="AZ385" t="n">
        <v>0</v>
      </c>
      <c r="BA385" t="n">
        <v>0</v>
      </c>
      <c r="BB385" t="n">
        <v>0</v>
      </c>
      <c r="BC385" t="n">
        <v>0</v>
      </c>
      <c r="BD385" t="n">
        <v>0</v>
      </c>
      <c r="BE385" t="n">
        <v>0</v>
      </c>
      <c r="BH385" t="n">
        <v>1</v>
      </c>
      <c r="BI385" t="n">
        <v>0</v>
      </c>
      <c r="BJ385" t="n">
        <v>0</v>
      </c>
      <c r="BK385" t="n">
        <v>0</v>
      </c>
      <c r="BL385" t="n">
        <v>0</v>
      </c>
      <c r="BO385" t="n">
        <v>0</v>
      </c>
      <c r="BS385" t="n">
        <v>2</v>
      </c>
      <c r="BT385" t="n">
        <v>7.2</v>
      </c>
      <c r="BW385" t="n">
        <v>0.21</v>
      </c>
      <c r="BX385" t="n">
        <v>0.212</v>
      </c>
      <c r="BY385" t="n">
        <v>0.211</v>
      </c>
      <c r="BZ385" t="n">
        <v>0.759</v>
      </c>
      <c r="CA385" t="n">
        <v>0.211</v>
      </c>
      <c r="CB385" t="n">
        <v>0.759</v>
      </c>
      <c r="CC385" t="n">
        <v>2</v>
      </c>
      <c r="CE385" t="n">
        <v>2</v>
      </c>
      <c r="CG385" t="n">
        <v>1</v>
      </c>
      <c r="CI385" t="n">
        <v>0.722</v>
      </c>
      <c r="CJ385" t="n">
        <v>0.51</v>
      </c>
      <c r="CK385" t="n">
        <v>0</v>
      </c>
      <c r="CL385" t="n">
        <v>1</v>
      </c>
      <c r="CM385" t="n">
        <v>0</v>
      </c>
      <c r="CW385" t="n">
        <v>0.34</v>
      </c>
      <c r="CX385" t="n">
        <v>1.224</v>
      </c>
      <c r="CY385" t="n">
        <v>0</v>
      </c>
      <c r="DB385" t="n">
        <v>0</v>
      </c>
      <c r="DF385" t="n">
        <v>0</v>
      </c>
      <c r="DG385" t="n">
        <v>0</v>
      </c>
      <c r="DH385" t="n">
        <v>1</v>
      </c>
      <c r="DM385" t="n">
        <v>2</v>
      </c>
      <c r="DO385" t="n">
        <v>0.1</v>
      </c>
      <c r="DP385" t="n">
        <v>0</v>
      </c>
      <c r="DQ385" t="n">
        <v>0</v>
      </c>
      <c r="DR385" t="n">
        <v>0</v>
      </c>
      <c r="DS385" t="n">
        <v>0</v>
      </c>
      <c r="DT385" t="n">
        <v>0</v>
      </c>
      <c r="DU385" t="n">
        <v>0</v>
      </c>
      <c r="DV385" t="inlineStr">
        <is>
          <t>flat</t>
        </is>
      </c>
      <c r="DW385" t="n">
        <v>85</v>
      </c>
      <c r="DX385" t="n">
        <v>85</v>
      </c>
      <c r="DY385" t="n">
        <v>85</v>
      </c>
      <c r="DZ385" t="n">
        <v>0</v>
      </c>
      <c r="EA385" t="n">
        <v>1</v>
      </c>
      <c r="EC385" t="n">
        <v>85</v>
      </c>
      <c r="ED385" t="n">
        <v>85</v>
      </c>
      <c r="EE385" t="n">
        <v>1</v>
      </c>
      <c r="EF385" t="b">
        <v>0</v>
      </c>
      <c r="EG385" t="n">
        <v>0.1</v>
      </c>
      <c r="EH385" t="n">
        <v>66.7</v>
      </c>
      <c r="EI385" t="n">
        <v>463</v>
      </c>
      <c r="EK385" t="n">
        <v>12.5</v>
      </c>
      <c r="EL385" t="n">
        <v>12.5</v>
      </c>
      <c r="EN385" t="n">
        <v>118.6</v>
      </c>
      <c r="EO385" t="n">
        <v>118.6</v>
      </c>
      <c r="EP385" t="n">
        <v>12.5</v>
      </c>
    </row>
    <row r="386">
      <c r="A386" t="inlineStr">
        <is>
          <t>Josh Dasilva</t>
        </is>
      </c>
      <c r="B386" t="inlineStr">
        <is>
          <t>BRE</t>
        </is>
      </c>
      <c r="C386" t="inlineStr">
        <is>
          <t>MID</t>
        </is>
      </c>
      <c r="D386" t="inlineStr">
        <is>
          <t>MID</t>
        </is>
      </c>
      <c r="E386" t="n">
        <v>5</v>
      </c>
      <c r="F386" t="b">
        <v>1</v>
      </c>
      <c r="G386" t="b">
        <v>1</v>
      </c>
      <c r="H386" t="n">
        <v>27.8</v>
      </c>
      <c r="I386" t="inlineStr">
        <is>
          <t>a</t>
        </is>
      </c>
      <c r="L386" t="inlineStr">
        <is>
          <t>p183656</t>
        </is>
      </c>
      <c r="M386" t="n">
        <v>103</v>
      </c>
      <c r="Q386" t="n">
        <v>2</v>
      </c>
      <c r="R386" t="n">
        <v>2</v>
      </c>
      <c r="S386" t="n">
        <v>0</v>
      </c>
      <c r="T386" t="n">
        <v>0.022</v>
      </c>
      <c r="U386" t="n">
        <v>1</v>
      </c>
      <c r="V386" t="n">
        <v>2</v>
      </c>
      <c r="W386" t="n">
        <v>90</v>
      </c>
      <c r="X386" t="n">
        <v>0</v>
      </c>
      <c r="Y386" t="n">
        <v>0</v>
      </c>
      <c r="AA386" t="n">
        <v>0</v>
      </c>
      <c r="AB386" t="n">
        <v>0</v>
      </c>
      <c r="AC386" t="n">
        <v>0</v>
      </c>
      <c r="AD386" t="n">
        <v>0</v>
      </c>
      <c r="AE386" t="n">
        <v>0</v>
      </c>
      <c r="AF386" t="n">
        <v>5</v>
      </c>
      <c r="AG386" t="n">
        <v>5</v>
      </c>
      <c r="AH386" t="n">
        <v>0</v>
      </c>
      <c r="AI386" t="n">
        <v>2</v>
      </c>
      <c r="AJ386" t="n">
        <v>0</v>
      </c>
      <c r="AK386" t="n">
        <v>0</v>
      </c>
      <c r="AL386" t="n">
        <v>1</v>
      </c>
      <c r="AM386" t="n">
        <v>45</v>
      </c>
      <c r="AN386" t="n">
        <v>0</v>
      </c>
      <c r="AO386" t="n">
        <v>0</v>
      </c>
      <c r="AS386" t="n">
        <v>0</v>
      </c>
      <c r="AT386" t="n">
        <v>0</v>
      </c>
      <c r="AU386" t="n">
        <v>2</v>
      </c>
      <c r="AV386" t="n">
        <v>0</v>
      </c>
      <c r="AW386" t="n">
        <v>0.26</v>
      </c>
      <c r="AX386" t="n">
        <v>1</v>
      </c>
      <c r="AY386" t="n">
        <v>0.08</v>
      </c>
      <c r="AZ386" t="n">
        <v>0.073</v>
      </c>
      <c r="BA386" t="n">
        <v>0.076</v>
      </c>
      <c r="BB386" t="n">
        <v>0.073</v>
      </c>
      <c r="BC386" t="n">
        <v>3.6</v>
      </c>
      <c r="BD386" t="n">
        <v>3.271</v>
      </c>
      <c r="BE386" t="n">
        <v>3.436</v>
      </c>
      <c r="BH386" t="n">
        <v>1.077</v>
      </c>
      <c r="BI386" t="n">
        <v>1.66</v>
      </c>
      <c r="BJ386" t="n">
        <v>0.08599999999999999</v>
      </c>
      <c r="BK386" t="n">
        <v>3.87</v>
      </c>
      <c r="BL386" t="n">
        <v>-0.076</v>
      </c>
      <c r="BO386" t="n">
        <v>0.007</v>
      </c>
      <c r="BP386" t="n">
        <v>1</v>
      </c>
      <c r="BS386" t="n">
        <v>1</v>
      </c>
      <c r="BT386" t="n">
        <v>45</v>
      </c>
      <c r="BW386" t="n">
        <v>0</v>
      </c>
      <c r="BX386" t="n">
        <v>0</v>
      </c>
      <c r="BY386" t="n">
        <v>0</v>
      </c>
      <c r="BZ386" t="n">
        <v>0</v>
      </c>
      <c r="CA386" t="n">
        <v>0.076</v>
      </c>
      <c r="CB386" t="n">
        <v>3.436</v>
      </c>
      <c r="CC386" t="n">
        <v>0</v>
      </c>
      <c r="CE386" t="n">
        <v>1</v>
      </c>
      <c r="CI386" t="n">
        <v>0.206</v>
      </c>
      <c r="CJ386" t="n">
        <v>0.133</v>
      </c>
      <c r="CK386" t="n">
        <v>0</v>
      </c>
      <c r="CL386" t="n">
        <v>1</v>
      </c>
      <c r="CM386" t="n">
        <v>0</v>
      </c>
      <c r="CW386" t="n">
        <v>0.05</v>
      </c>
      <c r="CX386" t="n">
        <v>2.25</v>
      </c>
      <c r="CY386" t="n">
        <v>0</v>
      </c>
      <c r="DB386" t="n">
        <v>0</v>
      </c>
      <c r="DF386" t="n">
        <v>0</v>
      </c>
      <c r="DG386" t="n">
        <v>0</v>
      </c>
      <c r="DO386" t="n">
        <v>0</v>
      </c>
      <c r="DP386" t="n">
        <v>0</v>
      </c>
      <c r="DQ386" t="n">
        <v>0</v>
      </c>
      <c r="DR386" t="n">
        <v>0</v>
      </c>
      <c r="DS386" t="n">
        <v>0</v>
      </c>
      <c r="DT386" t="n">
        <v>0</v>
      </c>
      <c r="DU386" t="n">
        <v>0</v>
      </c>
      <c r="DV386" t="inlineStr">
        <is>
          <t>flat</t>
        </is>
      </c>
      <c r="DW386" t="n">
        <v>105.14</v>
      </c>
      <c r="DY386" t="n">
        <v>105.14</v>
      </c>
      <c r="DZ386" t="n">
        <v>0</v>
      </c>
      <c r="EA386" t="n">
        <v>1</v>
      </c>
      <c r="EC386" t="n">
        <v>105.14</v>
      </c>
      <c r="ED386" t="n">
        <v>105.14</v>
      </c>
      <c r="EE386" t="n">
        <v>1</v>
      </c>
      <c r="EF386" t="b">
        <v>0</v>
      </c>
      <c r="EG386" t="n">
        <v>0</v>
      </c>
      <c r="EH386" t="n">
        <v>0</v>
      </c>
      <c r="EI386" t="n">
        <v>331</v>
      </c>
      <c r="EJ386" t="n">
        <v>2</v>
      </c>
      <c r="EK386" t="n">
        <v>2</v>
      </c>
      <c r="EL386" t="n">
        <v>2</v>
      </c>
      <c r="EM386" t="n">
        <v>26.2</v>
      </c>
      <c r="EO386" t="n">
        <v>26.2</v>
      </c>
      <c r="EP386" t="n">
        <v>1</v>
      </c>
    </row>
    <row r="387">
      <c r="A387" t="inlineStr">
        <is>
          <t>Tyler Fletcher</t>
        </is>
      </c>
      <c r="B387" t="inlineStr">
        <is>
          <t>MUN</t>
        </is>
      </c>
      <c r="C387" t="inlineStr">
        <is>
          <t>MID</t>
        </is>
      </c>
      <c r="D387" t="inlineStr">
        <is>
          <t>MID</t>
        </is>
      </c>
      <c r="E387" t="n">
        <v>4.5</v>
      </c>
      <c r="F387" t="b">
        <v>1</v>
      </c>
      <c r="G387" t="b">
        <v>1</v>
      </c>
      <c r="H387" t="n">
        <v>19.4</v>
      </c>
      <c r="I387" t="inlineStr">
        <is>
          <t>a</t>
        </is>
      </c>
      <c r="L387" t="inlineStr">
        <is>
          <t>p519913</t>
        </is>
      </c>
      <c r="M387" t="n">
        <v>438</v>
      </c>
      <c r="Q387" t="n">
        <v>17</v>
      </c>
      <c r="R387" t="n">
        <v>2</v>
      </c>
      <c r="S387" t="n">
        <v>0</v>
      </c>
      <c r="T387" t="n">
        <v>0.189</v>
      </c>
      <c r="U387" t="n">
        <v>8.5</v>
      </c>
      <c r="V387" t="n">
        <v>2</v>
      </c>
      <c r="W387" t="n">
        <v>10.588</v>
      </c>
      <c r="X387" t="n">
        <v>0</v>
      </c>
      <c r="Y387" t="n">
        <v>0</v>
      </c>
      <c r="AA387" t="n">
        <v>0</v>
      </c>
      <c r="AB387" t="n">
        <v>0</v>
      </c>
      <c r="AC387" t="n">
        <v>0</v>
      </c>
      <c r="AD387" t="n">
        <v>0</v>
      </c>
      <c r="AE387" t="n">
        <v>0</v>
      </c>
      <c r="AF387" t="n">
        <v>6</v>
      </c>
      <c r="AG387" t="n">
        <v>6</v>
      </c>
      <c r="AH387" t="n">
        <v>0</v>
      </c>
      <c r="AI387" t="n">
        <v>2</v>
      </c>
      <c r="AJ387" t="n">
        <v>0</v>
      </c>
      <c r="AK387" t="n">
        <v>0</v>
      </c>
      <c r="AL387" t="n">
        <v>2</v>
      </c>
      <c r="AM387" t="n">
        <v>10.588</v>
      </c>
      <c r="AN387" t="n">
        <v>0</v>
      </c>
      <c r="AO387" t="n">
        <v>0</v>
      </c>
      <c r="AS387" t="n">
        <v>0</v>
      </c>
      <c r="AT387" t="n">
        <v>0</v>
      </c>
      <c r="AU387" t="n">
        <v>2</v>
      </c>
      <c r="AV387" t="n">
        <v>0</v>
      </c>
      <c r="AW387" t="n">
        <v>0.3</v>
      </c>
      <c r="AX387" t="n">
        <v>1</v>
      </c>
      <c r="AY387" t="n">
        <v>0</v>
      </c>
      <c r="AZ387" t="n">
        <v>0</v>
      </c>
      <c r="BA387" t="n">
        <v>0</v>
      </c>
      <c r="BB387" t="n">
        <v>0</v>
      </c>
      <c r="BC387" t="n">
        <v>0</v>
      </c>
      <c r="BD387" t="n">
        <v>0</v>
      </c>
      <c r="BE387" t="n">
        <v>0</v>
      </c>
      <c r="BH387" t="n">
        <v>1</v>
      </c>
      <c r="BI387" t="n">
        <v>0</v>
      </c>
      <c r="BJ387" t="n">
        <v>0</v>
      </c>
      <c r="BK387" t="n">
        <v>0</v>
      </c>
      <c r="BL387" t="n">
        <v>0</v>
      </c>
      <c r="BO387" t="n">
        <v>0</v>
      </c>
      <c r="BW387" t="n">
        <v>0.01</v>
      </c>
      <c r="BX387" t="n">
        <v>0</v>
      </c>
      <c r="BY387" t="n">
        <v>0.005</v>
      </c>
      <c r="BZ387" t="n">
        <v>0.026</v>
      </c>
      <c r="CA387" t="n">
        <v>0.005</v>
      </c>
      <c r="CB387" t="n">
        <v>0.026</v>
      </c>
      <c r="CC387" t="n">
        <v>0</v>
      </c>
      <c r="CI387" t="n">
        <v>0.021</v>
      </c>
      <c r="CJ387" t="n">
        <v>0.021</v>
      </c>
      <c r="CK387" t="n">
        <v>0</v>
      </c>
      <c r="CL387" t="n">
        <v>2</v>
      </c>
      <c r="CM387" t="n">
        <v>0</v>
      </c>
      <c r="CW387" t="n">
        <v>0.33</v>
      </c>
      <c r="CX387" t="n">
        <v>1.747</v>
      </c>
      <c r="CY387" t="n">
        <v>0</v>
      </c>
      <c r="DB387" t="n">
        <v>0</v>
      </c>
      <c r="DF387" t="n">
        <v>0</v>
      </c>
      <c r="DG387" t="n">
        <v>0</v>
      </c>
      <c r="DO387" t="n">
        <v>0.3</v>
      </c>
      <c r="DP387" t="n">
        <v>6.44</v>
      </c>
      <c r="DQ387" t="n">
        <v>3.2</v>
      </c>
      <c r="DR387" t="n">
        <v>6.4</v>
      </c>
      <c r="DS387" t="n">
        <v>0.04</v>
      </c>
      <c r="DT387" t="n">
        <v>52</v>
      </c>
      <c r="DU387" t="n">
        <v>1.36</v>
      </c>
      <c r="DV387" t="inlineStr">
        <is>
          <t>flat</t>
        </is>
      </c>
      <c r="DW387" t="n">
        <v>109</v>
      </c>
      <c r="DX387" t="n">
        <v>109</v>
      </c>
      <c r="EC387" t="n">
        <v>109</v>
      </c>
      <c r="ED387" t="n">
        <v>109</v>
      </c>
      <c r="EE387" t="n">
        <v>1</v>
      </c>
      <c r="EF387" t="b">
        <v>0</v>
      </c>
      <c r="EG387" t="n">
        <v>0</v>
      </c>
      <c r="EH387" t="n">
        <v>0</v>
      </c>
      <c r="EI387" t="n">
        <v>464</v>
      </c>
      <c r="EN387" t="n">
        <v>3400</v>
      </c>
      <c r="EO387" t="n">
        <v>3400</v>
      </c>
      <c r="EP387" t="n">
        <v>8.5</v>
      </c>
    </row>
    <row r="388">
      <c r="A388" t="inlineStr">
        <is>
          <t>Jenson Seelt</t>
        </is>
      </c>
      <c r="B388" t="inlineStr">
        <is>
          <t>SUN</t>
        </is>
      </c>
      <c r="C388" t="inlineStr">
        <is>
          <t>DEF</t>
        </is>
      </c>
      <c r="D388" t="inlineStr">
        <is>
          <t>DEF</t>
        </is>
      </c>
      <c r="E388" t="n">
        <v>4.5</v>
      </c>
      <c r="F388" t="b">
        <v>1</v>
      </c>
      <c r="G388" t="b">
        <v>1</v>
      </c>
      <c r="H388" t="n">
        <v>23.2</v>
      </c>
      <c r="I388" t="inlineStr">
        <is>
          <t>a</t>
        </is>
      </c>
      <c r="L388" t="inlineStr">
        <is>
          <t>p519634</t>
        </is>
      </c>
      <c r="M388" t="n">
        <v>537</v>
      </c>
      <c r="Q388" t="n">
        <v>133</v>
      </c>
      <c r="R388" t="n">
        <v>2</v>
      </c>
      <c r="S388" t="n">
        <v>1</v>
      </c>
      <c r="T388" t="n">
        <v>1.478</v>
      </c>
      <c r="U388" t="n">
        <v>66.5</v>
      </c>
      <c r="V388" t="n">
        <v>2</v>
      </c>
      <c r="W388" t="n">
        <v>1.353</v>
      </c>
      <c r="X388" t="n">
        <v>0</v>
      </c>
      <c r="Y388" t="n">
        <v>0</v>
      </c>
      <c r="AA388" t="n">
        <v>0</v>
      </c>
      <c r="AB388" t="n">
        <v>2</v>
      </c>
      <c r="AC388" t="n">
        <v>0</v>
      </c>
      <c r="AD388" t="n">
        <v>0</v>
      </c>
      <c r="AE388" t="n">
        <v>0</v>
      </c>
      <c r="AF388" t="n">
        <v>11</v>
      </c>
      <c r="AG388" t="n">
        <v>9</v>
      </c>
      <c r="AH388" t="n">
        <v>-2</v>
      </c>
      <c r="AI388" t="n">
        <v>2</v>
      </c>
      <c r="AJ388" t="n">
        <v>0</v>
      </c>
      <c r="AK388" t="n">
        <v>0</v>
      </c>
      <c r="AL388" t="n">
        <v>12</v>
      </c>
      <c r="AM388" t="n">
        <v>8.119999999999999</v>
      </c>
      <c r="AN388" t="n">
        <v>0</v>
      </c>
      <c r="AO388" t="n">
        <v>0</v>
      </c>
      <c r="AP388" t="n">
        <v>0</v>
      </c>
      <c r="AQ388" t="n">
        <v>0</v>
      </c>
      <c r="AR388" t="n">
        <v>0</v>
      </c>
      <c r="AS388" t="n">
        <v>0.026</v>
      </c>
      <c r="AT388" t="n">
        <v>0.5</v>
      </c>
      <c r="AU388" t="n">
        <v>2</v>
      </c>
      <c r="AV388" t="n">
        <v>0</v>
      </c>
      <c r="AW388" t="n">
        <v>0.23</v>
      </c>
      <c r="AX388" t="n">
        <v>1</v>
      </c>
      <c r="AY388" t="n">
        <v>0</v>
      </c>
      <c r="AZ388" t="n">
        <v>0</v>
      </c>
      <c r="BA388" t="n">
        <v>0</v>
      </c>
      <c r="BB388" t="n">
        <v>0</v>
      </c>
      <c r="BC388" t="n">
        <v>0</v>
      </c>
      <c r="BD388" t="n">
        <v>0</v>
      </c>
      <c r="BE388" t="n">
        <v>0</v>
      </c>
      <c r="BH388" t="n">
        <v>1</v>
      </c>
      <c r="BI388" t="n">
        <v>0</v>
      </c>
      <c r="BJ388" t="n">
        <v>0</v>
      </c>
      <c r="BK388" t="n">
        <v>0</v>
      </c>
      <c r="BL388" t="n">
        <v>0</v>
      </c>
      <c r="BO388" t="n">
        <v>0</v>
      </c>
      <c r="BW388" t="n">
        <v>0.01</v>
      </c>
      <c r="BX388" t="n">
        <v>0</v>
      </c>
      <c r="BY388" t="n">
        <v>0.005</v>
      </c>
      <c r="BZ388" t="n">
        <v>0.003</v>
      </c>
      <c r="CA388" t="n">
        <v>0.005</v>
      </c>
      <c r="CB388" t="n">
        <v>0.003</v>
      </c>
      <c r="CC388" t="n">
        <v>0</v>
      </c>
      <c r="CI388" t="n">
        <v>0.305</v>
      </c>
      <c r="CJ388" t="n">
        <v>0.305</v>
      </c>
      <c r="CK388" t="n">
        <v>8</v>
      </c>
      <c r="CL388" t="n">
        <v>6</v>
      </c>
      <c r="CM388" t="n">
        <v>4</v>
      </c>
      <c r="CP388" t="n">
        <v>7</v>
      </c>
      <c r="CQ388" t="n">
        <v>1</v>
      </c>
      <c r="CR388" t="n">
        <v>10</v>
      </c>
      <c r="CS388" t="n">
        <v>5</v>
      </c>
      <c r="CW388" t="n">
        <v>1.33</v>
      </c>
      <c r="CX388" t="n">
        <v>0.9</v>
      </c>
      <c r="CY388" t="n">
        <v>0</v>
      </c>
      <c r="DB388" t="n">
        <v>0</v>
      </c>
      <c r="DF388" t="n">
        <v>0</v>
      </c>
      <c r="DG388" t="n">
        <v>0</v>
      </c>
      <c r="DH388" t="n">
        <v>1</v>
      </c>
      <c r="DI388" t="n">
        <v>1</v>
      </c>
      <c r="DM388" t="n">
        <v>1</v>
      </c>
      <c r="DO388" t="n">
        <v>0</v>
      </c>
      <c r="DP388" t="n">
        <v>9.6</v>
      </c>
      <c r="DQ388" t="n">
        <v>4.85</v>
      </c>
      <c r="DR388" t="n">
        <v>9.699999999999999</v>
      </c>
      <c r="DS388" t="n">
        <v>-0.1</v>
      </c>
      <c r="DT388" t="n">
        <v>147</v>
      </c>
      <c r="DU388" t="n">
        <v>3.88</v>
      </c>
      <c r="DV388" t="inlineStr">
        <is>
          <t>flat</t>
        </is>
      </c>
      <c r="EN388" t="n">
        <v>26600</v>
      </c>
      <c r="EO388" t="n">
        <v>26600</v>
      </c>
      <c r="EP388" t="n">
        <v>66.5</v>
      </c>
    </row>
    <row r="389">
      <c r="A389" t="inlineStr">
        <is>
          <t>George Hemmings</t>
        </is>
      </c>
      <c r="B389" t="inlineStr">
        <is>
          <t>AVL</t>
        </is>
      </c>
      <c r="C389" t="inlineStr">
        <is>
          <t>MID</t>
        </is>
      </c>
      <c r="D389" t="inlineStr">
        <is>
          <t>MID</t>
        </is>
      </c>
      <c r="E389" t="n">
        <v>4.5</v>
      </c>
      <c r="F389" t="b">
        <v>1</v>
      </c>
      <c r="G389" t="b">
        <v>1</v>
      </c>
      <c r="H389" t="n">
        <v>19.5</v>
      </c>
      <c r="I389" t="inlineStr">
        <is>
          <t>a</t>
        </is>
      </c>
      <c r="L389" t="inlineStr">
        <is>
          <t>p577285</t>
        </is>
      </c>
      <c r="M389" t="n">
        <v>51</v>
      </c>
      <c r="Q389" t="n">
        <v>25</v>
      </c>
      <c r="R389" t="n">
        <v>2</v>
      </c>
      <c r="S389" t="n">
        <v>0</v>
      </c>
      <c r="T389" t="n">
        <v>0.278</v>
      </c>
      <c r="U389" t="n">
        <v>12.5</v>
      </c>
      <c r="V389" t="n">
        <v>2</v>
      </c>
      <c r="W389" t="n">
        <v>7.2</v>
      </c>
      <c r="X389" t="n">
        <v>0</v>
      </c>
      <c r="Y389" t="n">
        <v>0</v>
      </c>
      <c r="AA389" t="n">
        <v>0</v>
      </c>
      <c r="AB389" t="n">
        <v>0</v>
      </c>
      <c r="AC389" t="n">
        <v>0</v>
      </c>
      <c r="AD389" t="n">
        <v>0</v>
      </c>
      <c r="AE389" t="n">
        <v>0</v>
      </c>
      <c r="AF389" t="n">
        <v>5</v>
      </c>
      <c r="AG389" t="n">
        <v>5</v>
      </c>
      <c r="AH389" t="n">
        <v>0</v>
      </c>
      <c r="AI389" t="n">
        <v>2</v>
      </c>
      <c r="AJ389" t="n">
        <v>0</v>
      </c>
      <c r="AK389" t="n">
        <v>0</v>
      </c>
      <c r="AL389" t="n">
        <v>1</v>
      </c>
      <c r="AM389" t="n">
        <v>3.6</v>
      </c>
      <c r="AN389" t="n">
        <v>0</v>
      </c>
      <c r="AO389" t="n">
        <v>0</v>
      </c>
      <c r="AS389" t="n">
        <v>0</v>
      </c>
      <c r="AT389" t="n">
        <v>0</v>
      </c>
      <c r="AU389" t="n">
        <v>2</v>
      </c>
      <c r="AV389" t="n">
        <v>0</v>
      </c>
      <c r="AW389" t="n">
        <v>0.27</v>
      </c>
      <c r="AX389" t="n">
        <v>1</v>
      </c>
      <c r="AY389" t="n">
        <v>0.04</v>
      </c>
      <c r="AZ389" t="n">
        <v>0.019</v>
      </c>
      <c r="BA389" t="n">
        <v>0.03</v>
      </c>
      <c r="BB389" t="n">
        <v>0.019</v>
      </c>
      <c r="BC389" t="n">
        <v>0.144</v>
      </c>
      <c r="BD389" t="n">
        <v>0.07000000000000001</v>
      </c>
      <c r="BE389" t="n">
        <v>0.107</v>
      </c>
      <c r="BH389" t="n">
        <v>0.995</v>
      </c>
      <c r="BI389" t="n">
        <v>0.04</v>
      </c>
      <c r="BJ389" t="n">
        <v>0.04</v>
      </c>
      <c r="BK389" t="n">
        <v>0.144</v>
      </c>
      <c r="BL389" t="n">
        <v>-0.03</v>
      </c>
      <c r="BO389" t="n">
        <v>0.021</v>
      </c>
      <c r="BP389" t="n">
        <v>1</v>
      </c>
      <c r="BW389" t="n">
        <v>0.01</v>
      </c>
      <c r="BX389" t="n">
        <v>0</v>
      </c>
      <c r="BY389" t="n">
        <v>0.005</v>
      </c>
      <c r="BZ389" t="n">
        <v>0.018</v>
      </c>
      <c r="CA389" t="n">
        <v>0.035</v>
      </c>
      <c r="CB389" t="n">
        <v>0.125</v>
      </c>
      <c r="CC389" t="n">
        <v>0</v>
      </c>
      <c r="CI389" t="n">
        <v>0.382</v>
      </c>
      <c r="CJ389" t="n">
        <v>0.362</v>
      </c>
      <c r="CK389" t="n">
        <v>0</v>
      </c>
      <c r="CL389" t="n">
        <v>1</v>
      </c>
      <c r="CM389" t="n">
        <v>0</v>
      </c>
      <c r="CW389" t="n">
        <v>0.61</v>
      </c>
      <c r="CX389" t="n">
        <v>2.196</v>
      </c>
      <c r="CY389" t="n">
        <v>0</v>
      </c>
      <c r="DB389" t="n">
        <v>0</v>
      </c>
      <c r="DF389" t="n">
        <v>0</v>
      </c>
      <c r="DG389" t="n">
        <v>0</v>
      </c>
      <c r="DH389" t="n">
        <v>1</v>
      </c>
      <c r="DO389" t="n">
        <v>0.4</v>
      </c>
      <c r="DP389" t="n">
        <v>2.77</v>
      </c>
      <c r="DQ389" t="n">
        <v>1.86</v>
      </c>
      <c r="DR389" t="n">
        <v>3.72</v>
      </c>
      <c r="DS389" t="n">
        <v>-0.95</v>
      </c>
      <c r="DT389" t="n">
        <v>19</v>
      </c>
      <c r="DU389" t="n">
        <v>0.49</v>
      </c>
      <c r="DV389" t="inlineStr">
        <is>
          <t>flat</t>
        </is>
      </c>
      <c r="DW389" t="n">
        <v>77</v>
      </c>
      <c r="DY389" t="n">
        <v>77</v>
      </c>
      <c r="DZ389" t="n">
        <v>0</v>
      </c>
      <c r="EA389" t="n">
        <v>2</v>
      </c>
      <c r="EB389" t="n">
        <v>38.18</v>
      </c>
      <c r="EC389" t="n">
        <v>50</v>
      </c>
      <c r="ED389" t="n">
        <v>104</v>
      </c>
      <c r="EE389" t="n">
        <v>2</v>
      </c>
      <c r="EF389" t="b">
        <v>0</v>
      </c>
      <c r="EG389" t="n">
        <v>0.1</v>
      </c>
      <c r="EH389" t="n">
        <v>33.3</v>
      </c>
      <c r="EI389" t="n">
        <v>460</v>
      </c>
      <c r="EJ389" t="n">
        <v>25</v>
      </c>
      <c r="EM389" t="n">
        <v>841.9</v>
      </c>
      <c r="EN389" t="n">
        <v>5000</v>
      </c>
      <c r="EO389" t="n">
        <v>720.6</v>
      </c>
      <c r="EP389" t="n">
        <v>12.5</v>
      </c>
    </row>
    <row r="390">
      <c r="A390" t="inlineStr">
        <is>
          <t>Dane Scarlett</t>
        </is>
      </c>
      <c r="B390" t="inlineStr">
        <is>
          <t>TOT</t>
        </is>
      </c>
      <c r="C390" t="inlineStr">
        <is>
          <t>FWD</t>
        </is>
      </c>
      <c r="D390" t="inlineStr">
        <is>
          <t>FWD</t>
        </is>
      </c>
      <c r="E390" t="n">
        <v>4.5</v>
      </c>
      <c r="F390" t="b">
        <v>1</v>
      </c>
      <c r="G390" t="b">
        <v>1</v>
      </c>
      <c r="H390" t="n">
        <v>22.4</v>
      </c>
      <c r="I390" t="inlineStr">
        <is>
          <t>a</t>
        </is>
      </c>
      <c r="L390" t="inlineStr">
        <is>
          <t>p490145</t>
        </is>
      </c>
      <c r="M390" t="n">
        <v>528</v>
      </c>
      <c r="Q390" t="n">
        <v>7</v>
      </c>
      <c r="R390" t="n">
        <v>2</v>
      </c>
      <c r="S390" t="n">
        <v>0</v>
      </c>
      <c r="T390" t="n">
        <v>0.078</v>
      </c>
      <c r="U390" t="n">
        <v>3.5</v>
      </c>
      <c r="V390" t="n">
        <v>2</v>
      </c>
      <c r="W390" t="n">
        <v>25.714</v>
      </c>
      <c r="X390" t="n">
        <v>0</v>
      </c>
      <c r="Y390" t="n">
        <v>0</v>
      </c>
      <c r="AA390" t="n">
        <v>0</v>
      </c>
      <c r="AB390" t="n">
        <v>0</v>
      </c>
      <c r="AC390" t="n">
        <v>0</v>
      </c>
      <c r="AD390" t="n">
        <v>0</v>
      </c>
      <c r="AE390" t="n">
        <v>0</v>
      </c>
      <c r="AF390" t="n">
        <v>5</v>
      </c>
      <c r="AG390" t="n">
        <v>5</v>
      </c>
      <c r="AH390" t="n">
        <v>0</v>
      </c>
      <c r="AI390" t="n">
        <v>2</v>
      </c>
      <c r="AJ390" t="n">
        <v>0</v>
      </c>
      <c r="AK390" t="n">
        <v>0</v>
      </c>
      <c r="AL390" t="n">
        <v>1</v>
      </c>
      <c r="AM390" t="n">
        <v>12.857</v>
      </c>
      <c r="AN390" t="n">
        <v>0</v>
      </c>
      <c r="AO390" t="n">
        <v>0</v>
      </c>
      <c r="AS390" t="n">
        <v>0</v>
      </c>
      <c r="AT390" t="n">
        <v>0</v>
      </c>
      <c r="AU390" t="n">
        <v>2</v>
      </c>
      <c r="AV390" t="n">
        <v>0</v>
      </c>
      <c r="AW390" t="n">
        <v>0.23</v>
      </c>
      <c r="AX390" t="n">
        <v>1</v>
      </c>
      <c r="AY390" t="n">
        <v>0</v>
      </c>
      <c r="AZ390" t="n">
        <v>0</v>
      </c>
      <c r="BA390" t="n">
        <v>0</v>
      </c>
      <c r="BB390" t="n">
        <v>0</v>
      </c>
      <c r="BC390" t="n">
        <v>0</v>
      </c>
      <c r="BD390" t="n">
        <v>0</v>
      </c>
      <c r="BE390" t="n">
        <v>0</v>
      </c>
      <c r="BH390" t="n">
        <v>0.995</v>
      </c>
      <c r="BI390" t="n">
        <v>0.04</v>
      </c>
      <c r="BJ390" t="n">
        <v>0</v>
      </c>
      <c r="BK390" t="n">
        <v>0</v>
      </c>
      <c r="BL390" t="n">
        <v>0</v>
      </c>
      <c r="BO390" t="n">
        <v>0</v>
      </c>
      <c r="BS390" t="n">
        <v>1</v>
      </c>
      <c r="BT390" t="n">
        <v>12.857</v>
      </c>
      <c r="BW390" t="n">
        <v>0.01</v>
      </c>
      <c r="BX390" t="n">
        <v>0</v>
      </c>
      <c r="BY390" t="n">
        <v>0.005</v>
      </c>
      <c r="BZ390" t="n">
        <v>0.064</v>
      </c>
      <c r="CA390" t="n">
        <v>0.005</v>
      </c>
      <c r="CB390" t="n">
        <v>0.064</v>
      </c>
      <c r="CC390" t="n">
        <v>0</v>
      </c>
      <c r="CF390" t="n">
        <v>1</v>
      </c>
      <c r="CI390" t="n">
        <v>0.051</v>
      </c>
      <c r="CJ390" t="n">
        <v>0.051</v>
      </c>
      <c r="CK390" t="n">
        <v>0</v>
      </c>
      <c r="CL390" t="n">
        <v>1</v>
      </c>
      <c r="CM390" t="n">
        <v>0</v>
      </c>
      <c r="CW390" t="n">
        <v>0.03</v>
      </c>
      <c r="CX390" t="n">
        <v>0.386</v>
      </c>
      <c r="CY390" t="n">
        <v>0</v>
      </c>
      <c r="DB390" t="n">
        <v>0</v>
      </c>
      <c r="DF390" t="n">
        <v>0</v>
      </c>
      <c r="DG390" t="n">
        <v>0</v>
      </c>
      <c r="DH390" t="n">
        <v>1</v>
      </c>
      <c r="DM390" t="n">
        <v>1</v>
      </c>
      <c r="DO390" t="n">
        <v>1.7</v>
      </c>
      <c r="DP390" t="n">
        <v>0</v>
      </c>
      <c r="DQ390" t="n">
        <v>0</v>
      </c>
      <c r="DR390" t="n">
        <v>0</v>
      </c>
      <c r="DS390" t="n">
        <v>0</v>
      </c>
      <c r="DT390" t="n">
        <v>0</v>
      </c>
      <c r="DU390" t="n">
        <v>0</v>
      </c>
      <c r="DV390" t="inlineStr">
        <is>
          <t>flat</t>
        </is>
      </c>
      <c r="DW390" t="n">
        <v>100.99</v>
      </c>
      <c r="DX390" t="n">
        <v>111.5</v>
      </c>
      <c r="DY390" t="n">
        <v>72.68000000000001</v>
      </c>
      <c r="DZ390" t="n">
        <v>-28.3</v>
      </c>
      <c r="EA390" t="n">
        <v>2</v>
      </c>
      <c r="EB390" t="n">
        <v>22.5</v>
      </c>
      <c r="EC390" t="n">
        <v>53.87</v>
      </c>
      <c r="ED390" t="n">
        <v>118.55</v>
      </c>
      <c r="EE390" t="n">
        <v>7</v>
      </c>
      <c r="EF390" t="b">
        <v>0</v>
      </c>
      <c r="EG390" t="n">
        <v>0.2</v>
      </c>
      <c r="EH390" t="n">
        <v>30</v>
      </c>
      <c r="EI390" t="n">
        <v>465</v>
      </c>
      <c r="EK390" t="n">
        <v>7</v>
      </c>
      <c r="EN390" t="n">
        <v>1400</v>
      </c>
      <c r="EO390" t="n">
        <v>1400</v>
      </c>
      <c r="EP390" t="n">
        <v>3.5</v>
      </c>
    </row>
    <row r="391">
      <c r="A391" t="inlineStr">
        <is>
          <t>Rio Cardines</t>
        </is>
      </c>
      <c r="B391" t="inlineStr">
        <is>
          <t>CRY</t>
        </is>
      </c>
      <c r="C391" t="inlineStr">
        <is>
          <t>DEF</t>
        </is>
      </c>
      <c r="D391" t="inlineStr">
        <is>
          <t>MID</t>
        </is>
      </c>
      <c r="E391" t="n">
        <v>4.5</v>
      </c>
      <c r="F391" t="b">
        <v>1</v>
      </c>
      <c r="G391" t="b">
        <v>1</v>
      </c>
      <c r="H391" t="n">
        <v>20.1</v>
      </c>
      <c r="I391" t="inlineStr">
        <is>
          <t>u</t>
        </is>
      </c>
      <c r="J391" t="inlineStr">
        <is>
          <t>Has joined Bristol City on loan for the rest of the season</t>
        </is>
      </c>
      <c r="K391" t="n">
        <v>0</v>
      </c>
      <c r="L391" t="inlineStr">
        <is>
          <t>p590014</t>
        </is>
      </c>
      <c r="M391" t="n">
        <v>220</v>
      </c>
      <c r="Q391" t="n">
        <v>90</v>
      </c>
      <c r="R391" t="n">
        <v>1</v>
      </c>
      <c r="S391" t="n">
        <v>1</v>
      </c>
      <c r="T391" t="n">
        <v>1</v>
      </c>
      <c r="U391" t="n">
        <v>90</v>
      </c>
      <c r="V391" t="n">
        <v>2</v>
      </c>
      <c r="W391" t="n">
        <v>2</v>
      </c>
      <c r="X391" t="n">
        <v>0</v>
      </c>
      <c r="Y391" t="n">
        <v>0</v>
      </c>
      <c r="AA391" t="n">
        <v>0</v>
      </c>
      <c r="AB391" t="n">
        <v>2</v>
      </c>
      <c r="AC391" t="n">
        <v>0</v>
      </c>
      <c r="AD391" t="n">
        <v>0</v>
      </c>
      <c r="AE391" t="n">
        <v>0</v>
      </c>
      <c r="AF391" t="n">
        <v>21</v>
      </c>
      <c r="AG391" t="n">
        <v>20</v>
      </c>
      <c r="AH391" t="n">
        <v>-1</v>
      </c>
      <c r="AI391" t="n">
        <v>2</v>
      </c>
      <c r="AJ391" t="n">
        <v>0</v>
      </c>
      <c r="AK391" t="n">
        <v>0</v>
      </c>
      <c r="AL391" t="n">
        <v>7</v>
      </c>
      <c r="AM391" t="n">
        <v>7</v>
      </c>
      <c r="AN391" t="n">
        <v>0</v>
      </c>
      <c r="AO391" t="n">
        <v>0</v>
      </c>
      <c r="AP391" t="n">
        <v>0</v>
      </c>
      <c r="AQ391" t="n">
        <v>0</v>
      </c>
      <c r="AR391" t="n">
        <v>0</v>
      </c>
      <c r="AS391" t="n">
        <v>0.026</v>
      </c>
      <c r="AT391" t="n">
        <v>1</v>
      </c>
      <c r="AU391" t="n">
        <v>1</v>
      </c>
      <c r="AV391" t="n">
        <v>0</v>
      </c>
      <c r="AW391" t="n">
        <v>0.32</v>
      </c>
      <c r="AX391" t="n">
        <v>2</v>
      </c>
      <c r="AY391" t="n">
        <v>0.02</v>
      </c>
      <c r="AZ391" t="n">
        <v>0.018</v>
      </c>
      <c r="BA391" t="n">
        <v>0.019</v>
      </c>
      <c r="BB391" t="n">
        <v>0.018</v>
      </c>
      <c r="BC391" t="n">
        <v>0.02</v>
      </c>
      <c r="BD391" t="n">
        <v>0.018</v>
      </c>
      <c r="BE391" t="n">
        <v>0.019</v>
      </c>
      <c r="BH391" t="n">
        <v>0.998</v>
      </c>
      <c r="BI391" t="n">
        <v>0.02</v>
      </c>
      <c r="BJ391" t="n">
        <v>0.02</v>
      </c>
      <c r="BK391" t="n">
        <v>0.02</v>
      </c>
      <c r="BL391" t="n">
        <v>-0.019</v>
      </c>
      <c r="BO391" t="n">
        <v>0.002</v>
      </c>
      <c r="BP391" t="n">
        <v>1</v>
      </c>
      <c r="BS391" t="n">
        <v>1</v>
      </c>
      <c r="BT391" t="n">
        <v>1</v>
      </c>
      <c r="BW391" t="n">
        <v>0.16</v>
      </c>
      <c r="BX391" t="n">
        <v>0.298</v>
      </c>
      <c r="BY391" t="n">
        <v>0.229</v>
      </c>
      <c r="BZ391" t="n">
        <v>0.229</v>
      </c>
      <c r="CA391" t="n">
        <v>0.248</v>
      </c>
      <c r="CB391" t="n">
        <v>0.248</v>
      </c>
      <c r="CC391" t="n">
        <v>2</v>
      </c>
      <c r="CD391" t="n">
        <v>2</v>
      </c>
      <c r="CE391" t="n">
        <v>2</v>
      </c>
      <c r="CF391" t="n">
        <v>2</v>
      </c>
      <c r="CI391" t="n">
        <v>0.406</v>
      </c>
      <c r="CJ391" t="n">
        <v>0.182</v>
      </c>
      <c r="CK391" t="n">
        <v>2</v>
      </c>
      <c r="CL391" t="n">
        <v>4</v>
      </c>
      <c r="CM391" t="n">
        <v>1</v>
      </c>
      <c r="CN391" t="n">
        <v>1</v>
      </c>
      <c r="CP391" t="n">
        <v>2</v>
      </c>
      <c r="CR391" t="n">
        <v>4</v>
      </c>
      <c r="CW391" t="n">
        <v>2.53</v>
      </c>
      <c r="CX391" t="n">
        <v>2.53</v>
      </c>
      <c r="CY391" t="n">
        <v>0</v>
      </c>
      <c r="DB391" t="n">
        <v>0</v>
      </c>
      <c r="DF391" t="n">
        <v>0</v>
      </c>
      <c r="DG391" t="n">
        <v>0</v>
      </c>
      <c r="DI391" t="n">
        <v>1</v>
      </c>
      <c r="DL391" t="n">
        <v>2</v>
      </c>
      <c r="DM391" t="n">
        <v>1</v>
      </c>
      <c r="DO391" t="n">
        <v>0</v>
      </c>
      <c r="DW391" t="n">
        <v>92.44</v>
      </c>
      <c r="DY391" t="n">
        <v>107.73</v>
      </c>
      <c r="DZ391" t="n">
        <v>15.3</v>
      </c>
      <c r="EA391" t="n">
        <v>1</v>
      </c>
      <c r="EB391" t="n">
        <v>21.63</v>
      </c>
      <c r="EC391" t="n">
        <v>77.14</v>
      </c>
      <c r="ED391" t="n">
        <v>107.73</v>
      </c>
      <c r="EE391" t="n">
        <v>2</v>
      </c>
      <c r="EF391" t="b">
        <v>0</v>
      </c>
      <c r="EG391" t="n">
        <v>0</v>
      </c>
      <c r="EH391" t="n">
        <v>0</v>
      </c>
      <c r="EI391" t="n">
        <v>461</v>
      </c>
      <c r="EJ391" t="n">
        <v>90</v>
      </c>
      <c r="EK391" t="n">
        <v>90</v>
      </c>
      <c r="EL391" t="n">
        <v>45</v>
      </c>
      <c r="EM391" t="n">
        <v>4681.8</v>
      </c>
      <c r="EN391" t="n">
        <v>393</v>
      </c>
      <c r="EO391" t="n">
        <v>362.6</v>
      </c>
      <c r="EP391" t="n">
        <v>45</v>
      </c>
    </row>
    <row r="392">
      <c r="A392" t="inlineStr">
        <is>
          <t>Jun'ai Byfield</t>
        </is>
      </c>
      <c r="B392" t="inlineStr">
        <is>
          <t>TOT</t>
        </is>
      </c>
      <c r="C392" t="inlineStr">
        <is>
          <t>DEF</t>
        </is>
      </c>
      <c r="D392" t="inlineStr">
        <is>
          <t>DEF</t>
        </is>
      </c>
      <c r="E392" t="n">
        <v>4</v>
      </c>
      <c r="F392" t="b">
        <v>1</v>
      </c>
      <c r="G392" t="b">
        <v>1</v>
      </c>
      <c r="I392" t="inlineStr">
        <is>
          <t>a</t>
        </is>
      </c>
      <c r="L392" t="inlineStr">
        <is>
          <t>p640419</t>
        </is>
      </c>
      <c r="M392" t="n">
        <v>509</v>
      </c>
      <c r="Q392" t="n">
        <v>1</v>
      </c>
      <c r="R392" t="n">
        <v>1</v>
      </c>
      <c r="S392" t="n">
        <v>0</v>
      </c>
      <c r="T392" t="n">
        <v>0.011</v>
      </c>
      <c r="U392" t="n">
        <v>1</v>
      </c>
      <c r="V392" t="n">
        <v>1</v>
      </c>
      <c r="W392" t="n">
        <v>90</v>
      </c>
      <c r="X392" t="n">
        <v>0</v>
      </c>
      <c r="Y392" t="n">
        <v>0</v>
      </c>
      <c r="AA392" t="n">
        <v>0</v>
      </c>
      <c r="AB392" t="n">
        <v>0</v>
      </c>
      <c r="AC392" t="n">
        <v>0</v>
      </c>
      <c r="AD392" t="n">
        <v>0</v>
      </c>
      <c r="AE392" t="n">
        <v>0</v>
      </c>
      <c r="AF392" t="n">
        <v>3</v>
      </c>
      <c r="AG392" t="n">
        <v>3</v>
      </c>
      <c r="AH392" t="n">
        <v>0</v>
      </c>
      <c r="AI392" t="n">
        <v>1</v>
      </c>
      <c r="AJ392" t="n">
        <v>0</v>
      </c>
      <c r="AK392" t="n">
        <v>0</v>
      </c>
      <c r="AL392" t="n">
        <v>0</v>
      </c>
      <c r="AM392" t="n">
        <v>0</v>
      </c>
      <c r="AN392" t="n">
        <v>0</v>
      </c>
      <c r="AO392" t="n">
        <v>0</v>
      </c>
      <c r="AS392" t="n">
        <v>0</v>
      </c>
      <c r="AT392" t="n">
        <v>0</v>
      </c>
      <c r="AU392" t="n">
        <v>1</v>
      </c>
      <c r="AV392" t="n">
        <v>0</v>
      </c>
      <c r="AW392" t="n">
        <v>0.18</v>
      </c>
      <c r="AX392" t="n">
        <v>1</v>
      </c>
      <c r="AY392" t="n">
        <v>0</v>
      </c>
      <c r="AZ392" t="n">
        <v>0</v>
      </c>
      <c r="BA392" t="n">
        <v>0</v>
      </c>
      <c r="BB392" t="n">
        <v>0</v>
      </c>
      <c r="BC392" t="n">
        <v>0</v>
      </c>
      <c r="BD392" t="n">
        <v>0</v>
      </c>
      <c r="BE392" t="n">
        <v>0</v>
      </c>
      <c r="BH392" t="n">
        <v>1</v>
      </c>
      <c r="BI392" t="n">
        <v>0</v>
      </c>
      <c r="BJ392" t="n">
        <v>0</v>
      </c>
      <c r="BK392" t="n">
        <v>0</v>
      </c>
      <c r="BL392" t="n">
        <v>0</v>
      </c>
      <c r="BO392" t="n">
        <v>0</v>
      </c>
      <c r="BW392" t="n">
        <v>0</v>
      </c>
      <c r="BX392" t="n">
        <v>0</v>
      </c>
      <c r="BY392" t="n">
        <v>0</v>
      </c>
      <c r="BZ392" t="n">
        <v>0</v>
      </c>
      <c r="CA392" t="n">
        <v>0</v>
      </c>
      <c r="CB392" t="n">
        <v>0</v>
      </c>
      <c r="CC392" t="n">
        <v>0</v>
      </c>
      <c r="CI392" t="n">
        <v>0</v>
      </c>
      <c r="CJ392" t="n">
        <v>0</v>
      </c>
      <c r="CK392" t="n">
        <v>0</v>
      </c>
      <c r="CL392" t="n">
        <v>0</v>
      </c>
      <c r="CM392" t="n">
        <v>0</v>
      </c>
      <c r="CR392" t="n">
        <v>1</v>
      </c>
      <c r="CS392" t="n">
        <v>1</v>
      </c>
      <c r="CW392" t="n">
        <v>0</v>
      </c>
      <c r="CX392" t="n">
        <v>0</v>
      </c>
      <c r="CY392" t="n">
        <v>0</v>
      </c>
      <c r="DB392" t="n">
        <v>0</v>
      </c>
      <c r="DF392" t="n">
        <v>0</v>
      </c>
      <c r="DG392" t="n">
        <v>0</v>
      </c>
      <c r="DO392" t="n">
        <v>0.1</v>
      </c>
      <c r="DP392" t="n">
        <v>0</v>
      </c>
      <c r="DQ392" t="n">
        <v>0</v>
      </c>
      <c r="DR392" t="n">
        <v>0</v>
      </c>
      <c r="DS392" t="n">
        <v>0</v>
      </c>
      <c r="DT392" t="n">
        <v>0</v>
      </c>
      <c r="DU392" t="n">
        <v>0</v>
      </c>
      <c r="DV392" t="inlineStr">
        <is>
          <t>flat</t>
        </is>
      </c>
      <c r="DW392" t="n">
        <v>95</v>
      </c>
      <c r="DX392" t="n">
        <v>95</v>
      </c>
      <c r="EC392" t="n">
        <v>95</v>
      </c>
      <c r="ED392" t="n">
        <v>95</v>
      </c>
      <c r="EE392" t="n">
        <v>1</v>
      </c>
      <c r="EF392" t="b">
        <v>0</v>
      </c>
      <c r="EG392" t="n">
        <v>0</v>
      </c>
      <c r="EH392" t="n">
        <v>0</v>
      </c>
      <c r="EI392" t="n">
        <v>530</v>
      </c>
      <c r="EP392" t="n">
        <v>1</v>
      </c>
    </row>
    <row r="393">
      <c r="A393" t="inlineStr">
        <is>
          <t>Nehemiah Oriola</t>
        </is>
      </c>
      <c r="B393" t="inlineStr">
        <is>
          <t>BHA</t>
        </is>
      </c>
      <c r="C393" t="inlineStr">
        <is>
          <t>MID</t>
        </is>
      </c>
      <c r="D393" t="inlineStr">
        <is>
          <t>MID</t>
        </is>
      </c>
      <c r="E393" t="n">
        <v>4.5</v>
      </c>
      <c r="F393" t="b">
        <v>1</v>
      </c>
      <c r="G393" t="b">
        <v>1</v>
      </c>
      <c r="I393" t="inlineStr">
        <is>
          <t>a</t>
        </is>
      </c>
      <c r="L393" t="inlineStr">
        <is>
          <t>p556637</t>
        </is>
      </c>
      <c r="M393" t="n">
        <v>134</v>
      </c>
      <c r="Q393" t="n">
        <v>1</v>
      </c>
      <c r="R393" t="n">
        <v>1</v>
      </c>
      <c r="S393" t="n">
        <v>0</v>
      </c>
      <c r="T393" t="n">
        <v>0.011</v>
      </c>
      <c r="U393" t="n">
        <v>1</v>
      </c>
      <c r="V393" t="n">
        <v>1</v>
      </c>
      <c r="W393" t="n">
        <v>90</v>
      </c>
      <c r="X393" t="n">
        <v>0</v>
      </c>
      <c r="Y393" t="n">
        <v>0</v>
      </c>
      <c r="AA393" t="n">
        <v>0</v>
      </c>
      <c r="AB393" t="n">
        <v>0</v>
      </c>
      <c r="AC393" t="n">
        <v>0</v>
      </c>
      <c r="AD393" t="n">
        <v>0</v>
      </c>
      <c r="AE393" t="n">
        <v>0</v>
      </c>
      <c r="AF393" t="n">
        <v>3</v>
      </c>
      <c r="AG393" t="n">
        <v>3</v>
      </c>
      <c r="AH393" t="n">
        <v>0</v>
      </c>
      <c r="AI393" t="n">
        <v>1</v>
      </c>
      <c r="AJ393" t="n">
        <v>0</v>
      </c>
      <c r="AK393" t="n">
        <v>0</v>
      </c>
      <c r="AL393" t="n">
        <v>0</v>
      </c>
      <c r="AM393" t="n">
        <v>0</v>
      </c>
      <c r="AN393" t="n">
        <v>0</v>
      </c>
      <c r="AO393" t="n">
        <v>0</v>
      </c>
      <c r="AS393" t="n">
        <v>0</v>
      </c>
      <c r="AT393" t="n">
        <v>0</v>
      </c>
      <c r="AU393" t="n">
        <v>1</v>
      </c>
      <c r="AV393" t="n">
        <v>0</v>
      </c>
      <c r="AW393" t="n">
        <v>0.18</v>
      </c>
      <c r="AX393" t="n">
        <v>1</v>
      </c>
      <c r="AY393" t="n">
        <v>0</v>
      </c>
      <c r="AZ393" t="n">
        <v>0</v>
      </c>
      <c r="BA393" t="n">
        <v>0</v>
      </c>
      <c r="BB393" t="n">
        <v>0</v>
      </c>
      <c r="BC393" t="n">
        <v>0</v>
      </c>
      <c r="BD393" t="n">
        <v>0</v>
      </c>
      <c r="BE393" t="n">
        <v>0</v>
      </c>
      <c r="BH393" t="n">
        <v>1</v>
      </c>
      <c r="BI393" t="n">
        <v>0</v>
      </c>
      <c r="BJ393" t="n">
        <v>0</v>
      </c>
      <c r="BK393" t="n">
        <v>0</v>
      </c>
      <c r="BL393" t="n">
        <v>0</v>
      </c>
      <c r="BO393" t="n">
        <v>0</v>
      </c>
      <c r="BW393" t="n">
        <v>0</v>
      </c>
      <c r="BX393" t="n">
        <v>0</v>
      </c>
      <c r="BY393" t="n">
        <v>0</v>
      </c>
      <c r="BZ393" t="n">
        <v>0</v>
      </c>
      <c r="CA393" t="n">
        <v>0</v>
      </c>
      <c r="CB393" t="n">
        <v>0</v>
      </c>
      <c r="CC393" t="n">
        <v>0</v>
      </c>
      <c r="CI393" t="n">
        <v>0</v>
      </c>
      <c r="CJ393" t="n">
        <v>0</v>
      </c>
      <c r="CK393" t="n">
        <v>0</v>
      </c>
      <c r="CL393" t="n">
        <v>0</v>
      </c>
      <c r="CM393" t="n">
        <v>0</v>
      </c>
      <c r="CW393" t="n">
        <v>0</v>
      </c>
      <c r="CX393" t="n">
        <v>0</v>
      </c>
      <c r="CY393" t="n">
        <v>0</v>
      </c>
      <c r="DB393" t="n">
        <v>0</v>
      </c>
      <c r="DF393" t="n">
        <v>0</v>
      </c>
      <c r="DG393" t="n">
        <v>0</v>
      </c>
      <c r="DO393" t="n">
        <v>0.2</v>
      </c>
      <c r="DP393" t="n">
        <v>0</v>
      </c>
      <c r="DQ393" t="n">
        <v>0</v>
      </c>
      <c r="DR393" t="n">
        <v>0</v>
      </c>
      <c r="DS393" t="n">
        <v>0</v>
      </c>
      <c r="DT393" t="n">
        <v>0</v>
      </c>
      <c r="DU393" t="n">
        <v>0</v>
      </c>
      <c r="DV393" t="inlineStr">
        <is>
          <t>flat</t>
        </is>
      </c>
      <c r="EP393" t="n">
        <v>1</v>
      </c>
    </row>
    <row r="394">
      <c r="A394" t="inlineStr">
        <is>
          <t>Bradley Burrowes</t>
        </is>
      </c>
      <c r="B394" t="inlineStr">
        <is>
          <t>AVL</t>
        </is>
      </c>
      <c r="C394" t="inlineStr">
        <is>
          <t>MID</t>
        </is>
      </c>
      <c r="D394" t="inlineStr">
        <is>
          <t>MID</t>
        </is>
      </c>
      <c r="E394" t="n">
        <v>4.5</v>
      </c>
      <c r="F394" t="b">
        <v>1</v>
      </c>
      <c r="G394" t="b">
        <v>1</v>
      </c>
      <c r="H394" t="n">
        <v>18.5</v>
      </c>
      <c r="I394" t="inlineStr">
        <is>
          <t>a</t>
        </is>
      </c>
      <c r="L394" t="inlineStr">
        <is>
          <t>p645618</t>
        </is>
      </c>
      <c r="M394" t="n">
        <v>50</v>
      </c>
      <c r="Q394" t="n">
        <v>16</v>
      </c>
      <c r="R394" t="n">
        <v>1</v>
      </c>
      <c r="S394" t="n">
        <v>0</v>
      </c>
      <c r="T394" t="n">
        <v>0.178</v>
      </c>
      <c r="U394" t="n">
        <v>16</v>
      </c>
      <c r="V394" t="n">
        <v>1</v>
      </c>
      <c r="W394" t="n">
        <v>5.625</v>
      </c>
      <c r="X394" t="n">
        <v>0</v>
      </c>
      <c r="Y394" t="n">
        <v>0</v>
      </c>
      <c r="AA394" t="n">
        <v>0</v>
      </c>
      <c r="AB394" t="n">
        <v>1</v>
      </c>
      <c r="AC394" t="n">
        <v>0</v>
      </c>
      <c r="AD394" t="n">
        <v>0</v>
      </c>
      <c r="AE394" t="n">
        <v>0</v>
      </c>
      <c r="AF394" t="n">
        <v>3</v>
      </c>
      <c r="AG394" t="n">
        <v>3</v>
      </c>
      <c r="AH394" t="n">
        <v>0</v>
      </c>
      <c r="AI394" t="n">
        <v>1</v>
      </c>
      <c r="AJ394" t="n">
        <v>0</v>
      </c>
      <c r="AK394" t="n">
        <v>0</v>
      </c>
      <c r="AL394" t="n">
        <v>1</v>
      </c>
      <c r="AM394" t="n">
        <v>5.625</v>
      </c>
      <c r="AN394" t="n">
        <v>0</v>
      </c>
      <c r="AO394" t="n">
        <v>0</v>
      </c>
      <c r="AS394" t="n">
        <v>0</v>
      </c>
      <c r="AT394" t="n">
        <v>0</v>
      </c>
      <c r="AU394" t="n">
        <v>1</v>
      </c>
      <c r="AV394" t="n">
        <v>0</v>
      </c>
      <c r="AW394" t="n">
        <v>0.16</v>
      </c>
      <c r="AX394" t="n">
        <v>1</v>
      </c>
      <c r="AY394" t="n">
        <v>0</v>
      </c>
      <c r="AZ394" t="n">
        <v>0</v>
      </c>
      <c r="BA394" t="n">
        <v>0</v>
      </c>
      <c r="BB394" t="n">
        <v>0</v>
      </c>
      <c r="BC394" t="n">
        <v>0</v>
      </c>
      <c r="BD394" t="n">
        <v>0</v>
      </c>
      <c r="BE394" t="n">
        <v>0</v>
      </c>
      <c r="BH394" t="n">
        <v>1</v>
      </c>
      <c r="BI394" t="n">
        <v>0</v>
      </c>
      <c r="BJ394" t="n">
        <v>0</v>
      </c>
      <c r="BK394" t="n">
        <v>0</v>
      </c>
      <c r="BL394" t="n">
        <v>0</v>
      </c>
      <c r="BO394" t="n">
        <v>0</v>
      </c>
      <c r="BW394" t="n">
        <v>0</v>
      </c>
      <c r="BX394" t="n">
        <v>0</v>
      </c>
      <c r="BY394" t="n">
        <v>0</v>
      </c>
      <c r="BZ394" t="n">
        <v>0</v>
      </c>
      <c r="CA394" t="n">
        <v>0</v>
      </c>
      <c r="CB394" t="n">
        <v>0</v>
      </c>
      <c r="CC394" t="n">
        <v>0</v>
      </c>
      <c r="CI394" t="n">
        <v>0</v>
      </c>
      <c r="CJ394" t="n">
        <v>0</v>
      </c>
      <c r="CK394" t="n">
        <v>0</v>
      </c>
      <c r="CL394" t="n">
        <v>1</v>
      </c>
      <c r="CM394" t="n">
        <v>0</v>
      </c>
      <c r="CR394" t="n">
        <v>1</v>
      </c>
      <c r="CW394" t="n">
        <v>0.9</v>
      </c>
      <c r="CX394" t="n">
        <v>5.063</v>
      </c>
      <c r="CY394" t="n">
        <v>0</v>
      </c>
      <c r="DB394" t="n">
        <v>0</v>
      </c>
      <c r="DF394" t="n">
        <v>0</v>
      </c>
      <c r="DG394" t="n">
        <v>0</v>
      </c>
      <c r="DI394" t="n">
        <v>1</v>
      </c>
      <c r="DO394" t="n">
        <v>0.8</v>
      </c>
      <c r="DP394" t="n">
        <v>0</v>
      </c>
      <c r="DQ394" t="n">
        <v>0</v>
      </c>
      <c r="DR394" t="n">
        <v>0</v>
      </c>
      <c r="DS394" t="n">
        <v>0</v>
      </c>
      <c r="DT394" t="n">
        <v>0</v>
      </c>
      <c r="DU394" t="n">
        <v>0</v>
      </c>
      <c r="DV394" t="inlineStr">
        <is>
          <t>flat</t>
        </is>
      </c>
      <c r="EP394" t="n">
        <v>16</v>
      </c>
    </row>
    <row r="395">
      <c r="A395" t="inlineStr">
        <is>
          <t>Sean Neave</t>
        </is>
      </c>
      <c r="B395" t="inlineStr">
        <is>
          <t>NEW</t>
        </is>
      </c>
      <c r="C395" t="inlineStr">
        <is>
          <t>FWD</t>
        </is>
      </c>
      <c r="D395" t="inlineStr">
        <is>
          <t>FWD</t>
        </is>
      </c>
      <c r="E395" t="n">
        <v>4.5</v>
      </c>
      <c r="F395" t="b">
        <v>1</v>
      </c>
      <c r="G395" t="b">
        <v>1</v>
      </c>
      <c r="H395" t="n">
        <v>19.2</v>
      </c>
      <c r="I395" t="inlineStr">
        <is>
          <t>a</t>
        </is>
      </c>
      <c r="L395" t="inlineStr">
        <is>
          <t>p599303</t>
        </is>
      </c>
      <c r="M395" t="n">
        <v>466</v>
      </c>
      <c r="Q395" t="n">
        <v>13</v>
      </c>
      <c r="R395" t="n">
        <v>1</v>
      </c>
      <c r="S395" t="n">
        <v>0</v>
      </c>
      <c r="T395" t="n">
        <v>0.144</v>
      </c>
      <c r="U395" t="n">
        <v>13</v>
      </c>
      <c r="V395" t="n">
        <v>1</v>
      </c>
      <c r="W395" t="n">
        <v>6.923</v>
      </c>
      <c r="X395" t="n">
        <v>0</v>
      </c>
      <c r="Y395" t="n">
        <v>0</v>
      </c>
      <c r="AA395" t="n">
        <v>0</v>
      </c>
      <c r="AB395" t="n">
        <v>1</v>
      </c>
      <c r="AC395" t="n">
        <v>0</v>
      </c>
      <c r="AD395" t="n">
        <v>0</v>
      </c>
      <c r="AE395" t="n">
        <v>0</v>
      </c>
      <c r="AF395" t="n">
        <v>2</v>
      </c>
      <c r="AG395" t="n">
        <v>2</v>
      </c>
      <c r="AH395" t="n">
        <v>0</v>
      </c>
      <c r="AI395" t="n">
        <v>1</v>
      </c>
      <c r="AJ395" t="n">
        <v>0</v>
      </c>
      <c r="AK395" t="n">
        <v>0</v>
      </c>
      <c r="AL395" t="n">
        <v>0</v>
      </c>
      <c r="AM395" t="n">
        <v>0</v>
      </c>
      <c r="AN395" t="n">
        <v>0</v>
      </c>
      <c r="AO395" t="n">
        <v>0</v>
      </c>
      <c r="AS395" t="n">
        <v>0</v>
      </c>
      <c r="AT395" t="n">
        <v>0</v>
      </c>
      <c r="AU395" t="n">
        <v>1</v>
      </c>
      <c r="AV395" t="n">
        <v>0</v>
      </c>
      <c r="AW395" t="n">
        <v>0.16</v>
      </c>
      <c r="AX395" t="n">
        <v>1</v>
      </c>
      <c r="AY395" t="n">
        <v>0.03</v>
      </c>
      <c r="BA395" t="n">
        <v>0.03</v>
      </c>
      <c r="BC395" t="n">
        <v>0.208</v>
      </c>
      <c r="BE395" t="n">
        <v>0.208</v>
      </c>
      <c r="BH395" t="n">
        <v>0.996</v>
      </c>
      <c r="BI395" t="n">
        <v>0.03</v>
      </c>
      <c r="BJ395" t="n">
        <v>0.03</v>
      </c>
      <c r="BK395" t="n">
        <v>0.208</v>
      </c>
      <c r="BL395" t="n">
        <v>-0.03</v>
      </c>
      <c r="BP395" t="n">
        <v>1</v>
      </c>
      <c r="BS395" t="n">
        <v>1</v>
      </c>
      <c r="BT395" t="n">
        <v>6.923</v>
      </c>
      <c r="BW395" t="n">
        <v>0</v>
      </c>
      <c r="BY395" t="n">
        <v>0</v>
      </c>
      <c r="BZ395" t="n">
        <v>0</v>
      </c>
      <c r="CA395" t="n">
        <v>0.03</v>
      </c>
      <c r="CB395" t="n">
        <v>0.208</v>
      </c>
      <c r="CK395" t="n">
        <v>0</v>
      </c>
      <c r="CL395" t="n">
        <v>0</v>
      </c>
      <c r="CM395" t="n">
        <v>0</v>
      </c>
      <c r="CW395" t="n">
        <v>0.37</v>
      </c>
      <c r="CX395" t="n">
        <v>2.562</v>
      </c>
      <c r="CY395" t="n">
        <v>0</v>
      </c>
      <c r="DB395" t="n">
        <v>0</v>
      </c>
      <c r="DF395" t="n">
        <v>0</v>
      </c>
      <c r="DG395" t="n">
        <v>0</v>
      </c>
      <c r="DM395" t="n">
        <v>1</v>
      </c>
      <c r="DO395" t="n">
        <v>0.7</v>
      </c>
      <c r="DP395" t="n">
        <v>1.14</v>
      </c>
      <c r="DQ395" t="n">
        <v>0.57</v>
      </c>
      <c r="DR395" t="n">
        <v>1.14</v>
      </c>
      <c r="DS395" t="n">
        <v>0</v>
      </c>
      <c r="DT395" t="n">
        <v>0</v>
      </c>
      <c r="DU395" t="n">
        <v>0.01</v>
      </c>
      <c r="DV395" t="inlineStr">
        <is>
          <t>flat</t>
        </is>
      </c>
      <c r="DW395" t="n">
        <v>85.25</v>
      </c>
      <c r="DX395" t="n">
        <v>80</v>
      </c>
      <c r="DY395" t="n">
        <v>76.31</v>
      </c>
      <c r="DZ395" t="n">
        <v>-8.94</v>
      </c>
      <c r="EA395" t="n">
        <v>1</v>
      </c>
      <c r="EB395" t="n">
        <v>12.42</v>
      </c>
      <c r="EC395" t="n">
        <v>76.31</v>
      </c>
      <c r="ED395" t="n">
        <v>99.43000000000001</v>
      </c>
      <c r="EE395" t="n">
        <v>3</v>
      </c>
      <c r="EF395" t="b">
        <v>0</v>
      </c>
      <c r="EG395" t="n">
        <v>0.1</v>
      </c>
      <c r="EH395" t="n">
        <v>40</v>
      </c>
      <c r="EI395" t="n">
        <v>474</v>
      </c>
      <c r="EJ395" t="n">
        <v>13</v>
      </c>
      <c r="EK395" t="n">
        <v>13</v>
      </c>
      <c r="EM395" t="n">
        <v>433.3</v>
      </c>
      <c r="EO395" t="n">
        <v>433.3</v>
      </c>
      <c r="EP395" t="n">
        <v>13</v>
      </c>
    </row>
    <row r="396">
      <c r="A396" t="inlineStr">
        <is>
          <t>Kaye Furo</t>
        </is>
      </c>
      <c r="B396" t="inlineStr">
        <is>
          <t>BRE</t>
        </is>
      </c>
      <c r="C396" t="inlineStr">
        <is>
          <t>FWD</t>
        </is>
      </c>
      <c r="D396" t="inlineStr">
        <is>
          <t>FWD</t>
        </is>
      </c>
      <c r="E396" t="n">
        <v>4.5</v>
      </c>
      <c r="F396" t="b">
        <v>1</v>
      </c>
      <c r="G396" t="b">
        <v>1</v>
      </c>
      <c r="H396" t="n">
        <v>19.5</v>
      </c>
      <c r="I396" t="inlineStr">
        <is>
          <t>a</t>
        </is>
      </c>
      <c r="L396" t="inlineStr">
        <is>
          <t>p593174</t>
        </is>
      </c>
      <c r="M396" t="n">
        <v>107</v>
      </c>
      <c r="Q396" t="n">
        <v>1</v>
      </c>
      <c r="R396" t="n">
        <v>1</v>
      </c>
      <c r="S396" t="n">
        <v>0</v>
      </c>
      <c r="T396" t="n">
        <v>0.011</v>
      </c>
      <c r="U396" t="n">
        <v>1</v>
      </c>
      <c r="V396" t="n">
        <v>1</v>
      </c>
      <c r="W396" t="n">
        <v>90</v>
      </c>
      <c r="X396" t="n">
        <v>0</v>
      </c>
      <c r="Y396" t="n">
        <v>0</v>
      </c>
      <c r="AA396" t="n">
        <v>0</v>
      </c>
      <c r="AB396" t="n">
        <v>0</v>
      </c>
      <c r="AC396" t="n">
        <v>0</v>
      </c>
      <c r="AD396" t="n">
        <v>0</v>
      </c>
      <c r="AE396" t="n">
        <v>0</v>
      </c>
      <c r="AF396" t="n">
        <v>2</v>
      </c>
      <c r="AG396" t="n">
        <v>2</v>
      </c>
      <c r="AH396" t="n">
        <v>0</v>
      </c>
      <c r="AI396" t="n">
        <v>1</v>
      </c>
      <c r="AJ396" t="n">
        <v>0</v>
      </c>
      <c r="AK396" t="n">
        <v>0</v>
      </c>
      <c r="AL396" t="n">
        <v>0</v>
      </c>
      <c r="AM396" t="n">
        <v>0</v>
      </c>
      <c r="AN396" t="n">
        <v>0</v>
      </c>
      <c r="AO396" t="n">
        <v>0</v>
      </c>
      <c r="AS396" t="n">
        <v>0</v>
      </c>
      <c r="AT396" t="n">
        <v>0</v>
      </c>
      <c r="AU396" t="n">
        <v>1</v>
      </c>
      <c r="AV396" t="n">
        <v>0</v>
      </c>
      <c r="AW396" t="n">
        <v>0.24</v>
      </c>
      <c r="AX396" t="n">
        <v>1</v>
      </c>
      <c r="AY396" t="n">
        <v>0</v>
      </c>
      <c r="AZ396" t="n">
        <v>0</v>
      </c>
      <c r="BA396" t="n">
        <v>0</v>
      </c>
      <c r="BB396" t="n">
        <v>0</v>
      </c>
      <c r="BC396" t="n">
        <v>0</v>
      </c>
      <c r="BD396" t="n">
        <v>0</v>
      </c>
      <c r="BE396" t="n">
        <v>0</v>
      </c>
      <c r="BH396" t="n">
        <v>1</v>
      </c>
      <c r="BI396" t="n">
        <v>0</v>
      </c>
      <c r="BJ396" t="n">
        <v>0</v>
      </c>
      <c r="BK396" t="n">
        <v>0</v>
      </c>
      <c r="BL396" t="n">
        <v>0</v>
      </c>
      <c r="BO396" t="n">
        <v>0</v>
      </c>
      <c r="BW396" t="n">
        <v>0</v>
      </c>
      <c r="BX396" t="n">
        <v>0</v>
      </c>
      <c r="BY396" t="n">
        <v>0</v>
      </c>
      <c r="BZ396" t="n">
        <v>0</v>
      </c>
      <c r="CA396" t="n">
        <v>0</v>
      </c>
      <c r="CB396" t="n">
        <v>0</v>
      </c>
      <c r="CC396" t="n">
        <v>0</v>
      </c>
      <c r="CI396" t="n">
        <v>0</v>
      </c>
      <c r="CJ396" t="n">
        <v>0</v>
      </c>
      <c r="CK396" t="n">
        <v>0</v>
      </c>
      <c r="CL396" t="n">
        <v>0</v>
      </c>
      <c r="CM396" t="n">
        <v>0</v>
      </c>
      <c r="CW396" t="n">
        <v>0.02</v>
      </c>
      <c r="CX396" t="n">
        <v>1.8</v>
      </c>
      <c r="CY396" t="n">
        <v>0</v>
      </c>
      <c r="DB396" t="n">
        <v>0</v>
      </c>
      <c r="DF396" t="n">
        <v>0</v>
      </c>
      <c r="DG396" t="n">
        <v>0</v>
      </c>
      <c r="DH396" t="n">
        <v>1</v>
      </c>
      <c r="DO396" t="n">
        <v>0.8</v>
      </c>
      <c r="DP396" t="n">
        <v>0</v>
      </c>
      <c r="DQ396" t="n">
        <v>0</v>
      </c>
      <c r="DR396" t="n">
        <v>0</v>
      </c>
      <c r="DS396" t="n">
        <v>0</v>
      </c>
      <c r="DT396" t="n">
        <v>0</v>
      </c>
      <c r="DU396" t="n">
        <v>0</v>
      </c>
      <c r="DV396" t="inlineStr">
        <is>
          <t>flat</t>
        </is>
      </c>
      <c r="DW396" t="n">
        <v>83.43000000000001</v>
      </c>
      <c r="DX396" t="n">
        <v>87</v>
      </c>
      <c r="DY396" t="n">
        <v>96.41</v>
      </c>
      <c r="DZ396" t="n">
        <v>12.98</v>
      </c>
      <c r="EA396" t="n">
        <v>3</v>
      </c>
      <c r="EB396" t="n">
        <v>26.22</v>
      </c>
      <c r="EC396" t="n">
        <v>40</v>
      </c>
      <c r="ED396" t="n">
        <v>114.29</v>
      </c>
      <c r="EE396" t="n">
        <v>7</v>
      </c>
      <c r="EF396" t="b">
        <v>0</v>
      </c>
      <c r="EG396" t="n">
        <v>0.2</v>
      </c>
      <c r="EH396" t="n">
        <v>22.2</v>
      </c>
      <c r="EI396" t="n">
        <v>469</v>
      </c>
      <c r="EP396" t="n">
        <v>1</v>
      </c>
    </row>
    <row r="397">
      <c r="A397" t="inlineStr">
        <is>
          <t>Shumaira Mheuka</t>
        </is>
      </c>
      <c r="B397" t="inlineStr">
        <is>
          <t>CHE</t>
        </is>
      </c>
      <c r="C397" t="inlineStr">
        <is>
          <t>FWD</t>
        </is>
      </c>
      <c r="D397" t="inlineStr">
        <is>
          <t>FWD</t>
        </is>
      </c>
      <c r="E397" t="n">
        <v>4.5</v>
      </c>
      <c r="F397" t="b">
        <v>1</v>
      </c>
      <c r="G397" t="b">
        <v>1</v>
      </c>
      <c r="I397" t="inlineStr">
        <is>
          <t>a</t>
        </is>
      </c>
      <c r="L397" t="inlineStr">
        <is>
          <t>p567119</t>
        </is>
      </c>
      <c r="M397" t="n">
        <v>169</v>
      </c>
      <c r="Q397" t="n">
        <v>1</v>
      </c>
      <c r="R397" t="n">
        <v>1</v>
      </c>
      <c r="S397" t="n">
        <v>0</v>
      </c>
      <c r="T397" t="n">
        <v>0.011</v>
      </c>
      <c r="U397" t="n">
        <v>1</v>
      </c>
      <c r="V397" t="n">
        <v>1</v>
      </c>
      <c r="W397" t="n">
        <v>90</v>
      </c>
      <c r="X397" t="n">
        <v>0</v>
      </c>
      <c r="Y397" t="n">
        <v>0</v>
      </c>
      <c r="AA397" t="n">
        <v>0</v>
      </c>
      <c r="AB397" t="n">
        <v>0</v>
      </c>
      <c r="AC397" t="n">
        <v>0</v>
      </c>
      <c r="AD397" t="n">
        <v>0</v>
      </c>
      <c r="AE397" t="n">
        <v>0</v>
      </c>
      <c r="AF397" t="n">
        <v>3</v>
      </c>
      <c r="AG397" t="n">
        <v>3</v>
      </c>
      <c r="AH397" t="n">
        <v>0</v>
      </c>
      <c r="AI397" t="n">
        <v>1</v>
      </c>
      <c r="AJ397" t="n">
        <v>0</v>
      </c>
      <c r="AK397" t="n">
        <v>0</v>
      </c>
      <c r="AL397" t="n">
        <v>1</v>
      </c>
      <c r="AM397" t="n">
        <v>90</v>
      </c>
      <c r="AN397" t="n">
        <v>0</v>
      </c>
      <c r="AO397" t="n">
        <v>0</v>
      </c>
      <c r="AS397" t="n">
        <v>0</v>
      </c>
      <c r="AT397" t="n">
        <v>0</v>
      </c>
      <c r="AU397" t="n">
        <v>1</v>
      </c>
      <c r="AV397" t="n">
        <v>0</v>
      </c>
      <c r="AW397" t="n">
        <v>0.71</v>
      </c>
      <c r="AX397" t="n">
        <v>1</v>
      </c>
      <c r="AY397" t="n">
        <v>0</v>
      </c>
      <c r="AZ397" t="n">
        <v>0</v>
      </c>
      <c r="BA397" t="n">
        <v>0</v>
      </c>
      <c r="BB397" t="n">
        <v>0</v>
      </c>
      <c r="BC397" t="n">
        <v>0</v>
      </c>
      <c r="BD397" t="n">
        <v>0</v>
      </c>
      <c r="BE397" t="n">
        <v>0</v>
      </c>
      <c r="BH397" t="n">
        <v>1.017</v>
      </c>
      <c r="BI397" t="n">
        <v>0.06</v>
      </c>
      <c r="BJ397" t="n">
        <v>0</v>
      </c>
      <c r="BK397" t="n">
        <v>0</v>
      </c>
      <c r="BL397" t="n">
        <v>0</v>
      </c>
      <c r="BO397" t="n">
        <v>0</v>
      </c>
      <c r="BW397" t="n">
        <v>0</v>
      </c>
      <c r="BX397" t="n">
        <v>0</v>
      </c>
      <c r="BY397" t="n">
        <v>0</v>
      </c>
      <c r="BZ397" t="n">
        <v>0</v>
      </c>
      <c r="CA397" t="n">
        <v>0</v>
      </c>
      <c r="CB397" t="n">
        <v>0</v>
      </c>
      <c r="CC397" t="n">
        <v>0</v>
      </c>
      <c r="CI397" t="n">
        <v>0</v>
      </c>
      <c r="CJ397" t="n">
        <v>0</v>
      </c>
      <c r="CK397" t="n">
        <v>1</v>
      </c>
      <c r="CL397" t="n">
        <v>0</v>
      </c>
      <c r="CM397" t="n">
        <v>0</v>
      </c>
      <c r="CP397" t="n">
        <v>1</v>
      </c>
      <c r="CW397" t="n">
        <v>0.05</v>
      </c>
      <c r="CX397" t="n">
        <v>4.5</v>
      </c>
      <c r="CY397" t="n">
        <v>0</v>
      </c>
      <c r="DB397" t="n">
        <v>0</v>
      </c>
      <c r="DF397" t="n">
        <v>0</v>
      </c>
      <c r="DG397" t="n">
        <v>0</v>
      </c>
      <c r="DO397" t="n">
        <v>0.4</v>
      </c>
      <c r="DP397" t="n">
        <v>0</v>
      </c>
      <c r="DQ397" t="n">
        <v>0</v>
      </c>
      <c r="DR397" t="n">
        <v>0</v>
      </c>
      <c r="DS397" t="n">
        <v>0</v>
      </c>
      <c r="DT397" t="n">
        <v>0</v>
      </c>
      <c r="DU397" t="n">
        <v>0</v>
      </c>
      <c r="DV397" t="inlineStr">
        <is>
          <t>flat</t>
        </is>
      </c>
      <c r="DW397" t="n">
        <v>87.06999999999999</v>
      </c>
      <c r="DX397" t="n">
        <v>96.25</v>
      </c>
      <c r="DY397" t="n">
        <v>79.7</v>
      </c>
      <c r="DZ397" t="n">
        <v>-7.37</v>
      </c>
      <c r="EA397" t="n">
        <v>6</v>
      </c>
      <c r="EB397" t="n">
        <v>27.82</v>
      </c>
      <c r="EC397" t="n">
        <v>28.8</v>
      </c>
      <c r="ED397" t="n">
        <v>117</v>
      </c>
      <c r="EE397" t="n">
        <v>10</v>
      </c>
      <c r="EF397" t="b">
        <v>1</v>
      </c>
      <c r="EG397" t="n">
        <v>0.2</v>
      </c>
      <c r="EH397" t="n">
        <v>9.1</v>
      </c>
      <c r="EI397" t="n">
        <v>472</v>
      </c>
      <c r="EP397" t="n">
        <v>1</v>
      </c>
    </row>
    <row r="398">
      <c r="A398" t="inlineStr">
        <is>
          <t>Bendito Mantato</t>
        </is>
      </c>
      <c r="B398" t="inlineStr">
        <is>
          <t>MUN</t>
        </is>
      </c>
      <c r="C398" t="inlineStr">
        <is>
          <t>MID</t>
        </is>
      </c>
      <c r="D398" t="inlineStr">
        <is>
          <t>MID</t>
        </is>
      </c>
      <c r="E398" t="n">
        <v>4.5</v>
      </c>
      <c r="F398" t="b">
        <v>1</v>
      </c>
      <c r="G398" t="b">
        <v>1</v>
      </c>
      <c r="I398" t="inlineStr">
        <is>
          <t>a</t>
        </is>
      </c>
      <c r="L398" t="inlineStr">
        <is>
          <t>p576620</t>
        </is>
      </c>
      <c r="M398" t="n">
        <v>437</v>
      </c>
      <c r="Q398" t="n">
        <v>15</v>
      </c>
      <c r="R398" t="n">
        <v>1</v>
      </c>
      <c r="S398" t="n">
        <v>0</v>
      </c>
      <c r="T398" t="n">
        <v>0.167</v>
      </c>
      <c r="U398" t="n">
        <v>15</v>
      </c>
      <c r="V398" t="n">
        <v>1</v>
      </c>
      <c r="W398" t="n">
        <v>6</v>
      </c>
      <c r="X398" t="n">
        <v>0</v>
      </c>
      <c r="Y398" t="n">
        <v>0</v>
      </c>
      <c r="AA398" t="n">
        <v>0</v>
      </c>
      <c r="AB398" t="n">
        <v>0</v>
      </c>
      <c r="AC398" t="n">
        <v>0</v>
      </c>
      <c r="AD398" t="n">
        <v>0</v>
      </c>
      <c r="AE398" t="n">
        <v>0</v>
      </c>
      <c r="AF398" t="n">
        <v>3</v>
      </c>
      <c r="AG398" t="n">
        <v>3</v>
      </c>
      <c r="AH398" t="n">
        <v>0</v>
      </c>
      <c r="AI398" t="n">
        <v>1</v>
      </c>
      <c r="AJ398" t="n">
        <v>0</v>
      </c>
      <c r="AK398" t="n">
        <v>0</v>
      </c>
      <c r="AL398" t="n">
        <v>0</v>
      </c>
      <c r="AM398" t="n">
        <v>0</v>
      </c>
      <c r="AN398" t="n">
        <v>0</v>
      </c>
      <c r="AO398" t="n">
        <v>0</v>
      </c>
      <c r="AS398" t="n">
        <v>0</v>
      </c>
      <c r="AT398" t="n">
        <v>0</v>
      </c>
      <c r="AU398" t="n">
        <v>1</v>
      </c>
      <c r="AV398" t="n">
        <v>0</v>
      </c>
      <c r="AW398" t="n">
        <v>0.21</v>
      </c>
      <c r="AX398" t="n">
        <v>1</v>
      </c>
      <c r="AY398" t="n">
        <v>0</v>
      </c>
      <c r="AZ398" t="n">
        <v>0</v>
      </c>
      <c r="BA398" t="n">
        <v>0</v>
      </c>
      <c r="BB398" t="n">
        <v>0</v>
      </c>
      <c r="BC398" t="n">
        <v>0</v>
      </c>
      <c r="BD398" t="n">
        <v>0</v>
      </c>
      <c r="BE398" t="n">
        <v>0</v>
      </c>
      <c r="BH398" t="n">
        <v>1</v>
      </c>
      <c r="BI398" t="n">
        <v>0</v>
      </c>
      <c r="BJ398" t="n">
        <v>0</v>
      </c>
      <c r="BK398" t="n">
        <v>0</v>
      </c>
      <c r="BL398" t="n">
        <v>0</v>
      </c>
      <c r="BO398" t="n">
        <v>0</v>
      </c>
      <c r="BW398" t="n">
        <v>0.01</v>
      </c>
      <c r="BX398" t="n">
        <v>0.036</v>
      </c>
      <c r="BY398" t="n">
        <v>0.023</v>
      </c>
      <c r="BZ398" t="n">
        <v>0.139</v>
      </c>
      <c r="CA398" t="n">
        <v>0.023</v>
      </c>
      <c r="CB398" t="n">
        <v>0.139</v>
      </c>
      <c r="CC398" t="n">
        <v>1</v>
      </c>
      <c r="CE398" t="n">
        <v>1</v>
      </c>
      <c r="CI398" t="n">
        <v>0.124</v>
      </c>
      <c r="CJ398" t="n">
        <v>0.124</v>
      </c>
      <c r="CK398" t="n">
        <v>0</v>
      </c>
      <c r="CL398" t="n">
        <v>0</v>
      </c>
      <c r="CM398" t="n">
        <v>0</v>
      </c>
      <c r="CW398" t="n">
        <v>0.05</v>
      </c>
      <c r="CX398" t="n">
        <v>0.3</v>
      </c>
      <c r="CY398" t="n">
        <v>0</v>
      </c>
      <c r="DB398" t="n">
        <v>0</v>
      </c>
      <c r="DF398" t="n">
        <v>0</v>
      </c>
      <c r="DG398" t="n">
        <v>0</v>
      </c>
      <c r="DO398" t="n">
        <v>0.2</v>
      </c>
      <c r="DP398" t="n">
        <v>0</v>
      </c>
      <c r="DQ398" t="n">
        <v>0</v>
      </c>
      <c r="DR398" t="n">
        <v>0</v>
      </c>
      <c r="DS398" t="n">
        <v>0</v>
      </c>
      <c r="DT398" t="n">
        <v>0</v>
      </c>
      <c r="DU398" t="n">
        <v>0</v>
      </c>
      <c r="DV398" t="inlineStr">
        <is>
          <t>flat</t>
        </is>
      </c>
      <c r="DW398" t="n">
        <v>81.23</v>
      </c>
      <c r="DX398" t="n">
        <v>91</v>
      </c>
      <c r="EB398" t="n">
        <v>39.57</v>
      </c>
      <c r="EC398" t="n">
        <v>27.5</v>
      </c>
      <c r="ED398" t="n">
        <v>115.43</v>
      </c>
      <c r="EE398" t="n">
        <v>4</v>
      </c>
      <c r="EF398" t="b">
        <v>0</v>
      </c>
      <c r="EG398" t="n">
        <v>0.1</v>
      </c>
      <c r="EH398" t="n">
        <v>20</v>
      </c>
      <c r="EI398" t="n">
        <v>473</v>
      </c>
      <c r="EL398" t="n">
        <v>15</v>
      </c>
      <c r="EN398" t="n">
        <v>645.5</v>
      </c>
      <c r="EO398" t="n">
        <v>645.5</v>
      </c>
      <c r="EP398" t="n">
        <v>15</v>
      </c>
    </row>
    <row r="399">
      <c r="A399" t="inlineStr">
        <is>
          <t>Djiamgone Jocelin Ta Bi</t>
        </is>
      </c>
      <c r="B399" t="inlineStr">
        <is>
          <t>SUN</t>
        </is>
      </c>
      <c r="C399" t="inlineStr">
        <is>
          <t>MID</t>
        </is>
      </c>
      <c r="D399" t="inlineStr">
        <is>
          <t>MID</t>
        </is>
      </c>
      <c r="E399" t="n">
        <v>5</v>
      </c>
      <c r="F399" t="b">
        <v>1</v>
      </c>
      <c r="G399" t="b">
        <v>1</v>
      </c>
      <c r="H399" t="n">
        <v>21.5</v>
      </c>
      <c r="I399" t="inlineStr">
        <is>
          <t>a</t>
        </is>
      </c>
      <c r="L399" t="inlineStr">
        <is>
          <t>p699989</t>
        </is>
      </c>
      <c r="M399" t="n">
        <v>550</v>
      </c>
      <c r="Q399" t="n">
        <v>38</v>
      </c>
      <c r="R399" t="n">
        <v>1</v>
      </c>
      <c r="S399" t="n">
        <v>1</v>
      </c>
      <c r="T399" t="n">
        <v>0.422</v>
      </c>
      <c r="U399" t="n">
        <v>38</v>
      </c>
      <c r="V399" t="n">
        <v>1</v>
      </c>
      <c r="W399" t="n">
        <v>2.368</v>
      </c>
      <c r="X399" t="n">
        <v>0</v>
      </c>
      <c r="Y399" t="n">
        <v>0</v>
      </c>
      <c r="AA399" t="n">
        <v>0</v>
      </c>
      <c r="AB399" t="n">
        <v>0</v>
      </c>
      <c r="AC399" t="n">
        <v>0</v>
      </c>
      <c r="AD399" t="n">
        <v>0</v>
      </c>
      <c r="AE399" t="n">
        <v>0</v>
      </c>
      <c r="AF399" t="n">
        <v>4</v>
      </c>
      <c r="AG399" t="n">
        <v>4</v>
      </c>
      <c r="AH399" t="n">
        <v>0</v>
      </c>
      <c r="AI399" t="n">
        <v>1</v>
      </c>
      <c r="AJ399" t="n">
        <v>0</v>
      </c>
      <c r="AK399" t="n">
        <v>0</v>
      </c>
      <c r="AL399" t="n">
        <v>3</v>
      </c>
      <c r="AM399" t="n">
        <v>7.105</v>
      </c>
      <c r="AN399" t="n">
        <v>0</v>
      </c>
      <c r="AO399" t="n">
        <v>0</v>
      </c>
      <c r="AP399" t="n">
        <v>0</v>
      </c>
      <c r="AQ399" t="n">
        <v>0</v>
      </c>
      <c r="AR399" t="n">
        <v>0</v>
      </c>
      <c r="AS399" t="n">
        <v>0.026</v>
      </c>
      <c r="AT399" t="n">
        <v>0</v>
      </c>
      <c r="AU399" t="n">
        <v>1</v>
      </c>
      <c r="AV399" t="n">
        <v>0</v>
      </c>
      <c r="AW399" t="n">
        <v>0.25</v>
      </c>
      <c r="AX399" t="n">
        <v>1</v>
      </c>
      <c r="AY399" t="n">
        <v>0</v>
      </c>
      <c r="AZ399" t="n">
        <v>0</v>
      </c>
      <c r="BA399" t="n">
        <v>0</v>
      </c>
      <c r="BB399" t="n">
        <v>0</v>
      </c>
      <c r="BC399" t="n">
        <v>0</v>
      </c>
      <c r="BD399" t="n">
        <v>0</v>
      </c>
      <c r="BE399" t="n">
        <v>0</v>
      </c>
      <c r="BH399" t="n">
        <v>1</v>
      </c>
      <c r="BI399" t="n">
        <v>0</v>
      </c>
      <c r="BJ399" t="n">
        <v>0</v>
      </c>
      <c r="BK399" t="n">
        <v>0</v>
      </c>
      <c r="BL399" t="n">
        <v>0</v>
      </c>
      <c r="BO399" t="n">
        <v>0</v>
      </c>
      <c r="BS399" t="n">
        <v>1</v>
      </c>
      <c r="BT399" t="n">
        <v>2.368</v>
      </c>
      <c r="BW399" t="n">
        <v>0.04</v>
      </c>
      <c r="BX399" t="n">
        <v>0</v>
      </c>
      <c r="BY399" t="n">
        <v>0.02</v>
      </c>
      <c r="BZ399" t="n">
        <v>0.047</v>
      </c>
      <c r="CA399" t="n">
        <v>0.02</v>
      </c>
      <c r="CB399" t="n">
        <v>0.047</v>
      </c>
      <c r="CC399" t="n">
        <v>0</v>
      </c>
      <c r="CE399" t="n">
        <v>0</v>
      </c>
      <c r="CF399" t="n">
        <v>1</v>
      </c>
      <c r="CH399" t="n">
        <v>3</v>
      </c>
      <c r="CI399" t="n">
        <v>0</v>
      </c>
      <c r="CJ399" t="n">
        <v>0</v>
      </c>
      <c r="CK399" t="n">
        <v>0</v>
      </c>
      <c r="CL399" t="n">
        <v>2</v>
      </c>
      <c r="CM399" t="n">
        <v>1</v>
      </c>
      <c r="CR399" t="n">
        <v>4</v>
      </c>
      <c r="CW399" t="n">
        <v>0.24</v>
      </c>
      <c r="CX399" t="n">
        <v>0.5679999999999999</v>
      </c>
      <c r="CY399" t="n">
        <v>0</v>
      </c>
      <c r="DB399" t="n">
        <v>0</v>
      </c>
      <c r="DF399" t="n">
        <v>0</v>
      </c>
      <c r="DG399" t="n">
        <v>0</v>
      </c>
      <c r="DI399" t="n">
        <v>1</v>
      </c>
      <c r="DL399" t="n">
        <v>2</v>
      </c>
      <c r="DM399" t="n">
        <v>1</v>
      </c>
      <c r="DO399" t="n">
        <v>0</v>
      </c>
      <c r="DP399" t="n">
        <v>5.18</v>
      </c>
      <c r="DQ399" t="n">
        <v>2.59</v>
      </c>
      <c r="DR399" t="n">
        <v>5.18</v>
      </c>
      <c r="DS399" t="n">
        <v>0</v>
      </c>
      <c r="DT399" t="n">
        <v>125</v>
      </c>
      <c r="DU399" t="n">
        <v>3.3</v>
      </c>
      <c r="DV399" t="inlineStr">
        <is>
          <t>flat</t>
        </is>
      </c>
      <c r="EK399" t="n">
        <v>38</v>
      </c>
      <c r="EN399" t="n">
        <v>1900</v>
      </c>
      <c r="EO399" t="n">
        <v>1900</v>
      </c>
      <c r="EP399" t="n">
        <v>38</v>
      </c>
    </row>
    <row r="400">
      <c r="A400" t="inlineStr">
        <is>
          <t>James Rowswell</t>
        </is>
      </c>
      <c r="B400" t="inlineStr">
        <is>
          <t>TOT</t>
        </is>
      </c>
      <c r="C400" t="inlineStr">
        <is>
          <t>DEF</t>
        </is>
      </c>
      <c r="D400" t="inlineStr">
        <is>
          <t>DEF</t>
        </is>
      </c>
      <c r="E400" t="n">
        <v>4</v>
      </c>
      <c r="F400" t="b">
        <v>1</v>
      </c>
      <c r="G400" t="b">
        <v>1</v>
      </c>
      <c r="I400" t="inlineStr">
        <is>
          <t>a</t>
        </is>
      </c>
      <c r="L400" t="inlineStr">
        <is>
          <t>p499716</t>
        </is>
      </c>
      <c r="M400" t="n">
        <v>510</v>
      </c>
      <c r="Q400" t="n">
        <v>1</v>
      </c>
      <c r="R400" t="n">
        <v>1</v>
      </c>
      <c r="S400" t="n">
        <v>0</v>
      </c>
      <c r="T400" t="n">
        <v>0.011</v>
      </c>
      <c r="U400" t="n">
        <v>1</v>
      </c>
      <c r="V400" t="n">
        <v>1</v>
      </c>
      <c r="W400" t="n">
        <v>90</v>
      </c>
      <c r="X400" t="n">
        <v>0</v>
      </c>
      <c r="Y400" t="n">
        <v>0</v>
      </c>
      <c r="AA400" t="n">
        <v>0</v>
      </c>
      <c r="AB400" t="n">
        <v>0</v>
      </c>
      <c r="AC400" t="n">
        <v>0</v>
      </c>
      <c r="AD400" t="n">
        <v>0</v>
      </c>
      <c r="AE400" t="n">
        <v>0</v>
      </c>
      <c r="AF400" t="n">
        <v>3</v>
      </c>
      <c r="AG400" t="n">
        <v>3</v>
      </c>
      <c r="AH400" t="n">
        <v>0</v>
      </c>
      <c r="AI400" t="n">
        <v>1</v>
      </c>
      <c r="AJ400" t="n">
        <v>0</v>
      </c>
      <c r="AK400" t="n">
        <v>0</v>
      </c>
      <c r="AL400" t="n">
        <v>0</v>
      </c>
      <c r="AM400" t="n">
        <v>0</v>
      </c>
      <c r="AN400" t="n">
        <v>0</v>
      </c>
      <c r="AO400" t="n">
        <v>0</v>
      </c>
      <c r="AS400" t="n">
        <v>0</v>
      </c>
      <c r="AT400" t="n">
        <v>0</v>
      </c>
      <c r="AU400" t="n">
        <v>1</v>
      </c>
      <c r="AV400" t="n">
        <v>0</v>
      </c>
      <c r="AW400" t="n">
        <v>0.19</v>
      </c>
      <c r="AX400" t="n">
        <v>1</v>
      </c>
      <c r="AY400" t="n">
        <v>0</v>
      </c>
      <c r="AZ400" t="n">
        <v>0</v>
      </c>
      <c r="BA400" t="n">
        <v>0</v>
      </c>
      <c r="BB400" t="n">
        <v>0</v>
      </c>
      <c r="BC400" t="n">
        <v>0</v>
      </c>
      <c r="BD400" t="n">
        <v>0</v>
      </c>
      <c r="BE400" t="n">
        <v>0</v>
      </c>
      <c r="BH400" t="n">
        <v>1</v>
      </c>
      <c r="BI400" t="n">
        <v>0</v>
      </c>
      <c r="BJ400" t="n">
        <v>0</v>
      </c>
      <c r="BK400" t="n">
        <v>0</v>
      </c>
      <c r="BL400" t="n">
        <v>0</v>
      </c>
      <c r="BO400" t="n">
        <v>0</v>
      </c>
      <c r="BW400" t="n">
        <v>0</v>
      </c>
      <c r="BX400" t="n">
        <v>0</v>
      </c>
      <c r="BY400" t="n">
        <v>0</v>
      </c>
      <c r="BZ400" t="n">
        <v>0</v>
      </c>
      <c r="CA400" t="n">
        <v>0</v>
      </c>
      <c r="CB400" t="n">
        <v>0</v>
      </c>
      <c r="CC400" t="n">
        <v>0</v>
      </c>
      <c r="CI400" t="n">
        <v>0</v>
      </c>
      <c r="CJ400" t="n">
        <v>0</v>
      </c>
      <c r="CK400" t="n">
        <v>0</v>
      </c>
      <c r="CL400" t="n">
        <v>0</v>
      </c>
      <c r="CM400" t="n">
        <v>0</v>
      </c>
      <c r="CW400" t="n">
        <v>0.36</v>
      </c>
      <c r="CX400" t="n">
        <v>32.4</v>
      </c>
      <c r="CY400" t="n">
        <v>0</v>
      </c>
      <c r="DB400" t="n">
        <v>0</v>
      </c>
      <c r="DF400" t="n">
        <v>0</v>
      </c>
      <c r="DG400" t="n">
        <v>0</v>
      </c>
      <c r="DO400" t="n">
        <v>0.1</v>
      </c>
      <c r="DP400" t="n">
        <v>0</v>
      </c>
      <c r="DQ400" t="n">
        <v>0</v>
      </c>
      <c r="DR400" t="n">
        <v>0</v>
      </c>
      <c r="DS400" t="n">
        <v>0</v>
      </c>
      <c r="DT400" t="n">
        <v>0</v>
      </c>
      <c r="DU400" t="n">
        <v>0</v>
      </c>
      <c r="DV400" t="inlineStr">
        <is>
          <t>flat</t>
        </is>
      </c>
      <c r="DW400" t="n">
        <v>101</v>
      </c>
      <c r="DX400" t="n">
        <v>101</v>
      </c>
      <c r="EC400" t="n">
        <v>101</v>
      </c>
      <c r="ED400" t="n">
        <v>101</v>
      </c>
      <c r="EE400" t="n">
        <v>1</v>
      </c>
      <c r="EF400" t="b">
        <v>0</v>
      </c>
      <c r="EG400" t="n">
        <v>0</v>
      </c>
      <c r="EH400" t="n">
        <v>0</v>
      </c>
      <c r="EI400" t="n">
        <v>531</v>
      </c>
      <c r="EP400" t="n">
        <v>1</v>
      </c>
    </row>
    <row r="401">
      <c r="A401" t="inlineStr">
        <is>
          <t>Arthur Masuaku</t>
        </is>
      </c>
      <c r="B401" t="inlineStr">
        <is>
          <t>SUN</t>
        </is>
      </c>
      <c r="C401" t="inlineStr">
        <is>
          <t>DEF</t>
        </is>
      </c>
      <c r="D401" t="inlineStr">
        <is>
          <t>DEF</t>
        </is>
      </c>
      <c r="E401" t="n">
        <v>4</v>
      </c>
      <c r="F401" t="b">
        <v>1</v>
      </c>
      <c r="G401" t="b">
        <v>1</v>
      </c>
      <c r="H401" t="n">
        <v>32.8</v>
      </c>
      <c r="I401" t="inlineStr">
        <is>
          <t>u</t>
        </is>
      </c>
      <c r="J401" t="inlineStr">
        <is>
          <t>Has joined Konyaspor permanently</t>
        </is>
      </c>
      <c r="K401" t="n">
        <v>0</v>
      </c>
      <c r="L401" t="inlineStr">
        <is>
          <t>p105717</t>
        </is>
      </c>
      <c r="M401" t="n">
        <v>540</v>
      </c>
      <c r="Q401" t="n">
        <v>125</v>
      </c>
      <c r="R401" t="n">
        <v>3</v>
      </c>
      <c r="S401" t="n">
        <v>2</v>
      </c>
      <c r="T401" t="n">
        <v>1.389</v>
      </c>
      <c r="U401" t="n">
        <v>41.7</v>
      </c>
      <c r="V401" t="n">
        <v>1</v>
      </c>
      <c r="W401" t="n">
        <v>0.72</v>
      </c>
      <c r="X401" t="n">
        <v>0</v>
      </c>
      <c r="Y401" t="n">
        <v>0</v>
      </c>
      <c r="AA401" t="n">
        <v>0</v>
      </c>
      <c r="AB401" t="n">
        <v>2</v>
      </c>
      <c r="AC401" t="n">
        <v>0</v>
      </c>
      <c r="AD401" t="n">
        <v>0</v>
      </c>
      <c r="AE401" t="n">
        <v>0</v>
      </c>
      <c r="AF401" t="n">
        <v>4</v>
      </c>
      <c r="AG401" t="n">
        <v>1</v>
      </c>
      <c r="AH401" t="n">
        <v>-3</v>
      </c>
      <c r="AI401" t="n">
        <v>1</v>
      </c>
      <c r="AJ401" t="n">
        <v>0</v>
      </c>
      <c r="AK401" t="n">
        <v>0</v>
      </c>
      <c r="AL401" t="n">
        <v>10</v>
      </c>
      <c r="AM401" t="n">
        <v>7.2</v>
      </c>
      <c r="AN401" t="n">
        <v>0</v>
      </c>
      <c r="AO401" t="n">
        <v>0</v>
      </c>
      <c r="AP401" t="n">
        <v>0</v>
      </c>
      <c r="AQ401" t="n">
        <v>0</v>
      </c>
      <c r="AR401" t="n">
        <v>0</v>
      </c>
      <c r="AS401" t="n">
        <v>0.053</v>
      </c>
      <c r="AT401" t="n">
        <v>0</v>
      </c>
      <c r="AU401" t="n">
        <v>3</v>
      </c>
      <c r="AV401" t="n">
        <v>0</v>
      </c>
      <c r="AW401" t="n">
        <v>0.16</v>
      </c>
      <c r="AX401" t="n">
        <v>1</v>
      </c>
      <c r="AY401" t="n">
        <v>0.07000000000000001</v>
      </c>
      <c r="AZ401" t="n">
        <v>0.078</v>
      </c>
      <c r="BA401" t="n">
        <v>0.074</v>
      </c>
      <c r="BB401" t="n">
        <v>0.078</v>
      </c>
      <c r="BC401" t="n">
        <v>0.05</v>
      </c>
      <c r="BD401" t="n">
        <v>0.056</v>
      </c>
      <c r="BE401" t="n">
        <v>0.053</v>
      </c>
      <c r="BH401" t="n">
        <v>0.991</v>
      </c>
      <c r="BI401" t="n">
        <v>0.07000000000000001</v>
      </c>
      <c r="BJ401" t="n">
        <v>0.06900000000000001</v>
      </c>
      <c r="BK401" t="n">
        <v>0.05</v>
      </c>
      <c r="BL401" t="n">
        <v>-0.074</v>
      </c>
      <c r="BO401" t="n">
        <v>-0.008</v>
      </c>
      <c r="BP401" t="n">
        <v>1</v>
      </c>
      <c r="BS401" t="n">
        <v>2</v>
      </c>
      <c r="BT401" t="n">
        <v>1.44</v>
      </c>
      <c r="BW401" t="n">
        <v>0.08</v>
      </c>
      <c r="BX401" t="n">
        <v>0.058</v>
      </c>
      <c r="BY401" t="n">
        <v>0.06900000000000001</v>
      </c>
      <c r="BZ401" t="n">
        <v>0.05</v>
      </c>
      <c r="CA401" t="n">
        <v>0.143</v>
      </c>
      <c r="CB401" t="n">
        <v>0.103</v>
      </c>
      <c r="CC401" t="n">
        <v>1</v>
      </c>
      <c r="CE401" t="n">
        <v>1</v>
      </c>
      <c r="CF401" t="n">
        <v>2</v>
      </c>
      <c r="CI401" t="n">
        <v>0.155</v>
      </c>
      <c r="CJ401" t="n">
        <v>0.097</v>
      </c>
      <c r="CK401" t="n">
        <v>6</v>
      </c>
      <c r="CL401" t="n">
        <v>3</v>
      </c>
      <c r="CM401" t="n">
        <v>4</v>
      </c>
      <c r="CN401" t="n">
        <v>2</v>
      </c>
      <c r="CO401" t="n">
        <v>2</v>
      </c>
      <c r="CP401" t="n">
        <v>4</v>
      </c>
      <c r="CR401" t="n">
        <v>7</v>
      </c>
      <c r="CS401" t="n">
        <v>1</v>
      </c>
      <c r="CW401" t="n">
        <v>2.09</v>
      </c>
      <c r="CX401" t="n">
        <v>1.505</v>
      </c>
      <c r="CY401" t="n">
        <v>0</v>
      </c>
      <c r="DB401" t="n">
        <v>0</v>
      </c>
      <c r="DF401" t="n">
        <v>1</v>
      </c>
      <c r="DG401" t="n">
        <v>0</v>
      </c>
      <c r="DH401" t="n">
        <v>3</v>
      </c>
      <c r="DL401" t="n">
        <v>2</v>
      </c>
      <c r="DM401" t="n">
        <v>1</v>
      </c>
      <c r="DO401" t="n">
        <v>1.2</v>
      </c>
      <c r="DW401" t="n">
        <v>62.06</v>
      </c>
      <c r="DY401" t="n">
        <v>101</v>
      </c>
      <c r="DZ401" t="n">
        <v>38.94</v>
      </c>
      <c r="EA401" t="n">
        <v>1</v>
      </c>
      <c r="EB401" t="n">
        <v>55.08</v>
      </c>
      <c r="EC401" t="n">
        <v>23.11</v>
      </c>
      <c r="ED401" t="n">
        <v>101</v>
      </c>
      <c r="EE401" t="n">
        <v>2</v>
      </c>
      <c r="EF401" t="b">
        <v>0</v>
      </c>
      <c r="EG401" t="n">
        <v>0.1</v>
      </c>
      <c r="EH401" t="n">
        <v>33.3</v>
      </c>
      <c r="EI401" t="n">
        <v>532</v>
      </c>
      <c r="EJ401" t="n">
        <v>125</v>
      </c>
      <c r="EK401" t="n">
        <v>62.5</v>
      </c>
      <c r="EL401" t="n">
        <v>125</v>
      </c>
      <c r="EM401" t="n">
        <v>1684.4</v>
      </c>
      <c r="EN401" t="n">
        <v>1810.8</v>
      </c>
      <c r="EO401" t="n">
        <v>872.6</v>
      </c>
      <c r="EP401" t="n">
        <v>125</v>
      </c>
    </row>
    <row r="402">
      <c r="A402" t="inlineStr">
        <is>
          <t>Callum Olusesi</t>
        </is>
      </c>
      <c r="B402" t="inlineStr">
        <is>
          <t>TOT</t>
        </is>
      </c>
      <c r="C402" t="inlineStr">
        <is>
          <t>MID</t>
        </is>
      </c>
      <c r="D402" t="inlineStr">
        <is>
          <t>MID</t>
        </is>
      </c>
      <c r="E402" t="n">
        <v>4.5</v>
      </c>
      <c r="F402" t="b">
        <v>1</v>
      </c>
      <c r="G402" t="b">
        <v>1</v>
      </c>
      <c r="I402" t="inlineStr">
        <is>
          <t>a</t>
        </is>
      </c>
      <c r="L402" t="inlineStr">
        <is>
          <t>p499726</t>
        </is>
      </c>
      <c r="M402" t="n">
        <v>524</v>
      </c>
      <c r="Q402" t="n">
        <v>14</v>
      </c>
      <c r="R402" t="n">
        <v>1</v>
      </c>
      <c r="S402" t="n">
        <v>0</v>
      </c>
      <c r="T402" t="n">
        <v>0.156</v>
      </c>
      <c r="U402" t="n">
        <v>14</v>
      </c>
      <c r="V402" t="n">
        <v>1</v>
      </c>
      <c r="W402" t="n">
        <v>6.429</v>
      </c>
      <c r="X402" t="n">
        <v>0</v>
      </c>
      <c r="Y402" t="n">
        <v>0</v>
      </c>
      <c r="AA402" t="n">
        <v>0</v>
      </c>
      <c r="AB402" t="n">
        <v>0</v>
      </c>
      <c r="AC402" t="n">
        <v>0</v>
      </c>
      <c r="AD402" t="n">
        <v>0</v>
      </c>
      <c r="AE402" t="n">
        <v>0</v>
      </c>
      <c r="AF402" t="n">
        <v>3</v>
      </c>
      <c r="AG402" t="n">
        <v>3</v>
      </c>
      <c r="AH402" t="n">
        <v>0</v>
      </c>
      <c r="AI402" t="n">
        <v>1</v>
      </c>
      <c r="AJ402" t="n">
        <v>0</v>
      </c>
      <c r="AK402" t="n">
        <v>0</v>
      </c>
      <c r="AL402" t="n">
        <v>2</v>
      </c>
      <c r="AM402" t="n">
        <v>12.857</v>
      </c>
      <c r="AN402" t="n">
        <v>0</v>
      </c>
      <c r="AO402" t="n">
        <v>0</v>
      </c>
      <c r="AS402" t="n">
        <v>0</v>
      </c>
      <c r="AT402" t="n">
        <v>0</v>
      </c>
      <c r="AU402" t="n">
        <v>1</v>
      </c>
      <c r="AV402" t="n">
        <v>0</v>
      </c>
      <c r="AW402" t="n">
        <v>0.16</v>
      </c>
      <c r="AX402" t="n">
        <v>1</v>
      </c>
      <c r="AY402" t="n">
        <v>0</v>
      </c>
      <c r="AZ402" t="n">
        <v>0</v>
      </c>
      <c r="BA402" t="n">
        <v>0</v>
      </c>
      <c r="BB402" t="n">
        <v>0</v>
      </c>
      <c r="BC402" t="n">
        <v>0</v>
      </c>
      <c r="BD402" t="n">
        <v>0</v>
      </c>
      <c r="BE402" t="n">
        <v>0</v>
      </c>
      <c r="BH402" t="n">
        <v>1</v>
      </c>
      <c r="BI402" t="n">
        <v>0</v>
      </c>
      <c r="BJ402" t="n">
        <v>0</v>
      </c>
      <c r="BK402" t="n">
        <v>0</v>
      </c>
      <c r="BL402" t="n">
        <v>0</v>
      </c>
      <c r="BO402" t="n">
        <v>0</v>
      </c>
      <c r="BW402" t="n">
        <v>0.01</v>
      </c>
      <c r="BX402" t="n">
        <v>0</v>
      </c>
      <c r="BY402" t="n">
        <v>0.005</v>
      </c>
      <c r="BZ402" t="n">
        <v>0.032</v>
      </c>
      <c r="CA402" t="n">
        <v>0.005</v>
      </c>
      <c r="CB402" t="n">
        <v>0.032</v>
      </c>
      <c r="CC402" t="n">
        <v>0</v>
      </c>
      <c r="CI402" t="n">
        <v>0</v>
      </c>
      <c r="CJ402" t="n">
        <v>0</v>
      </c>
      <c r="CK402" t="n">
        <v>0</v>
      </c>
      <c r="CL402" t="n">
        <v>2</v>
      </c>
      <c r="CM402" t="n">
        <v>0</v>
      </c>
      <c r="CN402" t="n">
        <v>0</v>
      </c>
      <c r="CR402" t="n">
        <v>0</v>
      </c>
      <c r="CV402" t="n">
        <v>0</v>
      </c>
      <c r="CW402" t="n">
        <v>0.75</v>
      </c>
      <c r="CX402" t="n">
        <v>4.821</v>
      </c>
      <c r="CY402" t="n">
        <v>0</v>
      </c>
      <c r="DB402" t="n">
        <v>0</v>
      </c>
      <c r="DF402" t="n">
        <v>0</v>
      </c>
      <c r="DG402" t="n">
        <v>0</v>
      </c>
      <c r="DO402" t="n">
        <v>0.9</v>
      </c>
      <c r="DP402" t="n">
        <v>0</v>
      </c>
      <c r="DQ402" t="n">
        <v>0</v>
      </c>
      <c r="DR402" t="n">
        <v>0</v>
      </c>
      <c r="DS402" t="n">
        <v>0</v>
      </c>
      <c r="DT402" t="n">
        <v>0</v>
      </c>
      <c r="DU402" t="n">
        <v>0</v>
      </c>
      <c r="DV402" t="inlineStr">
        <is>
          <t>flat</t>
        </is>
      </c>
      <c r="DW402" t="n">
        <v>66.56</v>
      </c>
      <c r="DX402" t="n">
        <v>80.5</v>
      </c>
      <c r="DY402" t="n">
        <v>92</v>
      </c>
      <c r="DZ402" t="n">
        <v>25.44</v>
      </c>
      <c r="EA402" t="n">
        <v>1</v>
      </c>
      <c r="EB402" t="n">
        <v>26.75</v>
      </c>
      <c r="EC402" t="n">
        <v>38.67</v>
      </c>
      <c r="ED402" t="n">
        <v>92</v>
      </c>
      <c r="EE402" t="n">
        <v>3</v>
      </c>
      <c r="EF402" t="b">
        <v>0</v>
      </c>
      <c r="EG402" t="n">
        <v>0.1</v>
      </c>
      <c r="EH402" t="n">
        <v>0</v>
      </c>
      <c r="EI402" t="n">
        <v>475</v>
      </c>
      <c r="EN402" t="n">
        <v>2800</v>
      </c>
      <c r="EO402" t="n">
        <v>2800</v>
      </c>
      <c r="EP402" t="n">
        <v>14</v>
      </c>
    </row>
    <row r="403">
      <c r="A403" t="inlineStr">
        <is>
          <t>Dário Essugo</t>
        </is>
      </c>
      <c r="B403" t="inlineStr">
        <is>
          <t>CHE</t>
        </is>
      </c>
      <c r="C403" t="inlineStr">
        <is>
          <t>MID</t>
        </is>
      </c>
      <c r="D403" t="inlineStr">
        <is>
          <t>MID</t>
        </is>
      </c>
      <c r="E403" t="n">
        <v>4.5</v>
      </c>
      <c r="F403" t="b">
        <v>1</v>
      </c>
      <c r="G403" t="b">
        <v>1</v>
      </c>
      <c r="H403" t="n">
        <v>21.4</v>
      </c>
      <c r="I403" t="inlineStr">
        <is>
          <t>a</t>
        </is>
      </c>
      <c r="L403" t="inlineStr">
        <is>
          <t>p491007</t>
        </is>
      </c>
      <c r="M403" t="n">
        <v>163</v>
      </c>
      <c r="Q403" t="n">
        <v>26</v>
      </c>
      <c r="R403" t="n">
        <v>3</v>
      </c>
      <c r="S403" t="n">
        <v>0</v>
      </c>
      <c r="T403" t="n">
        <v>0.289</v>
      </c>
      <c r="U403" t="n">
        <v>8.699999999999999</v>
      </c>
      <c r="V403" t="n">
        <v>1</v>
      </c>
      <c r="W403" t="n">
        <v>3.462</v>
      </c>
      <c r="X403" t="n">
        <v>0</v>
      </c>
      <c r="Y403" t="n">
        <v>0</v>
      </c>
      <c r="AA403" t="n">
        <v>0</v>
      </c>
      <c r="AB403" t="n">
        <v>1</v>
      </c>
      <c r="AC403" t="n">
        <v>0</v>
      </c>
      <c r="AD403" t="n">
        <v>0</v>
      </c>
      <c r="AE403" t="n">
        <v>0</v>
      </c>
      <c r="AF403" t="n">
        <v>7</v>
      </c>
      <c r="AG403" t="n">
        <v>7</v>
      </c>
      <c r="AH403" t="n">
        <v>0</v>
      </c>
      <c r="AI403" t="n">
        <v>1</v>
      </c>
      <c r="AJ403" t="n">
        <v>0</v>
      </c>
      <c r="AK403" t="n">
        <v>0</v>
      </c>
      <c r="AL403" t="n">
        <v>8</v>
      </c>
      <c r="AM403" t="n">
        <v>27.692</v>
      </c>
      <c r="AN403" t="n">
        <v>0</v>
      </c>
      <c r="AO403" t="n">
        <v>0</v>
      </c>
      <c r="AS403" t="n">
        <v>0</v>
      </c>
      <c r="AT403" t="n">
        <v>0</v>
      </c>
      <c r="AU403" t="n">
        <v>3</v>
      </c>
      <c r="AV403" t="n">
        <v>0</v>
      </c>
      <c r="AW403" t="n">
        <v>0.16</v>
      </c>
      <c r="AX403" t="n">
        <v>1</v>
      </c>
      <c r="AY403" t="n">
        <v>0</v>
      </c>
      <c r="AZ403" t="n">
        <v>0</v>
      </c>
      <c r="BA403" t="n">
        <v>0</v>
      </c>
      <c r="BB403" t="n">
        <v>0</v>
      </c>
      <c r="BC403" t="n">
        <v>0</v>
      </c>
      <c r="BD403" t="n">
        <v>0</v>
      </c>
      <c r="BE403" t="n">
        <v>0</v>
      </c>
      <c r="BH403" t="n">
        <v>1</v>
      </c>
      <c r="BI403" t="n">
        <v>0</v>
      </c>
      <c r="BJ403" t="n">
        <v>0</v>
      </c>
      <c r="BK403" t="n">
        <v>0</v>
      </c>
      <c r="BL403" t="n">
        <v>0</v>
      </c>
      <c r="BO403" t="n">
        <v>0</v>
      </c>
      <c r="BS403" t="n">
        <v>1</v>
      </c>
      <c r="BT403" t="n">
        <v>3.462</v>
      </c>
      <c r="BW403" t="n">
        <v>0.01</v>
      </c>
      <c r="BX403" t="n">
        <v>0</v>
      </c>
      <c r="BY403" t="n">
        <v>0.005</v>
      </c>
      <c r="BZ403" t="n">
        <v>0.017</v>
      </c>
      <c r="CA403" t="n">
        <v>0.005</v>
      </c>
      <c r="CB403" t="n">
        <v>0.017</v>
      </c>
      <c r="CC403" t="n">
        <v>0</v>
      </c>
      <c r="CI403" t="n">
        <v>0.432</v>
      </c>
      <c r="CJ403" t="n">
        <v>0.432</v>
      </c>
      <c r="CK403" t="n">
        <v>1</v>
      </c>
      <c r="CL403" t="n">
        <v>1</v>
      </c>
      <c r="CM403" t="n">
        <v>6</v>
      </c>
      <c r="CN403" t="n">
        <v>3</v>
      </c>
      <c r="CP403" t="n">
        <v>1</v>
      </c>
      <c r="CR403" t="n">
        <v>10</v>
      </c>
      <c r="CS403" t="n">
        <v>1</v>
      </c>
      <c r="CW403" t="n">
        <v>0.55</v>
      </c>
      <c r="CX403" t="n">
        <v>1.904</v>
      </c>
      <c r="CY403" t="n">
        <v>0</v>
      </c>
      <c r="DB403" t="n">
        <v>0</v>
      </c>
      <c r="DF403" t="n">
        <v>2</v>
      </c>
      <c r="DG403" t="n">
        <v>0</v>
      </c>
      <c r="DH403" t="n">
        <v>3</v>
      </c>
      <c r="DI403" t="n">
        <v>1</v>
      </c>
      <c r="DL403" t="n">
        <v>2</v>
      </c>
      <c r="DM403" t="n">
        <v>2</v>
      </c>
      <c r="DO403" t="n">
        <v>0.2</v>
      </c>
      <c r="DP403" t="n">
        <v>7.79</v>
      </c>
      <c r="DQ403" t="n">
        <v>3.99</v>
      </c>
      <c r="DR403" t="n">
        <v>7.98</v>
      </c>
      <c r="DS403" t="n">
        <v>-0.19</v>
      </c>
      <c r="DT403" t="n">
        <v>12</v>
      </c>
      <c r="DU403" t="n">
        <v>0.32</v>
      </c>
      <c r="DV403" t="inlineStr">
        <is>
          <t>flat</t>
        </is>
      </c>
      <c r="DW403" t="n">
        <v>85</v>
      </c>
      <c r="DX403" t="n">
        <v>85</v>
      </c>
      <c r="EC403" t="n">
        <v>85</v>
      </c>
      <c r="ED403" t="n">
        <v>85</v>
      </c>
      <c r="EE403" t="n">
        <v>1</v>
      </c>
      <c r="EF403" t="b">
        <v>0</v>
      </c>
      <c r="EG403" t="n">
        <v>0</v>
      </c>
      <c r="EH403" t="n">
        <v>0</v>
      </c>
      <c r="EI403" t="n">
        <v>471</v>
      </c>
      <c r="EK403" t="n">
        <v>26</v>
      </c>
      <c r="EN403" t="n">
        <v>5200</v>
      </c>
      <c r="EO403" t="n">
        <v>5200</v>
      </c>
      <c r="EP403" t="n">
        <v>26</v>
      </c>
    </row>
    <row r="404">
      <c r="A404" t="inlineStr">
        <is>
          <t>Hákon Valdimarsson</t>
        </is>
      </c>
      <c r="B404" t="inlineStr">
        <is>
          <t>BRE</t>
        </is>
      </c>
      <c r="C404" t="inlineStr">
        <is>
          <t>GKP</t>
        </is>
      </c>
      <c r="D404" t="inlineStr">
        <is>
          <t>GKP</t>
        </is>
      </c>
      <c r="E404" t="n">
        <v>4.5</v>
      </c>
      <c r="F404" t="b">
        <v>1</v>
      </c>
      <c r="G404" t="b">
        <v>1</v>
      </c>
      <c r="H404" t="n">
        <v>24.9</v>
      </c>
      <c r="I404" t="inlineStr">
        <is>
          <t>a</t>
        </is>
      </c>
      <c r="L404" t="inlineStr">
        <is>
          <t>p507433</t>
        </is>
      </c>
      <c r="M404" t="n">
        <v>83</v>
      </c>
      <c r="Q404" t="n">
        <v>90</v>
      </c>
      <c r="R404" t="n">
        <v>1</v>
      </c>
      <c r="S404" t="n">
        <v>1</v>
      </c>
      <c r="T404" t="n">
        <v>1</v>
      </c>
      <c r="U404" t="n">
        <v>90</v>
      </c>
      <c r="V404" t="n">
        <v>1</v>
      </c>
      <c r="W404" t="n">
        <v>1</v>
      </c>
      <c r="X404" t="n">
        <v>0</v>
      </c>
      <c r="Y404" t="n">
        <v>0</v>
      </c>
      <c r="AA404" t="n">
        <v>0</v>
      </c>
      <c r="AB404" t="n">
        <v>3</v>
      </c>
      <c r="AC404" t="n">
        <v>0</v>
      </c>
      <c r="AD404" t="n">
        <v>0</v>
      </c>
      <c r="AE404" t="n">
        <v>0</v>
      </c>
      <c r="AF404" t="n">
        <v>1</v>
      </c>
      <c r="AG404" t="n">
        <v>1</v>
      </c>
      <c r="AH404" t="n">
        <v>0</v>
      </c>
      <c r="AI404" t="n">
        <v>1</v>
      </c>
      <c r="AJ404" t="n">
        <v>0</v>
      </c>
      <c r="AK404" t="n">
        <v>0</v>
      </c>
      <c r="AL404" t="n">
        <v>0</v>
      </c>
      <c r="AM404" t="n">
        <v>0</v>
      </c>
      <c r="AN404" t="n">
        <v>0</v>
      </c>
      <c r="AO404" t="n">
        <v>0</v>
      </c>
      <c r="AP404" t="n">
        <v>0</v>
      </c>
      <c r="AQ404" t="n">
        <v>0</v>
      </c>
      <c r="AR404" t="n">
        <v>0</v>
      </c>
      <c r="AS404" t="n">
        <v>0.026</v>
      </c>
      <c r="AT404" t="n">
        <v>1</v>
      </c>
      <c r="AU404" t="n">
        <v>1</v>
      </c>
      <c r="AV404" t="n">
        <v>0</v>
      </c>
      <c r="AW404" t="n">
        <v>0.16</v>
      </c>
      <c r="AX404" t="n">
        <v>1</v>
      </c>
      <c r="AY404" t="n">
        <v>0</v>
      </c>
      <c r="AZ404" t="n">
        <v>0</v>
      </c>
      <c r="BA404" t="n">
        <v>0</v>
      </c>
      <c r="BB404" t="n">
        <v>0</v>
      </c>
      <c r="BC404" t="n">
        <v>0</v>
      </c>
      <c r="BD404" t="n">
        <v>0</v>
      </c>
      <c r="BE404" t="n">
        <v>0</v>
      </c>
      <c r="BH404" t="n">
        <v>1</v>
      </c>
      <c r="BI404" t="n">
        <v>0</v>
      </c>
      <c r="BJ404" t="n">
        <v>0</v>
      </c>
      <c r="BK404" t="n">
        <v>0</v>
      </c>
      <c r="BL404" t="n">
        <v>0</v>
      </c>
      <c r="BO404" t="n">
        <v>0</v>
      </c>
      <c r="BW404" t="n">
        <v>0</v>
      </c>
      <c r="BX404" t="n">
        <v>0</v>
      </c>
      <c r="BY404" t="n">
        <v>0</v>
      </c>
      <c r="BZ404" t="n">
        <v>0</v>
      </c>
      <c r="CA404" t="n">
        <v>0</v>
      </c>
      <c r="CB404" t="n">
        <v>0</v>
      </c>
      <c r="CC404" t="n">
        <v>0</v>
      </c>
      <c r="CI404" t="n">
        <v>0.213</v>
      </c>
      <c r="CJ404" t="n">
        <v>0.213</v>
      </c>
      <c r="CK404" t="n">
        <v>0</v>
      </c>
      <c r="CL404" t="n">
        <v>7</v>
      </c>
      <c r="CM404" t="n">
        <v>0</v>
      </c>
      <c r="CW404" t="n">
        <v>0.97</v>
      </c>
      <c r="CX404" t="n">
        <v>0.97</v>
      </c>
      <c r="CY404" t="n">
        <v>1</v>
      </c>
      <c r="DB404" t="n">
        <v>0</v>
      </c>
      <c r="DF404" t="n">
        <v>0</v>
      </c>
      <c r="DG404" t="n">
        <v>0</v>
      </c>
      <c r="DO404" t="n">
        <v>0.1</v>
      </c>
      <c r="DP404" t="n">
        <v>1.5</v>
      </c>
      <c r="DQ404" t="n">
        <v>0.75</v>
      </c>
      <c r="DR404" t="n">
        <v>1.5</v>
      </c>
      <c r="DS404" t="n">
        <v>0</v>
      </c>
      <c r="DT404" t="n">
        <v>35</v>
      </c>
      <c r="DU404" t="n">
        <v>0.91</v>
      </c>
      <c r="DV404" t="inlineStr">
        <is>
          <t>flat</t>
        </is>
      </c>
      <c r="DW404" t="n">
        <v>115.44</v>
      </c>
      <c r="DX404" t="n">
        <v>111.6</v>
      </c>
      <c r="DY404" t="n">
        <v>114.97</v>
      </c>
      <c r="DZ404" t="n">
        <v>-0.47</v>
      </c>
      <c r="EA404" t="n">
        <v>28</v>
      </c>
      <c r="EB404" t="n">
        <v>5.29</v>
      </c>
      <c r="EC404" t="n">
        <v>91</v>
      </c>
      <c r="ED404" t="n">
        <v>120</v>
      </c>
      <c r="EE404" t="n">
        <v>42</v>
      </c>
      <c r="EF404" t="b">
        <v>1</v>
      </c>
      <c r="EG404" t="n">
        <v>1</v>
      </c>
      <c r="EH404" t="n">
        <v>16</v>
      </c>
      <c r="EI404" t="n">
        <v>468</v>
      </c>
      <c r="EP404" t="n">
        <v>90</v>
      </c>
    </row>
    <row r="405">
      <c r="A405" t="inlineStr">
        <is>
          <t>Antoni Milambo</t>
        </is>
      </c>
      <c r="B405" t="inlineStr">
        <is>
          <t>BRE</t>
        </is>
      </c>
      <c r="C405" t="inlineStr">
        <is>
          <t>MID</t>
        </is>
      </c>
      <c r="D405" t="inlineStr">
        <is>
          <t>MID</t>
        </is>
      </c>
      <c r="E405" t="n">
        <v>5</v>
      </c>
      <c r="F405" t="b">
        <v>1</v>
      </c>
      <c r="G405" t="b">
        <v>1</v>
      </c>
      <c r="H405" t="n">
        <v>21.4</v>
      </c>
      <c r="I405" t="inlineStr">
        <is>
          <t>d</t>
        </is>
      </c>
      <c r="J405" t="inlineStr">
        <is>
          <t>Knee injury - 75% chance of playing</t>
        </is>
      </c>
      <c r="K405" t="n">
        <v>75</v>
      </c>
      <c r="L405" t="inlineStr">
        <is>
          <t>p543295</t>
        </is>
      </c>
      <c r="M405" t="n">
        <v>99</v>
      </c>
      <c r="Q405" t="n">
        <v>45</v>
      </c>
      <c r="R405" t="n">
        <v>1</v>
      </c>
      <c r="S405" t="n">
        <v>1</v>
      </c>
      <c r="T405" t="n">
        <v>0.5</v>
      </c>
      <c r="U405" t="n">
        <v>45</v>
      </c>
      <c r="V405" t="n">
        <v>1</v>
      </c>
      <c r="W405" t="n">
        <v>2</v>
      </c>
      <c r="X405" t="n">
        <v>0</v>
      </c>
      <c r="Y405" t="n">
        <v>0</v>
      </c>
      <c r="AA405" t="n">
        <v>0</v>
      </c>
      <c r="AB405" t="n">
        <v>3</v>
      </c>
      <c r="AC405" t="n">
        <v>0</v>
      </c>
      <c r="AD405" t="n">
        <v>0</v>
      </c>
      <c r="AE405" t="n">
        <v>0</v>
      </c>
      <c r="AF405" t="n">
        <v>5</v>
      </c>
      <c r="AG405" t="n">
        <v>5</v>
      </c>
      <c r="AH405" t="n">
        <v>0</v>
      </c>
      <c r="AI405" t="n">
        <v>1</v>
      </c>
      <c r="AJ405" t="n">
        <v>0</v>
      </c>
      <c r="AK405" t="n">
        <v>0</v>
      </c>
      <c r="AL405" t="n">
        <v>4</v>
      </c>
      <c r="AM405" t="n">
        <v>8</v>
      </c>
      <c r="AN405" t="n">
        <v>0</v>
      </c>
      <c r="AO405" t="n">
        <v>0</v>
      </c>
      <c r="AP405" t="n">
        <v>0</v>
      </c>
      <c r="AQ405" t="n">
        <v>0</v>
      </c>
      <c r="AR405" t="n">
        <v>0</v>
      </c>
      <c r="AS405" t="n">
        <v>0.026</v>
      </c>
      <c r="AT405" t="n">
        <v>0</v>
      </c>
      <c r="AU405" t="n">
        <v>1</v>
      </c>
      <c r="AV405" t="n">
        <v>0</v>
      </c>
      <c r="AW405" t="n">
        <v>0.16</v>
      </c>
      <c r="AX405" t="n">
        <v>1</v>
      </c>
      <c r="AY405" t="n">
        <v>0</v>
      </c>
      <c r="AZ405" t="n">
        <v>0</v>
      </c>
      <c r="BA405" t="n">
        <v>0</v>
      </c>
      <c r="BB405" t="n">
        <v>0</v>
      </c>
      <c r="BC405" t="n">
        <v>0</v>
      </c>
      <c r="BD405" t="n">
        <v>0</v>
      </c>
      <c r="BE405" t="n">
        <v>0</v>
      </c>
      <c r="BH405" t="n">
        <v>1</v>
      </c>
      <c r="BI405" t="n">
        <v>0</v>
      </c>
      <c r="BJ405" t="n">
        <v>0</v>
      </c>
      <c r="BK405" t="n">
        <v>0</v>
      </c>
      <c r="BL405" t="n">
        <v>0</v>
      </c>
      <c r="BO405" t="n">
        <v>0</v>
      </c>
      <c r="BW405" t="n">
        <v>0.01</v>
      </c>
      <c r="BX405" t="n">
        <v>0</v>
      </c>
      <c r="BY405" t="n">
        <v>0.005</v>
      </c>
      <c r="BZ405" t="n">
        <v>0.01</v>
      </c>
      <c r="CA405" t="n">
        <v>0.005</v>
      </c>
      <c r="CB405" t="n">
        <v>0.01</v>
      </c>
      <c r="CC405" t="n">
        <v>0</v>
      </c>
      <c r="CI405" t="n">
        <v>0.044</v>
      </c>
      <c r="CJ405" t="n">
        <v>0.044</v>
      </c>
      <c r="CK405" t="n">
        <v>0</v>
      </c>
      <c r="CL405" t="n">
        <v>2</v>
      </c>
      <c r="CM405" t="n">
        <v>2</v>
      </c>
      <c r="CN405" t="n">
        <v>1</v>
      </c>
      <c r="CO405" t="n">
        <v>0</v>
      </c>
      <c r="CR405" t="n">
        <v>5</v>
      </c>
      <c r="CS405" t="n">
        <v>2</v>
      </c>
      <c r="CW405" t="n">
        <v>1.49</v>
      </c>
      <c r="CX405" t="n">
        <v>2.98</v>
      </c>
      <c r="CY405" t="n">
        <v>0</v>
      </c>
      <c r="DB405" t="n">
        <v>0</v>
      </c>
      <c r="DF405" t="n">
        <v>0</v>
      </c>
      <c r="DG405" t="n">
        <v>0</v>
      </c>
      <c r="DO405" t="n">
        <v>0</v>
      </c>
      <c r="DP405" t="n">
        <v>0</v>
      </c>
      <c r="DQ405" t="n">
        <v>0</v>
      </c>
      <c r="DR405" t="n">
        <v>0</v>
      </c>
      <c r="DS405" t="n">
        <v>0</v>
      </c>
      <c r="DT405" t="n">
        <v>0</v>
      </c>
      <c r="DU405" t="n">
        <v>0</v>
      </c>
      <c r="DV405" t="inlineStr">
        <is>
          <t>flat</t>
        </is>
      </c>
      <c r="EN405" t="n">
        <v>9000</v>
      </c>
      <c r="EO405" t="n">
        <v>9000</v>
      </c>
      <c r="EP405" t="n">
        <v>45</v>
      </c>
    </row>
    <row r="406">
      <c r="A406" t="inlineStr">
        <is>
          <t>Tyler Fredricson</t>
        </is>
      </c>
      <c r="B406" t="inlineStr">
        <is>
          <t>MUN</t>
        </is>
      </c>
      <c r="C406" t="inlineStr">
        <is>
          <t>DEF</t>
        </is>
      </c>
      <c r="D406" t="inlineStr">
        <is>
          <t>DEF</t>
        </is>
      </c>
      <c r="E406" t="n">
        <v>4</v>
      </c>
      <c r="F406" t="b">
        <v>1</v>
      </c>
      <c r="G406" t="b">
        <v>1</v>
      </c>
      <c r="H406" t="n">
        <v>21.5</v>
      </c>
      <c r="I406" t="inlineStr">
        <is>
          <t>a</t>
        </is>
      </c>
      <c r="L406" t="inlineStr">
        <is>
          <t>p547676</t>
        </is>
      </c>
      <c r="M406" t="n">
        <v>425</v>
      </c>
      <c r="Q406" t="n">
        <v>2</v>
      </c>
      <c r="R406" t="n">
        <v>1</v>
      </c>
      <c r="S406" t="n">
        <v>0</v>
      </c>
      <c r="T406" t="n">
        <v>0.022</v>
      </c>
      <c r="U406" t="n">
        <v>2</v>
      </c>
      <c r="V406" t="n">
        <v>1</v>
      </c>
      <c r="W406" t="n">
        <v>45</v>
      </c>
      <c r="X406" t="n">
        <v>0</v>
      </c>
      <c r="Y406" t="n">
        <v>0</v>
      </c>
      <c r="AA406" t="n">
        <v>0</v>
      </c>
      <c r="AB406" t="n">
        <v>0</v>
      </c>
      <c r="AC406" t="n">
        <v>0</v>
      </c>
      <c r="AD406" t="n">
        <v>0</v>
      </c>
      <c r="AE406" t="n">
        <v>0</v>
      </c>
      <c r="AF406" t="n">
        <v>4</v>
      </c>
      <c r="AG406" t="n">
        <v>3</v>
      </c>
      <c r="AH406" t="n">
        <v>-1</v>
      </c>
      <c r="AI406" t="n">
        <v>1</v>
      </c>
      <c r="AJ406" t="n">
        <v>0</v>
      </c>
      <c r="AK406" t="n">
        <v>0</v>
      </c>
      <c r="AL406" t="n">
        <v>2</v>
      </c>
      <c r="AM406" t="n">
        <v>90</v>
      </c>
      <c r="AN406" t="n">
        <v>0</v>
      </c>
      <c r="AO406" t="n">
        <v>0</v>
      </c>
      <c r="AS406" t="n">
        <v>0</v>
      </c>
      <c r="AT406" t="n">
        <v>0</v>
      </c>
      <c r="AU406" t="n">
        <v>1</v>
      </c>
      <c r="AV406" t="n">
        <v>0</v>
      </c>
      <c r="AW406" t="n">
        <v>0.16</v>
      </c>
      <c r="AX406" t="n">
        <v>1</v>
      </c>
      <c r="AY406" t="n">
        <v>0</v>
      </c>
      <c r="BA406" t="n">
        <v>0</v>
      </c>
      <c r="BC406" t="n">
        <v>0</v>
      </c>
      <c r="BE406" t="n">
        <v>0</v>
      </c>
      <c r="BH406" t="n">
        <v>1</v>
      </c>
      <c r="BI406" t="n">
        <v>0</v>
      </c>
      <c r="BJ406" t="n">
        <v>0</v>
      </c>
      <c r="BK406" t="n">
        <v>0</v>
      </c>
      <c r="BL406" t="n">
        <v>0</v>
      </c>
      <c r="BW406" t="n">
        <v>0</v>
      </c>
      <c r="BY406" t="n">
        <v>0</v>
      </c>
      <c r="BZ406" t="n">
        <v>0</v>
      </c>
      <c r="CA406" t="n">
        <v>0</v>
      </c>
      <c r="CB406" t="n">
        <v>0</v>
      </c>
      <c r="CK406" t="n">
        <v>2</v>
      </c>
      <c r="CL406" t="n">
        <v>0</v>
      </c>
      <c r="CM406" t="n">
        <v>0</v>
      </c>
      <c r="CP406" t="n">
        <v>2</v>
      </c>
      <c r="CW406" t="n">
        <v>0.3</v>
      </c>
      <c r="CX406" t="n">
        <v>13.5</v>
      </c>
      <c r="CY406" t="n">
        <v>0</v>
      </c>
      <c r="DB406" t="n">
        <v>0</v>
      </c>
      <c r="DF406" t="n">
        <v>0</v>
      </c>
      <c r="DG406" t="n">
        <v>0</v>
      </c>
      <c r="DO406" t="n">
        <v>0.1</v>
      </c>
      <c r="DP406" t="n">
        <v>0</v>
      </c>
      <c r="DQ406" t="n">
        <v>0</v>
      </c>
      <c r="DR406" t="n">
        <v>0</v>
      </c>
      <c r="DS406" t="n">
        <v>0</v>
      </c>
      <c r="DT406" t="n">
        <v>0</v>
      </c>
      <c r="DU406" t="n">
        <v>0</v>
      </c>
      <c r="DV406" t="inlineStr">
        <is>
          <t>flat</t>
        </is>
      </c>
      <c r="DW406" t="n">
        <v>90.83</v>
      </c>
      <c r="DX406" t="n">
        <v>85.33</v>
      </c>
      <c r="DY406" t="n">
        <v>86.67</v>
      </c>
      <c r="DZ406" t="n">
        <v>-4.17</v>
      </c>
      <c r="EA406" t="n">
        <v>2</v>
      </c>
      <c r="EB406" t="n">
        <v>23.97</v>
      </c>
      <c r="EC406" t="n">
        <v>66</v>
      </c>
      <c r="ED406" t="n">
        <v>115</v>
      </c>
      <c r="EE406" t="n">
        <v>4</v>
      </c>
      <c r="EF406" t="b">
        <v>0</v>
      </c>
      <c r="EG406" t="n">
        <v>0.1</v>
      </c>
      <c r="EH406" t="n">
        <v>0</v>
      </c>
      <c r="EI406" t="n">
        <v>529</v>
      </c>
      <c r="EP406" t="n">
        <v>2</v>
      </c>
    </row>
    <row r="407">
      <c r="A407" t="inlineStr">
        <is>
          <t>Illan Meslier</t>
        </is>
      </c>
      <c r="B407" t="inlineStr">
        <is>
          <t>ARS</t>
        </is>
      </c>
      <c r="C407" t="inlineStr">
        <is>
          <t>GKP</t>
        </is>
      </c>
      <c r="D407" t="inlineStr">
        <is>
          <t>GKP</t>
        </is>
      </c>
      <c r="E407" t="n">
        <v>5</v>
      </c>
      <c r="F407" t="b">
        <v>1</v>
      </c>
      <c r="G407" t="b">
        <v>0</v>
      </c>
      <c r="H407" t="n">
        <v>26.5</v>
      </c>
      <c r="I407" t="inlineStr">
        <is>
          <t>a</t>
        </is>
      </c>
      <c r="M407" t="n">
        <v>3</v>
      </c>
      <c r="Q407" t="n">
        <v>0</v>
      </c>
      <c r="S407" t="n">
        <v>0</v>
      </c>
      <c r="T407" t="n">
        <v>0</v>
      </c>
      <c r="V407" t="n">
        <v>0</v>
      </c>
      <c r="X407" t="n">
        <v>0</v>
      </c>
      <c r="Y407" t="n">
        <v>0</v>
      </c>
      <c r="AA407" t="n">
        <v>0</v>
      </c>
      <c r="AB407" t="n">
        <v>0</v>
      </c>
      <c r="AC407" t="n">
        <v>0</v>
      </c>
      <c r="AD407" t="n">
        <v>0</v>
      </c>
      <c r="AE407" t="n">
        <v>0</v>
      </c>
      <c r="AF407" t="n">
        <v>0</v>
      </c>
      <c r="AG407" t="n">
        <v>0</v>
      </c>
      <c r="AH407" t="n">
        <v>0</v>
      </c>
      <c r="AI407" t="n">
        <v>0</v>
      </c>
      <c r="AL407" t="n">
        <v>0</v>
      </c>
      <c r="AN407" t="n">
        <v>0</v>
      </c>
      <c r="AO407" t="n">
        <v>0</v>
      </c>
      <c r="AS407" t="n">
        <v>0</v>
      </c>
      <c r="AU407" t="n">
        <v>0</v>
      </c>
      <c r="AV407" t="n">
        <v>0</v>
      </c>
      <c r="AW407" t="n">
        <v>0</v>
      </c>
      <c r="AX407" t="n">
        <v>0</v>
      </c>
      <c r="AY407" t="n">
        <v>0</v>
      </c>
      <c r="BA407" t="n">
        <v>0</v>
      </c>
      <c r="BL407" t="n">
        <v>0</v>
      </c>
      <c r="BW407" t="n">
        <v>0</v>
      </c>
      <c r="BY407" t="n">
        <v>0</v>
      </c>
      <c r="CA407" t="n">
        <v>0</v>
      </c>
      <c r="CK407" t="n">
        <v>0</v>
      </c>
      <c r="CL407" t="n">
        <v>0</v>
      </c>
      <c r="CM407" t="n">
        <v>0</v>
      </c>
      <c r="CW407" t="n">
        <v>0</v>
      </c>
      <c r="CY407" t="n">
        <v>0</v>
      </c>
      <c r="DB407" t="n">
        <v>0</v>
      </c>
      <c r="DF407" t="n">
        <v>0</v>
      </c>
      <c r="DG407" t="n">
        <v>0</v>
      </c>
      <c r="DO407" t="n">
        <v>0.1</v>
      </c>
      <c r="DP407" t="n">
        <v>0</v>
      </c>
      <c r="DQ407" t="n">
        <v>0</v>
      </c>
      <c r="DR407" t="n">
        <v>0</v>
      </c>
      <c r="DS407" t="n">
        <v>0</v>
      </c>
      <c r="DT407" t="n">
        <v>0</v>
      </c>
      <c r="DU407" t="n">
        <v>0</v>
      </c>
      <c r="DV407" t="inlineStr">
        <is>
          <t>flat</t>
        </is>
      </c>
      <c r="DW407" t="n">
        <v>112.52</v>
      </c>
      <c r="DX407" t="n">
        <v>108.84</v>
      </c>
      <c r="DY407" t="n">
        <v>115.47</v>
      </c>
      <c r="DZ407" t="n">
        <v>2.95</v>
      </c>
      <c r="EA407" t="n">
        <v>95</v>
      </c>
      <c r="EB407" t="n">
        <v>17.41</v>
      </c>
      <c r="EC407" t="n">
        <v>15</v>
      </c>
      <c r="ED407" t="n">
        <v>120</v>
      </c>
      <c r="EE407" t="n">
        <v>139</v>
      </c>
      <c r="EF407" t="b">
        <v>1</v>
      </c>
      <c r="EG407" t="n">
        <v>7.3</v>
      </c>
      <c r="EH407" t="n">
        <v>61.1</v>
      </c>
      <c r="EI407" t="n">
        <v>334</v>
      </c>
    </row>
    <row r="408">
      <c r="A408" t="inlineStr">
        <is>
          <t>Julián Araujo Zúñiga</t>
        </is>
      </c>
      <c r="B408" t="inlineStr">
        <is>
          <t>BOU</t>
        </is>
      </c>
      <c r="C408" t="inlineStr">
        <is>
          <t>DEF</t>
        </is>
      </c>
      <c r="D408" t="inlineStr">
        <is>
          <t>DEF</t>
        </is>
      </c>
      <c r="E408" t="n">
        <v>4.5</v>
      </c>
      <c r="F408" t="b">
        <v>1</v>
      </c>
      <c r="G408" t="b">
        <v>0</v>
      </c>
      <c r="H408" t="n">
        <v>25</v>
      </c>
      <c r="I408" t="inlineStr">
        <is>
          <t>i</t>
        </is>
      </c>
      <c r="J408" t="inlineStr">
        <is>
          <t>Thigh injury - Unknown return date</t>
        </is>
      </c>
      <c r="K408" t="n">
        <v>0</v>
      </c>
      <c r="M408" t="n">
        <v>65</v>
      </c>
      <c r="Q408" t="n">
        <v>0</v>
      </c>
      <c r="S408" t="n">
        <v>0</v>
      </c>
      <c r="T408" t="n">
        <v>0</v>
      </c>
      <c r="V408" t="n">
        <v>0</v>
      </c>
      <c r="X408" t="n">
        <v>0</v>
      </c>
      <c r="Y408" t="n">
        <v>0</v>
      </c>
      <c r="AA408" t="n">
        <v>0</v>
      </c>
      <c r="AB408" t="n">
        <v>0</v>
      </c>
      <c r="AC408" t="n">
        <v>0</v>
      </c>
      <c r="AD408" t="n">
        <v>0</v>
      </c>
      <c r="AE408" t="n">
        <v>0</v>
      </c>
      <c r="AF408" t="n">
        <v>0</v>
      </c>
      <c r="AG408" t="n">
        <v>0</v>
      </c>
      <c r="AH408" t="n">
        <v>0</v>
      </c>
      <c r="AI408" t="n">
        <v>0</v>
      </c>
      <c r="AL408" t="n">
        <v>0</v>
      </c>
      <c r="AN408" t="n">
        <v>0</v>
      </c>
      <c r="AO408" t="n">
        <v>0</v>
      </c>
      <c r="AS408" t="n">
        <v>0</v>
      </c>
      <c r="AU408" t="n">
        <v>0</v>
      </c>
      <c r="AV408" t="n">
        <v>0</v>
      </c>
      <c r="AW408" t="n">
        <v>0</v>
      </c>
      <c r="AX408" t="n">
        <v>0</v>
      </c>
      <c r="AY408" t="n">
        <v>0</v>
      </c>
      <c r="BA408" t="n">
        <v>0</v>
      </c>
      <c r="BL408" t="n">
        <v>0</v>
      </c>
      <c r="BW408" t="n">
        <v>0</v>
      </c>
      <c r="BY408" t="n">
        <v>0</v>
      </c>
      <c r="CA408" t="n">
        <v>0</v>
      </c>
      <c r="CK408" t="n">
        <v>0</v>
      </c>
      <c r="CL408" t="n">
        <v>0</v>
      </c>
      <c r="CM408" t="n">
        <v>0</v>
      </c>
      <c r="CW408" t="n">
        <v>0</v>
      </c>
      <c r="CY408" t="n">
        <v>0</v>
      </c>
      <c r="DB408" t="n">
        <v>0</v>
      </c>
      <c r="DF408" t="n">
        <v>0</v>
      </c>
      <c r="DG408" t="n">
        <v>0</v>
      </c>
      <c r="DO408" t="n">
        <v>0.1</v>
      </c>
      <c r="DP408" t="n">
        <v>0</v>
      </c>
      <c r="DQ408" t="n">
        <v>0</v>
      </c>
      <c r="DR408" t="n">
        <v>0</v>
      </c>
      <c r="DS408" t="n">
        <v>0</v>
      </c>
      <c r="DT408" t="n">
        <v>0</v>
      </c>
      <c r="DU408" t="n">
        <v>0</v>
      </c>
      <c r="DV408" t="inlineStr">
        <is>
          <t>flat</t>
        </is>
      </c>
      <c r="DW408" t="n">
        <v>101.79</v>
      </c>
      <c r="DX408" t="n">
        <v>98</v>
      </c>
      <c r="DY408" t="n">
        <v>106.5</v>
      </c>
      <c r="DZ408" t="n">
        <v>4.71</v>
      </c>
      <c r="EA408" t="n">
        <v>1</v>
      </c>
      <c r="EB408" t="n">
        <v>12.82</v>
      </c>
      <c r="EC408" t="n">
        <v>84.8</v>
      </c>
      <c r="ED408" t="n">
        <v>118.86</v>
      </c>
      <c r="EE408" t="n">
        <v>7</v>
      </c>
      <c r="EF408" t="b">
        <v>0</v>
      </c>
      <c r="EG408" t="n">
        <v>0.2</v>
      </c>
      <c r="EH408" t="n">
        <v>30</v>
      </c>
      <c r="EI408" t="n">
        <v>476</v>
      </c>
    </row>
    <row r="409">
      <c r="A409" t="inlineStr">
        <is>
          <t>Kjell Scherpen</t>
        </is>
      </c>
      <c r="B409" t="inlineStr">
        <is>
          <t>IPS</t>
        </is>
      </c>
      <c r="C409" t="inlineStr">
        <is>
          <t>GKP</t>
        </is>
      </c>
      <c r="D409" t="inlineStr">
        <is>
          <t>GKP</t>
        </is>
      </c>
      <c r="E409" t="n">
        <v>4.5</v>
      </c>
      <c r="F409" t="b">
        <v>1</v>
      </c>
      <c r="G409" t="b">
        <v>0</v>
      </c>
      <c r="H409" t="n">
        <v>26.6</v>
      </c>
      <c r="I409" t="inlineStr">
        <is>
          <t>a</t>
        </is>
      </c>
      <c r="M409" t="n">
        <v>564</v>
      </c>
      <c r="Q409" t="n">
        <v>0</v>
      </c>
      <c r="S409" t="n">
        <v>0</v>
      </c>
      <c r="T409" t="n">
        <v>0</v>
      </c>
      <c r="V409" t="n">
        <v>0</v>
      </c>
      <c r="X409" t="n">
        <v>0</v>
      </c>
      <c r="Y409" t="n">
        <v>0</v>
      </c>
      <c r="AA409" t="n">
        <v>0</v>
      </c>
      <c r="AB409" t="n">
        <v>0</v>
      </c>
      <c r="AC409" t="n">
        <v>0</v>
      </c>
      <c r="AD409" t="n">
        <v>0</v>
      </c>
      <c r="AE409" t="n">
        <v>0</v>
      </c>
      <c r="AF409" t="n">
        <v>0</v>
      </c>
      <c r="AG409" t="n">
        <v>0</v>
      </c>
      <c r="AH409" t="n">
        <v>0</v>
      </c>
      <c r="AI409" t="n">
        <v>0</v>
      </c>
      <c r="AL409" t="n">
        <v>0</v>
      </c>
      <c r="AN409" t="n">
        <v>0</v>
      </c>
      <c r="AO409" t="n">
        <v>0</v>
      </c>
      <c r="AS409" t="n">
        <v>0</v>
      </c>
      <c r="AU409" t="n">
        <v>0</v>
      </c>
      <c r="AV409" t="n">
        <v>0</v>
      </c>
      <c r="AW409" t="n">
        <v>0</v>
      </c>
      <c r="AX409" t="n">
        <v>0</v>
      </c>
      <c r="AY409" t="n">
        <v>0</v>
      </c>
      <c r="BA409" t="n">
        <v>0</v>
      </c>
      <c r="BL409" t="n">
        <v>0</v>
      </c>
      <c r="BW409" t="n">
        <v>0</v>
      </c>
      <c r="BY409" t="n">
        <v>0</v>
      </c>
      <c r="CA409" t="n">
        <v>0</v>
      </c>
      <c r="CK409" t="n">
        <v>0</v>
      </c>
      <c r="CL409" t="n">
        <v>0</v>
      </c>
      <c r="CM409" t="n">
        <v>0</v>
      </c>
      <c r="CW409" t="n">
        <v>0</v>
      </c>
      <c r="CY409" t="n">
        <v>0</v>
      </c>
      <c r="DB409" t="n">
        <v>0</v>
      </c>
      <c r="DF409" t="n">
        <v>0</v>
      </c>
      <c r="DG409" t="n">
        <v>0</v>
      </c>
      <c r="DO409" t="n">
        <v>0.4</v>
      </c>
      <c r="DP409" t="n">
        <v>109.72</v>
      </c>
      <c r="DQ409" t="n">
        <v>54.86</v>
      </c>
      <c r="DR409" t="n">
        <v>109.72</v>
      </c>
      <c r="DS409" t="n">
        <v>0</v>
      </c>
      <c r="DT409" t="n">
        <v>3317</v>
      </c>
      <c r="DU409" t="n">
        <v>87.3</v>
      </c>
      <c r="DV409" t="inlineStr">
        <is>
          <t>flat</t>
        </is>
      </c>
      <c r="DW409" t="n">
        <v>115.64</v>
      </c>
      <c r="DX409" t="n">
        <v>112.57</v>
      </c>
      <c r="DY409" t="n">
        <v>116.14</v>
      </c>
      <c r="DZ409" t="n">
        <v>0.5</v>
      </c>
      <c r="EA409" t="n">
        <v>100</v>
      </c>
      <c r="EB409" t="n">
        <v>6.68</v>
      </c>
      <c r="EC409" t="n">
        <v>67.56</v>
      </c>
      <c r="ED409" t="n">
        <v>120</v>
      </c>
      <c r="EE409" t="n">
        <v>122</v>
      </c>
      <c r="EF409" t="b">
        <v>1</v>
      </c>
      <c r="EG409" t="n">
        <v>2.8</v>
      </c>
      <c r="EH409" t="n">
        <v>10.9</v>
      </c>
      <c r="EI409" t="n">
        <v>507</v>
      </c>
    </row>
    <row r="410">
      <c r="A410" t="inlineStr">
        <is>
          <t>Tom Heaton</t>
        </is>
      </c>
      <c r="B410" t="inlineStr">
        <is>
          <t>MUN</t>
        </is>
      </c>
      <c r="C410" t="inlineStr">
        <is>
          <t>GKP</t>
        </is>
      </c>
      <c r="D410" t="inlineStr">
        <is>
          <t>GKP</t>
        </is>
      </c>
      <c r="E410" t="n">
        <v>4</v>
      </c>
      <c r="F410" t="b">
        <v>1</v>
      </c>
      <c r="G410" t="b">
        <v>0</v>
      </c>
      <c r="H410" t="n">
        <v>40.4</v>
      </c>
      <c r="I410" t="inlineStr">
        <is>
          <t>a</t>
        </is>
      </c>
      <c r="M410" t="n">
        <v>414</v>
      </c>
      <c r="Q410" t="n">
        <v>0</v>
      </c>
      <c r="S410" t="n">
        <v>0</v>
      </c>
      <c r="T410" t="n">
        <v>0</v>
      </c>
      <c r="V410" t="n">
        <v>0</v>
      </c>
      <c r="X410" t="n">
        <v>0</v>
      </c>
      <c r="Y410" t="n">
        <v>0</v>
      </c>
      <c r="AA410" t="n">
        <v>0</v>
      </c>
      <c r="AB410" t="n">
        <v>0</v>
      </c>
      <c r="AC410" t="n">
        <v>0</v>
      </c>
      <c r="AD410" t="n">
        <v>0</v>
      </c>
      <c r="AE410" t="n">
        <v>0</v>
      </c>
      <c r="AF410" t="n">
        <v>0</v>
      </c>
      <c r="AG410" t="n">
        <v>0</v>
      </c>
      <c r="AH410" t="n">
        <v>0</v>
      </c>
      <c r="AI410" t="n">
        <v>0</v>
      </c>
      <c r="AL410" t="n">
        <v>0</v>
      </c>
      <c r="AN410" t="n">
        <v>0</v>
      </c>
      <c r="AO410" t="n">
        <v>0</v>
      </c>
      <c r="AS410" t="n">
        <v>0</v>
      </c>
      <c r="AU410" t="n">
        <v>0</v>
      </c>
      <c r="AV410" t="n">
        <v>0</v>
      </c>
      <c r="AW410" t="n">
        <v>0</v>
      </c>
      <c r="AX410" t="n">
        <v>0</v>
      </c>
      <c r="AY410" t="n">
        <v>0</v>
      </c>
      <c r="BA410" t="n">
        <v>0</v>
      </c>
      <c r="BL410" t="n">
        <v>0</v>
      </c>
      <c r="BW410" t="n">
        <v>0</v>
      </c>
      <c r="BY410" t="n">
        <v>0</v>
      </c>
      <c r="CA410" t="n">
        <v>0</v>
      </c>
      <c r="CK410" t="n">
        <v>0</v>
      </c>
      <c r="CL410" t="n">
        <v>0</v>
      </c>
      <c r="CM410" t="n">
        <v>0</v>
      </c>
      <c r="CW410" t="n">
        <v>0</v>
      </c>
      <c r="CY410" t="n">
        <v>0</v>
      </c>
      <c r="DB410" t="n">
        <v>0</v>
      </c>
      <c r="DF410" t="n">
        <v>0</v>
      </c>
      <c r="DG410" t="n">
        <v>0</v>
      </c>
      <c r="DO410" t="n">
        <v>0.3</v>
      </c>
      <c r="DP410" t="n">
        <v>0</v>
      </c>
      <c r="DQ410" t="n">
        <v>0</v>
      </c>
      <c r="DR410" t="n">
        <v>0</v>
      </c>
      <c r="DS410" t="n">
        <v>0</v>
      </c>
      <c r="DT410" t="n">
        <v>0</v>
      </c>
      <c r="DU410" t="n">
        <v>0</v>
      </c>
      <c r="DV410" t="inlineStr">
        <is>
          <t>flat</t>
        </is>
      </c>
      <c r="DW410" t="n">
        <v>101.23</v>
      </c>
      <c r="DX410" t="n">
        <v>109</v>
      </c>
      <c r="DY410" t="n">
        <v>117.27</v>
      </c>
      <c r="DZ410" t="n">
        <v>16.03</v>
      </c>
      <c r="EA410" t="n">
        <v>7</v>
      </c>
      <c r="EB410" t="n">
        <v>34.99</v>
      </c>
      <c r="EC410" t="n">
        <v>6</v>
      </c>
      <c r="ED410" t="n">
        <v>120</v>
      </c>
      <c r="EE410" t="n">
        <v>12</v>
      </c>
      <c r="EF410" t="b">
        <v>1</v>
      </c>
      <c r="EG410" t="n">
        <v>0.3</v>
      </c>
      <c r="EH410" t="n">
        <v>14.3</v>
      </c>
      <c r="EI410" t="n">
        <v>577</v>
      </c>
    </row>
    <row r="411">
      <c r="A411" t="inlineStr">
        <is>
          <t>Anthony Patterson</t>
        </is>
      </c>
      <c r="B411" t="inlineStr">
        <is>
          <t>SUN</t>
        </is>
      </c>
      <c r="C411" t="inlineStr">
        <is>
          <t>GKP</t>
        </is>
      </c>
      <c r="D411" t="inlineStr">
        <is>
          <t>GKP</t>
        </is>
      </c>
      <c r="E411" t="n">
        <v>4</v>
      </c>
      <c r="F411" t="b">
        <v>1</v>
      </c>
      <c r="G411" t="b">
        <v>0</v>
      </c>
      <c r="H411" t="n">
        <v>26.3</v>
      </c>
      <c r="I411" t="inlineStr">
        <is>
          <t>u</t>
        </is>
      </c>
      <c r="J411" t="inlineStr">
        <is>
          <t>Has joined Wrexham permanently</t>
        </is>
      </c>
      <c r="K411" t="n">
        <v>0</v>
      </c>
      <c r="M411" t="n">
        <v>530</v>
      </c>
      <c r="Q411" t="n">
        <v>0</v>
      </c>
      <c r="S411" t="n">
        <v>0</v>
      </c>
      <c r="T411" t="n">
        <v>0</v>
      </c>
      <c r="V411" t="n">
        <v>0</v>
      </c>
      <c r="X411" t="n">
        <v>0</v>
      </c>
      <c r="Y411" t="n">
        <v>0</v>
      </c>
      <c r="AA411" t="n">
        <v>0</v>
      </c>
      <c r="AB411" t="n">
        <v>0</v>
      </c>
      <c r="AC411" t="n">
        <v>0</v>
      </c>
      <c r="AD411" t="n">
        <v>0</v>
      </c>
      <c r="AE411" t="n">
        <v>0</v>
      </c>
      <c r="AF411" t="n">
        <v>0</v>
      </c>
      <c r="AG411" t="n">
        <v>0</v>
      </c>
      <c r="AH411" t="n">
        <v>0</v>
      </c>
      <c r="AI411" t="n">
        <v>0</v>
      </c>
      <c r="AL411" t="n">
        <v>0</v>
      </c>
      <c r="AN411" t="n">
        <v>0</v>
      </c>
      <c r="AO411" t="n">
        <v>0</v>
      </c>
      <c r="AS411" t="n">
        <v>0</v>
      </c>
      <c r="AU411" t="n">
        <v>0</v>
      </c>
      <c r="AV411" t="n">
        <v>0</v>
      </c>
      <c r="AW411" t="n">
        <v>0</v>
      </c>
      <c r="AX411" t="n">
        <v>0</v>
      </c>
      <c r="AY411" t="n">
        <v>0</v>
      </c>
      <c r="BA411" t="n">
        <v>0</v>
      </c>
      <c r="BL411" t="n">
        <v>0</v>
      </c>
      <c r="BW411" t="n">
        <v>0</v>
      </c>
      <c r="BY411" t="n">
        <v>0</v>
      </c>
      <c r="CA411" t="n">
        <v>0</v>
      </c>
      <c r="CK411" t="n">
        <v>0</v>
      </c>
      <c r="CL411" t="n">
        <v>0</v>
      </c>
      <c r="CM411" t="n">
        <v>0</v>
      </c>
      <c r="CW411" t="n">
        <v>0</v>
      </c>
      <c r="CY411" t="n">
        <v>0</v>
      </c>
      <c r="DB411" t="n">
        <v>0</v>
      </c>
      <c r="DF411" t="n">
        <v>0</v>
      </c>
      <c r="DG411" t="n">
        <v>0</v>
      </c>
      <c r="DO411" t="n">
        <v>0.8</v>
      </c>
      <c r="DW411" t="n">
        <v>91.95999999999999</v>
      </c>
      <c r="DX411" t="n">
        <v>83</v>
      </c>
      <c r="DY411" t="n">
        <v>102.27</v>
      </c>
      <c r="DZ411" t="n">
        <v>10.3</v>
      </c>
      <c r="EA411" t="n">
        <v>4</v>
      </c>
      <c r="EB411" t="n">
        <v>36.2</v>
      </c>
      <c r="EC411" t="n">
        <v>24</v>
      </c>
      <c r="ED411" t="n">
        <v>120</v>
      </c>
      <c r="EE411" t="n">
        <v>10</v>
      </c>
      <c r="EF411" t="b">
        <v>1</v>
      </c>
      <c r="EG411" t="n">
        <v>0.3</v>
      </c>
      <c r="EH411" t="n">
        <v>23.1</v>
      </c>
      <c r="EI411" t="n">
        <v>584</v>
      </c>
    </row>
    <row r="412">
      <c r="A412" t="inlineStr">
        <is>
          <t>Mark Travers</t>
        </is>
      </c>
      <c r="B412" t="inlineStr">
        <is>
          <t>EVE</t>
        </is>
      </c>
      <c r="C412" t="inlineStr">
        <is>
          <t>GKP</t>
        </is>
      </c>
      <c r="D412" t="inlineStr">
        <is>
          <t>GKP</t>
        </is>
      </c>
      <c r="E412" t="n">
        <v>5</v>
      </c>
      <c r="F412" t="b">
        <v>1</v>
      </c>
      <c r="G412" t="b">
        <v>0</v>
      </c>
      <c r="H412" t="n">
        <v>27.3</v>
      </c>
      <c r="I412" t="inlineStr">
        <is>
          <t>a</t>
        </is>
      </c>
      <c r="M412" t="n">
        <v>227</v>
      </c>
      <c r="Q412" t="n">
        <v>0</v>
      </c>
      <c r="S412" t="n">
        <v>0</v>
      </c>
      <c r="T412" t="n">
        <v>0</v>
      </c>
      <c r="V412" t="n">
        <v>0</v>
      </c>
      <c r="X412" t="n">
        <v>0</v>
      </c>
      <c r="Y412" t="n">
        <v>0</v>
      </c>
      <c r="AA412" t="n">
        <v>0</v>
      </c>
      <c r="AB412" t="n">
        <v>0</v>
      </c>
      <c r="AC412" t="n">
        <v>0</v>
      </c>
      <c r="AD412" t="n">
        <v>0</v>
      </c>
      <c r="AE412" t="n">
        <v>0</v>
      </c>
      <c r="AF412" t="n">
        <v>0</v>
      </c>
      <c r="AG412" t="n">
        <v>0</v>
      </c>
      <c r="AH412" t="n">
        <v>0</v>
      </c>
      <c r="AI412" t="n">
        <v>0</v>
      </c>
      <c r="AL412" t="n">
        <v>0</v>
      </c>
      <c r="AN412" t="n">
        <v>0</v>
      </c>
      <c r="AO412" t="n">
        <v>0</v>
      </c>
      <c r="AS412" t="n">
        <v>0</v>
      </c>
      <c r="AU412" t="n">
        <v>0</v>
      </c>
      <c r="AV412" t="n">
        <v>0</v>
      </c>
      <c r="AW412" t="n">
        <v>0</v>
      </c>
      <c r="AX412" t="n">
        <v>0</v>
      </c>
      <c r="AY412" t="n">
        <v>0</v>
      </c>
      <c r="BA412" t="n">
        <v>0</v>
      </c>
      <c r="BL412" t="n">
        <v>0</v>
      </c>
      <c r="BW412" t="n">
        <v>0</v>
      </c>
      <c r="BY412" t="n">
        <v>0</v>
      </c>
      <c r="CA412" t="n">
        <v>0</v>
      </c>
      <c r="CK412" t="n">
        <v>0</v>
      </c>
      <c r="CL412" t="n">
        <v>0</v>
      </c>
      <c r="CM412" t="n">
        <v>0</v>
      </c>
      <c r="CW412" t="n">
        <v>0</v>
      </c>
      <c r="CY412" t="n">
        <v>0</v>
      </c>
      <c r="DB412" t="n">
        <v>0</v>
      </c>
      <c r="DF412" t="n">
        <v>0</v>
      </c>
      <c r="DG412" t="n">
        <v>0</v>
      </c>
      <c r="DO412" t="n">
        <v>0.1</v>
      </c>
      <c r="DP412" t="n">
        <v>1.52</v>
      </c>
      <c r="DQ412" t="n">
        <v>0.76</v>
      </c>
      <c r="DR412" t="n">
        <v>1.52</v>
      </c>
      <c r="DS412" t="n">
        <v>0</v>
      </c>
      <c r="DT412" t="n">
        <v>35</v>
      </c>
      <c r="DU412" t="n">
        <v>0.91</v>
      </c>
      <c r="DV412" t="inlineStr">
        <is>
          <t>flat</t>
        </is>
      </c>
      <c r="DW412" t="n">
        <v>115.37</v>
      </c>
      <c r="DX412" t="n">
        <v>117.36</v>
      </c>
      <c r="DY412" t="n">
        <v>115.59</v>
      </c>
      <c r="DZ412" t="n">
        <v>0.22</v>
      </c>
      <c r="EA412" t="n">
        <v>122</v>
      </c>
      <c r="EB412" t="n">
        <v>6.28</v>
      </c>
      <c r="EC412" t="n">
        <v>74.5</v>
      </c>
      <c r="ED412" t="n">
        <v>120</v>
      </c>
      <c r="EE412" t="n">
        <v>165</v>
      </c>
      <c r="EF412" t="b">
        <v>1</v>
      </c>
      <c r="EG412" t="n">
        <v>5.9</v>
      </c>
      <c r="EH412" t="n">
        <v>43.1</v>
      </c>
      <c r="EI412" t="n">
        <v>350</v>
      </c>
    </row>
    <row r="413">
      <c r="A413" t="inlineStr">
        <is>
          <t>Luka Vušković</t>
        </is>
      </c>
      <c r="B413" t="inlineStr">
        <is>
          <t>BHA</t>
        </is>
      </c>
      <c r="C413" t="inlineStr">
        <is>
          <t>DEF</t>
        </is>
      </c>
      <c r="D413" t="inlineStr">
        <is>
          <t>DEF</t>
        </is>
      </c>
      <c r="E413" t="n">
        <v>5</v>
      </c>
      <c r="F413" t="b">
        <v>1</v>
      </c>
      <c r="G413" t="b">
        <v>0</v>
      </c>
      <c r="H413" t="n">
        <v>19.5</v>
      </c>
      <c r="I413" t="inlineStr">
        <is>
          <t>a</t>
        </is>
      </c>
      <c r="M413" t="n">
        <v>504</v>
      </c>
      <c r="Q413" t="n">
        <v>0</v>
      </c>
      <c r="S413" t="n">
        <v>0</v>
      </c>
      <c r="T413" t="n">
        <v>0</v>
      </c>
      <c r="V413" t="n">
        <v>0</v>
      </c>
      <c r="X413" t="n">
        <v>0</v>
      </c>
      <c r="Y413" t="n">
        <v>0</v>
      </c>
      <c r="AA413" t="n">
        <v>0</v>
      </c>
      <c r="AB413" t="n">
        <v>0</v>
      </c>
      <c r="AC413" t="n">
        <v>0</v>
      </c>
      <c r="AD413" t="n">
        <v>0</v>
      </c>
      <c r="AE413" t="n">
        <v>0</v>
      </c>
      <c r="AF413" t="n">
        <v>0</v>
      </c>
      <c r="AG413" t="n">
        <v>0</v>
      </c>
      <c r="AH413" t="n">
        <v>0</v>
      </c>
      <c r="AI413" t="n">
        <v>0</v>
      </c>
      <c r="AL413" t="n">
        <v>0</v>
      </c>
      <c r="AN413" t="n">
        <v>0</v>
      </c>
      <c r="AO413" t="n">
        <v>0</v>
      </c>
      <c r="AS413" t="n">
        <v>0</v>
      </c>
      <c r="AU413" t="n">
        <v>0</v>
      </c>
      <c r="AV413" t="n">
        <v>0</v>
      </c>
      <c r="AW413" t="n">
        <v>0</v>
      </c>
      <c r="AX413" t="n">
        <v>0</v>
      </c>
      <c r="AY413" t="n">
        <v>0</v>
      </c>
      <c r="BA413" t="n">
        <v>0</v>
      </c>
      <c r="BL413" t="n">
        <v>0</v>
      </c>
      <c r="BW413" t="n">
        <v>0</v>
      </c>
      <c r="BY413" t="n">
        <v>0</v>
      </c>
      <c r="CA413" t="n">
        <v>0</v>
      </c>
      <c r="CK413" t="n">
        <v>0</v>
      </c>
      <c r="CL413" t="n">
        <v>0</v>
      </c>
      <c r="CM413" t="n">
        <v>0</v>
      </c>
      <c r="CW413" t="n">
        <v>0</v>
      </c>
      <c r="CY413" t="n">
        <v>0</v>
      </c>
      <c r="DB413" t="n">
        <v>0</v>
      </c>
      <c r="DF413" t="n">
        <v>0</v>
      </c>
      <c r="DG413" t="n">
        <v>0</v>
      </c>
      <c r="DO413" t="n">
        <v>2.6</v>
      </c>
      <c r="DP413" t="n">
        <v>80.98</v>
      </c>
      <c r="DQ413" t="n">
        <v>40.52</v>
      </c>
      <c r="DR413" t="n">
        <v>81.04000000000001</v>
      </c>
      <c r="DS413" t="n">
        <v>-0.06</v>
      </c>
      <c r="DT413" t="n">
        <v>1708</v>
      </c>
      <c r="DU413" t="n">
        <v>44.95</v>
      </c>
      <c r="DV413" t="inlineStr">
        <is>
          <t>flat</t>
        </is>
      </c>
      <c r="DW413" t="n">
        <v>91.16</v>
      </c>
      <c r="DX413" t="n">
        <v>94.20999999999999</v>
      </c>
      <c r="DY413" t="n">
        <v>90.06999999999999</v>
      </c>
      <c r="DZ413" t="n">
        <v>-1.09</v>
      </c>
      <c r="EA413" t="n">
        <v>668</v>
      </c>
      <c r="EB413" t="n">
        <v>19.71</v>
      </c>
      <c r="EC413" t="n">
        <v>4.44</v>
      </c>
      <c r="ED413" t="n">
        <v>120</v>
      </c>
      <c r="EE413" t="n">
        <v>1326</v>
      </c>
      <c r="EF413" t="b">
        <v>1</v>
      </c>
      <c r="EG413" t="n">
        <v>29</v>
      </c>
      <c r="EH413" t="n">
        <v>6.3</v>
      </c>
      <c r="EI413" t="n">
        <v>380</v>
      </c>
    </row>
    <row r="414">
      <c r="A414" t="inlineStr">
        <is>
          <t>Brandon Austin</t>
        </is>
      </c>
      <c r="B414" t="inlineStr">
        <is>
          <t>TOT</t>
        </is>
      </c>
      <c r="C414" t="inlineStr">
        <is>
          <t>GKP</t>
        </is>
      </c>
      <c r="D414" t="inlineStr">
        <is>
          <t>GKP</t>
        </is>
      </c>
      <c r="E414" t="n">
        <v>4</v>
      </c>
      <c r="F414" t="b">
        <v>1</v>
      </c>
      <c r="G414" t="b">
        <v>0</v>
      </c>
      <c r="H414" t="n">
        <v>27.6</v>
      </c>
      <c r="I414" t="inlineStr">
        <is>
          <t>a</t>
        </is>
      </c>
      <c r="M414" t="n">
        <v>495</v>
      </c>
      <c r="Q414" t="n">
        <v>0</v>
      </c>
      <c r="S414" t="n">
        <v>0</v>
      </c>
      <c r="T414" t="n">
        <v>0</v>
      </c>
      <c r="V414" t="n">
        <v>0</v>
      </c>
      <c r="X414" t="n">
        <v>0</v>
      </c>
      <c r="Y414" t="n">
        <v>0</v>
      </c>
      <c r="AA414" t="n">
        <v>0</v>
      </c>
      <c r="AB414" t="n">
        <v>0</v>
      </c>
      <c r="AC414" t="n">
        <v>0</v>
      </c>
      <c r="AD414" t="n">
        <v>0</v>
      </c>
      <c r="AE414" t="n">
        <v>0</v>
      </c>
      <c r="AF414" t="n">
        <v>0</v>
      </c>
      <c r="AG414" t="n">
        <v>0</v>
      </c>
      <c r="AH414" t="n">
        <v>0</v>
      </c>
      <c r="AI414" t="n">
        <v>0</v>
      </c>
      <c r="AL414" t="n">
        <v>0</v>
      </c>
      <c r="AN414" t="n">
        <v>0</v>
      </c>
      <c r="AO414" t="n">
        <v>0</v>
      </c>
      <c r="AS414" t="n">
        <v>0</v>
      </c>
      <c r="AU414" t="n">
        <v>0</v>
      </c>
      <c r="AV414" t="n">
        <v>0</v>
      </c>
      <c r="AW414" t="n">
        <v>0</v>
      </c>
      <c r="AX414" t="n">
        <v>0</v>
      </c>
      <c r="AY414" t="n">
        <v>0</v>
      </c>
      <c r="BA414" t="n">
        <v>0</v>
      </c>
      <c r="BL414" t="n">
        <v>0</v>
      </c>
      <c r="BW414" t="n">
        <v>0</v>
      </c>
      <c r="BY414" t="n">
        <v>0</v>
      </c>
      <c r="CA414" t="n">
        <v>0</v>
      </c>
      <c r="CK414" t="n">
        <v>0</v>
      </c>
      <c r="CL414" t="n">
        <v>0</v>
      </c>
      <c r="CM414" t="n">
        <v>0</v>
      </c>
      <c r="CW414" t="n">
        <v>0</v>
      </c>
      <c r="CY414" t="n">
        <v>0</v>
      </c>
      <c r="DB414" t="n">
        <v>0</v>
      </c>
      <c r="DF414" t="n">
        <v>0</v>
      </c>
      <c r="DG414" t="n">
        <v>0</v>
      </c>
      <c r="DO414" t="n">
        <v>0.6</v>
      </c>
      <c r="DP414" t="n">
        <v>0</v>
      </c>
      <c r="DQ414" t="n">
        <v>0</v>
      </c>
      <c r="DR414" t="n">
        <v>0</v>
      </c>
      <c r="DS414" t="n">
        <v>0</v>
      </c>
      <c r="DT414" t="n">
        <v>0</v>
      </c>
      <c r="DU414" t="n">
        <v>0</v>
      </c>
      <c r="DV414" t="inlineStr">
        <is>
          <t>flat</t>
        </is>
      </c>
      <c r="DW414" t="n">
        <v>83.66</v>
      </c>
      <c r="DX414" t="n">
        <v>53.4</v>
      </c>
      <c r="DY414" t="n">
        <v>112.92</v>
      </c>
      <c r="DZ414" t="n">
        <v>29.26</v>
      </c>
      <c r="EA414" t="n">
        <v>4</v>
      </c>
      <c r="EB414" t="n">
        <v>46.28</v>
      </c>
      <c r="EC414" t="n">
        <v>5</v>
      </c>
      <c r="ED414" t="n">
        <v>120</v>
      </c>
      <c r="EE414" t="n">
        <v>12</v>
      </c>
      <c r="EF414" t="b">
        <v>1</v>
      </c>
      <c r="EG414" t="n">
        <v>0.3</v>
      </c>
      <c r="EH414" t="n">
        <v>7.7</v>
      </c>
      <c r="EI414" t="n">
        <v>583</v>
      </c>
    </row>
    <row r="415">
      <c r="A415" t="inlineStr">
        <is>
          <t>Kostas Tsimikas</t>
        </is>
      </c>
      <c r="B415" t="inlineStr">
        <is>
          <t>LIV</t>
        </is>
      </c>
      <c r="C415" t="inlineStr">
        <is>
          <t>DEF</t>
        </is>
      </c>
      <c r="D415" t="inlineStr">
        <is>
          <t>DEF</t>
        </is>
      </c>
      <c r="E415" t="n">
        <v>5</v>
      </c>
      <c r="F415" t="b">
        <v>1</v>
      </c>
      <c r="G415" t="b">
        <v>0</v>
      </c>
      <c r="H415" t="n">
        <v>30.3</v>
      </c>
      <c r="I415" t="inlineStr">
        <is>
          <t>a</t>
        </is>
      </c>
      <c r="M415" t="n">
        <v>364</v>
      </c>
      <c r="Q415" t="n">
        <v>0</v>
      </c>
      <c r="S415" t="n">
        <v>0</v>
      </c>
      <c r="T415" t="n">
        <v>0</v>
      </c>
      <c r="V415" t="n">
        <v>0</v>
      </c>
      <c r="X415" t="n">
        <v>0</v>
      </c>
      <c r="Y415" t="n">
        <v>0</v>
      </c>
      <c r="AA415" t="n">
        <v>0</v>
      </c>
      <c r="AB415" t="n">
        <v>0</v>
      </c>
      <c r="AC415" t="n">
        <v>0</v>
      </c>
      <c r="AD415" t="n">
        <v>0</v>
      </c>
      <c r="AE415" t="n">
        <v>0</v>
      </c>
      <c r="AF415" t="n">
        <v>0</v>
      </c>
      <c r="AG415" t="n">
        <v>0</v>
      </c>
      <c r="AH415" t="n">
        <v>0</v>
      </c>
      <c r="AI415" t="n">
        <v>0</v>
      </c>
      <c r="AL415" t="n">
        <v>0</v>
      </c>
      <c r="AN415" t="n">
        <v>0</v>
      </c>
      <c r="AO415" t="n">
        <v>0</v>
      </c>
      <c r="AS415" t="n">
        <v>0</v>
      </c>
      <c r="AU415" t="n">
        <v>0</v>
      </c>
      <c r="AV415" t="n">
        <v>0</v>
      </c>
      <c r="AW415" t="n">
        <v>0</v>
      </c>
      <c r="AX415" t="n">
        <v>0</v>
      </c>
      <c r="AY415" t="n">
        <v>0</v>
      </c>
      <c r="BA415" t="n">
        <v>0</v>
      </c>
      <c r="BL415" t="n">
        <v>0</v>
      </c>
      <c r="BW415" t="n">
        <v>0</v>
      </c>
      <c r="BY415" t="n">
        <v>0</v>
      </c>
      <c r="CA415" t="n">
        <v>0</v>
      </c>
      <c r="CK415" t="n">
        <v>0</v>
      </c>
      <c r="CL415" t="n">
        <v>0</v>
      </c>
      <c r="CM415" t="n">
        <v>0</v>
      </c>
      <c r="CW415" t="n">
        <v>0</v>
      </c>
      <c r="CY415" t="n">
        <v>0</v>
      </c>
      <c r="DB415" t="n">
        <v>0</v>
      </c>
      <c r="DF415" t="n">
        <v>0</v>
      </c>
      <c r="DG415" t="n">
        <v>0</v>
      </c>
      <c r="DO415" t="n">
        <v>0.1</v>
      </c>
      <c r="DP415" t="n">
        <v>13.5</v>
      </c>
      <c r="DQ415" t="n">
        <v>6.75</v>
      </c>
      <c r="DR415" t="n">
        <v>13.5</v>
      </c>
      <c r="DS415" t="n">
        <v>0</v>
      </c>
      <c r="DT415" t="n">
        <v>256</v>
      </c>
      <c r="DU415" t="n">
        <v>6.75</v>
      </c>
      <c r="DV415" t="inlineStr">
        <is>
          <t>flat</t>
        </is>
      </c>
      <c r="DW415" t="n">
        <v>103.17</v>
      </c>
      <c r="DX415" t="n">
        <v>107.89</v>
      </c>
      <c r="DY415" t="n">
        <v>100.37</v>
      </c>
      <c r="DZ415" t="n">
        <v>-2.8</v>
      </c>
      <c r="EA415" t="n">
        <v>23</v>
      </c>
      <c r="EB415" t="n">
        <v>16.33</v>
      </c>
      <c r="EC415" t="n">
        <v>48</v>
      </c>
      <c r="ED415" t="n">
        <v>120</v>
      </c>
      <c r="EE415" t="n">
        <v>38</v>
      </c>
      <c r="EF415" t="b">
        <v>1</v>
      </c>
      <c r="EG415" t="n">
        <v>1.1</v>
      </c>
      <c r="EH415" t="n">
        <v>26.9</v>
      </c>
      <c r="EI415" t="n">
        <v>368</v>
      </c>
    </row>
    <row r="416">
      <c r="A416" t="inlineStr">
        <is>
          <t>Omar Richards</t>
        </is>
      </c>
      <c r="B416" t="inlineStr">
        <is>
          <t>NFO</t>
        </is>
      </c>
      <c r="C416" t="inlineStr">
        <is>
          <t>DEF</t>
        </is>
      </c>
      <c r="D416" t="inlineStr">
        <is>
          <t>DEF</t>
        </is>
      </c>
      <c r="E416" t="n">
        <v>4</v>
      </c>
      <c r="F416" t="b">
        <v>1</v>
      </c>
      <c r="G416" t="b">
        <v>0</v>
      </c>
      <c r="H416" t="n">
        <v>28.5</v>
      </c>
      <c r="I416" t="inlineStr">
        <is>
          <t>a</t>
        </is>
      </c>
      <c r="M416" t="n">
        <v>476</v>
      </c>
      <c r="Q416" t="n">
        <v>0</v>
      </c>
      <c r="S416" t="n">
        <v>0</v>
      </c>
      <c r="T416" t="n">
        <v>0</v>
      </c>
      <c r="V416" t="n">
        <v>0</v>
      </c>
      <c r="X416" t="n">
        <v>0</v>
      </c>
      <c r="Y416" t="n">
        <v>0</v>
      </c>
      <c r="AA416" t="n">
        <v>0</v>
      </c>
      <c r="AB416" t="n">
        <v>0</v>
      </c>
      <c r="AC416" t="n">
        <v>0</v>
      </c>
      <c r="AD416" t="n">
        <v>0</v>
      </c>
      <c r="AE416" t="n">
        <v>0</v>
      </c>
      <c r="AF416" t="n">
        <v>0</v>
      </c>
      <c r="AG416" t="n">
        <v>0</v>
      </c>
      <c r="AH416" t="n">
        <v>0</v>
      </c>
      <c r="AI416" t="n">
        <v>0</v>
      </c>
      <c r="AL416" t="n">
        <v>0</v>
      </c>
      <c r="AN416" t="n">
        <v>0</v>
      </c>
      <c r="AO416" t="n">
        <v>0</v>
      </c>
      <c r="AS416" t="n">
        <v>0</v>
      </c>
      <c r="AU416" t="n">
        <v>0</v>
      </c>
      <c r="AV416" t="n">
        <v>0</v>
      </c>
      <c r="AW416" t="n">
        <v>0</v>
      </c>
      <c r="AX416" t="n">
        <v>0</v>
      </c>
      <c r="AY416" t="n">
        <v>0</v>
      </c>
      <c r="BA416" t="n">
        <v>0</v>
      </c>
      <c r="BL416" t="n">
        <v>0</v>
      </c>
      <c r="BW416" t="n">
        <v>0</v>
      </c>
      <c r="BY416" t="n">
        <v>0</v>
      </c>
      <c r="CA416" t="n">
        <v>0</v>
      </c>
      <c r="CK416" t="n">
        <v>0</v>
      </c>
      <c r="CL416" t="n">
        <v>0</v>
      </c>
      <c r="CM416" t="n">
        <v>0</v>
      </c>
      <c r="CW416" t="n">
        <v>0</v>
      </c>
      <c r="CY416" t="n">
        <v>0</v>
      </c>
      <c r="DB416" t="n">
        <v>0</v>
      </c>
      <c r="DF416" t="n">
        <v>0</v>
      </c>
      <c r="DG416" t="n">
        <v>0</v>
      </c>
      <c r="DO416" t="n">
        <v>0.2</v>
      </c>
      <c r="DP416" t="n">
        <v>0</v>
      </c>
      <c r="DQ416" t="n">
        <v>0</v>
      </c>
      <c r="DR416" t="n">
        <v>0</v>
      </c>
      <c r="DS416" t="n">
        <v>0</v>
      </c>
      <c r="DT416" t="n">
        <v>0</v>
      </c>
      <c r="DU416" t="n">
        <v>0</v>
      </c>
      <c r="DV416" t="inlineStr">
        <is>
          <t>flat</t>
        </is>
      </c>
      <c r="DW416" t="n">
        <v>90.59</v>
      </c>
      <c r="DX416" t="n">
        <v>87</v>
      </c>
      <c r="DY416" t="n">
        <v>92.67</v>
      </c>
      <c r="DZ416" t="n">
        <v>2.08</v>
      </c>
      <c r="EA416" t="n">
        <v>1</v>
      </c>
      <c r="EB416" t="n">
        <v>12.42</v>
      </c>
      <c r="EC416" t="n">
        <v>74</v>
      </c>
      <c r="ED416" t="n">
        <v>104</v>
      </c>
      <c r="EE416" t="n">
        <v>5</v>
      </c>
      <c r="EF416" t="b">
        <v>0</v>
      </c>
      <c r="EG416" t="n">
        <v>0.1</v>
      </c>
      <c r="EH416" t="n">
        <v>28.6</v>
      </c>
      <c r="EI416" t="n">
        <v>581</v>
      </c>
    </row>
    <row r="417">
      <c r="A417" t="inlineStr">
        <is>
          <t>Marcus Rashford</t>
        </is>
      </c>
      <c r="B417" t="inlineStr">
        <is>
          <t>MUN</t>
        </is>
      </c>
      <c r="C417" t="inlineStr">
        <is>
          <t>MID</t>
        </is>
      </c>
      <c r="D417" t="inlineStr">
        <is>
          <t>MID</t>
        </is>
      </c>
      <c r="E417" t="n">
        <v>7</v>
      </c>
      <c r="F417" t="b">
        <v>1</v>
      </c>
      <c r="G417" t="b">
        <v>0</v>
      </c>
      <c r="H417" t="n">
        <v>28.8</v>
      </c>
      <c r="I417" t="inlineStr">
        <is>
          <t>a</t>
        </is>
      </c>
      <c r="M417" t="n">
        <v>429</v>
      </c>
      <c r="Q417" t="n">
        <v>0</v>
      </c>
      <c r="S417" t="n">
        <v>0</v>
      </c>
      <c r="T417" t="n">
        <v>0</v>
      </c>
      <c r="V417" t="n">
        <v>0</v>
      </c>
      <c r="X417" t="n">
        <v>0</v>
      </c>
      <c r="Y417" t="n">
        <v>0</v>
      </c>
      <c r="AA417" t="n">
        <v>0</v>
      </c>
      <c r="AB417" t="n">
        <v>0</v>
      </c>
      <c r="AC417" t="n">
        <v>0</v>
      </c>
      <c r="AD417" t="n">
        <v>0</v>
      </c>
      <c r="AE417" t="n">
        <v>0</v>
      </c>
      <c r="AF417" t="n">
        <v>0</v>
      </c>
      <c r="AG417" t="n">
        <v>0</v>
      </c>
      <c r="AH417" t="n">
        <v>0</v>
      </c>
      <c r="AI417" t="n">
        <v>0</v>
      </c>
      <c r="AL417" t="n">
        <v>0</v>
      </c>
      <c r="AN417" t="n">
        <v>0</v>
      </c>
      <c r="AO417" t="n">
        <v>0</v>
      </c>
      <c r="AS417" t="n">
        <v>0</v>
      </c>
      <c r="AU417" t="n">
        <v>0</v>
      </c>
      <c r="AV417" t="n">
        <v>0</v>
      </c>
      <c r="AW417" t="n">
        <v>0</v>
      </c>
      <c r="AX417" t="n">
        <v>0</v>
      </c>
      <c r="AY417" t="n">
        <v>0</v>
      </c>
      <c r="BA417" t="n">
        <v>0</v>
      </c>
      <c r="BL417" t="n">
        <v>0</v>
      </c>
      <c r="BW417" t="n">
        <v>0</v>
      </c>
      <c r="BY417" t="n">
        <v>0</v>
      </c>
      <c r="CA417" t="n">
        <v>0</v>
      </c>
      <c r="CK417" t="n">
        <v>0</v>
      </c>
      <c r="CL417" t="n">
        <v>0</v>
      </c>
      <c r="CM417" t="n">
        <v>0</v>
      </c>
      <c r="CW417" t="n">
        <v>0</v>
      </c>
      <c r="CY417" t="n">
        <v>0</v>
      </c>
      <c r="DB417" t="n">
        <v>0</v>
      </c>
      <c r="DF417" t="n">
        <v>0</v>
      </c>
      <c r="DG417" t="n">
        <v>0</v>
      </c>
      <c r="DO417" t="n">
        <v>1.5</v>
      </c>
      <c r="DP417" t="n">
        <v>14.39</v>
      </c>
      <c r="DQ417" t="n">
        <v>7.28</v>
      </c>
      <c r="DR417" t="n">
        <v>14.56</v>
      </c>
      <c r="DS417" t="n">
        <v>-0.17</v>
      </c>
      <c r="DT417" t="n">
        <v>176</v>
      </c>
      <c r="DU417" t="n">
        <v>4.63</v>
      </c>
      <c r="DV417" t="inlineStr">
        <is>
          <t>flat</t>
        </is>
      </c>
      <c r="DW417" t="n">
        <v>50.11</v>
      </c>
      <c r="DX417" t="n">
        <v>48.05</v>
      </c>
      <c r="DY417" t="n">
        <v>52.4</v>
      </c>
      <c r="DZ417" t="n">
        <v>2.29</v>
      </c>
      <c r="EA417" t="n">
        <v>1050</v>
      </c>
      <c r="EB417" t="n">
        <v>26.54</v>
      </c>
      <c r="EC417" t="n">
        <v>1</v>
      </c>
      <c r="ED417" t="n">
        <v>120</v>
      </c>
      <c r="EE417" t="n">
        <v>1688</v>
      </c>
      <c r="EF417" t="b">
        <v>1</v>
      </c>
      <c r="EG417" t="n">
        <v>86.90000000000001</v>
      </c>
      <c r="EH417" t="n">
        <v>60.1</v>
      </c>
      <c r="EI417" t="n">
        <v>30</v>
      </c>
    </row>
    <row r="418">
      <c r="A418" t="inlineStr">
        <is>
          <t>Vitor de Oliveira Nunes dos Reis</t>
        </is>
      </c>
      <c r="B418" t="inlineStr">
        <is>
          <t>MCI</t>
        </is>
      </c>
      <c r="C418" t="inlineStr">
        <is>
          <t>DEF</t>
        </is>
      </c>
      <c r="D418" t="inlineStr">
        <is>
          <t>DEF</t>
        </is>
      </c>
      <c r="E418" t="n">
        <v>4.5</v>
      </c>
      <c r="F418" t="b">
        <v>1</v>
      </c>
      <c r="G418" t="b">
        <v>0</v>
      </c>
      <c r="H418" t="n">
        <v>20.6</v>
      </c>
      <c r="I418" t="inlineStr">
        <is>
          <t>a</t>
        </is>
      </c>
      <c r="M418" t="n">
        <v>396</v>
      </c>
      <c r="Q418" t="n">
        <v>0</v>
      </c>
      <c r="S418" t="n">
        <v>0</v>
      </c>
      <c r="T418" t="n">
        <v>0</v>
      </c>
      <c r="V418" t="n">
        <v>0</v>
      </c>
      <c r="X418" t="n">
        <v>0</v>
      </c>
      <c r="Y418" t="n">
        <v>0</v>
      </c>
      <c r="AA418" t="n">
        <v>0</v>
      </c>
      <c r="AB418" t="n">
        <v>0</v>
      </c>
      <c r="AC418" t="n">
        <v>0</v>
      </c>
      <c r="AD418" t="n">
        <v>0</v>
      </c>
      <c r="AE418" t="n">
        <v>0</v>
      </c>
      <c r="AF418" t="n">
        <v>0</v>
      </c>
      <c r="AG418" t="n">
        <v>0</v>
      </c>
      <c r="AH418" t="n">
        <v>0</v>
      </c>
      <c r="AI418" t="n">
        <v>0</v>
      </c>
      <c r="AL418" t="n">
        <v>0</v>
      </c>
      <c r="AN418" t="n">
        <v>0</v>
      </c>
      <c r="AO418" t="n">
        <v>0</v>
      </c>
      <c r="AS418" t="n">
        <v>0</v>
      </c>
      <c r="AU418" t="n">
        <v>0</v>
      </c>
      <c r="AV418" t="n">
        <v>0</v>
      </c>
      <c r="AW418" t="n">
        <v>0</v>
      </c>
      <c r="AX418" t="n">
        <v>0</v>
      </c>
      <c r="AY418" t="n">
        <v>0</v>
      </c>
      <c r="BA418" t="n">
        <v>0</v>
      </c>
      <c r="BL418" t="n">
        <v>0</v>
      </c>
      <c r="BW418" t="n">
        <v>0</v>
      </c>
      <c r="BY418" t="n">
        <v>0</v>
      </c>
      <c r="CA418" t="n">
        <v>0</v>
      </c>
      <c r="CK418" t="n">
        <v>0</v>
      </c>
      <c r="CL418" t="n">
        <v>0</v>
      </c>
      <c r="CM418" t="n">
        <v>0</v>
      </c>
      <c r="CW418" t="n">
        <v>0</v>
      </c>
      <c r="CY418" t="n">
        <v>0</v>
      </c>
      <c r="DB418" t="n">
        <v>0</v>
      </c>
      <c r="DF418" t="n">
        <v>0</v>
      </c>
      <c r="DG418" t="n">
        <v>0</v>
      </c>
      <c r="DO418" t="n">
        <v>0</v>
      </c>
      <c r="DP418" t="n">
        <v>0</v>
      </c>
      <c r="DQ418" t="n">
        <v>0</v>
      </c>
      <c r="DR418" t="n">
        <v>0</v>
      </c>
      <c r="DS418" t="n">
        <v>0</v>
      </c>
      <c r="DT418" t="n">
        <v>0</v>
      </c>
      <c r="DU418" t="n">
        <v>0</v>
      </c>
      <c r="DV418" t="inlineStr">
        <is>
          <t>flat</t>
        </is>
      </c>
      <c r="DW418" t="n">
        <v>95.06</v>
      </c>
      <c r="DX418" t="n">
        <v>70</v>
      </c>
      <c r="DY418" t="n">
        <v>105.69</v>
      </c>
      <c r="DZ418" t="n">
        <v>10.63</v>
      </c>
      <c r="EA418" t="n">
        <v>8</v>
      </c>
      <c r="EB418" t="n">
        <v>31.2</v>
      </c>
      <c r="EC418" t="n">
        <v>26</v>
      </c>
      <c r="ED418" t="n">
        <v>115.43</v>
      </c>
      <c r="EE418" t="n">
        <v>13</v>
      </c>
      <c r="EF418" t="b">
        <v>1</v>
      </c>
      <c r="EG418" t="n">
        <v>0.3</v>
      </c>
      <c r="EH418" t="n">
        <v>0</v>
      </c>
      <c r="EI418" t="n">
        <v>506</v>
      </c>
    </row>
    <row r="419">
      <c r="A419" t="inlineStr">
        <is>
          <t>Mike Penders</t>
        </is>
      </c>
      <c r="B419" t="inlineStr">
        <is>
          <t>CHE</t>
        </is>
      </c>
      <c r="C419" t="inlineStr">
        <is>
          <t>GKP</t>
        </is>
      </c>
      <c r="D419" t="inlineStr">
        <is>
          <t>GKP</t>
        </is>
      </c>
      <c r="E419" t="n">
        <v>4.5</v>
      </c>
      <c r="F419" t="b">
        <v>1</v>
      </c>
      <c r="G419" t="b">
        <v>0</v>
      </c>
      <c r="H419" t="n">
        <v>21.1</v>
      </c>
      <c r="I419" t="inlineStr">
        <is>
          <t>a</t>
        </is>
      </c>
      <c r="M419" t="n">
        <v>560</v>
      </c>
      <c r="Q419" t="n">
        <v>0</v>
      </c>
      <c r="S419" t="n">
        <v>0</v>
      </c>
      <c r="T419" t="n">
        <v>0</v>
      </c>
      <c r="V419" t="n">
        <v>0</v>
      </c>
      <c r="X419" t="n">
        <v>0</v>
      </c>
      <c r="Y419" t="n">
        <v>0</v>
      </c>
      <c r="AA419" t="n">
        <v>0</v>
      </c>
      <c r="AB419" t="n">
        <v>0</v>
      </c>
      <c r="AC419" t="n">
        <v>0</v>
      </c>
      <c r="AD419" t="n">
        <v>0</v>
      </c>
      <c r="AE419" t="n">
        <v>0</v>
      </c>
      <c r="AF419" t="n">
        <v>0</v>
      </c>
      <c r="AG419" t="n">
        <v>0</v>
      </c>
      <c r="AH419" t="n">
        <v>0</v>
      </c>
      <c r="AI419" t="n">
        <v>0</v>
      </c>
      <c r="AL419" t="n">
        <v>0</v>
      </c>
      <c r="AN419" t="n">
        <v>0</v>
      </c>
      <c r="AO419" t="n">
        <v>0</v>
      </c>
      <c r="AS419" t="n">
        <v>0</v>
      </c>
      <c r="AU419" t="n">
        <v>0</v>
      </c>
      <c r="AV419" t="n">
        <v>0</v>
      </c>
      <c r="AW419" t="n">
        <v>0</v>
      </c>
      <c r="AX419" t="n">
        <v>0</v>
      </c>
      <c r="AY419" t="n">
        <v>0</v>
      </c>
      <c r="BA419" t="n">
        <v>0</v>
      </c>
      <c r="BL419" t="n">
        <v>0</v>
      </c>
      <c r="BW419" t="n">
        <v>0</v>
      </c>
      <c r="BY419" t="n">
        <v>0</v>
      </c>
      <c r="CA419" t="n">
        <v>0</v>
      </c>
      <c r="CK419" t="n">
        <v>0</v>
      </c>
      <c r="CL419" t="n">
        <v>0</v>
      </c>
      <c r="CM419" t="n">
        <v>0</v>
      </c>
      <c r="CW419" t="n">
        <v>0</v>
      </c>
      <c r="CY419" t="n">
        <v>0</v>
      </c>
      <c r="DB419" t="n">
        <v>0</v>
      </c>
      <c r="DF419" t="n">
        <v>0</v>
      </c>
      <c r="DG419" t="n">
        <v>0</v>
      </c>
      <c r="DO419" t="n">
        <v>0.1</v>
      </c>
      <c r="DP419" t="n">
        <v>9.32</v>
      </c>
      <c r="DQ419" t="n">
        <v>4.66</v>
      </c>
      <c r="DR419" t="n">
        <v>9.32</v>
      </c>
      <c r="DS419" t="n">
        <v>0</v>
      </c>
      <c r="DT419" t="n">
        <v>274</v>
      </c>
      <c r="DU419" t="n">
        <v>7.2</v>
      </c>
      <c r="DV419" t="inlineStr">
        <is>
          <t>flat</t>
        </is>
      </c>
      <c r="DW419" t="n">
        <v>112.8</v>
      </c>
      <c r="DX419" t="n">
        <v>105.62</v>
      </c>
      <c r="DY419" t="n">
        <v>113.98</v>
      </c>
      <c r="DZ419" t="n">
        <v>1.19</v>
      </c>
      <c r="EA419" t="n">
        <v>59</v>
      </c>
      <c r="EB419" t="n">
        <v>10.73</v>
      </c>
      <c r="EC419" t="n">
        <v>66</v>
      </c>
      <c r="ED419" t="n">
        <v>120</v>
      </c>
      <c r="EE419" t="n">
        <v>80</v>
      </c>
      <c r="EF419" t="b">
        <v>1</v>
      </c>
      <c r="EG419" t="n">
        <v>1.9</v>
      </c>
      <c r="EH419" t="n">
        <v>13</v>
      </c>
      <c r="EI419" t="n">
        <v>512</v>
      </c>
    </row>
    <row r="420">
      <c r="A420" t="inlineStr">
        <is>
          <t>Remi Matthews</t>
        </is>
      </c>
      <c r="B420" t="inlineStr">
        <is>
          <t>CRY</t>
        </is>
      </c>
      <c r="C420" t="inlineStr">
        <is>
          <t>GKP</t>
        </is>
      </c>
      <c r="D420" t="inlineStr">
        <is>
          <t>GKP</t>
        </is>
      </c>
      <c r="E420" t="n">
        <v>4</v>
      </c>
      <c r="F420" t="b">
        <v>1</v>
      </c>
      <c r="G420" t="b">
        <v>0</v>
      </c>
      <c r="H420" t="n">
        <v>32.5</v>
      </c>
      <c r="I420" t="inlineStr">
        <is>
          <t>a</t>
        </is>
      </c>
      <c r="M420" t="n">
        <v>555</v>
      </c>
      <c r="Q420" t="n">
        <v>0</v>
      </c>
      <c r="S420" t="n">
        <v>0</v>
      </c>
      <c r="T420" t="n">
        <v>0</v>
      </c>
      <c r="V420" t="n">
        <v>0</v>
      </c>
      <c r="X420" t="n">
        <v>0</v>
      </c>
      <c r="Y420" t="n">
        <v>0</v>
      </c>
      <c r="AA420" t="n">
        <v>0</v>
      </c>
      <c r="AB420" t="n">
        <v>0</v>
      </c>
      <c r="AC420" t="n">
        <v>0</v>
      </c>
      <c r="AD420" t="n">
        <v>0</v>
      </c>
      <c r="AE420" t="n">
        <v>0</v>
      </c>
      <c r="AF420" t="n">
        <v>0</v>
      </c>
      <c r="AG420" t="n">
        <v>0</v>
      </c>
      <c r="AH420" t="n">
        <v>0</v>
      </c>
      <c r="AI420" t="n">
        <v>0</v>
      </c>
      <c r="AL420" t="n">
        <v>0</v>
      </c>
      <c r="AN420" t="n">
        <v>0</v>
      </c>
      <c r="AO420" t="n">
        <v>0</v>
      </c>
      <c r="AS420" t="n">
        <v>0</v>
      </c>
      <c r="AU420" t="n">
        <v>0</v>
      </c>
      <c r="AV420" t="n">
        <v>0</v>
      </c>
      <c r="AW420" t="n">
        <v>0</v>
      </c>
      <c r="AX420" t="n">
        <v>0</v>
      </c>
      <c r="AY420" t="n">
        <v>0</v>
      </c>
      <c r="BA420" t="n">
        <v>0</v>
      </c>
      <c r="BL420" t="n">
        <v>0</v>
      </c>
      <c r="BW420" t="n">
        <v>0</v>
      </c>
      <c r="BY420" t="n">
        <v>0</v>
      </c>
      <c r="CA420" t="n">
        <v>0</v>
      </c>
      <c r="CK420" t="n">
        <v>0</v>
      </c>
      <c r="CL420" t="n">
        <v>0</v>
      </c>
      <c r="CM420" t="n">
        <v>0</v>
      </c>
      <c r="CW420" t="n">
        <v>0</v>
      </c>
      <c r="CY420" t="n">
        <v>0</v>
      </c>
      <c r="DB420" t="n">
        <v>0</v>
      </c>
      <c r="DF420" t="n">
        <v>0</v>
      </c>
      <c r="DG420" t="n">
        <v>0</v>
      </c>
      <c r="DO420" t="n">
        <v>1.7</v>
      </c>
      <c r="DP420" t="n">
        <v>0</v>
      </c>
      <c r="DQ420" t="n">
        <v>0</v>
      </c>
      <c r="DR420" t="n">
        <v>0</v>
      </c>
      <c r="DS420" t="n">
        <v>0</v>
      </c>
      <c r="DT420" t="n">
        <v>0</v>
      </c>
      <c r="DU420" t="n">
        <v>0</v>
      </c>
      <c r="DV420" t="inlineStr">
        <is>
          <t>flat</t>
        </is>
      </c>
      <c r="DW420" t="n">
        <v>64.5</v>
      </c>
      <c r="DX420" t="n">
        <v>58.5</v>
      </c>
      <c r="DY420" t="n">
        <v>80</v>
      </c>
      <c r="DZ420" t="n">
        <v>15.5</v>
      </c>
      <c r="EA420" t="n">
        <v>1</v>
      </c>
      <c r="EB420" t="n">
        <v>34.07</v>
      </c>
      <c r="EC420" t="n">
        <v>12</v>
      </c>
      <c r="ED420" t="n">
        <v>105</v>
      </c>
      <c r="EE420" t="n">
        <v>5</v>
      </c>
      <c r="EF420" t="b">
        <v>0</v>
      </c>
      <c r="EG420" t="n">
        <v>0.1</v>
      </c>
      <c r="EH420" t="n">
        <v>0</v>
      </c>
      <c r="EI420" t="n">
        <v>579</v>
      </c>
    </row>
    <row r="421">
      <c r="A421" t="inlineStr">
        <is>
          <t>Aaron Anselmino</t>
        </is>
      </c>
      <c r="B421" t="inlineStr">
        <is>
          <t>CHE</t>
        </is>
      </c>
      <c r="C421" t="inlineStr">
        <is>
          <t>DEF</t>
        </is>
      </c>
      <c r="D421" t="inlineStr">
        <is>
          <t>DEF</t>
        </is>
      </c>
      <c r="E421" t="n">
        <v>4.5</v>
      </c>
      <c r="F421" t="b">
        <v>1</v>
      </c>
      <c r="G421" t="b">
        <v>0</v>
      </c>
      <c r="H421" t="n">
        <v>21.3</v>
      </c>
      <c r="I421" t="inlineStr">
        <is>
          <t>a</t>
        </is>
      </c>
      <c r="M421" t="n">
        <v>561</v>
      </c>
      <c r="Q421" t="n">
        <v>0</v>
      </c>
      <c r="S421" t="n">
        <v>0</v>
      </c>
      <c r="T421" t="n">
        <v>0</v>
      </c>
      <c r="V421" t="n">
        <v>0</v>
      </c>
      <c r="X421" t="n">
        <v>0</v>
      </c>
      <c r="Y421" t="n">
        <v>0</v>
      </c>
      <c r="AA421" t="n">
        <v>0</v>
      </c>
      <c r="AB421" t="n">
        <v>0</v>
      </c>
      <c r="AC421" t="n">
        <v>0</v>
      </c>
      <c r="AD421" t="n">
        <v>0</v>
      </c>
      <c r="AE421" t="n">
        <v>0</v>
      </c>
      <c r="AF421" t="n">
        <v>0</v>
      </c>
      <c r="AG421" t="n">
        <v>0</v>
      </c>
      <c r="AH421" t="n">
        <v>0</v>
      </c>
      <c r="AI421" t="n">
        <v>0</v>
      </c>
      <c r="AL421" t="n">
        <v>0</v>
      </c>
      <c r="AN421" t="n">
        <v>0</v>
      </c>
      <c r="AO421" t="n">
        <v>0</v>
      </c>
      <c r="AS421" t="n">
        <v>0</v>
      </c>
      <c r="AU421" t="n">
        <v>0</v>
      </c>
      <c r="AV421" t="n">
        <v>0</v>
      </c>
      <c r="AW421" t="n">
        <v>0</v>
      </c>
      <c r="AX421" t="n">
        <v>0</v>
      </c>
      <c r="AY421" t="n">
        <v>0</v>
      </c>
      <c r="BA421" t="n">
        <v>0</v>
      </c>
      <c r="BL421" t="n">
        <v>0</v>
      </c>
      <c r="BW421" t="n">
        <v>0</v>
      </c>
      <c r="BY421" t="n">
        <v>0</v>
      </c>
      <c r="CA421" t="n">
        <v>0</v>
      </c>
      <c r="CK421" t="n">
        <v>0</v>
      </c>
      <c r="CL421" t="n">
        <v>0</v>
      </c>
      <c r="CM421" t="n">
        <v>0</v>
      </c>
      <c r="CW421" t="n">
        <v>0</v>
      </c>
      <c r="CY421" t="n">
        <v>0</v>
      </c>
      <c r="DB421" t="n">
        <v>0</v>
      </c>
      <c r="DF421" t="n">
        <v>0</v>
      </c>
      <c r="DG421" t="n">
        <v>0</v>
      </c>
      <c r="DO421" t="n">
        <v>0</v>
      </c>
      <c r="DP421" t="n">
        <v>0</v>
      </c>
      <c r="DQ421" t="n">
        <v>0</v>
      </c>
      <c r="DR421" t="n">
        <v>0</v>
      </c>
      <c r="DS421" t="n">
        <v>0</v>
      </c>
      <c r="DT421" t="n">
        <v>0</v>
      </c>
      <c r="DU421" t="n">
        <v>0</v>
      </c>
      <c r="DV421" t="inlineStr">
        <is>
          <t>flat</t>
        </is>
      </c>
      <c r="DW421" t="n">
        <v>98</v>
      </c>
      <c r="DX421" t="n">
        <v>102</v>
      </c>
      <c r="DY421" t="n">
        <v>105.93</v>
      </c>
      <c r="DZ421" t="n">
        <v>7.93</v>
      </c>
      <c r="EA421" t="n">
        <v>2</v>
      </c>
      <c r="EB421" t="n">
        <v>13.52</v>
      </c>
      <c r="EC421" t="n">
        <v>78.55</v>
      </c>
      <c r="ED421" t="n">
        <v>109.87</v>
      </c>
      <c r="EE421" t="n">
        <v>4</v>
      </c>
      <c r="EF421" t="b">
        <v>0</v>
      </c>
      <c r="EG421" t="n">
        <v>0.1</v>
      </c>
      <c r="EH421" t="n">
        <v>20</v>
      </c>
      <c r="EI421" t="n">
        <v>511</v>
      </c>
    </row>
    <row r="422">
      <c r="A422" t="inlineStr">
        <is>
          <t>Will Dennis</t>
        </is>
      </c>
      <c r="B422" t="inlineStr">
        <is>
          <t>BOU</t>
        </is>
      </c>
      <c r="C422" t="inlineStr">
        <is>
          <t>GKP</t>
        </is>
      </c>
      <c r="D422" t="inlineStr">
        <is>
          <t>GKP</t>
        </is>
      </c>
      <c r="E422" t="n">
        <v>4</v>
      </c>
      <c r="F422" t="b">
        <v>1</v>
      </c>
      <c r="G422" t="b">
        <v>0</v>
      </c>
      <c r="H422" t="n">
        <v>26.1</v>
      </c>
      <c r="I422" t="inlineStr">
        <is>
          <t>a</t>
        </is>
      </c>
      <c r="M422" t="n">
        <v>59</v>
      </c>
      <c r="Q422" t="n">
        <v>0</v>
      </c>
      <c r="S422" t="n">
        <v>0</v>
      </c>
      <c r="T422" t="n">
        <v>0</v>
      </c>
      <c r="V422" t="n">
        <v>0</v>
      </c>
      <c r="X422" t="n">
        <v>0</v>
      </c>
      <c r="Y422" t="n">
        <v>0</v>
      </c>
      <c r="AA422" t="n">
        <v>0</v>
      </c>
      <c r="AB422" t="n">
        <v>0</v>
      </c>
      <c r="AC422" t="n">
        <v>0</v>
      </c>
      <c r="AD422" t="n">
        <v>0</v>
      </c>
      <c r="AE422" t="n">
        <v>0</v>
      </c>
      <c r="AF422" t="n">
        <v>0</v>
      </c>
      <c r="AG422" t="n">
        <v>0</v>
      </c>
      <c r="AH422" t="n">
        <v>0</v>
      </c>
      <c r="AI422" t="n">
        <v>0</v>
      </c>
      <c r="AL422" t="n">
        <v>0</v>
      </c>
      <c r="AN422" t="n">
        <v>0</v>
      </c>
      <c r="AO422" t="n">
        <v>0</v>
      </c>
      <c r="AS422" t="n">
        <v>0</v>
      </c>
      <c r="AU422" t="n">
        <v>0</v>
      </c>
      <c r="AV422" t="n">
        <v>0</v>
      </c>
      <c r="AW422" t="n">
        <v>0</v>
      </c>
      <c r="AX422" t="n">
        <v>0</v>
      </c>
      <c r="AY422" t="n">
        <v>0</v>
      </c>
      <c r="BA422" t="n">
        <v>0</v>
      </c>
      <c r="BL422" t="n">
        <v>0</v>
      </c>
      <c r="BW422" t="n">
        <v>0</v>
      </c>
      <c r="BY422" t="n">
        <v>0</v>
      </c>
      <c r="CA422" t="n">
        <v>0</v>
      </c>
      <c r="CK422" t="n">
        <v>0</v>
      </c>
      <c r="CL422" t="n">
        <v>0</v>
      </c>
      <c r="CM422" t="n">
        <v>0</v>
      </c>
      <c r="CW422" t="n">
        <v>0</v>
      </c>
      <c r="CY422" t="n">
        <v>0</v>
      </c>
      <c r="DB422" t="n">
        <v>0</v>
      </c>
      <c r="DF422" t="n">
        <v>0</v>
      </c>
      <c r="DG422" t="n">
        <v>0</v>
      </c>
      <c r="DO422" t="n">
        <v>0.2</v>
      </c>
      <c r="DP422" t="n">
        <v>1.46</v>
      </c>
      <c r="DQ422" t="n">
        <v>0.73</v>
      </c>
      <c r="DR422" t="n">
        <v>1.46</v>
      </c>
      <c r="DS422" t="n">
        <v>0</v>
      </c>
      <c r="DT422" t="n">
        <v>35</v>
      </c>
      <c r="DU422" t="n">
        <v>0.91</v>
      </c>
      <c r="DV422" t="inlineStr">
        <is>
          <t>flat</t>
        </is>
      </c>
      <c r="DW422" t="n">
        <v>117.31</v>
      </c>
      <c r="DY422" t="n">
        <v>117.31</v>
      </c>
      <c r="DZ422" t="n">
        <v>0</v>
      </c>
      <c r="EA422" t="n">
        <v>2</v>
      </c>
      <c r="EB422" t="n">
        <v>2.67</v>
      </c>
      <c r="EC422" t="n">
        <v>115.43</v>
      </c>
      <c r="ED422" t="n">
        <v>119.2</v>
      </c>
      <c r="EE422" t="n">
        <v>2</v>
      </c>
      <c r="EF422" t="b">
        <v>0</v>
      </c>
      <c r="EG422" t="n">
        <v>0</v>
      </c>
      <c r="EH422" t="n">
        <v>0</v>
      </c>
      <c r="EI422" t="n">
        <v>535</v>
      </c>
    </row>
    <row r="423">
      <c r="A423" t="inlineStr">
        <is>
          <t>Matt Targett</t>
        </is>
      </c>
      <c r="B423" t="inlineStr">
        <is>
          <t>HUL</t>
        </is>
      </c>
      <c r="C423" t="inlineStr">
        <is>
          <t>DEF</t>
        </is>
      </c>
      <c r="D423" t="inlineStr">
        <is>
          <t>DEF</t>
        </is>
      </c>
      <c r="E423" t="n">
        <v>4</v>
      </c>
      <c r="F423" t="b">
        <v>1</v>
      </c>
      <c r="G423" t="b">
        <v>0</v>
      </c>
      <c r="H423" t="n">
        <v>30.9</v>
      </c>
      <c r="I423" t="inlineStr">
        <is>
          <t>a</t>
        </is>
      </c>
      <c r="M423" t="n">
        <v>556</v>
      </c>
      <c r="Q423" t="n">
        <v>0</v>
      </c>
      <c r="S423" t="n">
        <v>0</v>
      </c>
      <c r="T423" t="n">
        <v>0</v>
      </c>
      <c r="V423" t="n">
        <v>0</v>
      </c>
      <c r="X423" t="n">
        <v>0</v>
      </c>
      <c r="Y423" t="n">
        <v>0</v>
      </c>
      <c r="AA423" t="n">
        <v>0</v>
      </c>
      <c r="AB423" t="n">
        <v>0</v>
      </c>
      <c r="AC423" t="n">
        <v>0</v>
      </c>
      <c r="AD423" t="n">
        <v>0</v>
      </c>
      <c r="AE423" t="n">
        <v>0</v>
      </c>
      <c r="AF423" t="n">
        <v>0</v>
      </c>
      <c r="AG423" t="n">
        <v>0</v>
      </c>
      <c r="AH423" t="n">
        <v>0</v>
      </c>
      <c r="AI423" t="n">
        <v>0</v>
      </c>
      <c r="AL423" t="n">
        <v>0</v>
      </c>
      <c r="AN423" t="n">
        <v>0</v>
      </c>
      <c r="AO423" t="n">
        <v>0</v>
      </c>
      <c r="AS423" t="n">
        <v>0</v>
      </c>
      <c r="AU423" t="n">
        <v>0</v>
      </c>
      <c r="AV423" t="n">
        <v>0</v>
      </c>
      <c r="AW423" t="n">
        <v>0</v>
      </c>
      <c r="AX423" t="n">
        <v>0</v>
      </c>
      <c r="AY423" t="n">
        <v>0</v>
      </c>
      <c r="BA423" t="n">
        <v>0</v>
      </c>
      <c r="BL423" t="n">
        <v>0</v>
      </c>
      <c r="BW423" t="n">
        <v>0</v>
      </c>
      <c r="BY423" t="n">
        <v>0</v>
      </c>
      <c r="CA423" t="n">
        <v>0</v>
      </c>
      <c r="CK423" t="n">
        <v>0</v>
      </c>
      <c r="CL423" t="n">
        <v>0</v>
      </c>
      <c r="CM423" t="n">
        <v>0</v>
      </c>
      <c r="CW423" t="n">
        <v>0</v>
      </c>
      <c r="CY423" t="n">
        <v>0</v>
      </c>
      <c r="DB423" t="n">
        <v>0</v>
      </c>
      <c r="DF423" t="n">
        <v>0</v>
      </c>
      <c r="DG423" t="n">
        <v>0</v>
      </c>
      <c r="DO423" t="n">
        <v>3</v>
      </c>
      <c r="DP423" t="n">
        <v>23.28</v>
      </c>
      <c r="DQ423" t="n">
        <v>13.75</v>
      </c>
      <c r="DR423" t="n">
        <v>27.5</v>
      </c>
      <c r="DS423" t="n">
        <v>-4.22</v>
      </c>
      <c r="DT423" t="n">
        <v>421</v>
      </c>
      <c r="DU423" t="n">
        <v>11.07</v>
      </c>
      <c r="DV423" t="inlineStr">
        <is>
          <t>flat</t>
        </is>
      </c>
      <c r="DW423" t="n">
        <v>82.81999999999999</v>
      </c>
      <c r="DX423" t="n">
        <v>105</v>
      </c>
      <c r="DY423" t="n">
        <v>94.79000000000001</v>
      </c>
      <c r="DZ423" t="n">
        <v>11.97</v>
      </c>
      <c r="EA423" t="n">
        <v>2</v>
      </c>
      <c r="EB423" t="n">
        <v>33.1</v>
      </c>
      <c r="EC423" t="n">
        <v>3.56</v>
      </c>
      <c r="ED423" t="n">
        <v>109</v>
      </c>
      <c r="EE423" t="n">
        <v>10</v>
      </c>
      <c r="EF423" t="b">
        <v>1</v>
      </c>
      <c r="EG423" t="n">
        <v>0.2</v>
      </c>
      <c r="EH423" t="n">
        <v>16.7</v>
      </c>
      <c r="EI423" t="n">
        <v>578</v>
      </c>
    </row>
    <row r="424">
      <c r="A424" t="inlineStr">
        <is>
          <t>Kalvin Phillips</t>
        </is>
      </c>
      <c r="B424" t="inlineStr">
        <is>
          <t>MCI</t>
        </is>
      </c>
      <c r="C424" t="inlineStr">
        <is>
          <t>MID</t>
        </is>
      </c>
      <c r="D424" t="inlineStr">
        <is>
          <t>MID</t>
        </is>
      </c>
      <c r="E424" t="n">
        <v>5</v>
      </c>
      <c r="F424" t="b">
        <v>1</v>
      </c>
      <c r="G424" t="b">
        <v>0</v>
      </c>
      <c r="H424" t="n">
        <v>30.7</v>
      </c>
      <c r="I424" t="inlineStr">
        <is>
          <t>a</t>
        </is>
      </c>
      <c r="M424" t="n">
        <v>408</v>
      </c>
      <c r="Q424" t="n">
        <v>0</v>
      </c>
      <c r="S424" t="n">
        <v>0</v>
      </c>
      <c r="T424" t="n">
        <v>0</v>
      </c>
      <c r="V424" t="n">
        <v>0</v>
      </c>
      <c r="X424" t="n">
        <v>0</v>
      </c>
      <c r="Y424" t="n">
        <v>0</v>
      </c>
      <c r="AA424" t="n">
        <v>0</v>
      </c>
      <c r="AB424" t="n">
        <v>0</v>
      </c>
      <c r="AC424" t="n">
        <v>0</v>
      </c>
      <c r="AD424" t="n">
        <v>0</v>
      </c>
      <c r="AE424" t="n">
        <v>0</v>
      </c>
      <c r="AF424" t="n">
        <v>0</v>
      </c>
      <c r="AG424" t="n">
        <v>0</v>
      </c>
      <c r="AH424" t="n">
        <v>0</v>
      </c>
      <c r="AI424" t="n">
        <v>0</v>
      </c>
      <c r="AL424" t="n">
        <v>0</v>
      </c>
      <c r="AN424" t="n">
        <v>0</v>
      </c>
      <c r="AO424" t="n">
        <v>0</v>
      </c>
      <c r="AS424" t="n">
        <v>0</v>
      </c>
      <c r="AU424" t="n">
        <v>0</v>
      </c>
      <c r="AV424" t="n">
        <v>0</v>
      </c>
      <c r="AW424" t="n">
        <v>0</v>
      </c>
      <c r="AX424" t="n">
        <v>0</v>
      </c>
      <c r="AY424" t="n">
        <v>0</v>
      </c>
      <c r="BA424" t="n">
        <v>0</v>
      </c>
      <c r="BL424" t="n">
        <v>0</v>
      </c>
      <c r="BW424" t="n">
        <v>0</v>
      </c>
      <c r="BY424" t="n">
        <v>0</v>
      </c>
      <c r="CA424" t="n">
        <v>0</v>
      </c>
      <c r="CK424" t="n">
        <v>0</v>
      </c>
      <c r="CL424" t="n">
        <v>0</v>
      </c>
      <c r="CM424" t="n">
        <v>0</v>
      </c>
      <c r="CW424" t="n">
        <v>0</v>
      </c>
      <c r="CY424" t="n">
        <v>0</v>
      </c>
      <c r="DB424" t="n">
        <v>0</v>
      </c>
      <c r="DF424" t="n">
        <v>0</v>
      </c>
      <c r="DG424" t="n">
        <v>0</v>
      </c>
      <c r="DO424" t="n">
        <v>0</v>
      </c>
      <c r="DP424" t="n">
        <v>0</v>
      </c>
      <c r="DQ424" t="n">
        <v>0</v>
      </c>
      <c r="DR424" t="n">
        <v>0</v>
      </c>
      <c r="DS424" t="n">
        <v>0</v>
      </c>
      <c r="DT424" t="n">
        <v>0</v>
      </c>
      <c r="DU424" t="n">
        <v>0</v>
      </c>
      <c r="DV424" t="inlineStr">
        <is>
          <t>flat</t>
        </is>
      </c>
      <c r="DW424" t="n">
        <v>54.67</v>
      </c>
      <c r="EC424" t="n">
        <v>54.67</v>
      </c>
      <c r="ED424" t="n">
        <v>54.67</v>
      </c>
      <c r="EE424" t="n">
        <v>1</v>
      </c>
      <c r="EF424" t="b">
        <v>0</v>
      </c>
      <c r="EG424" t="n">
        <v>0.1</v>
      </c>
      <c r="EH424" t="n">
        <v>66.7</v>
      </c>
      <c r="EI424" t="n">
        <v>372</v>
      </c>
    </row>
    <row r="425">
      <c r="A425" t="inlineStr">
        <is>
          <t>Tom King</t>
        </is>
      </c>
      <c r="B425" t="inlineStr">
        <is>
          <t>EVE</t>
        </is>
      </c>
      <c r="C425" t="inlineStr">
        <is>
          <t>GKP</t>
        </is>
      </c>
      <c r="D425" t="inlineStr">
        <is>
          <t>GKP</t>
        </is>
      </c>
      <c r="E425" t="n">
        <v>4.5</v>
      </c>
      <c r="F425" t="b">
        <v>1</v>
      </c>
      <c r="G425" t="b">
        <v>0</v>
      </c>
      <c r="H425" t="n">
        <v>31.5</v>
      </c>
      <c r="I425" t="inlineStr">
        <is>
          <t>a</t>
        </is>
      </c>
      <c r="M425" t="n">
        <v>228</v>
      </c>
      <c r="Q425" t="n">
        <v>0</v>
      </c>
      <c r="S425" t="n">
        <v>0</v>
      </c>
      <c r="T425" t="n">
        <v>0</v>
      </c>
      <c r="V425" t="n">
        <v>0</v>
      </c>
      <c r="X425" t="n">
        <v>0</v>
      </c>
      <c r="Y425" t="n">
        <v>0</v>
      </c>
      <c r="AA425" t="n">
        <v>0</v>
      </c>
      <c r="AB425" t="n">
        <v>0</v>
      </c>
      <c r="AC425" t="n">
        <v>0</v>
      </c>
      <c r="AD425" t="n">
        <v>0</v>
      </c>
      <c r="AE425" t="n">
        <v>0</v>
      </c>
      <c r="AF425" t="n">
        <v>0</v>
      </c>
      <c r="AG425" t="n">
        <v>0</v>
      </c>
      <c r="AH425" t="n">
        <v>0</v>
      </c>
      <c r="AI425" t="n">
        <v>0</v>
      </c>
      <c r="AL425" t="n">
        <v>0</v>
      </c>
      <c r="AN425" t="n">
        <v>0</v>
      </c>
      <c r="AO425" t="n">
        <v>0</v>
      </c>
      <c r="AS425" t="n">
        <v>0</v>
      </c>
      <c r="AU425" t="n">
        <v>0</v>
      </c>
      <c r="AV425" t="n">
        <v>0</v>
      </c>
      <c r="AW425" t="n">
        <v>0</v>
      </c>
      <c r="AX425" t="n">
        <v>0</v>
      </c>
      <c r="AY425" t="n">
        <v>0</v>
      </c>
      <c r="BA425" t="n">
        <v>0</v>
      </c>
      <c r="BL425" t="n">
        <v>0</v>
      </c>
      <c r="BW425" t="n">
        <v>0</v>
      </c>
      <c r="BY425" t="n">
        <v>0</v>
      </c>
      <c r="CA425" t="n">
        <v>0</v>
      </c>
      <c r="CK425" t="n">
        <v>0</v>
      </c>
      <c r="CL425" t="n">
        <v>0</v>
      </c>
      <c r="CM425" t="n">
        <v>0</v>
      </c>
      <c r="CW425" t="n">
        <v>0</v>
      </c>
      <c r="CY425" t="n">
        <v>0</v>
      </c>
      <c r="DB425" t="n">
        <v>0</v>
      </c>
      <c r="DF425" t="n">
        <v>0</v>
      </c>
      <c r="DG425" t="n">
        <v>0</v>
      </c>
      <c r="DO425" t="n">
        <v>0.1</v>
      </c>
      <c r="DP425" t="n">
        <v>0</v>
      </c>
      <c r="DQ425" t="n">
        <v>0</v>
      </c>
      <c r="DR425" t="n">
        <v>0</v>
      </c>
      <c r="DS425" t="n">
        <v>0</v>
      </c>
      <c r="DT425" t="n">
        <v>0</v>
      </c>
      <c r="DU425" t="n">
        <v>0</v>
      </c>
      <c r="DV425" t="inlineStr">
        <is>
          <t>flat</t>
        </is>
      </c>
      <c r="DW425" t="n">
        <v>102.81</v>
      </c>
      <c r="DX425" t="n">
        <v>117</v>
      </c>
      <c r="DY425" t="n">
        <v>99.98</v>
      </c>
      <c r="DZ425" t="n">
        <v>-2.84</v>
      </c>
      <c r="EA425" t="n">
        <v>5</v>
      </c>
      <c r="EB425" t="n">
        <v>31.3</v>
      </c>
      <c r="EC425" t="n">
        <v>39.11</v>
      </c>
      <c r="ED425" t="n">
        <v>119.47</v>
      </c>
      <c r="EE425" t="n">
        <v>6</v>
      </c>
      <c r="EF425" t="b">
        <v>0</v>
      </c>
      <c r="EG425" t="n">
        <v>0.1</v>
      </c>
      <c r="EH425" t="n">
        <v>14.3</v>
      </c>
      <c r="EI425" t="n">
        <v>488</v>
      </c>
    </row>
    <row r="426">
      <c r="A426" t="inlineStr">
        <is>
          <t>Marcus Bettinelli</t>
        </is>
      </c>
      <c r="B426" t="inlineStr">
        <is>
          <t>MCI</t>
        </is>
      </c>
      <c r="C426" t="inlineStr">
        <is>
          <t>GKP</t>
        </is>
      </c>
      <c r="D426" t="inlineStr">
        <is>
          <t>GKP</t>
        </is>
      </c>
      <c r="E426" t="n">
        <v>4.5</v>
      </c>
      <c r="F426" t="b">
        <v>1</v>
      </c>
      <c r="G426" t="b">
        <v>0</v>
      </c>
      <c r="H426" t="n">
        <v>34.2</v>
      </c>
      <c r="I426" t="inlineStr">
        <is>
          <t>a</t>
        </is>
      </c>
      <c r="M426" t="n">
        <v>386</v>
      </c>
      <c r="Q426" t="n">
        <v>0</v>
      </c>
      <c r="S426" t="n">
        <v>0</v>
      </c>
      <c r="T426" t="n">
        <v>0</v>
      </c>
      <c r="V426" t="n">
        <v>0</v>
      </c>
      <c r="X426" t="n">
        <v>0</v>
      </c>
      <c r="Y426" t="n">
        <v>0</v>
      </c>
      <c r="AA426" t="n">
        <v>0</v>
      </c>
      <c r="AB426" t="n">
        <v>0</v>
      </c>
      <c r="AC426" t="n">
        <v>0</v>
      </c>
      <c r="AD426" t="n">
        <v>0</v>
      </c>
      <c r="AE426" t="n">
        <v>0</v>
      </c>
      <c r="AF426" t="n">
        <v>0</v>
      </c>
      <c r="AG426" t="n">
        <v>0</v>
      </c>
      <c r="AH426" t="n">
        <v>0</v>
      </c>
      <c r="AI426" t="n">
        <v>0</v>
      </c>
      <c r="AL426" t="n">
        <v>0</v>
      </c>
      <c r="AN426" t="n">
        <v>0</v>
      </c>
      <c r="AO426" t="n">
        <v>0</v>
      </c>
      <c r="AS426" t="n">
        <v>0</v>
      </c>
      <c r="AU426" t="n">
        <v>0</v>
      </c>
      <c r="AV426" t="n">
        <v>0</v>
      </c>
      <c r="AW426" t="n">
        <v>0</v>
      </c>
      <c r="AX426" t="n">
        <v>0</v>
      </c>
      <c r="AY426" t="n">
        <v>0</v>
      </c>
      <c r="BA426" t="n">
        <v>0</v>
      </c>
      <c r="BL426" t="n">
        <v>0</v>
      </c>
      <c r="BW426" t="n">
        <v>0</v>
      </c>
      <c r="BY426" t="n">
        <v>0</v>
      </c>
      <c r="CA426" t="n">
        <v>0</v>
      </c>
      <c r="CK426" t="n">
        <v>0</v>
      </c>
      <c r="CL426" t="n">
        <v>0</v>
      </c>
      <c r="CM426" t="n">
        <v>0</v>
      </c>
      <c r="CW426" t="n">
        <v>0</v>
      </c>
      <c r="CY426" t="n">
        <v>0</v>
      </c>
      <c r="DB426" t="n">
        <v>0</v>
      </c>
      <c r="DF426" t="n">
        <v>0</v>
      </c>
      <c r="DG426" t="n">
        <v>0</v>
      </c>
      <c r="DO426" t="n">
        <v>0</v>
      </c>
      <c r="DP426" t="n">
        <v>0</v>
      </c>
      <c r="DQ426" t="n">
        <v>0</v>
      </c>
      <c r="DR426" t="n">
        <v>0</v>
      </c>
      <c r="DS426" t="n">
        <v>0</v>
      </c>
      <c r="DT426" t="n">
        <v>0</v>
      </c>
      <c r="DU426" t="n">
        <v>0</v>
      </c>
      <c r="DV426" t="inlineStr">
        <is>
          <t>flat</t>
        </is>
      </c>
      <c r="DW426" t="n">
        <v>113.3</v>
      </c>
      <c r="DX426" t="n">
        <v>111.12</v>
      </c>
      <c r="DY426" t="n">
        <v>114.27</v>
      </c>
      <c r="DZ426" t="n">
        <v>0.97</v>
      </c>
      <c r="EA426" t="n">
        <v>31</v>
      </c>
      <c r="EB426" t="n">
        <v>12.26</v>
      </c>
      <c r="EC426" t="n">
        <v>44</v>
      </c>
      <c r="ED426" t="n">
        <v>120</v>
      </c>
      <c r="EE426" t="n">
        <v>43</v>
      </c>
      <c r="EF426" t="b">
        <v>1</v>
      </c>
      <c r="EG426" t="n">
        <v>1</v>
      </c>
      <c r="EH426" t="n">
        <v>14</v>
      </c>
      <c r="EI426" t="n">
        <v>505</v>
      </c>
    </row>
    <row r="427">
      <c r="A427" t="inlineStr">
        <is>
          <t>Giovanni Leoni</t>
        </is>
      </c>
      <c r="B427" t="inlineStr">
        <is>
          <t>LIV</t>
        </is>
      </c>
      <c r="C427" t="inlineStr">
        <is>
          <t>DEF</t>
        </is>
      </c>
      <c r="D427" t="inlineStr">
        <is>
          <t>DEF</t>
        </is>
      </c>
      <c r="E427" t="n">
        <v>4</v>
      </c>
      <c r="F427" t="b">
        <v>1</v>
      </c>
      <c r="G427" t="b">
        <v>0</v>
      </c>
      <c r="H427" t="n">
        <v>19.7</v>
      </c>
      <c r="I427" t="inlineStr">
        <is>
          <t>i</t>
        </is>
      </c>
      <c r="J427" t="inlineStr">
        <is>
          <t>Knee injury - Unknown return date</t>
        </is>
      </c>
      <c r="K427" t="n">
        <v>0</v>
      </c>
      <c r="M427" t="n">
        <v>363</v>
      </c>
      <c r="Q427" t="n">
        <v>0</v>
      </c>
      <c r="S427" t="n">
        <v>0</v>
      </c>
      <c r="T427" t="n">
        <v>0</v>
      </c>
      <c r="V427" t="n">
        <v>0</v>
      </c>
      <c r="X427" t="n">
        <v>0</v>
      </c>
      <c r="Y427" t="n">
        <v>0</v>
      </c>
      <c r="AA427" t="n">
        <v>0</v>
      </c>
      <c r="AB427" t="n">
        <v>0</v>
      </c>
      <c r="AC427" t="n">
        <v>0</v>
      </c>
      <c r="AD427" t="n">
        <v>0</v>
      </c>
      <c r="AE427" t="n">
        <v>0</v>
      </c>
      <c r="AF427" t="n">
        <v>0</v>
      </c>
      <c r="AG427" t="n">
        <v>0</v>
      </c>
      <c r="AH427" t="n">
        <v>0</v>
      </c>
      <c r="AI427" t="n">
        <v>0</v>
      </c>
      <c r="AL427" t="n">
        <v>0</v>
      </c>
      <c r="AN427" t="n">
        <v>0</v>
      </c>
      <c r="AO427" t="n">
        <v>0</v>
      </c>
      <c r="AS427" t="n">
        <v>0</v>
      </c>
      <c r="AU427" t="n">
        <v>0</v>
      </c>
      <c r="AV427" t="n">
        <v>0</v>
      </c>
      <c r="AW427" t="n">
        <v>0</v>
      </c>
      <c r="AX427" t="n">
        <v>0</v>
      </c>
      <c r="AY427" t="n">
        <v>0</v>
      </c>
      <c r="BA427" t="n">
        <v>0</v>
      </c>
      <c r="BL427" t="n">
        <v>0</v>
      </c>
      <c r="BW427" t="n">
        <v>0</v>
      </c>
      <c r="BY427" t="n">
        <v>0</v>
      </c>
      <c r="CA427" t="n">
        <v>0</v>
      </c>
      <c r="CK427" t="n">
        <v>0</v>
      </c>
      <c r="CL427" t="n">
        <v>0</v>
      </c>
      <c r="CM427" t="n">
        <v>0</v>
      </c>
      <c r="CW427" t="n">
        <v>0</v>
      </c>
      <c r="CY427" t="n">
        <v>0</v>
      </c>
      <c r="DB427" t="n">
        <v>0</v>
      </c>
      <c r="DF427" t="n">
        <v>0</v>
      </c>
      <c r="DG427" t="n">
        <v>0</v>
      </c>
      <c r="DO427" t="n">
        <v>0.1</v>
      </c>
      <c r="DP427" t="n">
        <v>1.53</v>
      </c>
      <c r="DQ427" t="n">
        <v>0.77</v>
      </c>
      <c r="DR427" t="n">
        <v>1.54</v>
      </c>
      <c r="DS427" t="n">
        <v>-0.01</v>
      </c>
      <c r="DT427" t="n">
        <v>28</v>
      </c>
      <c r="DU427" t="n">
        <v>0.75</v>
      </c>
      <c r="DV427" t="inlineStr">
        <is>
          <t>flat</t>
        </is>
      </c>
      <c r="DW427" t="n">
        <v>110.39</v>
      </c>
      <c r="DX427" t="n">
        <v>109</v>
      </c>
      <c r="DY427" t="n">
        <v>103.25</v>
      </c>
      <c r="DZ427" t="n">
        <v>-7.14</v>
      </c>
      <c r="EA427" t="n">
        <v>2</v>
      </c>
      <c r="EB427" t="n">
        <v>8.720000000000001</v>
      </c>
      <c r="EC427" t="n">
        <v>97.5</v>
      </c>
      <c r="ED427" t="n">
        <v>119.27</v>
      </c>
      <c r="EE427" t="n">
        <v>5</v>
      </c>
      <c r="EF427" t="b">
        <v>0</v>
      </c>
      <c r="EG427" t="n">
        <v>0.1</v>
      </c>
      <c r="EH427" t="n">
        <v>28.6</v>
      </c>
      <c r="EI427" t="n">
        <v>575</v>
      </c>
    </row>
    <row r="428">
      <c r="A428" t="inlineStr">
        <is>
          <t>Benjamin Lecomte</t>
        </is>
      </c>
      <c r="B428" t="inlineStr">
        <is>
          <t>FUL</t>
        </is>
      </c>
      <c r="C428" t="inlineStr">
        <is>
          <t>GKP</t>
        </is>
      </c>
      <c r="D428" t="inlineStr">
        <is>
          <t>GKP</t>
        </is>
      </c>
      <c r="E428" t="n">
        <v>4</v>
      </c>
      <c r="F428" t="b">
        <v>1</v>
      </c>
      <c r="G428" t="b">
        <v>0</v>
      </c>
      <c r="H428" t="n">
        <v>35.3</v>
      </c>
      <c r="I428" t="inlineStr">
        <is>
          <t>a</t>
        </is>
      </c>
      <c r="M428" t="n">
        <v>251</v>
      </c>
      <c r="Q428" t="n">
        <v>0</v>
      </c>
      <c r="S428" t="n">
        <v>0</v>
      </c>
      <c r="T428" t="n">
        <v>0</v>
      </c>
      <c r="V428" t="n">
        <v>0</v>
      </c>
      <c r="X428" t="n">
        <v>0</v>
      </c>
      <c r="Y428" t="n">
        <v>0</v>
      </c>
      <c r="AA428" t="n">
        <v>0</v>
      </c>
      <c r="AB428" t="n">
        <v>0</v>
      </c>
      <c r="AC428" t="n">
        <v>0</v>
      </c>
      <c r="AD428" t="n">
        <v>0</v>
      </c>
      <c r="AE428" t="n">
        <v>0</v>
      </c>
      <c r="AF428" t="n">
        <v>0</v>
      </c>
      <c r="AG428" t="n">
        <v>0</v>
      </c>
      <c r="AH428" t="n">
        <v>0</v>
      </c>
      <c r="AI428" t="n">
        <v>0</v>
      </c>
      <c r="AL428" t="n">
        <v>0</v>
      </c>
      <c r="AN428" t="n">
        <v>0</v>
      </c>
      <c r="AO428" t="n">
        <v>0</v>
      </c>
      <c r="AS428" t="n">
        <v>0</v>
      </c>
      <c r="AU428" t="n">
        <v>0</v>
      </c>
      <c r="AV428" t="n">
        <v>0</v>
      </c>
      <c r="AW428" t="n">
        <v>0</v>
      </c>
      <c r="AX428" t="n">
        <v>0</v>
      </c>
      <c r="AY428" t="n">
        <v>0</v>
      </c>
      <c r="BA428" t="n">
        <v>0</v>
      </c>
      <c r="BL428" t="n">
        <v>0</v>
      </c>
      <c r="BW428" t="n">
        <v>0</v>
      </c>
      <c r="BY428" t="n">
        <v>0</v>
      </c>
      <c r="CA428" t="n">
        <v>0</v>
      </c>
      <c r="CK428" t="n">
        <v>0</v>
      </c>
      <c r="CL428" t="n">
        <v>0</v>
      </c>
      <c r="CM428" t="n">
        <v>0</v>
      </c>
      <c r="CW428" t="n">
        <v>0</v>
      </c>
      <c r="CY428" t="n">
        <v>0</v>
      </c>
      <c r="DB428" t="n">
        <v>0</v>
      </c>
      <c r="DF428" t="n">
        <v>0</v>
      </c>
      <c r="DG428" t="n">
        <v>0</v>
      </c>
      <c r="DO428" t="n">
        <v>1.4</v>
      </c>
      <c r="DP428" t="n">
        <v>0.74</v>
      </c>
      <c r="DQ428" t="n">
        <v>0.38</v>
      </c>
      <c r="DR428" t="n">
        <v>0.76</v>
      </c>
      <c r="DS428" t="n">
        <v>-0.02</v>
      </c>
      <c r="DT428" t="n">
        <v>11</v>
      </c>
      <c r="DU428" t="n">
        <v>0.3</v>
      </c>
      <c r="DV428" t="inlineStr">
        <is>
          <t>flat</t>
        </is>
      </c>
      <c r="DW428" t="n">
        <v>115.09</v>
      </c>
      <c r="DY428" t="n">
        <v>113.83</v>
      </c>
      <c r="DZ428" t="n">
        <v>-1.26</v>
      </c>
      <c r="EA428" t="n">
        <v>6</v>
      </c>
      <c r="EB428" t="n">
        <v>4.13</v>
      </c>
      <c r="EC428" t="n">
        <v>107.33</v>
      </c>
      <c r="ED428" t="n">
        <v>120</v>
      </c>
      <c r="EE428" t="n">
        <v>8</v>
      </c>
      <c r="EF428" t="b">
        <v>0</v>
      </c>
      <c r="EG428" t="n">
        <v>0.2</v>
      </c>
      <c r="EH428" t="n">
        <v>20</v>
      </c>
      <c r="EI428" t="n">
        <v>549</v>
      </c>
    </row>
    <row r="429">
      <c r="A429" t="inlineStr">
        <is>
          <t>Mark Gillespie</t>
        </is>
      </c>
      <c r="B429" t="inlineStr">
        <is>
          <t>NEW</t>
        </is>
      </c>
      <c r="C429" t="inlineStr">
        <is>
          <t>GKP</t>
        </is>
      </c>
      <c r="D429" t="inlineStr">
        <is>
          <t>GKP</t>
        </is>
      </c>
      <c r="E429" t="n">
        <v>4.5</v>
      </c>
      <c r="F429" t="b">
        <v>1</v>
      </c>
      <c r="G429" t="b">
        <v>0</v>
      </c>
      <c r="H429" t="n">
        <v>34.4</v>
      </c>
      <c r="I429" t="inlineStr">
        <is>
          <t>a</t>
        </is>
      </c>
      <c r="M429" t="n">
        <v>443</v>
      </c>
      <c r="Q429" t="n">
        <v>0</v>
      </c>
      <c r="S429" t="n">
        <v>0</v>
      </c>
      <c r="T429" t="n">
        <v>0</v>
      </c>
      <c r="V429" t="n">
        <v>0</v>
      </c>
      <c r="X429" t="n">
        <v>0</v>
      </c>
      <c r="Y429" t="n">
        <v>0</v>
      </c>
      <c r="AA429" t="n">
        <v>0</v>
      </c>
      <c r="AB429" t="n">
        <v>0</v>
      </c>
      <c r="AC429" t="n">
        <v>0</v>
      </c>
      <c r="AD429" t="n">
        <v>0</v>
      </c>
      <c r="AE429" t="n">
        <v>0</v>
      </c>
      <c r="AF429" t="n">
        <v>0</v>
      </c>
      <c r="AG429" t="n">
        <v>0</v>
      </c>
      <c r="AH429" t="n">
        <v>0</v>
      </c>
      <c r="AI429" t="n">
        <v>0</v>
      </c>
      <c r="AL429" t="n">
        <v>0</v>
      </c>
      <c r="AN429" t="n">
        <v>0</v>
      </c>
      <c r="AO429" t="n">
        <v>0</v>
      </c>
      <c r="AS429" t="n">
        <v>0</v>
      </c>
      <c r="AU429" t="n">
        <v>0</v>
      </c>
      <c r="AV429" t="n">
        <v>0</v>
      </c>
      <c r="AW429" t="n">
        <v>0</v>
      </c>
      <c r="AX429" t="n">
        <v>0</v>
      </c>
      <c r="AY429" t="n">
        <v>0</v>
      </c>
      <c r="BA429" t="n">
        <v>0</v>
      </c>
      <c r="BL429" t="n">
        <v>0</v>
      </c>
      <c r="BW429" t="n">
        <v>0</v>
      </c>
      <c r="BY429" t="n">
        <v>0</v>
      </c>
      <c r="CA429" t="n">
        <v>0</v>
      </c>
      <c r="CK429" t="n">
        <v>0</v>
      </c>
      <c r="CL429" t="n">
        <v>0</v>
      </c>
      <c r="CM429" t="n">
        <v>0</v>
      </c>
      <c r="CW429" t="n">
        <v>0</v>
      </c>
      <c r="CY429" t="n">
        <v>0</v>
      </c>
      <c r="DB429" t="n">
        <v>0</v>
      </c>
      <c r="DF429" t="n">
        <v>0</v>
      </c>
      <c r="DG429" t="n">
        <v>0</v>
      </c>
      <c r="DO429" t="n">
        <v>0</v>
      </c>
      <c r="DP429" t="n">
        <v>0</v>
      </c>
      <c r="DQ429" t="n">
        <v>0</v>
      </c>
      <c r="DR429" t="n">
        <v>0</v>
      </c>
      <c r="DS429" t="n">
        <v>0</v>
      </c>
      <c r="DT429" t="n">
        <v>0</v>
      </c>
      <c r="DU429" t="n">
        <v>0</v>
      </c>
      <c r="DV429" t="inlineStr">
        <is>
          <t>flat</t>
        </is>
      </c>
      <c r="DW429" t="n">
        <v>104.67</v>
      </c>
      <c r="DX429" t="n">
        <v>88</v>
      </c>
      <c r="DY429" t="n">
        <v>103.9</v>
      </c>
      <c r="DZ429" t="n">
        <v>-0.77</v>
      </c>
      <c r="EA429" t="n">
        <v>5</v>
      </c>
      <c r="EB429" t="n">
        <v>21.74</v>
      </c>
      <c r="EC429" t="n">
        <v>60</v>
      </c>
      <c r="ED429" t="n">
        <v>119.5</v>
      </c>
      <c r="EE429" t="n">
        <v>8</v>
      </c>
      <c r="EF429" t="b">
        <v>0</v>
      </c>
      <c r="EG429" t="n">
        <v>0.2</v>
      </c>
      <c r="EH429" t="n">
        <v>11.1</v>
      </c>
      <c r="EI429" t="n">
        <v>510</v>
      </c>
    </row>
    <row r="430">
      <c r="A430" t="inlineStr">
        <is>
          <t>Jason Steele</t>
        </is>
      </c>
      <c r="B430" t="inlineStr">
        <is>
          <t>BHA</t>
        </is>
      </c>
      <c r="C430" t="inlineStr">
        <is>
          <t>GKP</t>
        </is>
      </c>
      <c r="D430" t="inlineStr">
        <is>
          <t>GKP</t>
        </is>
      </c>
      <c r="E430" t="n">
        <v>4</v>
      </c>
      <c r="F430" t="b">
        <v>1</v>
      </c>
      <c r="G430" t="b">
        <v>0</v>
      </c>
      <c r="H430" t="n">
        <v>36</v>
      </c>
      <c r="I430" t="inlineStr">
        <is>
          <t>a</t>
        </is>
      </c>
      <c r="M430" t="n">
        <v>111</v>
      </c>
      <c r="Q430" t="n">
        <v>0</v>
      </c>
      <c r="S430" t="n">
        <v>0</v>
      </c>
      <c r="T430" t="n">
        <v>0</v>
      </c>
      <c r="V430" t="n">
        <v>0</v>
      </c>
      <c r="X430" t="n">
        <v>0</v>
      </c>
      <c r="Y430" t="n">
        <v>0</v>
      </c>
      <c r="AA430" t="n">
        <v>0</v>
      </c>
      <c r="AB430" t="n">
        <v>0</v>
      </c>
      <c r="AC430" t="n">
        <v>0</v>
      </c>
      <c r="AD430" t="n">
        <v>0</v>
      </c>
      <c r="AE430" t="n">
        <v>0</v>
      </c>
      <c r="AF430" t="n">
        <v>0</v>
      </c>
      <c r="AG430" t="n">
        <v>0</v>
      </c>
      <c r="AH430" t="n">
        <v>0</v>
      </c>
      <c r="AI430" t="n">
        <v>0</v>
      </c>
      <c r="AL430" t="n">
        <v>0</v>
      </c>
      <c r="AN430" t="n">
        <v>0</v>
      </c>
      <c r="AO430" t="n">
        <v>0</v>
      </c>
      <c r="AS430" t="n">
        <v>0</v>
      </c>
      <c r="AU430" t="n">
        <v>0</v>
      </c>
      <c r="AV430" t="n">
        <v>0</v>
      </c>
      <c r="AW430" t="n">
        <v>0</v>
      </c>
      <c r="AX430" t="n">
        <v>0</v>
      </c>
      <c r="AY430" t="n">
        <v>0</v>
      </c>
      <c r="BA430" t="n">
        <v>0</v>
      </c>
      <c r="BL430" t="n">
        <v>0</v>
      </c>
      <c r="BW430" t="n">
        <v>0</v>
      </c>
      <c r="BY430" t="n">
        <v>0</v>
      </c>
      <c r="CA430" t="n">
        <v>0</v>
      </c>
      <c r="CK430" t="n">
        <v>0</v>
      </c>
      <c r="CL430" t="n">
        <v>0</v>
      </c>
      <c r="CM430" t="n">
        <v>0</v>
      </c>
      <c r="CW430" t="n">
        <v>0</v>
      </c>
      <c r="CY430" t="n">
        <v>0</v>
      </c>
      <c r="DB430" t="n">
        <v>0</v>
      </c>
      <c r="DF430" t="n">
        <v>0</v>
      </c>
      <c r="DG430" t="n">
        <v>0</v>
      </c>
      <c r="DO430" t="n">
        <v>4.4</v>
      </c>
      <c r="DP430" t="n">
        <v>1.46</v>
      </c>
      <c r="DQ430" t="n">
        <v>0.73</v>
      </c>
      <c r="DR430" t="n">
        <v>1.46</v>
      </c>
      <c r="DS430" t="n">
        <v>0</v>
      </c>
      <c r="DT430" t="n">
        <v>35</v>
      </c>
      <c r="DU430" t="n">
        <v>0.91</v>
      </c>
      <c r="DV430" t="inlineStr">
        <is>
          <t>flat</t>
        </is>
      </c>
      <c r="DW430" t="n">
        <v>113.26</v>
      </c>
      <c r="DX430" t="n">
        <v>115.25</v>
      </c>
      <c r="DY430" t="n">
        <v>113.13</v>
      </c>
      <c r="DZ430" t="n">
        <v>-0.13</v>
      </c>
      <c r="EA430" t="n">
        <v>25</v>
      </c>
      <c r="EB430" t="n">
        <v>10.86</v>
      </c>
      <c r="EC430" t="n">
        <v>81.84999999999999</v>
      </c>
      <c r="ED430" t="n">
        <v>120</v>
      </c>
      <c r="EE430" t="n">
        <v>36</v>
      </c>
      <c r="EF430" t="b">
        <v>1</v>
      </c>
      <c r="EG430" t="n">
        <v>0.9</v>
      </c>
      <c r="EH430" t="n">
        <v>16.3</v>
      </c>
      <c r="EI430" t="n">
        <v>536</v>
      </c>
    </row>
    <row r="431">
      <c r="A431" t="inlineStr">
        <is>
          <t>Fraser Forster</t>
        </is>
      </c>
      <c r="B431" t="inlineStr">
        <is>
          <t>BOU</t>
        </is>
      </c>
      <c r="C431" t="inlineStr">
        <is>
          <t>GKP</t>
        </is>
      </c>
      <c r="D431" t="inlineStr">
        <is>
          <t>GKP</t>
        </is>
      </c>
      <c r="E431" t="n">
        <v>4</v>
      </c>
      <c r="F431" t="b">
        <v>1</v>
      </c>
      <c r="G431" t="b">
        <v>0</v>
      </c>
      <c r="H431" t="n">
        <v>38.4</v>
      </c>
      <c r="I431" t="inlineStr">
        <is>
          <t>a</t>
        </is>
      </c>
      <c r="M431" t="n">
        <v>58</v>
      </c>
      <c r="Q431" t="n">
        <v>0</v>
      </c>
      <c r="S431" t="n">
        <v>0</v>
      </c>
      <c r="T431" t="n">
        <v>0</v>
      </c>
      <c r="V431" t="n">
        <v>0</v>
      </c>
      <c r="X431" t="n">
        <v>0</v>
      </c>
      <c r="Y431" t="n">
        <v>0</v>
      </c>
      <c r="AA431" t="n">
        <v>0</v>
      </c>
      <c r="AB431" t="n">
        <v>0</v>
      </c>
      <c r="AC431" t="n">
        <v>0</v>
      </c>
      <c r="AD431" t="n">
        <v>0</v>
      </c>
      <c r="AE431" t="n">
        <v>0</v>
      </c>
      <c r="AF431" t="n">
        <v>0</v>
      </c>
      <c r="AG431" t="n">
        <v>0</v>
      </c>
      <c r="AH431" t="n">
        <v>0</v>
      </c>
      <c r="AI431" t="n">
        <v>0</v>
      </c>
      <c r="AL431" t="n">
        <v>0</v>
      </c>
      <c r="AN431" t="n">
        <v>0</v>
      </c>
      <c r="AO431" t="n">
        <v>0</v>
      </c>
      <c r="AS431" t="n">
        <v>0</v>
      </c>
      <c r="AU431" t="n">
        <v>0</v>
      </c>
      <c r="AV431" t="n">
        <v>0</v>
      </c>
      <c r="AW431" t="n">
        <v>0</v>
      </c>
      <c r="AX431" t="n">
        <v>0</v>
      </c>
      <c r="AY431" t="n">
        <v>0</v>
      </c>
      <c r="BA431" t="n">
        <v>0</v>
      </c>
      <c r="BL431" t="n">
        <v>0</v>
      </c>
      <c r="BW431" t="n">
        <v>0</v>
      </c>
      <c r="BY431" t="n">
        <v>0</v>
      </c>
      <c r="CA431" t="n">
        <v>0</v>
      </c>
      <c r="CK431" t="n">
        <v>0</v>
      </c>
      <c r="CL431" t="n">
        <v>0</v>
      </c>
      <c r="CM431" t="n">
        <v>0</v>
      </c>
      <c r="CW431" t="n">
        <v>0</v>
      </c>
      <c r="CY431" t="n">
        <v>0</v>
      </c>
      <c r="DB431" t="n">
        <v>0</v>
      </c>
      <c r="DF431" t="n">
        <v>0</v>
      </c>
      <c r="DG431" t="n">
        <v>0</v>
      </c>
      <c r="DO431" t="n">
        <v>3.2</v>
      </c>
      <c r="DP431" t="n">
        <v>0</v>
      </c>
      <c r="DQ431" t="n">
        <v>0</v>
      </c>
      <c r="DR431" t="n">
        <v>0</v>
      </c>
      <c r="DS431" t="n">
        <v>0</v>
      </c>
      <c r="DT431" t="n">
        <v>0</v>
      </c>
      <c r="DU431" t="n">
        <v>0</v>
      </c>
      <c r="DV431" t="inlineStr">
        <is>
          <t>flat</t>
        </is>
      </c>
      <c r="DW431" t="n">
        <v>106.52</v>
      </c>
      <c r="DX431" t="n">
        <v>107.5</v>
      </c>
      <c r="DY431" t="n">
        <v>116.64</v>
      </c>
      <c r="DZ431" t="n">
        <v>10.12</v>
      </c>
      <c r="EA431" t="n">
        <v>8</v>
      </c>
      <c r="EB431" t="n">
        <v>23.28</v>
      </c>
      <c r="EC431" t="n">
        <v>35.43</v>
      </c>
      <c r="ED431" t="n">
        <v>120</v>
      </c>
      <c r="EE431" t="n">
        <v>16</v>
      </c>
      <c r="EF431" t="b">
        <v>1</v>
      </c>
      <c r="EG431" t="n">
        <v>0.4</v>
      </c>
      <c r="EH431" t="n">
        <v>20</v>
      </c>
      <c r="EI431" t="n">
        <v>534</v>
      </c>
    </row>
    <row r="432">
      <c r="A432" t="inlineStr">
        <is>
          <t>Cheick Doucouré</t>
        </is>
      </c>
      <c r="B432" t="inlineStr">
        <is>
          <t>CRY</t>
        </is>
      </c>
      <c r="C432" t="inlineStr">
        <is>
          <t>MID</t>
        </is>
      </c>
      <c r="D432" t="inlineStr">
        <is>
          <t>MID</t>
        </is>
      </c>
      <c r="E432" t="n">
        <v>5</v>
      </c>
      <c r="F432" t="b">
        <v>1</v>
      </c>
      <c r="G432" t="b">
        <v>0</v>
      </c>
      <c r="H432" t="n">
        <v>26.6</v>
      </c>
      <c r="I432" t="inlineStr">
        <is>
          <t>a</t>
        </is>
      </c>
      <c r="M432" t="n">
        <v>218</v>
      </c>
      <c r="Q432" t="n">
        <v>0</v>
      </c>
      <c r="S432" t="n">
        <v>0</v>
      </c>
      <c r="T432" t="n">
        <v>0</v>
      </c>
      <c r="V432" t="n">
        <v>0</v>
      </c>
      <c r="X432" t="n">
        <v>0</v>
      </c>
      <c r="Y432" t="n">
        <v>0</v>
      </c>
      <c r="AA432" t="n">
        <v>0</v>
      </c>
      <c r="AB432" t="n">
        <v>0</v>
      </c>
      <c r="AC432" t="n">
        <v>0</v>
      </c>
      <c r="AD432" t="n">
        <v>0</v>
      </c>
      <c r="AE432" t="n">
        <v>0</v>
      </c>
      <c r="AF432" t="n">
        <v>0</v>
      </c>
      <c r="AG432" t="n">
        <v>0</v>
      </c>
      <c r="AH432" t="n">
        <v>0</v>
      </c>
      <c r="AI432" t="n">
        <v>0</v>
      </c>
      <c r="AL432" t="n">
        <v>0</v>
      </c>
      <c r="AN432" t="n">
        <v>0</v>
      </c>
      <c r="AO432" t="n">
        <v>0</v>
      </c>
      <c r="AS432" t="n">
        <v>0</v>
      </c>
      <c r="AU432" t="n">
        <v>0</v>
      </c>
      <c r="AV432" t="n">
        <v>0</v>
      </c>
      <c r="AW432" t="n">
        <v>0</v>
      </c>
      <c r="AX432" t="n">
        <v>0</v>
      </c>
      <c r="AY432" t="n">
        <v>0</v>
      </c>
      <c r="BA432" t="n">
        <v>0</v>
      </c>
      <c r="BL432" t="n">
        <v>0</v>
      </c>
      <c r="BW432" t="n">
        <v>0</v>
      </c>
      <c r="BY432" t="n">
        <v>0</v>
      </c>
      <c r="CA432" t="n">
        <v>0</v>
      </c>
      <c r="CK432" t="n">
        <v>0</v>
      </c>
      <c r="CL432" t="n">
        <v>0</v>
      </c>
      <c r="CM432" t="n">
        <v>0</v>
      </c>
      <c r="CW432" t="n">
        <v>0</v>
      </c>
      <c r="CY432" t="n">
        <v>0</v>
      </c>
      <c r="DB432" t="n">
        <v>0</v>
      </c>
      <c r="DF432" t="n">
        <v>0</v>
      </c>
      <c r="DG432" t="n">
        <v>0</v>
      </c>
      <c r="DO432" t="n">
        <v>0.1</v>
      </c>
      <c r="DP432" t="n">
        <v>0</v>
      </c>
      <c r="DQ432" t="n">
        <v>0</v>
      </c>
      <c r="DR432" t="n">
        <v>0</v>
      </c>
      <c r="DS432" t="n">
        <v>0</v>
      </c>
      <c r="DT432" t="n">
        <v>0</v>
      </c>
      <c r="DU432" t="n">
        <v>0</v>
      </c>
      <c r="DV432" t="inlineStr">
        <is>
          <t>flat</t>
        </is>
      </c>
    </row>
    <row r="433">
      <c r="A433" t="inlineStr">
        <is>
          <t>Joe Gelhardt</t>
        </is>
      </c>
      <c r="B433" t="inlineStr">
        <is>
          <t>LEE</t>
        </is>
      </c>
      <c r="C433" t="inlineStr">
        <is>
          <t>MID</t>
        </is>
      </c>
      <c r="D433" t="inlineStr">
        <is>
          <t>MID</t>
        </is>
      </c>
      <c r="E433" t="n">
        <v>5</v>
      </c>
      <c r="F433" t="b">
        <v>1</v>
      </c>
      <c r="G433" t="b">
        <v>0</v>
      </c>
      <c r="H433" t="n">
        <v>24.3</v>
      </c>
      <c r="I433" t="inlineStr">
        <is>
          <t>a</t>
        </is>
      </c>
      <c r="M433" t="n">
        <v>340</v>
      </c>
      <c r="Q433" t="n">
        <v>0</v>
      </c>
      <c r="S433" t="n">
        <v>0</v>
      </c>
      <c r="T433" t="n">
        <v>0</v>
      </c>
      <c r="V433" t="n">
        <v>0</v>
      </c>
      <c r="X433" t="n">
        <v>0</v>
      </c>
      <c r="Y433" t="n">
        <v>0</v>
      </c>
      <c r="AA433" t="n">
        <v>0</v>
      </c>
      <c r="AB433" t="n">
        <v>0</v>
      </c>
      <c r="AC433" t="n">
        <v>0</v>
      </c>
      <c r="AD433" t="n">
        <v>0</v>
      </c>
      <c r="AE433" t="n">
        <v>0</v>
      </c>
      <c r="AF433" t="n">
        <v>0</v>
      </c>
      <c r="AG433" t="n">
        <v>0</v>
      </c>
      <c r="AH433" t="n">
        <v>0</v>
      </c>
      <c r="AI433" t="n">
        <v>0</v>
      </c>
      <c r="AL433" t="n">
        <v>0</v>
      </c>
      <c r="AN433" t="n">
        <v>0</v>
      </c>
      <c r="AO433" t="n">
        <v>0</v>
      </c>
      <c r="AS433" t="n">
        <v>0</v>
      </c>
      <c r="AU433" t="n">
        <v>0</v>
      </c>
      <c r="AV433" t="n">
        <v>0</v>
      </c>
      <c r="AW433" t="n">
        <v>0</v>
      </c>
      <c r="AX433" t="n">
        <v>0</v>
      </c>
      <c r="AY433" t="n">
        <v>0</v>
      </c>
      <c r="BA433" t="n">
        <v>0</v>
      </c>
      <c r="BL433" t="n">
        <v>0</v>
      </c>
      <c r="BW433" t="n">
        <v>0</v>
      </c>
      <c r="BY433" t="n">
        <v>0</v>
      </c>
      <c r="CA433" t="n">
        <v>0</v>
      </c>
      <c r="CK433" t="n">
        <v>0</v>
      </c>
      <c r="CL433" t="n">
        <v>0</v>
      </c>
      <c r="CM433" t="n">
        <v>0</v>
      </c>
      <c r="CW433" t="n">
        <v>0</v>
      </c>
      <c r="CY433" t="n">
        <v>0</v>
      </c>
      <c r="DB433" t="n">
        <v>0</v>
      </c>
      <c r="DF433" t="n">
        <v>0</v>
      </c>
      <c r="DG433" t="n">
        <v>0</v>
      </c>
      <c r="DO433" t="n">
        <v>0</v>
      </c>
      <c r="DP433" t="n">
        <v>0</v>
      </c>
      <c r="DQ433" t="n">
        <v>0</v>
      </c>
      <c r="DR433" t="n">
        <v>0</v>
      </c>
      <c r="DS433" t="n">
        <v>0</v>
      </c>
      <c r="DT433" t="n">
        <v>0</v>
      </c>
      <c r="DU433" t="n">
        <v>0</v>
      </c>
      <c r="DV433" t="inlineStr">
        <is>
          <t>flat</t>
        </is>
      </c>
      <c r="DW433" t="n">
        <v>88</v>
      </c>
      <c r="DY433" t="n">
        <v>88</v>
      </c>
      <c r="DZ433" t="n">
        <v>0</v>
      </c>
      <c r="EA433" t="n">
        <v>1</v>
      </c>
      <c r="EC433" t="n">
        <v>88</v>
      </c>
      <c r="ED433" t="n">
        <v>88</v>
      </c>
      <c r="EE433" t="n">
        <v>1</v>
      </c>
      <c r="EF433" t="b">
        <v>0</v>
      </c>
      <c r="EG433" t="n">
        <v>0</v>
      </c>
      <c r="EH433" t="n">
        <v>50</v>
      </c>
      <c r="EI433" t="n">
        <v>366</v>
      </c>
    </row>
    <row r="434">
      <c r="A434" t="inlineStr">
        <is>
          <t>Dejan Kulusevski</t>
        </is>
      </c>
      <c r="B434" t="inlineStr">
        <is>
          <t>TOT</t>
        </is>
      </c>
      <c r="C434" t="inlineStr">
        <is>
          <t>MID</t>
        </is>
      </c>
      <c r="D434" t="inlineStr">
        <is>
          <t>MID</t>
        </is>
      </c>
      <c r="E434" t="n">
        <v>6.5</v>
      </c>
      <c r="F434" t="b">
        <v>1</v>
      </c>
      <c r="G434" t="b">
        <v>0</v>
      </c>
      <c r="H434" t="n">
        <v>26.3</v>
      </c>
      <c r="I434" t="inlineStr">
        <is>
          <t>i</t>
        </is>
      </c>
      <c r="J434" t="inlineStr">
        <is>
          <t>Knee injury - Unknown return date</t>
        </is>
      </c>
      <c r="K434" t="n">
        <v>0</v>
      </c>
      <c r="M434" t="n">
        <v>521</v>
      </c>
      <c r="Q434" t="n">
        <v>0</v>
      </c>
      <c r="S434" t="n">
        <v>0</v>
      </c>
      <c r="T434" t="n">
        <v>0</v>
      </c>
      <c r="V434" t="n">
        <v>0</v>
      </c>
      <c r="X434" t="n">
        <v>0</v>
      </c>
      <c r="Y434" t="n">
        <v>0</v>
      </c>
      <c r="AA434" t="n">
        <v>0</v>
      </c>
      <c r="AB434" t="n">
        <v>0</v>
      </c>
      <c r="AC434" t="n">
        <v>0</v>
      </c>
      <c r="AD434" t="n">
        <v>0</v>
      </c>
      <c r="AE434" t="n">
        <v>0</v>
      </c>
      <c r="AF434" t="n">
        <v>0</v>
      </c>
      <c r="AG434" t="n">
        <v>0</v>
      </c>
      <c r="AH434" t="n">
        <v>0</v>
      </c>
      <c r="AI434" t="n">
        <v>0</v>
      </c>
      <c r="AL434" t="n">
        <v>0</v>
      </c>
      <c r="AN434" t="n">
        <v>0</v>
      </c>
      <c r="AO434" t="n">
        <v>0</v>
      </c>
      <c r="AS434" t="n">
        <v>0</v>
      </c>
      <c r="AU434" t="n">
        <v>0</v>
      </c>
      <c r="AV434" t="n">
        <v>0</v>
      </c>
      <c r="AW434" t="n">
        <v>0</v>
      </c>
      <c r="AX434" t="n">
        <v>0</v>
      </c>
      <c r="AY434" t="n">
        <v>0</v>
      </c>
      <c r="BA434" t="n">
        <v>0</v>
      </c>
      <c r="BL434" t="n">
        <v>0</v>
      </c>
      <c r="BW434" t="n">
        <v>0</v>
      </c>
      <c r="BY434" t="n">
        <v>0</v>
      </c>
      <c r="CA434" t="n">
        <v>0</v>
      </c>
      <c r="CK434" t="n">
        <v>0</v>
      </c>
      <c r="CL434" t="n">
        <v>0</v>
      </c>
      <c r="CM434" t="n">
        <v>0</v>
      </c>
      <c r="CW434" t="n">
        <v>0</v>
      </c>
      <c r="CY434" t="n">
        <v>0</v>
      </c>
      <c r="DB434" t="n">
        <v>0</v>
      </c>
      <c r="DF434" t="n">
        <v>0</v>
      </c>
      <c r="DG434" t="n">
        <v>0</v>
      </c>
      <c r="DO434" t="n">
        <v>0</v>
      </c>
      <c r="DP434" t="n">
        <v>16.95</v>
      </c>
      <c r="DQ434" t="n">
        <v>8.539999999999999</v>
      </c>
      <c r="DR434" t="n">
        <v>17.08</v>
      </c>
      <c r="DS434" t="n">
        <v>-0.13</v>
      </c>
      <c r="DT434" t="n">
        <v>280</v>
      </c>
      <c r="DU434" t="n">
        <v>7.38</v>
      </c>
      <c r="DV434" t="inlineStr">
        <is>
          <t>flat</t>
        </is>
      </c>
      <c r="DW434" t="n">
        <v>75.83</v>
      </c>
      <c r="DX434" t="n">
        <v>58.42</v>
      </c>
      <c r="DY434" t="n">
        <v>80.7</v>
      </c>
      <c r="DZ434" t="n">
        <v>4.87</v>
      </c>
      <c r="EA434" t="n">
        <v>25</v>
      </c>
      <c r="EB434" t="n">
        <v>25.22</v>
      </c>
      <c r="EC434" t="n">
        <v>6</v>
      </c>
      <c r="ED434" t="n">
        <v>116</v>
      </c>
      <c r="EE434" t="n">
        <v>47</v>
      </c>
      <c r="EF434" t="b">
        <v>1</v>
      </c>
      <c r="EG434" t="n">
        <v>5.3</v>
      </c>
      <c r="EH434" t="n">
        <v>81.59999999999999</v>
      </c>
      <c r="EI434" t="n">
        <v>54</v>
      </c>
    </row>
    <row r="435">
      <c r="A435" t="inlineStr">
        <is>
          <t>James McConnell</t>
        </is>
      </c>
      <c r="B435" t="inlineStr">
        <is>
          <t>LIV</t>
        </is>
      </c>
      <c r="C435" t="inlineStr">
        <is>
          <t>MID</t>
        </is>
      </c>
      <c r="D435" t="inlineStr">
        <is>
          <t>MID</t>
        </is>
      </c>
      <c r="E435" t="n">
        <v>4.5</v>
      </c>
      <c r="F435" t="b">
        <v>1</v>
      </c>
      <c r="G435" t="b">
        <v>0</v>
      </c>
      <c r="H435" t="n">
        <v>21.9</v>
      </c>
      <c r="I435" t="inlineStr">
        <is>
          <t>a</t>
        </is>
      </c>
      <c r="M435" t="n">
        <v>378</v>
      </c>
      <c r="Q435" t="n">
        <v>0</v>
      </c>
      <c r="S435" t="n">
        <v>0</v>
      </c>
      <c r="T435" t="n">
        <v>0</v>
      </c>
      <c r="V435" t="n">
        <v>0</v>
      </c>
      <c r="X435" t="n">
        <v>0</v>
      </c>
      <c r="Y435" t="n">
        <v>0</v>
      </c>
      <c r="AA435" t="n">
        <v>0</v>
      </c>
      <c r="AB435" t="n">
        <v>0</v>
      </c>
      <c r="AC435" t="n">
        <v>0</v>
      </c>
      <c r="AD435" t="n">
        <v>0</v>
      </c>
      <c r="AE435" t="n">
        <v>0</v>
      </c>
      <c r="AF435" t="n">
        <v>0</v>
      </c>
      <c r="AG435" t="n">
        <v>0</v>
      </c>
      <c r="AH435" t="n">
        <v>0</v>
      </c>
      <c r="AI435" t="n">
        <v>0</v>
      </c>
      <c r="AL435" t="n">
        <v>0</v>
      </c>
      <c r="AN435" t="n">
        <v>0</v>
      </c>
      <c r="AO435" t="n">
        <v>0</v>
      </c>
      <c r="AS435" t="n">
        <v>0</v>
      </c>
      <c r="AU435" t="n">
        <v>0</v>
      </c>
      <c r="AV435" t="n">
        <v>0</v>
      </c>
      <c r="AW435" t="n">
        <v>0</v>
      </c>
      <c r="AX435" t="n">
        <v>0</v>
      </c>
      <c r="AY435" t="n">
        <v>0</v>
      </c>
      <c r="BA435" t="n">
        <v>0</v>
      </c>
      <c r="BL435" t="n">
        <v>0</v>
      </c>
      <c r="BW435" t="n">
        <v>0</v>
      </c>
      <c r="BY435" t="n">
        <v>0</v>
      </c>
      <c r="CA435" t="n">
        <v>0</v>
      </c>
      <c r="CK435" t="n">
        <v>0</v>
      </c>
      <c r="CL435" t="n">
        <v>0</v>
      </c>
      <c r="CM435" t="n">
        <v>0</v>
      </c>
      <c r="CW435" t="n">
        <v>0</v>
      </c>
      <c r="CY435" t="n">
        <v>0</v>
      </c>
      <c r="DB435" t="n">
        <v>0</v>
      </c>
      <c r="DF435" t="n">
        <v>0</v>
      </c>
      <c r="DG435" t="n">
        <v>0</v>
      </c>
      <c r="DO435" t="n">
        <v>0.2</v>
      </c>
      <c r="DP435" t="n">
        <v>0</v>
      </c>
      <c r="DQ435" t="n">
        <v>0</v>
      </c>
      <c r="DR435" t="n">
        <v>0</v>
      </c>
      <c r="DS435" t="n">
        <v>0</v>
      </c>
      <c r="DT435" t="n">
        <v>0</v>
      </c>
      <c r="DU435" t="n">
        <v>0</v>
      </c>
      <c r="DV435" t="inlineStr">
        <is>
          <t>flat</t>
        </is>
      </c>
      <c r="DW435" t="n">
        <v>57.52</v>
      </c>
      <c r="DX435" t="n">
        <v>62.33</v>
      </c>
      <c r="DY435" t="n">
        <v>71.3</v>
      </c>
      <c r="DZ435" t="n">
        <v>13.78</v>
      </c>
      <c r="EA435" t="n">
        <v>2</v>
      </c>
      <c r="EB435" t="n">
        <v>21.12</v>
      </c>
      <c r="EC435" t="n">
        <v>24.73</v>
      </c>
      <c r="ED435" t="n">
        <v>85</v>
      </c>
      <c r="EE435" t="n">
        <v>7</v>
      </c>
      <c r="EF435" t="b">
        <v>0</v>
      </c>
      <c r="EG435" t="n">
        <v>0.2</v>
      </c>
      <c r="EH435" t="n">
        <v>12.5</v>
      </c>
      <c r="EI435" t="n">
        <v>503</v>
      </c>
    </row>
    <row r="436">
      <c r="A436" t="inlineStr">
        <is>
          <t>Matheus França de Oliveira</t>
        </is>
      </c>
      <c r="B436" t="inlineStr">
        <is>
          <t>CRY</t>
        </is>
      </c>
      <c r="C436" t="inlineStr">
        <is>
          <t>MID</t>
        </is>
      </c>
      <c r="D436" t="inlineStr">
        <is>
          <t>MID</t>
        </is>
      </c>
      <c r="E436" t="n">
        <v>5</v>
      </c>
      <c r="F436" t="b">
        <v>1</v>
      </c>
      <c r="G436" t="b">
        <v>0</v>
      </c>
      <c r="H436" t="n">
        <v>22.4</v>
      </c>
      <c r="I436" t="inlineStr">
        <is>
          <t>a</t>
        </is>
      </c>
      <c r="M436" t="n">
        <v>217</v>
      </c>
      <c r="Q436" t="n">
        <v>0</v>
      </c>
      <c r="S436" t="n">
        <v>0</v>
      </c>
      <c r="T436" t="n">
        <v>0</v>
      </c>
      <c r="V436" t="n">
        <v>0</v>
      </c>
      <c r="X436" t="n">
        <v>0</v>
      </c>
      <c r="Y436" t="n">
        <v>0</v>
      </c>
      <c r="AA436" t="n">
        <v>0</v>
      </c>
      <c r="AB436" t="n">
        <v>0</v>
      </c>
      <c r="AC436" t="n">
        <v>0</v>
      </c>
      <c r="AD436" t="n">
        <v>0</v>
      </c>
      <c r="AE436" t="n">
        <v>0</v>
      </c>
      <c r="AF436" t="n">
        <v>0</v>
      </c>
      <c r="AG436" t="n">
        <v>0</v>
      </c>
      <c r="AH436" t="n">
        <v>0</v>
      </c>
      <c r="AI436" t="n">
        <v>0</v>
      </c>
      <c r="AL436" t="n">
        <v>0</v>
      </c>
      <c r="AN436" t="n">
        <v>0</v>
      </c>
      <c r="AO436" t="n">
        <v>0</v>
      </c>
      <c r="AS436" t="n">
        <v>0</v>
      </c>
      <c r="AU436" t="n">
        <v>0</v>
      </c>
      <c r="AV436" t="n">
        <v>0</v>
      </c>
      <c r="AW436" t="n">
        <v>0</v>
      </c>
      <c r="AX436" t="n">
        <v>0</v>
      </c>
      <c r="AY436" t="n">
        <v>0</v>
      </c>
      <c r="BA436" t="n">
        <v>0</v>
      </c>
      <c r="BL436" t="n">
        <v>0</v>
      </c>
      <c r="BW436" t="n">
        <v>0</v>
      </c>
      <c r="BY436" t="n">
        <v>0</v>
      </c>
      <c r="CA436" t="n">
        <v>0</v>
      </c>
      <c r="CK436" t="n">
        <v>0</v>
      </c>
      <c r="CL436" t="n">
        <v>0</v>
      </c>
      <c r="CM436" t="n">
        <v>0</v>
      </c>
      <c r="CW436" t="n">
        <v>0</v>
      </c>
      <c r="CY436" t="n">
        <v>0</v>
      </c>
      <c r="DB436" t="n">
        <v>0</v>
      </c>
      <c r="DF436" t="n">
        <v>0</v>
      </c>
      <c r="DG436" t="n">
        <v>0</v>
      </c>
      <c r="DO436" t="n">
        <v>0</v>
      </c>
      <c r="DP436" t="n">
        <v>0</v>
      </c>
      <c r="DQ436" t="n">
        <v>0</v>
      </c>
      <c r="DR436" t="n">
        <v>0</v>
      </c>
      <c r="DS436" t="n">
        <v>0</v>
      </c>
      <c r="DT436" t="n">
        <v>0</v>
      </c>
      <c r="DU436" t="n">
        <v>0</v>
      </c>
      <c r="DV436" t="inlineStr">
        <is>
          <t>flat</t>
        </is>
      </c>
      <c r="DW436" t="n">
        <v>86.3</v>
      </c>
      <c r="DX436" t="n">
        <v>98</v>
      </c>
      <c r="DY436" t="n">
        <v>86.3</v>
      </c>
      <c r="DZ436" t="n">
        <v>0</v>
      </c>
      <c r="EA436" t="n">
        <v>5</v>
      </c>
      <c r="EB436" t="n">
        <v>25.23</v>
      </c>
      <c r="EC436" t="n">
        <v>46.67</v>
      </c>
      <c r="ED436" t="n">
        <v>114.29</v>
      </c>
      <c r="EE436" t="n">
        <v>5</v>
      </c>
      <c r="EF436" t="b">
        <v>0</v>
      </c>
      <c r="EG436" t="n">
        <v>0.1</v>
      </c>
      <c r="EH436" t="n">
        <v>0</v>
      </c>
      <c r="EI436" t="n">
        <v>347</v>
      </c>
    </row>
    <row r="437">
      <c r="A437" t="inlineStr">
        <is>
          <t>Stefan Bajčetić Maquieira</t>
        </is>
      </c>
      <c r="B437" t="inlineStr">
        <is>
          <t>LIV</t>
        </is>
      </c>
      <c r="C437" t="inlineStr">
        <is>
          <t>MID</t>
        </is>
      </c>
      <c r="D437" t="inlineStr">
        <is>
          <t>MID</t>
        </is>
      </c>
      <c r="E437" t="n">
        <v>5</v>
      </c>
      <c r="F437" t="b">
        <v>1</v>
      </c>
      <c r="G437" t="b">
        <v>0</v>
      </c>
      <c r="H437" t="n">
        <v>21.8</v>
      </c>
      <c r="I437" t="inlineStr">
        <is>
          <t>i</t>
        </is>
      </c>
      <c r="J437" t="inlineStr">
        <is>
          <t>Hamstring injury - Expected back 23 Aug</t>
        </is>
      </c>
      <c r="K437" t="n">
        <v>0</v>
      </c>
      <c r="M437" t="n">
        <v>376</v>
      </c>
      <c r="Q437" t="n">
        <v>0</v>
      </c>
      <c r="S437" t="n">
        <v>0</v>
      </c>
      <c r="T437" t="n">
        <v>0</v>
      </c>
      <c r="V437" t="n">
        <v>0</v>
      </c>
      <c r="X437" t="n">
        <v>0</v>
      </c>
      <c r="Y437" t="n">
        <v>0</v>
      </c>
      <c r="AA437" t="n">
        <v>0</v>
      </c>
      <c r="AB437" t="n">
        <v>0</v>
      </c>
      <c r="AC437" t="n">
        <v>0</v>
      </c>
      <c r="AD437" t="n">
        <v>0</v>
      </c>
      <c r="AE437" t="n">
        <v>0</v>
      </c>
      <c r="AF437" t="n">
        <v>0</v>
      </c>
      <c r="AG437" t="n">
        <v>0</v>
      </c>
      <c r="AH437" t="n">
        <v>0</v>
      </c>
      <c r="AI437" t="n">
        <v>0</v>
      </c>
      <c r="AL437" t="n">
        <v>0</v>
      </c>
      <c r="AN437" t="n">
        <v>0</v>
      </c>
      <c r="AO437" t="n">
        <v>0</v>
      </c>
      <c r="AS437" t="n">
        <v>0</v>
      </c>
      <c r="AU437" t="n">
        <v>0</v>
      </c>
      <c r="AV437" t="n">
        <v>0</v>
      </c>
      <c r="AW437" t="n">
        <v>0</v>
      </c>
      <c r="AX437" t="n">
        <v>0</v>
      </c>
      <c r="AY437" t="n">
        <v>0</v>
      </c>
      <c r="BA437" t="n">
        <v>0</v>
      </c>
      <c r="BL437" t="n">
        <v>0</v>
      </c>
      <c r="BW437" t="n">
        <v>0</v>
      </c>
      <c r="BY437" t="n">
        <v>0</v>
      </c>
      <c r="CA437" t="n">
        <v>0</v>
      </c>
      <c r="CK437" t="n">
        <v>0</v>
      </c>
      <c r="CL437" t="n">
        <v>0</v>
      </c>
      <c r="CM437" t="n">
        <v>0</v>
      </c>
      <c r="CW437" t="n">
        <v>0</v>
      </c>
      <c r="CY437" t="n">
        <v>0</v>
      </c>
      <c r="DB437" t="n">
        <v>0</v>
      </c>
      <c r="DF437" t="n">
        <v>0</v>
      </c>
      <c r="DG437" t="n">
        <v>0</v>
      </c>
      <c r="DO437" t="n">
        <v>0</v>
      </c>
      <c r="DP437" t="n">
        <v>0</v>
      </c>
      <c r="DQ437" t="n">
        <v>0</v>
      </c>
      <c r="DR437" t="n">
        <v>0</v>
      </c>
      <c r="DS437" t="n">
        <v>0</v>
      </c>
      <c r="DT437" t="n">
        <v>0</v>
      </c>
      <c r="DU437" t="n">
        <v>0</v>
      </c>
      <c r="DV437" t="inlineStr">
        <is>
          <t>flat</t>
        </is>
      </c>
      <c r="EF437" t="b">
        <v>0</v>
      </c>
      <c r="EG437" t="n">
        <v>0.1</v>
      </c>
      <c r="EH437" t="n">
        <v>100</v>
      </c>
      <c r="EI437" t="n">
        <v>369</v>
      </c>
    </row>
    <row r="438">
      <c r="A438" t="inlineStr">
        <is>
          <t>Wellity Lucky</t>
        </is>
      </c>
      <c r="B438" t="inlineStr">
        <is>
          <t>LIV</t>
        </is>
      </c>
      <c r="C438" t="inlineStr">
        <is>
          <t>DEF</t>
        </is>
      </c>
      <c r="D438" t="inlineStr">
        <is>
          <t>DEF</t>
        </is>
      </c>
      <c r="E438" t="n">
        <v>4</v>
      </c>
      <c r="F438" t="b">
        <v>1</v>
      </c>
      <c r="G438" t="b">
        <v>0</v>
      </c>
      <c r="I438" t="inlineStr">
        <is>
          <t>a</t>
        </is>
      </c>
      <c r="M438" t="n">
        <v>361</v>
      </c>
      <c r="Q438" t="n">
        <v>0</v>
      </c>
      <c r="S438" t="n">
        <v>0</v>
      </c>
      <c r="T438" t="n">
        <v>0</v>
      </c>
      <c r="V438" t="n">
        <v>0</v>
      </c>
      <c r="X438" t="n">
        <v>0</v>
      </c>
      <c r="Y438" t="n">
        <v>0</v>
      </c>
      <c r="AA438" t="n">
        <v>0</v>
      </c>
      <c r="AB438" t="n">
        <v>0</v>
      </c>
      <c r="AC438" t="n">
        <v>0</v>
      </c>
      <c r="AD438" t="n">
        <v>0</v>
      </c>
      <c r="AE438" t="n">
        <v>0</v>
      </c>
      <c r="AF438" t="n">
        <v>0</v>
      </c>
      <c r="AG438" t="n">
        <v>0</v>
      </c>
      <c r="AH438" t="n">
        <v>0</v>
      </c>
      <c r="AI438" t="n">
        <v>0</v>
      </c>
      <c r="AL438" t="n">
        <v>0</v>
      </c>
      <c r="AN438" t="n">
        <v>0</v>
      </c>
      <c r="AO438" t="n">
        <v>0</v>
      </c>
      <c r="AS438" t="n">
        <v>0</v>
      </c>
      <c r="AU438" t="n">
        <v>0</v>
      </c>
      <c r="AV438" t="n">
        <v>0</v>
      </c>
      <c r="AW438" t="n">
        <v>0</v>
      </c>
      <c r="AX438" t="n">
        <v>0</v>
      </c>
      <c r="AY438" t="n">
        <v>0</v>
      </c>
      <c r="BA438" t="n">
        <v>0</v>
      </c>
      <c r="BL438" t="n">
        <v>0</v>
      </c>
      <c r="BW438" t="n">
        <v>0</v>
      </c>
      <c r="BY438" t="n">
        <v>0</v>
      </c>
      <c r="CA438" t="n">
        <v>0</v>
      </c>
      <c r="CK438" t="n">
        <v>0</v>
      </c>
      <c r="CL438" t="n">
        <v>0</v>
      </c>
      <c r="CM438" t="n">
        <v>0</v>
      </c>
      <c r="CW438" t="n">
        <v>0</v>
      </c>
      <c r="CY438" t="n">
        <v>0</v>
      </c>
      <c r="DB438" t="n">
        <v>0</v>
      </c>
      <c r="DF438" t="n">
        <v>0</v>
      </c>
      <c r="DG438" t="n">
        <v>0</v>
      </c>
      <c r="DO438" t="n">
        <v>0.1</v>
      </c>
      <c r="DP438" t="n">
        <v>0</v>
      </c>
      <c r="DQ438" t="n">
        <v>0</v>
      </c>
      <c r="DR438" t="n">
        <v>0</v>
      </c>
      <c r="DS438" t="n">
        <v>0</v>
      </c>
      <c r="DT438" t="n">
        <v>0</v>
      </c>
      <c r="DU438" t="n">
        <v>0</v>
      </c>
      <c r="DV438" t="inlineStr">
        <is>
          <t>flat</t>
        </is>
      </c>
      <c r="DW438" t="n">
        <v>81.25</v>
      </c>
      <c r="DX438" t="n">
        <v>66.40000000000001</v>
      </c>
      <c r="DY438" t="n">
        <v>93.66</v>
      </c>
      <c r="DZ438" t="n">
        <v>12.42</v>
      </c>
      <c r="EA438" t="n">
        <v>7</v>
      </c>
      <c r="EB438" t="n">
        <v>35.8</v>
      </c>
      <c r="EC438" t="n">
        <v>23</v>
      </c>
      <c r="ED438" t="n">
        <v>119</v>
      </c>
      <c r="EE438" t="n">
        <v>14</v>
      </c>
      <c r="EF438" t="b">
        <v>1</v>
      </c>
      <c r="EG438" t="n">
        <v>0.3</v>
      </c>
      <c r="EH438" t="n">
        <v>6.7</v>
      </c>
      <c r="EI438" t="n">
        <v>574</v>
      </c>
    </row>
    <row r="439">
      <c r="A439" t="inlineStr">
        <is>
          <t>Nicolas Jackson</t>
        </is>
      </c>
      <c r="B439" t="inlineStr">
        <is>
          <t>CHE</t>
        </is>
      </c>
      <c r="C439" t="inlineStr">
        <is>
          <t>FWD</t>
        </is>
      </c>
      <c r="D439" t="inlineStr">
        <is>
          <t>FWD</t>
        </is>
      </c>
      <c r="E439" t="n">
        <v>6.5</v>
      </c>
      <c r="F439" t="b">
        <v>1</v>
      </c>
      <c r="G439" t="b">
        <v>0</v>
      </c>
      <c r="H439" t="n">
        <v>25.2</v>
      </c>
      <c r="I439" t="inlineStr">
        <is>
          <t>a</t>
        </is>
      </c>
      <c r="M439" t="n">
        <v>166</v>
      </c>
      <c r="Q439" t="n">
        <v>0</v>
      </c>
      <c r="S439" t="n">
        <v>0</v>
      </c>
      <c r="T439" t="n">
        <v>0</v>
      </c>
      <c r="V439" t="n">
        <v>0</v>
      </c>
      <c r="X439" t="n">
        <v>0</v>
      </c>
      <c r="Y439" t="n">
        <v>0</v>
      </c>
      <c r="AA439" t="n">
        <v>0</v>
      </c>
      <c r="AB439" t="n">
        <v>0</v>
      </c>
      <c r="AC439" t="n">
        <v>0</v>
      </c>
      <c r="AD439" t="n">
        <v>0</v>
      </c>
      <c r="AE439" t="n">
        <v>0</v>
      </c>
      <c r="AF439" t="n">
        <v>0</v>
      </c>
      <c r="AG439" t="n">
        <v>0</v>
      </c>
      <c r="AH439" t="n">
        <v>0</v>
      </c>
      <c r="AI439" t="n">
        <v>0</v>
      </c>
      <c r="AL439" t="n">
        <v>0</v>
      </c>
      <c r="AN439" t="n">
        <v>0</v>
      </c>
      <c r="AO439" t="n">
        <v>0</v>
      </c>
      <c r="AS439" t="n">
        <v>0</v>
      </c>
      <c r="AU439" t="n">
        <v>0</v>
      </c>
      <c r="AV439" t="n">
        <v>0</v>
      </c>
      <c r="AW439" t="n">
        <v>0</v>
      </c>
      <c r="AX439" t="n">
        <v>0</v>
      </c>
      <c r="AY439" t="n">
        <v>0</v>
      </c>
      <c r="BA439" t="n">
        <v>0</v>
      </c>
      <c r="BL439" t="n">
        <v>0</v>
      </c>
      <c r="BW439" t="n">
        <v>0</v>
      </c>
      <c r="BY439" t="n">
        <v>0</v>
      </c>
      <c r="CA439" t="n">
        <v>0</v>
      </c>
      <c r="CK439" t="n">
        <v>0</v>
      </c>
      <c r="CL439" t="n">
        <v>0</v>
      </c>
      <c r="CM439" t="n">
        <v>0</v>
      </c>
      <c r="CW439" t="n">
        <v>0</v>
      </c>
      <c r="CY439" t="n">
        <v>0</v>
      </c>
      <c r="DB439" t="n">
        <v>0</v>
      </c>
      <c r="DF439" t="n">
        <v>0</v>
      </c>
      <c r="DG439" t="n">
        <v>0</v>
      </c>
      <c r="DO439" t="n">
        <v>0.4</v>
      </c>
      <c r="DP439" t="n">
        <v>9.369999999999999</v>
      </c>
      <c r="DQ439" t="n">
        <v>4.75</v>
      </c>
      <c r="DR439" t="n">
        <v>9.5</v>
      </c>
      <c r="DS439" t="n">
        <v>-0.13</v>
      </c>
      <c r="DT439" t="n">
        <v>10</v>
      </c>
      <c r="DU439" t="n">
        <v>0.25</v>
      </c>
      <c r="DV439" t="inlineStr">
        <is>
          <t>flat</t>
        </is>
      </c>
      <c r="DW439" t="n">
        <v>65.93000000000001</v>
      </c>
      <c r="DX439" t="n">
        <v>64.8</v>
      </c>
      <c r="DY439" t="n">
        <v>64.54000000000001</v>
      </c>
      <c r="DZ439" t="n">
        <v>-1.39</v>
      </c>
      <c r="EA439" t="n">
        <v>743</v>
      </c>
      <c r="EB439" t="n">
        <v>27.45</v>
      </c>
      <c r="EC439" t="n">
        <v>10</v>
      </c>
      <c r="ED439" t="n">
        <v>120</v>
      </c>
      <c r="EE439" t="n">
        <v>1152</v>
      </c>
      <c r="EF439" t="b">
        <v>1</v>
      </c>
      <c r="EG439" t="n">
        <v>78.8</v>
      </c>
      <c r="EH439" t="n">
        <v>70</v>
      </c>
      <c r="EI439" t="n">
        <v>52</v>
      </c>
    </row>
    <row r="440">
      <c r="A440" t="inlineStr">
        <is>
          <t>Mateo Joseph Fernández-Regatillo</t>
        </is>
      </c>
      <c r="B440" t="inlineStr">
        <is>
          <t>LEE</t>
        </is>
      </c>
      <c r="C440" t="inlineStr">
        <is>
          <t>FWD</t>
        </is>
      </c>
      <c r="D440" t="inlineStr">
        <is>
          <t>FWD</t>
        </is>
      </c>
      <c r="E440" t="n">
        <v>4.5</v>
      </c>
      <c r="F440" t="b">
        <v>1</v>
      </c>
      <c r="G440" t="b">
        <v>0</v>
      </c>
      <c r="H440" t="n">
        <v>22.8</v>
      </c>
      <c r="I440" t="inlineStr">
        <is>
          <t>i</t>
        </is>
      </c>
      <c r="J440" t="inlineStr">
        <is>
          <t>Knee injury - Unknown return date</t>
        </is>
      </c>
      <c r="K440" t="n">
        <v>0</v>
      </c>
      <c r="M440" t="n">
        <v>349</v>
      </c>
      <c r="Q440" t="n">
        <v>0</v>
      </c>
      <c r="S440" t="n">
        <v>0</v>
      </c>
      <c r="T440" t="n">
        <v>0</v>
      </c>
      <c r="V440" t="n">
        <v>0</v>
      </c>
      <c r="X440" t="n">
        <v>0</v>
      </c>
      <c r="Y440" t="n">
        <v>0</v>
      </c>
      <c r="AA440" t="n">
        <v>0</v>
      </c>
      <c r="AB440" t="n">
        <v>0</v>
      </c>
      <c r="AC440" t="n">
        <v>0</v>
      </c>
      <c r="AD440" t="n">
        <v>0</v>
      </c>
      <c r="AE440" t="n">
        <v>0</v>
      </c>
      <c r="AF440" t="n">
        <v>0</v>
      </c>
      <c r="AG440" t="n">
        <v>0</v>
      </c>
      <c r="AH440" t="n">
        <v>0</v>
      </c>
      <c r="AI440" t="n">
        <v>0</v>
      </c>
      <c r="AL440" t="n">
        <v>0</v>
      </c>
      <c r="AN440" t="n">
        <v>0</v>
      </c>
      <c r="AO440" t="n">
        <v>0</v>
      </c>
      <c r="AS440" t="n">
        <v>0</v>
      </c>
      <c r="AU440" t="n">
        <v>0</v>
      </c>
      <c r="AV440" t="n">
        <v>0</v>
      </c>
      <c r="AW440" t="n">
        <v>0</v>
      </c>
      <c r="AX440" t="n">
        <v>0</v>
      </c>
      <c r="AY440" t="n">
        <v>0</v>
      </c>
      <c r="BA440" t="n">
        <v>0</v>
      </c>
      <c r="BL440" t="n">
        <v>0</v>
      </c>
      <c r="BW440" t="n">
        <v>0</v>
      </c>
      <c r="BY440" t="n">
        <v>0</v>
      </c>
      <c r="CA440" t="n">
        <v>0</v>
      </c>
      <c r="CK440" t="n">
        <v>0</v>
      </c>
      <c r="CL440" t="n">
        <v>0</v>
      </c>
      <c r="CM440" t="n">
        <v>0</v>
      </c>
      <c r="CW440" t="n">
        <v>0</v>
      </c>
      <c r="CY440" t="n">
        <v>0</v>
      </c>
      <c r="DB440" t="n">
        <v>0</v>
      </c>
      <c r="DF440" t="n">
        <v>0</v>
      </c>
      <c r="DG440" t="n">
        <v>0</v>
      </c>
      <c r="DO440" t="n">
        <v>0.2</v>
      </c>
      <c r="DP440" t="n">
        <v>0</v>
      </c>
      <c r="DQ440" t="n">
        <v>0</v>
      </c>
      <c r="DR440" t="n">
        <v>0</v>
      </c>
      <c r="DS440" t="n">
        <v>0</v>
      </c>
      <c r="DT440" t="n">
        <v>0</v>
      </c>
      <c r="DU440" t="n">
        <v>0</v>
      </c>
      <c r="DV440" t="inlineStr">
        <is>
          <t>flat</t>
        </is>
      </c>
      <c r="DW440" t="n">
        <v>111</v>
      </c>
      <c r="DX440" t="n">
        <v>111</v>
      </c>
      <c r="EC440" t="n">
        <v>111</v>
      </c>
      <c r="ED440" t="n">
        <v>111</v>
      </c>
      <c r="EE440" t="n">
        <v>1</v>
      </c>
      <c r="EF440" t="b">
        <v>0</v>
      </c>
      <c r="EG440" t="n">
        <v>0.1</v>
      </c>
      <c r="EH440" t="n">
        <v>66.7</v>
      </c>
      <c r="EI440" t="n">
        <v>502</v>
      </c>
    </row>
    <row r="441">
      <c r="A441" t="inlineStr">
        <is>
          <t>Kim Ji-soo</t>
        </is>
      </c>
      <c r="B441" t="inlineStr">
        <is>
          <t>BRE</t>
        </is>
      </c>
      <c r="C441" t="inlineStr">
        <is>
          <t>DEF</t>
        </is>
      </c>
      <c r="D441" t="inlineStr">
        <is>
          <t>DEF</t>
        </is>
      </c>
      <c r="E441" t="n">
        <v>4.5</v>
      </c>
      <c r="F441" t="b">
        <v>1</v>
      </c>
      <c r="G441" t="b">
        <v>0</v>
      </c>
      <c r="H441" t="n">
        <v>21.7</v>
      </c>
      <c r="I441" t="inlineStr">
        <is>
          <t>a</t>
        </is>
      </c>
      <c r="M441" t="n">
        <v>92</v>
      </c>
      <c r="Q441" t="n">
        <v>0</v>
      </c>
      <c r="S441" t="n">
        <v>0</v>
      </c>
      <c r="T441" t="n">
        <v>0</v>
      </c>
      <c r="V441" t="n">
        <v>0</v>
      </c>
      <c r="X441" t="n">
        <v>0</v>
      </c>
      <c r="Y441" t="n">
        <v>0</v>
      </c>
      <c r="AA441" t="n">
        <v>0</v>
      </c>
      <c r="AB441" t="n">
        <v>0</v>
      </c>
      <c r="AC441" t="n">
        <v>0</v>
      </c>
      <c r="AD441" t="n">
        <v>0</v>
      </c>
      <c r="AE441" t="n">
        <v>0</v>
      </c>
      <c r="AF441" t="n">
        <v>0</v>
      </c>
      <c r="AG441" t="n">
        <v>0</v>
      </c>
      <c r="AH441" t="n">
        <v>0</v>
      </c>
      <c r="AI441" t="n">
        <v>0</v>
      </c>
      <c r="AL441" t="n">
        <v>0</v>
      </c>
      <c r="AN441" t="n">
        <v>0</v>
      </c>
      <c r="AO441" t="n">
        <v>0</v>
      </c>
      <c r="AS441" t="n">
        <v>0</v>
      </c>
      <c r="AU441" t="n">
        <v>0</v>
      </c>
      <c r="AV441" t="n">
        <v>0</v>
      </c>
      <c r="AW441" t="n">
        <v>0</v>
      </c>
      <c r="AX441" t="n">
        <v>0</v>
      </c>
      <c r="AY441" t="n">
        <v>0</v>
      </c>
      <c r="BA441" t="n">
        <v>0</v>
      </c>
      <c r="BL441" t="n">
        <v>0</v>
      </c>
      <c r="BW441" t="n">
        <v>0</v>
      </c>
      <c r="BY441" t="n">
        <v>0</v>
      </c>
      <c r="CA441" t="n">
        <v>0</v>
      </c>
      <c r="CK441" t="n">
        <v>0</v>
      </c>
      <c r="CL441" t="n">
        <v>0</v>
      </c>
      <c r="CM441" t="n">
        <v>0</v>
      </c>
      <c r="CW441" t="n">
        <v>0</v>
      </c>
      <c r="CY441" t="n">
        <v>0</v>
      </c>
      <c r="DB441" t="n">
        <v>0</v>
      </c>
      <c r="DF441" t="n">
        <v>0</v>
      </c>
      <c r="DG441" t="n">
        <v>0</v>
      </c>
      <c r="DO441" t="n">
        <v>0</v>
      </c>
      <c r="DP441" t="n">
        <v>0</v>
      </c>
      <c r="DQ441" t="n">
        <v>0</v>
      </c>
      <c r="DR441" t="n">
        <v>0</v>
      </c>
      <c r="DS441" t="n">
        <v>0</v>
      </c>
      <c r="DT441" t="n">
        <v>0</v>
      </c>
      <c r="DU441" t="n">
        <v>0</v>
      </c>
      <c r="DV441" t="inlineStr">
        <is>
          <t>flat</t>
        </is>
      </c>
      <c r="DW441" t="n">
        <v>89.40000000000001</v>
      </c>
      <c r="DX441" t="n">
        <v>88</v>
      </c>
      <c r="EB441" t="n">
        <v>17.23</v>
      </c>
      <c r="EC441" t="n">
        <v>67</v>
      </c>
      <c r="ED441" t="n">
        <v>109</v>
      </c>
      <c r="EE441" t="n">
        <v>4</v>
      </c>
      <c r="EF441" t="b">
        <v>0</v>
      </c>
      <c r="EG441" t="n">
        <v>0.1</v>
      </c>
      <c r="EH441" t="n">
        <v>0</v>
      </c>
      <c r="EI441" t="n">
        <v>477</v>
      </c>
    </row>
    <row r="442">
      <c r="A442" t="inlineStr">
        <is>
          <t>Alfie McNally</t>
        </is>
      </c>
      <c r="B442" t="inlineStr">
        <is>
          <t>FUL</t>
        </is>
      </c>
      <c r="C442" t="inlineStr">
        <is>
          <t>GKP</t>
        </is>
      </c>
      <c r="D442" t="inlineStr">
        <is>
          <t>GKP</t>
        </is>
      </c>
      <c r="E442" t="n">
        <v>4</v>
      </c>
      <c r="F442" t="b">
        <v>1</v>
      </c>
      <c r="G442" t="b">
        <v>0</v>
      </c>
      <c r="I442" t="inlineStr">
        <is>
          <t>a</t>
        </is>
      </c>
      <c r="M442" t="n">
        <v>252</v>
      </c>
      <c r="Q442" t="n">
        <v>0</v>
      </c>
      <c r="S442" t="n">
        <v>0</v>
      </c>
      <c r="T442" t="n">
        <v>0</v>
      </c>
      <c r="V442" t="n">
        <v>0</v>
      </c>
      <c r="X442" t="n">
        <v>0</v>
      </c>
      <c r="Y442" t="n">
        <v>0</v>
      </c>
      <c r="AA442" t="n">
        <v>0</v>
      </c>
      <c r="AB442" t="n">
        <v>0</v>
      </c>
      <c r="AC442" t="n">
        <v>0</v>
      </c>
      <c r="AD442" t="n">
        <v>0</v>
      </c>
      <c r="AE442" t="n">
        <v>0</v>
      </c>
      <c r="AF442" t="n">
        <v>0</v>
      </c>
      <c r="AG442" t="n">
        <v>0</v>
      </c>
      <c r="AH442" t="n">
        <v>0</v>
      </c>
      <c r="AI442" t="n">
        <v>0</v>
      </c>
      <c r="AL442" t="n">
        <v>0</v>
      </c>
      <c r="AN442" t="n">
        <v>0</v>
      </c>
      <c r="AO442" t="n">
        <v>0</v>
      </c>
      <c r="AS442" t="n">
        <v>0</v>
      </c>
      <c r="AU442" t="n">
        <v>0</v>
      </c>
      <c r="AV442" t="n">
        <v>0</v>
      </c>
      <c r="AW442" t="n">
        <v>0</v>
      </c>
      <c r="AX442" t="n">
        <v>0</v>
      </c>
      <c r="AY442" t="n">
        <v>0</v>
      </c>
      <c r="BA442" t="n">
        <v>0</v>
      </c>
      <c r="BL442" t="n">
        <v>0</v>
      </c>
      <c r="BW442" t="n">
        <v>0</v>
      </c>
      <c r="BY442" t="n">
        <v>0</v>
      </c>
      <c r="CA442" t="n">
        <v>0</v>
      </c>
      <c r="CK442" t="n">
        <v>0</v>
      </c>
      <c r="CL442" t="n">
        <v>0</v>
      </c>
      <c r="CM442" t="n">
        <v>0</v>
      </c>
      <c r="CW442" t="n">
        <v>0</v>
      </c>
      <c r="CY442" t="n">
        <v>0</v>
      </c>
      <c r="DB442" t="n">
        <v>0</v>
      </c>
      <c r="DF442" t="n">
        <v>0</v>
      </c>
      <c r="DG442" t="n">
        <v>0</v>
      </c>
      <c r="DO442" t="n">
        <v>0.2</v>
      </c>
      <c r="DP442" t="n">
        <v>0</v>
      </c>
      <c r="DQ442" t="n">
        <v>0</v>
      </c>
      <c r="DR442" t="n">
        <v>0</v>
      </c>
      <c r="DS442" t="n">
        <v>0</v>
      </c>
      <c r="DT442" t="n">
        <v>0</v>
      </c>
      <c r="DU442" t="n">
        <v>0</v>
      </c>
      <c r="DV442" t="inlineStr">
        <is>
          <t>flat</t>
        </is>
      </c>
      <c r="DW442" t="n">
        <v>113.45</v>
      </c>
      <c r="DY442" t="n">
        <v>113.45</v>
      </c>
      <c r="DZ442" t="n">
        <v>0</v>
      </c>
      <c r="EA442" t="n">
        <v>1</v>
      </c>
      <c r="EC442" t="n">
        <v>113.45</v>
      </c>
      <c r="ED442" t="n">
        <v>113.45</v>
      </c>
      <c r="EE442" t="n">
        <v>1</v>
      </c>
      <c r="EF442" t="b">
        <v>0</v>
      </c>
      <c r="EG442" t="n">
        <v>0.1</v>
      </c>
      <c r="EH442" t="n">
        <v>66.7</v>
      </c>
      <c r="EI442" t="n">
        <v>550</v>
      </c>
    </row>
    <row r="443">
      <c r="A443" t="inlineStr">
        <is>
          <t>Jayden Danns</t>
        </is>
      </c>
      <c r="B443" t="inlineStr">
        <is>
          <t>LIV</t>
        </is>
      </c>
      <c r="C443" t="inlineStr">
        <is>
          <t>FWD</t>
        </is>
      </c>
      <c r="D443" t="inlineStr">
        <is>
          <t>FWD</t>
        </is>
      </c>
      <c r="E443" t="n">
        <v>4.5</v>
      </c>
      <c r="F443" t="b">
        <v>1</v>
      </c>
      <c r="G443" t="b">
        <v>0</v>
      </c>
      <c r="I443" t="inlineStr">
        <is>
          <t>i</t>
        </is>
      </c>
      <c r="J443" t="inlineStr">
        <is>
          <t>Unspecified injury - Unknown return date</t>
        </is>
      </c>
      <c r="K443" t="n">
        <v>0</v>
      </c>
      <c r="M443" t="n">
        <v>382</v>
      </c>
      <c r="Q443" t="n">
        <v>0</v>
      </c>
      <c r="S443" t="n">
        <v>0</v>
      </c>
      <c r="T443" t="n">
        <v>0</v>
      </c>
      <c r="V443" t="n">
        <v>0</v>
      </c>
      <c r="X443" t="n">
        <v>0</v>
      </c>
      <c r="Y443" t="n">
        <v>0</v>
      </c>
      <c r="AA443" t="n">
        <v>0</v>
      </c>
      <c r="AB443" t="n">
        <v>0</v>
      </c>
      <c r="AC443" t="n">
        <v>0</v>
      </c>
      <c r="AD443" t="n">
        <v>0</v>
      </c>
      <c r="AE443" t="n">
        <v>0</v>
      </c>
      <c r="AF443" t="n">
        <v>0</v>
      </c>
      <c r="AG443" t="n">
        <v>0</v>
      </c>
      <c r="AH443" t="n">
        <v>0</v>
      </c>
      <c r="AI443" t="n">
        <v>0</v>
      </c>
      <c r="AL443" t="n">
        <v>0</v>
      </c>
      <c r="AN443" t="n">
        <v>0</v>
      </c>
      <c r="AO443" t="n">
        <v>0</v>
      </c>
      <c r="AS443" t="n">
        <v>0</v>
      </c>
      <c r="AU443" t="n">
        <v>0</v>
      </c>
      <c r="AV443" t="n">
        <v>0</v>
      </c>
      <c r="AW443" t="n">
        <v>0</v>
      </c>
      <c r="AX443" t="n">
        <v>0</v>
      </c>
      <c r="AY443" t="n">
        <v>0</v>
      </c>
      <c r="BA443" t="n">
        <v>0</v>
      </c>
      <c r="BL443" t="n">
        <v>0</v>
      </c>
      <c r="BW443" t="n">
        <v>0</v>
      </c>
      <c r="BY443" t="n">
        <v>0</v>
      </c>
      <c r="CA443" t="n">
        <v>0</v>
      </c>
      <c r="CK443" t="n">
        <v>0</v>
      </c>
      <c r="CL443" t="n">
        <v>0</v>
      </c>
      <c r="CM443" t="n">
        <v>0</v>
      </c>
      <c r="CW443" t="n">
        <v>0</v>
      </c>
      <c r="CY443" t="n">
        <v>0</v>
      </c>
      <c r="DB443" t="n">
        <v>0</v>
      </c>
      <c r="DF443" t="n">
        <v>0</v>
      </c>
      <c r="DG443" t="n">
        <v>0</v>
      </c>
      <c r="DO443" t="n">
        <v>0</v>
      </c>
      <c r="DP443" t="n">
        <v>0</v>
      </c>
      <c r="DQ443" t="n">
        <v>0</v>
      </c>
      <c r="DR443" t="n">
        <v>0</v>
      </c>
      <c r="DS443" t="n">
        <v>0</v>
      </c>
      <c r="DT443" t="n">
        <v>0</v>
      </c>
      <c r="DU443" t="n">
        <v>0</v>
      </c>
      <c r="DV443" t="inlineStr">
        <is>
          <t>flat</t>
        </is>
      </c>
      <c r="DW443" t="n">
        <v>103.63</v>
      </c>
      <c r="DX443" t="n">
        <v>110.5</v>
      </c>
      <c r="DY443" t="n">
        <v>101.45</v>
      </c>
      <c r="DZ443" t="n">
        <v>-2.18</v>
      </c>
      <c r="EA443" t="n">
        <v>4</v>
      </c>
      <c r="EB443" t="n">
        <v>13.19</v>
      </c>
      <c r="EC443" t="n">
        <v>84</v>
      </c>
      <c r="ED443" t="n">
        <v>120</v>
      </c>
      <c r="EE443" t="n">
        <v>6</v>
      </c>
      <c r="EF443" t="b">
        <v>0</v>
      </c>
      <c r="EG443" t="n">
        <v>0.2</v>
      </c>
      <c r="EH443" t="n">
        <v>50</v>
      </c>
      <c r="EI443" t="n">
        <v>504</v>
      </c>
    </row>
    <row r="444">
      <c r="A444" t="inlineStr">
        <is>
          <t>Claudio Echeverri</t>
        </is>
      </c>
      <c r="B444" t="inlineStr">
        <is>
          <t>MCI</t>
        </is>
      </c>
      <c r="C444" t="inlineStr">
        <is>
          <t>MID</t>
        </is>
      </c>
      <c r="D444" t="inlineStr">
        <is>
          <t>MID</t>
        </is>
      </c>
      <c r="E444" t="n">
        <v>5</v>
      </c>
      <c r="F444" t="b">
        <v>1</v>
      </c>
      <c r="G444" t="b">
        <v>0</v>
      </c>
      <c r="H444" t="n">
        <v>20.6</v>
      </c>
      <c r="I444" t="inlineStr">
        <is>
          <t>a</t>
        </is>
      </c>
      <c r="M444" t="n">
        <v>407</v>
      </c>
      <c r="Q444" t="n">
        <v>0</v>
      </c>
      <c r="S444" t="n">
        <v>0</v>
      </c>
      <c r="T444" t="n">
        <v>0</v>
      </c>
      <c r="V444" t="n">
        <v>0</v>
      </c>
      <c r="X444" t="n">
        <v>0</v>
      </c>
      <c r="Y444" t="n">
        <v>0</v>
      </c>
      <c r="AA444" t="n">
        <v>0</v>
      </c>
      <c r="AB444" t="n">
        <v>0</v>
      </c>
      <c r="AC444" t="n">
        <v>0</v>
      </c>
      <c r="AD444" t="n">
        <v>0</v>
      </c>
      <c r="AE444" t="n">
        <v>0</v>
      </c>
      <c r="AF444" t="n">
        <v>0</v>
      </c>
      <c r="AG444" t="n">
        <v>0</v>
      </c>
      <c r="AH444" t="n">
        <v>0</v>
      </c>
      <c r="AI444" t="n">
        <v>0</v>
      </c>
      <c r="AL444" t="n">
        <v>0</v>
      </c>
      <c r="AN444" t="n">
        <v>0</v>
      </c>
      <c r="AO444" t="n">
        <v>0</v>
      </c>
      <c r="AS444" t="n">
        <v>0</v>
      </c>
      <c r="AU444" t="n">
        <v>0</v>
      </c>
      <c r="AV444" t="n">
        <v>0</v>
      </c>
      <c r="AW444" t="n">
        <v>0</v>
      </c>
      <c r="AX444" t="n">
        <v>0</v>
      </c>
      <c r="AY444" t="n">
        <v>0</v>
      </c>
      <c r="BA444" t="n">
        <v>0</v>
      </c>
      <c r="BL444" t="n">
        <v>0</v>
      </c>
      <c r="BW444" t="n">
        <v>0</v>
      </c>
      <c r="BY444" t="n">
        <v>0</v>
      </c>
      <c r="CA444" t="n">
        <v>0</v>
      </c>
      <c r="CK444" t="n">
        <v>0</v>
      </c>
      <c r="CL444" t="n">
        <v>0</v>
      </c>
      <c r="CM444" t="n">
        <v>0</v>
      </c>
      <c r="CW444" t="n">
        <v>0</v>
      </c>
      <c r="CY444" t="n">
        <v>0</v>
      </c>
      <c r="DB444" t="n">
        <v>0</v>
      </c>
      <c r="DF444" t="n">
        <v>0</v>
      </c>
      <c r="DG444" t="n">
        <v>0</v>
      </c>
      <c r="DO444" t="n">
        <v>0</v>
      </c>
      <c r="DP444" t="n">
        <v>0</v>
      </c>
      <c r="DQ444" t="n">
        <v>0</v>
      </c>
      <c r="DR444" t="n">
        <v>0</v>
      </c>
      <c r="DS444" t="n">
        <v>0</v>
      </c>
      <c r="DT444" t="n">
        <v>0</v>
      </c>
      <c r="DU444" t="n">
        <v>0</v>
      </c>
      <c r="DV444" t="inlineStr">
        <is>
          <t>flat</t>
        </is>
      </c>
      <c r="DW444" t="n">
        <v>60.31</v>
      </c>
      <c r="DY444" t="n">
        <v>51.34</v>
      </c>
      <c r="DZ444" t="n">
        <v>-8.960000000000001</v>
      </c>
      <c r="EA444" t="n">
        <v>3</v>
      </c>
      <c r="EB444" t="n">
        <v>36.07</v>
      </c>
      <c r="EC444" t="n">
        <v>7.11</v>
      </c>
      <c r="ED444" t="n">
        <v>87.2</v>
      </c>
      <c r="EE444" t="n">
        <v>4</v>
      </c>
      <c r="EF444" t="b">
        <v>0</v>
      </c>
      <c r="EG444" t="n">
        <v>0.1</v>
      </c>
      <c r="EH444" t="n">
        <v>20</v>
      </c>
      <c r="EI444" t="n">
        <v>371</v>
      </c>
    </row>
    <row r="445">
      <c r="A445" t="inlineStr">
        <is>
          <t>Mikey Moore</t>
        </is>
      </c>
      <c r="B445" t="inlineStr">
        <is>
          <t>TOT</t>
        </is>
      </c>
      <c r="C445" t="inlineStr">
        <is>
          <t>MID</t>
        </is>
      </c>
      <c r="D445" t="inlineStr">
        <is>
          <t>MID</t>
        </is>
      </c>
      <c r="E445" t="n">
        <v>5</v>
      </c>
      <c r="F445" t="b">
        <v>1</v>
      </c>
      <c r="G445" t="b">
        <v>0</v>
      </c>
      <c r="H445" t="n">
        <v>19</v>
      </c>
      <c r="I445" t="inlineStr">
        <is>
          <t>a</t>
        </is>
      </c>
      <c r="M445" t="n">
        <v>523</v>
      </c>
      <c r="Q445" t="n">
        <v>0</v>
      </c>
      <c r="S445" t="n">
        <v>0</v>
      </c>
      <c r="T445" t="n">
        <v>0</v>
      </c>
      <c r="V445" t="n">
        <v>0</v>
      </c>
      <c r="X445" t="n">
        <v>0</v>
      </c>
      <c r="Y445" t="n">
        <v>0</v>
      </c>
      <c r="AA445" t="n">
        <v>0</v>
      </c>
      <c r="AB445" t="n">
        <v>0</v>
      </c>
      <c r="AC445" t="n">
        <v>0</v>
      </c>
      <c r="AD445" t="n">
        <v>0</v>
      </c>
      <c r="AE445" t="n">
        <v>0</v>
      </c>
      <c r="AF445" t="n">
        <v>0</v>
      </c>
      <c r="AG445" t="n">
        <v>0</v>
      </c>
      <c r="AH445" t="n">
        <v>0</v>
      </c>
      <c r="AI445" t="n">
        <v>0</v>
      </c>
      <c r="AL445" t="n">
        <v>0</v>
      </c>
      <c r="AN445" t="n">
        <v>0</v>
      </c>
      <c r="AO445" t="n">
        <v>0</v>
      </c>
      <c r="AS445" t="n">
        <v>0</v>
      </c>
      <c r="AU445" t="n">
        <v>0</v>
      </c>
      <c r="AV445" t="n">
        <v>0</v>
      </c>
      <c r="AW445" t="n">
        <v>0</v>
      </c>
      <c r="AX445" t="n">
        <v>0</v>
      </c>
      <c r="AY445" t="n">
        <v>0</v>
      </c>
      <c r="BA445" t="n">
        <v>0</v>
      </c>
      <c r="BL445" t="n">
        <v>0</v>
      </c>
      <c r="BW445" t="n">
        <v>0</v>
      </c>
      <c r="BY445" t="n">
        <v>0</v>
      </c>
      <c r="CA445" t="n">
        <v>0</v>
      </c>
      <c r="CK445" t="n">
        <v>0</v>
      </c>
      <c r="CL445" t="n">
        <v>0</v>
      </c>
      <c r="CM445" t="n">
        <v>0</v>
      </c>
      <c r="CW445" t="n">
        <v>0</v>
      </c>
      <c r="CY445" t="n">
        <v>0</v>
      </c>
      <c r="DB445" t="n">
        <v>0</v>
      </c>
      <c r="DF445" t="n">
        <v>0</v>
      </c>
      <c r="DG445" t="n">
        <v>0</v>
      </c>
      <c r="DO445" t="n">
        <v>0.1</v>
      </c>
      <c r="DP445" t="n">
        <v>0</v>
      </c>
      <c r="DQ445" t="n">
        <v>0</v>
      </c>
      <c r="DR445" t="n">
        <v>0</v>
      </c>
      <c r="DS445" t="n">
        <v>0</v>
      </c>
      <c r="DT445" t="n">
        <v>0</v>
      </c>
      <c r="DU445" t="n">
        <v>0</v>
      </c>
      <c r="DV445" t="inlineStr">
        <is>
          <t>flat</t>
        </is>
      </c>
      <c r="DW445" t="n">
        <v>85.87</v>
      </c>
      <c r="DY445" t="n">
        <v>85.87</v>
      </c>
      <c r="DZ445" t="n">
        <v>0</v>
      </c>
      <c r="EA445" t="n">
        <v>1</v>
      </c>
      <c r="EC445" t="n">
        <v>85.87</v>
      </c>
      <c r="ED445" t="n">
        <v>85.87</v>
      </c>
      <c r="EE445" t="n">
        <v>1</v>
      </c>
      <c r="EF445" t="b">
        <v>0</v>
      </c>
      <c r="EG445" t="n">
        <v>0</v>
      </c>
      <c r="EH445" t="n">
        <v>50</v>
      </c>
      <c r="EI445" t="n">
        <v>382</v>
      </c>
    </row>
    <row r="446">
      <c r="A446" t="inlineStr">
        <is>
          <t>Adam Aznou</t>
        </is>
      </c>
      <c r="B446" t="inlineStr">
        <is>
          <t>EVE</t>
        </is>
      </c>
      <c r="C446" t="inlineStr">
        <is>
          <t>DEF</t>
        </is>
      </c>
      <c r="D446" t="inlineStr">
        <is>
          <t>DEF</t>
        </is>
      </c>
      <c r="E446" t="n">
        <v>4</v>
      </c>
      <c r="F446" t="b">
        <v>1</v>
      </c>
      <c r="G446" t="b">
        <v>0</v>
      </c>
      <c r="H446" t="n">
        <v>20.2</v>
      </c>
      <c r="I446" t="inlineStr">
        <is>
          <t>a</t>
        </is>
      </c>
      <c r="M446" t="n">
        <v>235</v>
      </c>
      <c r="Q446" t="n">
        <v>0</v>
      </c>
      <c r="S446" t="n">
        <v>0</v>
      </c>
      <c r="T446" t="n">
        <v>0</v>
      </c>
      <c r="V446" t="n">
        <v>0</v>
      </c>
      <c r="X446" t="n">
        <v>0</v>
      </c>
      <c r="Y446" t="n">
        <v>0</v>
      </c>
      <c r="AA446" t="n">
        <v>0</v>
      </c>
      <c r="AB446" t="n">
        <v>0</v>
      </c>
      <c r="AC446" t="n">
        <v>0</v>
      </c>
      <c r="AD446" t="n">
        <v>0</v>
      </c>
      <c r="AE446" t="n">
        <v>0</v>
      </c>
      <c r="AF446" t="n">
        <v>0</v>
      </c>
      <c r="AG446" t="n">
        <v>0</v>
      </c>
      <c r="AH446" t="n">
        <v>0</v>
      </c>
      <c r="AI446" t="n">
        <v>0</v>
      </c>
      <c r="AL446" t="n">
        <v>0</v>
      </c>
      <c r="AN446" t="n">
        <v>0</v>
      </c>
      <c r="AO446" t="n">
        <v>0</v>
      </c>
      <c r="AS446" t="n">
        <v>0</v>
      </c>
      <c r="AU446" t="n">
        <v>0</v>
      </c>
      <c r="AV446" t="n">
        <v>0</v>
      </c>
      <c r="AW446" t="n">
        <v>0</v>
      </c>
      <c r="AX446" t="n">
        <v>0</v>
      </c>
      <c r="AY446" t="n">
        <v>0</v>
      </c>
      <c r="BA446" t="n">
        <v>0</v>
      </c>
      <c r="BL446" t="n">
        <v>0</v>
      </c>
      <c r="BW446" t="n">
        <v>0</v>
      </c>
      <c r="BY446" t="n">
        <v>0</v>
      </c>
      <c r="CA446" t="n">
        <v>0</v>
      </c>
      <c r="CK446" t="n">
        <v>0</v>
      </c>
      <c r="CL446" t="n">
        <v>0</v>
      </c>
      <c r="CM446" t="n">
        <v>0</v>
      </c>
      <c r="CW446" t="n">
        <v>0</v>
      </c>
      <c r="CY446" t="n">
        <v>0</v>
      </c>
      <c r="DB446" t="n">
        <v>0</v>
      </c>
      <c r="DF446" t="n">
        <v>0</v>
      </c>
      <c r="DG446" t="n">
        <v>0</v>
      </c>
      <c r="DO446" t="n">
        <v>0.2</v>
      </c>
      <c r="DP446" t="n">
        <v>0</v>
      </c>
      <c r="DQ446" t="n">
        <v>0</v>
      </c>
      <c r="DR446" t="n">
        <v>0</v>
      </c>
      <c r="DS446" t="n">
        <v>0</v>
      </c>
      <c r="DT446" t="n">
        <v>0</v>
      </c>
      <c r="DU446" t="n">
        <v>0</v>
      </c>
      <c r="DV446" t="inlineStr">
        <is>
          <t>flat</t>
        </is>
      </c>
      <c r="DW446" t="n">
        <v>101.13</v>
      </c>
      <c r="DY446" t="n">
        <v>91.7</v>
      </c>
      <c r="DZ446" t="n">
        <v>-9.43</v>
      </c>
      <c r="EA446" t="n">
        <v>2</v>
      </c>
      <c r="EB446" t="n">
        <v>16.39</v>
      </c>
      <c r="EC446" t="n">
        <v>90.40000000000001</v>
      </c>
      <c r="ED446" t="n">
        <v>120</v>
      </c>
      <c r="EE446" t="n">
        <v>3</v>
      </c>
      <c r="EF446" t="b">
        <v>0</v>
      </c>
      <c r="EG446" t="n">
        <v>0.1</v>
      </c>
      <c r="EH446" t="n">
        <v>25</v>
      </c>
      <c r="EI446" t="n">
        <v>548</v>
      </c>
    </row>
    <row r="447">
      <c r="A447" t="inlineStr">
        <is>
          <t>Toby Collyer</t>
        </is>
      </c>
      <c r="B447" t="inlineStr">
        <is>
          <t>MUN</t>
        </is>
      </c>
      <c r="C447" t="inlineStr">
        <is>
          <t>MID</t>
        </is>
      </c>
      <c r="D447" t="inlineStr">
        <is>
          <t>MID</t>
        </is>
      </c>
      <c r="E447" t="n">
        <v>5</v>
      </c>
      <c r="F447" t="b">
        <v>1</v>
      </c>
      <c r="G447" t="b">
        <v>0</v>
      </c>
      <c r="H447" t="n">
        <v>22.6</v>
      </c>
      <c r="I447" t="inlineStr">
        <is>
          <t>a</t>
        </is>
      </c>
      <c r="M447" t="n">
        <v>436</v>
      </c>
      <c r="Q447" t="n">
        <v>0</v>
      </c>
      <c r="S447" t="n">
        <v>0</v>
      </c>
      <c r="T447" t="n">
        <v>0</v>
      </c>
      <c r="V447" t="n">
        <v>0</v>
      </c>
      <c r="X447" t="n">
        <v>0</v>
      </c>
      <c r="Y447" t="n">
        <v>0</v>
      </c>
      <c r="AA447" t="n">
        <v>0</v>
      </c>
      <c r="AB447" t="n">
        <v>0</v>
      </c>
      <c r="AC447" t="n">
        <v>0</v>
      </c>
      <c r="AD447" t="n">
        <v>0</v>
      </c>
      <c r="AE447" t="n">
        <v>0</v>
      </c>
      <c r="AF447" t="n">
        <v>0</v>
      </c>
      <c r="AG447" t="n">
        <v>0</v>
      </c>
      <c r="AH447" t="n">
        <v>0</v>
      </c>
      <c r="AI447" t="n">
        <v>0</v>
      </c>
      <c r="AL447" t="n">
        <v>0</v>
      </c>
      <c r="AN447" t="n">
        <v>0</v>
      </c>
      <c r="AO447" t="n">
        <v>0</v>
      </c>
      <c r="AS447" t="n">
        <v>0</v>
      </c>
      <c r="AU447" t="n">
        <v>0</v>
      </c>
      <c r="AV447" t="n">
        <v>0</v>
      </c>
      <c r="AW447" t="n">
        <v>0</v>
      </c>
      <c r="AX447" t="n">
        <v>0</v>
      </c>
      <c r="AY447" t="n">
        <v>0</v>
      </c>
      <c r="BA447" t="n">
        <v>0</v>
      </c>
      <c r="BL447" t="n">
        <v>0</v>
      </c>
      <c r="BW447" t="n">
        <v>0</v>
      </c>
      <c r="BY447" t="n">
        <v>0</v>
      </c>
      <c r="CA447" t="n">
        <v>0</v>
      </c>
      <c r="CK447" t="n">
        <v>0</v>
      </c>
      <c r="CL447" t="n">
        <v>0</v>
      </c>
      <c r="CM447" t="n">
        <v>0</v>
      </c>
      <c r="CW447" t="n">
        <v>0</v>
      </c>
      <c r="CY447" t="n">
        <v>0</v>
      </c>
      <c r="DB447" t="n">
        <v>0</v>
      </c>
      <c r="DF447" t="n">
        <v>0</v>
      </c>
      <c r="DG447" t="n">
        <v>0</v>
      </c>
      <c r="DO447" t="n">
        <v>0</v>
      </c>
      <c r="DP447" t="n">
        <v>0.15</v>
      </c>
      <c r="DQ447" t="n">
        <v>0.15</v>
      </c>
      <c r="DR447" t="n">
        <v>0.3</v>
      </c>
      <c r="DS447" t="n">
        <v>-0.15</v>
      </c>
      <c r="DT447" t="n">
        <v>0</v>
      </c>
      <c r="DU447" t="n">
        <v>0</v>
      </c>
      <c r="DV447" t="inlineStr">
        <is>
          <t>flat</t>
        </is>
      </c>
      <c r="EF447" t="b">
        <v>0</v>
      </c>
      <c r="EG447" t="n">
        <v>0</v>
      </c>
      <c r="EH447" t="n">
        <v>100</v>
      </c>
      <c r="EI447" t="n">
        <v>374</v>
      </c>
    </row>
    <row r="448">
      <c r="A448" t="inlineStr">
        <is>
          <t>Chido Obi</t>
        </is>
      </c>
      <c r="B448" t="inlineStr">
        <is>
          <t>MUN</t>
        </is>
      </c>
      <c r="C448" t="inlineStr">
        <is>
          <t>FWD</t>
        </is>
      </c>
      <c r="D448" t="inlineStr">
        <is>
          <t>FWD</t>
        </is>
      </c>
      <c r="E448" t="n">
        <v>4.5</v>
      </c>
      <c r="F448" t="b">
        <v>1</v>
      </c>
      <c r="G448" t="b">
        <v>0</v>
      </c>
      <c r="H448" t="n">
        <v>18.7</v>
      </c>
      <c r="I448" t="inlineStr">
        <is>
          <t>a</t>
        </is>
      </c>
      <c r="M448" t="n">
        <v>441</v>
      </c>
      <c r="Q448" t="n">
        <v>0</v>
      </c>
      <c r="S448" t="n">
        <v>0</v>
      </c>
      <c r="T448" t="n">
        <v>0</v>
      </c>
      <c r="V448" t="n">
        <v>0</v>
      </c>
      <c r="X448" t="n">
        <v>0</v>
      </c>
      <c r="Y448" t="n">
        <v>0</v>
      </c>
      <c r="AA448" t="n">
        <v>0</v>
      </c>
      <c r="AB448" t="n">
        <v>0</v>
      </c>
      <c r="AC448" t="n">
        <v>0</v>
      </c>
      <c r="AD448" t="n">
        <v>0</v>
      </c>
      <c r="AE448" t="n">
        <v>0</v>
      </c>
      <c r="AF448" t="n">
        <v>0</v>
      </c>
      <c r="AG448" t="n">
        <v>0</v>
      </c>
      <c r="AH448" t="n">
        <v>0</v>
      </c>
      <c r="AI448" t="n">
        <v>0</v>
      </c>
      <c r="AL448" t="n">
        <v>0</v>
      </c>
      <c r="AN448" t="n">
        <v>0</v>
      </c>
      <c r="AO448" t="n">
        <v>0</v>
      </c>
      <c r="AS448" t="n">
        <v>0</v>
      </c>
      <c r="AU448" t="n">
        <v>0</v>
      </c>
      <c r="AV448" t="n">
        <v>0</v>
      </c>
      <c r="AW448" t="n">
        <v>0</v>
      </c>
      <c r="AX448" t="n">
        <v>0</v>
      </c>
      <c r="AY448" t="n">
        <v>0</v>
      </c>
      <c r="BA448" t="n">
        <v>0</v>
      </c>
      <c r="BL448" t="n">
        <v>0</v>
      </c>
      <c r="BW448" t="n">
        <v>0</v>
      </c>
      <c r="BY448" t="n">
        <v>0</v>
      </c>
      <c r="CA448" t="n">
        <v>0</v>
      </c>
      <c r="CK448" t="n">
        <v>0</v>
      </c>
      <c r="CL448" t="n">
        <v>0</v>
      </c>
      <c r="CM448" t="n">
        <v>0</v>
      </c>
      <c r="CW448" t="n">
        <v>0</v>
      </c>
      <c r="CY448" t="n">
        <v>0</v>
      </c>
      <c r="DB448" t="n">
        <v>0</v>
      </c>
      <c r="DF448" t="n">
        <v>0</v>
      </c>
      <c r="DG448" t="n">
        <v>0</v>
      </c>
      <c r="DO448" t="n">
        <v>1.2</v>
      </c>
      <c r="DP448" t="n">
        <v>0</v>
      </c>
      <c r="DQ448" t="n">
        <v>0</v>
      </c>
      <c r="DR448" t="n">
        <v>0</v>
      </c>
      <c r="DS448" t="n">
        <v>0</v>
      </c>
      <c r="DT448" t="n">
        <v>0</v>
      </c>
      <c r="DU448" t="n">
        <v>0</v>
      </c>
      <c r="DV448" t="inlineStr">
        <is>
          <t>flat</t>
        </is>
      </c>
      <c r="DW448" t="n">
        <v>86.11</v>
      </c>
      <c r="DX448" t="n">
        <v>78.86</v>
      </c>
      <c r="DY448" t="n">
        <v>87.12</v>
      </c>
      <c r="DZ448" t="n">
        <v>1.02</v>
      </c>
      <c r="EA448" t="n">
        <v>13</v>
      </c>
      <c r="EB448" t="n">
        <v>23.36</v>
      </c>
      <c r="EC448" t="n">
        <v>30</v>
      </c>
      <c r="ED448" t="n">
        <v>118.67</v>
      </c>
      <c r="EE448" t="n">
        <v>25</v>
      </c>
      <c r="EF448" t="b">
        <v>1</v>
      </c>
      <c r="EG448" t="n">
        <v>0.6</v>
      </c>
      <c r="EH448" t="n">
        <v>19.4</v>
      </c>
      <c r="EI448" t="n">
        <v>508</v>
      </c>
    </row>
    <row r="449">
      <c r="A449" t="inlineStr">
        <is>
          <t>Calvin Ramsay</t>
        </is>
      </c>
      <c r="B449" t="inlineStr">
        <is>
          <t>LIV</t>
        </is>
      </c>
      <c r="C449" t="inlineStr">
        <is>
          <t>DEF</t>
        </is>
      </c>
      <c r="D449" t="inlineStr">
        <is>
          <t>DEF</t>
        </is>
      </c>
      <c r="E449" t="n">
        <v>4</v>
      </c>
      <c r="F449" t="b">
        <v>1</v>
      </c>
      <c r="G449" t="b">
        <v>0</v>
      </c>
      <c r="H449" t="n">
        <v>23.1</v>
      </c>
      <c r="I449" t="inlineStr">
        <is>
          <t>a</t>
        </is>
      </c>
      <c r="M449" t="n">
        <v>365</v>
      </c>
      <c r="Q449" t="n">
        <v>0</v>
      </c>
      <c r="S449" t="n">
        <v>0</v>
      </c>
      <c r="T449" t="n">
        <v>0</v>
      </c>
      <c r="V449" t="n">
        <v>0</v>
      </c>
      <c r="X449" t="n">
        <v>0</v>
      </c>
      <c r="Y449" t="n">
        <v>0</v>
      </c>
      <c r="AA449" t="n">
        <v>0</v>
      </c>
      <c r="AB449" t="n">
        <v>0</v>
      </c>
      <c r="AC449" t="n">
        <v>0</v>
      </c>
      <c r="AD449" t="n">
        <v>0</v>
      </c>
      <c r="AE449" t="n">
        <v>0</v>
      </c>
      <c r="AF449" t="n">
        <v>0</v>
      </c>
      <c r="AG449" t="n">
        <v>0</v>
      </c>
      <c r="AH449" t="n">
        <v>0</v>
      </c>
      <c r="AI449" t="n">
        <v>0</v>
      </c>
      <c r="AL449" t="n">
        <v>0</v>
      </c>
      <c r="AN449" t="n">
        <v>0</v>
      </c>
      <c r="AO449" t="n">
        <v>0</v>
      </c>
      <c r="AS449" t="n">
        <v>0</v>
      </c>
      <c r="AU449" t="n">
        <v>0</v>
      </c>
      <c r="AV449" t="n">
        <v>0</v>
      </c>
      <c r="AW449" t="n">
        <v>0</v>
      </c>
      <c r="AX449" t="n">
        <v>0</v>
      </c>
      <c r="AY449" t="n">
        <v>0</v>
      </c>
      <c r="BA449" t="n">
        <v>0</v>
      </c>
      <c r="BL449" t="n">
        <v>0</v>
      </c>
      <c r="BW449" t="n">
        <v>0</v>
      </c>
      <c r="BY449" t="n">
        <v>0</v>
      </c>
      <c r="CA449" t="n">
        <v>0</v>
      </c>
      <c r="CK449" t="n">
        <v>0</v>
      </c>
      <c r="CL449" t="n">
        <v>0</v>
      </c>
      <c r="CM449" t="n">
        <v>0</v>
      </c>
      <c r="CW449" t="n">
        <v>0</v>
      </c>
      <c r="CY449" t="n">
        <v>0</v>
      </c>
      <c r="DB449" t="n">
        <v>0</v>
      </c>
      <c r="DF449" t="n">
        <v>0</v>
      </c>
      <c r="DG449" t="n">
        <v>0</v>
      </c>
      <c r="DO449" t="n">
        <v>0.2</v>
      </c>
      <c r="DP449" t="n">
        <v>5.61</v>
      </c>
      <c r="DQ449" t="n">
        <v>3.02</v>
      </c>
      <c r="DR449" t="n">
        <v>6.04</v>
      </c>
      <c r="DS449" t="n">
        <v>-0.43</v>
      </c>
      <c r="DT449" t="n">
        <v>103</v>
      </c>
      <c r="DU449" t="n">
        <v>2.7</v>
      </c>
      <c r="DV449" t="inlineStr">
        <is>
          <t>flat</t>
        </is>
      </c>
      <c r="DW449" t="n">
        <v>89.36</v>
      </c>
      <c r="DX449" t="n">
        <v>28</v>
      </c>
      <c r="DY449" t="n">
        <v>94.48999999999999</v>
      </c>
      <c r="DZ449" t="n">
        <v>5.13</v>
      </c>
      <c r="EA449" t="n">
        <v>6</v>
      </c>
      <c r="EB449" t="n">
        <v>28.48</v>
      </c>
      <c r="EC449" t="n">
        <v>28</v>
      </c>
      <c r="ED449" t="n">
        <v>120</v>
      </c>
      <c r="EE449" t="n">
        <v>10</v>
      </c>
      <c r="EF449" t="b">
        <v>1</v>
      </c>
      <c r="EG449" t="n">
        <v>0.2</v>
      </c>
      <c r="EH449" t="n">
        <v>9.1</v>
      </c>
      <c r="EI449" t="n">
        <v>576</v>
      </c>
    </row>
    <row r="450">
      <c r="A450" t="inlineStr">
        <is>
          <t>Evan Ferguson</t>
        </is>
      </c>
      <c r="B450" t="inlineStr">
        <is>
          <t>BHA</t>
        </is>
      </c>
      <c r="C450" t="inlineStr">
        <is>
          <t>FWD</t>
        </is>
      </c>
      <c r="D450" t="inlineStr">
        <is>
          <t>FWD</t>
        </is>
      </c>
      <c r="E450" t="n">
        <v>5</v>
      </c>
      <c r="F450" t="b">
        <v>1</v>
      </c>
      <c r="G450" t="b">
        <v>0</v>
      </c>
      <c r="H450" t="n">
        <v>21.8</v>
      </c>
      <c r="I450" t="inlineStr">
        <is>
          <t>i</t>
        </is>
      </c>
      <c r="J450" t="inlineStr">
        <is>
          <t>Ankle injury - Expected back 10 Oct</t>
        </is>
      </c>
      <c r="K450" t="n">
        <v>0</v>
      </c>
      <c r="M450" t="n">
        <v>139</v>
      </c>
      <c r="Q450" t="n">
        <v>0</v>
      </c>
      <c r="S450" t="n">
        <v>0</v>
      </c>
      <c r="T450" t="n">
        <v>0</v>
      </c>
      <c r="V450" t="n">
        <v>0</v>
      </c>
      <c r="X450" t="n">
        <v>0</v>
      </c>
      <c r="Y450" t="n">
        <v>0</v>
      </c>
      <c r="AA450" t="n">
        <v>0</v>
      </c>
      <c r="AB450" t="n">
        <v>0</v>
      </c>
      <c r="AC450" t="n">
        <v>0</v>
      </c>
      <c r="AD450" t="n">
        <v>0</v>
      </c>
      <c r="AE450" t="n">
        <v>0</v>
      </c>
      <c r="AF450" t="n">
        <v>0</v>
      </c>
      <c r="AG450" t="n">
        <v>0</v>
      </c>
      <c r="AH450" t="n">
        <v>0</v>
      </c>
      <c r="AI450" t="n">
        <v>0</v>
      </c>
      <c r="AL450" t="n">
        <v>0</v>
      </c>
      <c r="AN450" t="n">
        <v>0</v>
      </c>
      <c r="AO450" t="n">
        <v>0</v>
      </c>
      <c r="AS450" t="n">
        <v>0</v>
      </c>
      <c r="AU450" t="n">
        <v>0</v>
      </c>
      <c r="AV450" t="n">
        <v>0</v>
      </c>
      <c r="AW450" t="n">
        <v>0</v>
      </c>
      <c r="AX450" t="n">
        <v>0</v>
      </c>
      <c r="AY450" t="n">
        <v>0</v>
      </c>
      <c r="BA450" t="n">
        <v>0</v>
      </c>
      <c r="BL450" t="n">
        <v>0</v>
      </c>
      <c r="BW450" t="n">
        <v>0</v>
      </c>
      <c r="BY450" t="n">
        <v>0</v>
      </c>
      <c r="CA450" t="n">
        <v>0</v>
      </c>
      <c r="CK450" t="n">
        <v>0</v>
      </c>
      <c r="CL450" t="n">
        <v>0</v>
      </c>
      <c r="CM450" t="n">
        <v>0</v>
      </c>
      <c r="CW450" t="n">
        <v>0</v>
      </c>
      <c r="CY450" t="n">
        <v>0</v>
      </c>
      <c r="DB450" t="n">
        <v>0</v>
      </c>
      <c r="DF450" t="n">
        <v>0</v>
      </c>
      <c r="DG450" t="n">
        <v>0</v>
      </c>
      <c r="DO450" t="n">
        <v>0</v>
      </c>
      <c r="DP450" t="n">
        <v>0</v>
      </c>
      <c r="DQ450" t="n">
        <v>0</v>
      </c>
      <c r="DR450" t="n">
        <v>0</v>
      </c>
      <c r="DS450" t="n">
        <v>0</v>
      </c>
      <c r="DT450" t="n">
        <v>0</v>
      </c>
      <c r="DU450" t="n">
        <v>0</v>
      </c>
      <c r="DV450" t="inlineStr">
        <is>
          <t>flat</t>
        </is>
      </c>
      <c r="DW450" t="n">
        <v>104.92</v>
      </c>
      <c r="DX450" t="n">
        <v>119</v>
      </c>
      <c r="DY450" t="n">
        <v>111.59</v>
      </c>
      <c r="DZ450" t="n">
        <v>6.68</v>
      </c>
      <c r="EA450" t="n">
        <v>6</v>
      </c>
      <c r="EB450" t="n">
        <v>18.79</v>
      </c>
      <c r="EC450" t="n">
        <v>55.47</v>
      </c>
      <c r="ED450" t="n">
        <v>119</v>
      </c>
      <c r="EE450" t="n">
        <v>12</v>
      </c>
      <c r="EF450" t="b">
        <v>1</v>
      </c>
      <c r="EG450" t="n">
        <v>0.4</v>
      </c>
      <c r="EH450" t="n">
        <v>33.3</v>
      </c>
      <c r="EI450" t="n">
        <v>338</v>
      </c>
    </row>
    <row r="451">
      <c r="A451" t="inlineStr">
        <is>
          <t>Harry Amass</t>
        </is>
      </c>
      <c r="B451" t="inlineStr">
        <is>
          <t>MUN</t>
        </is>
      </c>
      <c r="C451" t="inlineStr">
        <is>
          <t>DEF</t>
        </is>
      </c>
      <c r="D451" t="inlineStr">
        <is>
          <t>DEF</t>
        </is>
      </c>
      <c r="E451" t="n">
        <v>4</v>
      </c>
      <c r="F451" t="b">
        <v>1</v>
      </c>
      <c r="G451" t="b">
        <v>0</v>
      </c>
      <c r="H451" t="n">
        <v>19.4</v>
      </c>
      <c r="I451" t="inlineStr">
        <is>
          <t>a</t>
        </is>
      </c>
      <c r="M451" t="n">
        <v>424</v>
      </c>
      <c r="Q451" t="n">
        <v>0</v>
      </c>
      <c r="S451" t="n">
        <v>0</v>
      </c>
      <c r="T451" t="n">
        <v>0</v>
      </c>
      <c r="V451" t="n">
        <v>0</v>
      </c>
      <c r="X451" t="n">
        <v>0</v>
      </c>
      <c r="Y451" t="n">
        <v>0</v>
      </c>
      <c r="AA451" t="n">
        <v>0</v>
      </c>
      <c r="AB451" t="n">
        <v>0</v>
      </c>
      <c r="AC451" t="n">
        <v>0</v>
      </c>
      <c r="AD451" t="n">
        <v>0</v>
      </c>
      <c r="AE451" t="n">
        <v>0</v>
      </c>
      <c r="AF451" t="n">
        <v>0</v>
      </c>
      <c r="AG451" t="n">
        <v>0</v>
      </c>
      <c r="AH451" t="n">
        <v>0</v>
      </c>
      <c r="AI451" t="n">
        <v>0</v>
      </c>
      <c r="AL451" t="n">
        <v>0</v>
      </c>
      <c r="AN451" t="n">
        <v>0</v>
      </c>
      <c r="AO451" t="n">
        <v>0</v>
      </c>
      <c r="AS451" t="n">
        <v>0</v>
      </c>
      <c r="AU451" t="n">
        <v>0</v>
      </c>
      <c r="AV451" t="n">
        <v>0</v>
      </c>
      <c r="AW451" t="n">
        <v>0</v>
      </c>
      <c r="AX451" t="n">
        <v>0</v>
      </c>
      <c r="AY451" t="n">
        <v>0</v>
      </c>
      <c r="BA451" t="n">
        <v>0</v>
      </c>
      <c r="BL451" t="n">
        <v>0</v>
      </c>
      <c r="BW451" t="n">
        <v>0</v>
      </c>
      <c r="BY451" t="n">
        <v>0</v>
      </c>
      <c r="CA451" t="n">
        <v>0</v>
      </c>
      <c r="CK451" t="n">
        <v>0</v>
      </c>
      <c r="CL451" t="n">
        <v>0</v>
      </c>
      <c r="CM451" t="n">
        <v>0</v>
      </c>
      <c r="CW451" t="n">
        <v>0</v>
      </c>
      <c r="CY451" t="n">
        <v>0</v>
      </c>
      <c r="DB451" t="n">
        <v>0</v>
      </c>
      <c r="DF451" t="n">
        <v>0</v>
      </c>
      <c r="DG451" t="n">
        <v>0</v>
      </c>
      <c r="DO451" t="n">
        <v>0.2</v>
      </c>
      <c r="DP451" t="n">
        <v>7.16</v>
      </c>
      <c r="DQ451" t="n">
        <v>3.58</v>
      </c>
      <c r="DR451" t="n">
        <v>7.16</v>
      </c>
      <c r="DS451" t="n">
        <v>0</v>
      </c>
      <c r="DT451" t="n">
        <v>79</v>
      </c>
      <c r="DU451" t="n">
        <v>2.07</v>
      </c>
      <c r="DV451" t="inlineStr">
        <is>
          <t>flat</t>
        </is>
      </c>
      <c r="DW451" t="n">
        <v>87.34</v>
      </c>
      <c r="DX451" t="n">
        <v>39</v>
      </c>
      <c r="DY451" t="n">
        <v>99.90000000000001</v>
      </c>
      <c r="DZ451" t="n">
        <v>12.56</v>
      </c>
      <c r="EA451" t="n">
        <v>3</v>
      </c>
      <c r="EB451" t="n">
        <v>32.2</v>
      </c>
      <c r="EC451" t="n">
        <v>39</v>
      </c>
      <c r="ED451" t="n">
        <v>118.67</v>
      </c>
      <c r="EE451" t="n">
        <v>6</v>
      </c>
      <c r="EF451" t="b">
        <v>0</v>
      </c>
      <c r="EG451" t="n">
        <v>0.2</v>
      </c>
      <c r="EH451" t="n">
        <v>33.3</v>
      </c>
      <c r="EI451" t="n">
        <v>580</v>
      </c>
    </row>
    <row r="452">
      <c r="A452" t="inlineStr">
        <is>
          <t>Leo Fuhr Hjelde</t>
        </is>
      </c>
      <c r="B452" t="inlineStr">
        <is>
          <t>SUN</t>
        </is>
      </c>
      <c r="C452" t="inlineStr">
        <is>
          <t>DEF</t>
        </is>
      </c>
      <c r="D452" t="inlineStr">
        <is>
          <t>DEF</t>
        </is>
      </c>
      <c r="E452" t="n">
        <v>4</v>
      </c>
      <c r="F452" t="b">
        <v>1</v>
      </c>
      <c r="G452" t="b">
        <v>0</v>
      </c>
      <c r="H452" t="n">
        <v>23</v>
      </c>
      <c r="I452" t="inlineStr">
        <is>
          <t>u</t>
        </is>
      </c>
      <c r="J452" t="inlineStr">
        <is>
          <t>Has joined KV Mechelen on loan for the rest of the season</t>
        </is>
      </c>
      <c r="K452" t="n">
        <v>0</v>
      </c>
      <c r="M452" t="n">
        <v>538</v>
      </c>
      <c r="Q452" t="n">
        <v>0</v>
      </c>
      <c r="S452" t="n">
        <v>0</v>
      </c>
      <c r="T452" t="n">
        <v>0</v>
      </c>
      <c r="V452" t="n">
        <v>0</v>
      </c>
      <c r="X452" t="n">
        <v>0</v>
      </c>
      <c r="Y452" t="n">
        <v>0</v>
      </c>
      <c r="AA452" t="n">
        <v>0</v>
      </c>
      <c r="AB452" t="n">
        <v>0</v>
      </c>
      <c r="AC452" t="n">
        <v>0</v>
      </c>
      <c r="AD452" t="n">
        <v>0</v>
      </c>
      <c r="AE452" t="n">
        <v>0</v>
      </c>
      <c r="AF452" t="n">
        <v>0</v>
      </c>
      <c r="AG452" t="n">
        <v>0</v>
      </c>
      <c r="AH452" t="n">
        <v>0</v>
      </c>
      <c r="AI452" t="n">
        <v>0</v>
      </c>
      <c r="AL452" t="n">
        <v>0</v>
      </c>
      <c r="AN452" t="n">
        <v>0</v>
      </c>
      <c r="AO452" t="n">
        <v>0</v>
      </c>
      <c r="AS452" t="n">
        <v>0</v>
      </c>
      <c r="AU452" t="n">
        <v>0</v>
      </c>
      <c r="AV452" t="n">
        <v>0</v>
      </c>
      <c r="AW452" t="n">
        <v>0</v>
      </c>
      <c r="AX452" t="n">
        <v>0</v>
      </c>
      <c r="AY452" t="n">
        <v>0</v>
      </c>
      <c r="BA452" t="n">
        <v>0</v>
      </c>
      <c r="BL452" t="n">
        <v>0</v>
      </c>
      <c r="BW452" t="n">
        <v>0</v>
      </c>
      <c r="BY452" t="n">
        <v>0</v>
      </c>
      <c r="CA452" t="n">
        <v>0</v>
      </c>
      <c r="CK452" t="n">
        <v>0</v>
      </c>
      <c r="CL452" t="n">
        <v>0</v>
      </c>
      <c r="CM452" t="n">
        <v>0</v>
      </c>
      <c r="CW452" t="n">
        <v>0</v>
      </c>
      <c r="CY452" t="n">
        <v>0</v>
      </c>
      <c r="DB452" t="n">
        <v>0</v>
      </c>
      <c r="DF452" t="n">
        <v>0</v>
      </c>
      <c r="DG452" t="n">
        <v>0</v>
      </c>
      <c r="DO452" t="n">
        <v>0.3</v>
      </c>
      <c r="DW452" t="n">
        <v>39.85</v>
      </c>
      <c r="DX452" t="n">
        <v>41.67</v>
      </c>
      <c r="DY452" t="n">
        <v>28.62</v>
      </c>
      <c r="DZ452" t="n">
        <v>-11.23</v>
      </c>
      <c r="EA452" t="n">
        <v>3</v>
      </c>
      <c r="EB452" t="n">
        <v>30.16</v>
      </c>
      <c r="EC452" t="n">
        <v>6.67</v>
      </c>
      <c r="ED452" t="n">
        <v>83.2</v>
      </c>
      <c r="EE452" t="n">
        <v>10</v>
      </c>
      <c r="EF452" t="b">
        <v>1</v>
      </c>
      <c r="EG452" t="n">
        <v>0.2</v>
      </c>
      <c r="EH452" t="n">
        <v>16.7</v>
      </c>
      <c r="EI452" t="n">
        <v>587</v>
      </c>
    </row>
    <row r="453">
      <c r="A453" t="inlineStr">
        <is>
          <t>Armin Pecsi</t>
        </is>
      </c>
      <c r="B453" t="inlineStr">
        <is>
          <t>LIV</t>
        </is>
      </c>
      <c r="C453" t="inlineStr">
        <is>
          <t>GKP</t>
        </is>
      </c>
      <c r="D453" t="inlineStr">
        <is>
          <t>GKP</t>
        </is>
      </c>
      <c r="E453" t="n">
        <v>4</v>
      </c>
      <c r="F453" t="b">
        <v>1</v>
      </c>
      <c r="G453" t="b">
        <v>0</v>
      </c>
      <c r="I453" t="inlineStr">
        <is>
          <t>a</t>
        </is>
      </c>
      <c r="M453" t="n">
        <v>353</v>
      </c>
      <c r="Q453" t="n">
        <v>0</v>
      </c>
      <c r="S453" t="n">
        <v>0</v>
      </c>
      <c r="T453" t="n">
        <v>0</v>
      </c>
      <c r="V453" t="n">
        <v>0</v>
      </c>
      <c r="X453" t="n">
        <v>0</v>
      </c>
      <c r="Y453" t="n">
        <v>0</v>
      </c>
      <c r="AA453" t="n">
        <v>0</v>
      </c>
      <c r="AB453" t="n">
        <v>0</v>
      </c>
      <c r="AC453" t="n">
        <v>0</v>
      </c>
      <c r="AD453" t="n">
        <v>0</v>
      </c>
      <c r="AE453" t="n">
        <v>0</v>
      </c>
      <c r="AF453" t="n">
        <v>0</v>
      </c>
      <c r="AG453" t="n">
        <v>0</v>
      </c>
      <c r="AH453" t="n">
        <v>0</v>
      </c>
      <c r="AI453" t="n">
        <v>0</v>
      </c>
      <c r="AL453" t="n">
        <v>0</v>
      </c>
      <c r="AN453" t="n">
        <v>0</v>
      </c>
      <c r="AO453" t="n">
        <v>0</v>
      </c>
      <c r="AS453" t="n">
        <v>0</v>
      </c>
      <c r="AU453" t="n">
        <v>0</v>
      </c>
      <c r="AV453" t="n">
        <v>0</v>
      </c>
      <c r="AW453" t="n">
        <v>0</v>
      </c>
      <c r="AX453" t="n">
        <v>0</v>
      </c>
      <c r="AY453" t="n">
        <v>0</v>
      </c>
      <c r="BA453" t="n">
        <v>0</v>
      </c>
      <c r="BL453" t="n">
        <v>0</v>
      </c>
      <c r="BW453" t="n">
        <v>0</v>
      </c>
      <c r="BY453" t="n">
        <v>0</v>
      </c>
      <c r="CA453" t="n">
        <v>0</v>
      </c>
      <c r="CK453" t="n">
        <v>0</v>
      </c>
      <c r="CL453" t="n">
        <v>0</v>
      </c>
      <c r="CM453" t="n">
        <v>0</v>
      </c>
      <c r="CW453" t="n">
        <v>0</v>
      </c>
      <c r="CY453" t="n">
        <v>0</v>
      </c>
      <c r="DB453" t="n">
        <v>0</v>
      </c>
      <c r="DF453" t="n">
        <v>0</v>
      </c>
      <c r="DG453" t="n">
        <v>0</v>
      </c>
      <c r="DO453" t="n">
        <v>0.1</v>
      </c>
      <c r="DP453" t="n">
        <v>0</v>
      </c>
      <c r="DQ453" t="n">
        <v>0</v>
      </c>
      <c r="DR453" t="n">
        <v>0</v>
      </c>
      <c r="DS453" t="n">
        <v>0</v>
      </c>
      <c r="DT453" t="n">
        <v>0</v>
      </c>
      <c r="DU453" t="n">
        <v>0</v>
      </c>
      <c r="DV453" t="inlineStr">
        <is>
          <t>flat</t>
        </is>
      </c>
      <c r="DW453" t="n">
        <v>76.5</v>
      </c>
      <c r="DX453" t="n">
        <v>100</v>
      </c>
      <c r="DY453" t="n">
        <v>76.5</v>
      </c>
      <c r="DZ453" t="n">
        <v>0</v>
      </c>
      <c r="EA453" t="n">
        <v>3</v>
      </c>
      <c r="EB453" t="n">
        <v>56.54</v>
      </c>
      <c r="EC453" t="n">
        <v>12</v>
      </c>
      <c r="ED453" t="n">
        <v>117.5</v>
      </c>
      <c r="EE453" t="n">
        <v>3</v>
      </c>
      <c r="EF453" t="b">
        <v>0</v>
      </c>
      <c r="EG453" t="n">
        <v>0.1</v>
      </c>
      <c r="EH453" t="n">
        <v>25</v>
      </c>
      <c r="EI453" t="n">
        <v>571</v>
      </c>
    </row>
    <row r="454">
      <c r="A454" t="inlineStr">
        <is>
          <t>Carl Rushworth</t>
        </is>
      </c>
      <c r="B454" t="inlineStr">
        <is>
          <t>COV</t>
        </is>
      </c>
      <c r="C454" t="inlineStr">
        <is>
          <t>GKP</t>
        </is>
      </c>
      <c r="D454" t="inlineStr">
        <is>
          <t>GKP</t>
        </is>
      </c>
      <c r="E454" t="n">
        <v>4.5</v>
      </c>
      <c r="F454" t="b">
        <v>1</v>
      </c>
      <c r="G454" t="b">
        <v>0</v>
      </c>
      <c r="H454" t="n">
        <v>25.1</v>
      </c>
      <c r="I454" t="inlineStr">
        <is>
          <t>a</t>
        </is>
      </c>
      <c r="M454" t="n">
        <v>110</v>
      </c>
      <c r="Q454" t="n">
        <v>0</v>
      </c>
      <c r="S454" t="n">
        <v>0</v>
      </c>
      <c r="T454" t="n">
        <v>0</v>
      </c>
      <c r="V454" t="n">
        <v>0</v>
      </c>
      <c r="X454" t="n">
        <v>0</v>
      </c>
      <c r="Y454" t="n">
        <v>0</v>
      </c>
      <c r="AA454" t="n">
        <v>0</v>
      </c>
      <c r="AB454" t="n">
        <v>0</v>
      </c>
      <c r="AC454" t="n">
        <v>0</v>
      </c>
      <c r="AD454" t="n">
        <v>0</v>
      </c>
      <c r="AE454" t="n">
        <v>0</v>
      </c>
      <c r="AF454" t="n">
        <v>0</v>
      </c>
      <c r="AG454" t="n">
        <v>0</v>
      </c>
      <c r="AH454" t="n">
        <v>0</v>
      </c>
      <c r="AI454" t="n">
        <v>0</v>
      </c>
      <c r="AL454" t="n">
        <v>0</v>
      </c>
      <c r="AN454" t="n">
        <v>0</v>
      </c>
      <c r="AO454" t="n">
        <v>0</v>
      </c>
      <c r="AS454" t="n">
        <v>0</v>
      </c>
      <c r="AU454" t="n">
        <v>0</v>
      </c>
      <c r="AV454" t="n">
        <v>0</v>
      </c>
      <c r="AW454" t="n">
        <v>0</v>
      </c>
      <c r="AX454" t="n">
        <v>0</v>
      </c>
      <c r="AY454" t="n">
        <v>0</v>
      </c>
      <c r="BA454" t="n">
        <v>0</v>
      </c>
      <c r="BL454" t="n">
        <v>0</v>
      </c>
      <c r="BW454" t="n">
        <v>0</v>
      </c>
      <c r="BY454" t="n">
        <v>0</v>
      </c>
      <c r="CA454" t="n">
        <v>0</v>
      </c>
      <c r="CK454" t="n">
        <v>0</v>
      </c>
      <c r="CL454" t="n">
        <v>0</v>
      </c>
      <c r="CM454" t="n">
        <v>0</v>
      </c>
      <c r="CW454" t="n">
        <v>0</v>
      </c>
      <c r="CY454" t="n">
        <v>0</v>
      </c>
      <c r="DB454" t="n">
        <v>0</v>
      </c>
      <c r="DF454" t="n">
        <v>0</v>
      </c>
      <c r="DG454" t="n">
        <v>0</v>
      </c>
      <c r="DO454" t="n">
        <v>0.9</v>
      </c>
      <c r="DP454" t="n">
        <v>115.08</v>
      </c>
      <c r="DQ454" t="n">
        <v>57.54</v>
      </c>
      <c r="DR454" t="n">
        <v>115.08</v>
      </c>
      <c r="DS454" t="n">
        <v>0</v>
      </c>
      <c r="DT454" t="n">
        <v>3385</v>
      </c>
      <c r="DU454" t="n">
        <v>89.09</v>
      </c>
      <c r="DV454" t="inlineStr">
        <is>
          <t>flat</t>
        </is>
      </c>
      <c r="DW454" t="n">
        <v>110.46</v>
      </c>
      <c r="DX454" t="n">
        <v>107.26</v>
      </c>
      <c r="DY454" t="n">
        <v>111.27</v>
      </c>
      <c r="DZ454" t="n">
        <v>0.8100000000000001</v>
      </c>
      <c r="EA454" t="n">
        <v>361</v>
      </c>
      <c r="EB454" t="n">
        <v>17.64</v>
      </c>
      <c r="EC454" t="n">
        <v>6.67</v>
      </c>
      <c r="ED454" t="n">
        <v>120</v>
      </c>
      <c r="EE454" t="n">
        <v>515</v>
      </c>
      <c r="EF454" t="b">
        <v>1</v>
      </c>
      <c r="EG454" t="n">
        <v>11.6</v>
      </c>
      <c r="EH454" t="n">
        <v>8.699999999999999</v>
      </c>
      <c r="EI454" t="n">
        <v>479</v>
      </c>
    </row>
    <row r="455">
      <c r="A455" t="inlineStr">
        <is>
          <t>Darko Gyabi</t>
        </is>
      </c>
      <c r="B455" t="inlineStr">
        <is>
          <t>HUL</t>
        </is>
      </c>
      <c r="C455" t="inlineStr">
        <is>
          <t>MID</t>
        </is>
      </c>
      <c r="D455" t="inlineStr">
        <is>
          <t>MID</t>
        </is>
      </c>
      <c r="E455" t="n">
        <v>4.5</v>
      </c>
      <c r="F455" t="b">
        <v>1</v>
      </c>
      <c r="G455" t="b">
        <v>0</v>
      </c>
      <c r="H455" t="n">
        <v>22.5</v>
      </c>
      <c r="I455" t="inlineStr">
        <is>
          <t>i</t>
        </is>
      </c>
      <c r="J455" t="inlineStr">
        <is>
          <t>Thigh injury - Unknown return date</t>
        </is>
      </c>
      <c r="K455" t="n">
        <v>0</v>
      </c>
      <c r="M455" t="n">
        <v>297</v>
      </c>
      <c r="Q455" t="n">
        <v>0</v>
      </c>
      <c r="S455" t="n">
        <v>0</v>
      </c>
      <c r="T455" t="n">
        <v>0</v>
      </c>
      <c r="V455" t="n">
        <v>0</v>
      </c>
      <c r="X455" t="n">
        <v>0</v>
      </c>
      <c r="Y455" t="n">
        <v>0</v>
      </c>
      <c r="AA455" t="n">
        <v>0</v>
      </c>
      <c r="AB455" t="n">
        <v>0</v>
      </c>
      <c r="AC455" t="n">
        <v>0</v>
      </c>
      <c r="AD455" t="n">
        <v>0</v>
      </c>
      <c r="AE455" t="n">
        <v>0</v>
      </c>
      <c r="AF455" t="n">
        <v>0</v>
      </c>
      <c r="AG455" t="n">
        <v>0</v>
      </c>
      <c r="AH455" t="n">
        <v>0</v>
      </c>
      <c r="AI455" t="n">
        <v>0</v>
      </c>
      <c r="AL455" t="n">
        <v>0</v>
      </c>
      <c r="AN455" t="n">
        <v>0</v>
      </c>
      <c r="AO455" t="n">
        <v>0</v>
      </c>
      <c r="AS455" t="n">
        <v>0</v>
      </c>
      <c r="AU455" t="n">
        <v>0</v>
      </c>
      <c r="AV455" t="n">
        <v>0</v>
      </c>
      <c r="AW455" t="n">
        <v>0</v>
      </c>
      <c r="AX455" t="n">
        <v>0</v>
      </c>
      <c r="AY455" t="n">
        <v>0</v>
      </c>
      <c r="BA455" t="n">
        <v>0</v>
      </c>
      <c r="BL455" t="n">
        <v>0</v>
      </c>
      <c r="BW455" t="n">
        <v>0</v>
      </c>
      <c r="BY455" t="n">
        <v>0</v>
      </c>
      <c r="CA455" t="n">
        <v>0</v>
      </c>
      <c r="CK455" t="n">
        <v>0</v>
      </c>
      <c r="CL455" t="n">
        <v>0</v>
      </c>
      <c r="CM455" t="n">
        <v>0</v>
      </c>
      <c r="CW455" t="n">
        <v>0</v>
      </c>
      <c r="CY455" t="n">
        <v>0</v>
      </c>
      <c r="DB455" t="n">
        <v>0</v>
      </c>
      <c r="DF455" t="n">
        <v>0</v>
      </c>
      <c r="DG455" t="n">
        <v>0</v>
      </c>
      <c r="DO455" t="n">
        <v>0.1</v>
      </c>
      <c r="DP455" t="n">
        <v>0</v>
      </c>
      <c r="DQ455" t="n">
        <v>0</v>
      </c>
      <c r="DR455" t="n">
        <v>0</v>
      </c>
      <c r="DS455" t="n">
        <v>0</v>
      </c>
      <c r="DT455" t="n">
        <v>0</v>
      </c>
      <c r="DU455" t="n">
        <v>0</v>
      </c>
      <c r="DV455" t="inlineStr">
        <is>
          <t>flat</t>
        </is>
      </c>
      <c r="DW455" t="n">
        <v>52.6</v>
      </c>
      <c r="DX455" t="n">
        <v>98</v>
      </c>
      <c r="DY455" t="n">
        <v>29.9</v>
      </c>
      <c r="DZ455" t="n">
        <v>-22.7</v>
      </c>
      <c r="EA455" t="n">
        <v>2</v>
      </c>
      <c r="EB455" t="n">
        <v>39.45</v>
      </c>
      <c r="EC455" t="n">
        <v>26.67</v>
      </c>
      <c r="ED455" t="n">
        <v>98</v>
      </c>
      <c r="EE455" t="n">
        <v>3</v>
      </c>
      <c r="EF455" t="b">
        <v>0</v>
      </c>
      <c r="EG455" t="n">
        <v>0.1</v>
      </c>
      <c r="EH455" t="n">
        <v>0</v>
      </c>
      <c r="EI455" t="n">
        <v>495</v>
      </c>
    </row>
    <row r="456">
      <c r="A456" t="inlineStr">
        <is>
          <t>Samuel Iling-Junior</t>
        </is>
      </c>
      <c r="B456" t="inlineStr">
        <is>
          <t>AVL</t>
        </is>
      </c>
      <c r="C456" t="inlineStr">
        <is>
          <t>MID</t>
        </is>
      </c>
      <c r="D456" t="inlineStr">
        <is>
          <t>MID</t>
        </is>
      </c>
      <c r="E456" t="n">
        <v>5</v>
      </c>
      <c r="F456" t="b">
        <v>1</v>
      </c>
      <c r="G456" t="b">
        <v>0</v>
      </c>
      <c r="H456" t="n">
        <v>22.9</v>
      </c>
      <c r="I456" t="inlineStr">
        <is>
          <t>a</t>
        </is>
      </c>
      <c r="M456" t="n">
        <v>49</v>
      </c>
      <c r="Q456" t="n">
        <v>0</v>
      </c>
      <c r="S456" t="n">
        <v>0</v>
      </c>
      <c r="T456" t="n">
        <v>0</v>
      </c>
      <c r="V456" t="n">
        <v>0</v>
      </c>
      <c r="X456" t="n">
        <v>0</v>
      </c>
      <c r="Y456" t="n">
        <v>0</v>
      </c>
      <c r="AA456" t="n">
        <v>0</v>
      </c>
      <c r="AB456" t="n">
        <v>0</v>
      </c>
      <c r="AC456" t="n">
        <v>0</v>
      </c>
      <c r="AD456" t="n">
        <v>0</v>
      </c>
      <c r="AE456" t="n">
        <v>0</v>
      </c>
      <c r="AF456" t="n">
        <v>0</v>
      </c>
      <c r="AG456" t="n">
        <v>0</v>
      </c>
      <c r="AH456" t="n">
        <v>0</v>
      </c>
      <c r="AI456" t="n">
        <v>0</v>
      </c>
      <c r="AL456" t="n">
        <v>0</v>
      </c>
      <c r="AN456" t="n">
        <v>0</v>
      </c>
      <c r="AO456" t="n">
        <v>0</v>
      </c>
      <c r="AS456" t="n">
        <v>0</v>
      </c>
      <c r="AU456" t="n">
        <v>0</v>
      </c>
      <c r="AV456" t="n">
        <v>0</v>
      </c>
      <c r="AW456" t="n">
        <v>0</v>
      </c>
      <c r="AX456" t="n">
        <v>0</v>
      </c>
      <c r="AY456" t="n">
        <v>0</v>
      </c>
      <c r="BA456" t="n">
        <v>0</v>
      </c>
      <c r="BL456" t="n">
        <v>0</v>
      </c>
      <c r="BW456" t="n">
        <v>0</v>
      </c>
      <c r="BY456" t="n">
        <v>0</v>
      </c>
      <c r="CA456" t="n">
        <v>0</v>
      </c>
      <c r="CK456" t="n">
        <v>0</v>
      </c>
      <c r="CL456" t="n">
        <v>0</v>
      </c>
      <c r="CM456" t="n">
        <v>0</v>
      </c>
      <c r="CW456" t="n">
        <v>0</v>
      </c>
      <c r="CY456" t="n">
        <v>0</v>
      </c>
      <c r="DB456" t="n">
        <v>0</v>
      </c>
      <c r="DF456" t="n">
        <v>0</v>
      </c>
      <c r="DG456" t="n">
        <v>0</v>
      </c>
      <c r="DO456" t="n">
        <v>0</v>
      </c>
      <c r="DP456" t="n">
        <v>0</v>
      </c>
      <c r="DQ456" t="n">
        <v>0</v>
      </c>
      <c r="DR456" t="n">
        <v>0</v>
      </c>
      <c r="DS456" t="n">
        <v>0</v>
      </c>
      <c r="DT456" t="n">
        <v>0</v>
      </c>
      <c r="DU456" t="n">
        <v>0</v>
      </c>
      <c r="DV456" t="inlineStr">
        <is>
          <t>flat</t>
        </is>
      </c>
      <c r="DW456" t="n">
        <v>104</v>
      </c>
      <c r="EC456" t="n">
        <v>104</v>
      </c>
      <c r="ED456" t="n">
        <v>104</v>
      </c>
      <c r="EE456" t="n">
        <v>1</v>
      </c>
      <c r="EF456" t="b">
        <v>0</v>
      </c>
      <c r="EG456" t="n">
        <v>0</v>
      </c>
      <c r="EH456" t="n">
        <v>50</v>
      </c>
      <c r="EI456" t="n">
        <v>335</v>
      </c>
    </row>
    <row r="457">
      <c r="A457" t="inlineStr">
        <is>
          <t>Mykhailo Mudryk</t>
        </is>
      </c>
      <c r="B457" t="inlineStr">
        <is>
          <t>CHE</t>
        </is>
      </c>
      <c r="C457" t="inlineStr">
        <is>
          <t>MID</t>
        </is>
      </c>
      <c r="D457" t="inlineStr">
        <is>
          <t>MID</t>
        </is>
      </c>
      <c r="E457" t="n">
        <v>5.5</v>
      </c>
      <c r="F457" t="b">
        <v>1</v>
      </c>
      <c r="G457" t="b">
        <v>0</v>
      </c>
      <c r="H457" t="n">
        <v>25.6</v>
      </c>
      <c r="I457" t="inlineStr">
        <is>
          <t>a</t>
        </is>
      </c>
      <c r="M457" t="n">
        <v>578</v>
      </c>
      <c r="Q457" t="n">
        <v>0</v>
      </c>
      <c r="S457" t="n">
        <v>0</v>
      </c>
      <c r="T457" t="n">
        <v>0</v>
      </c>
      <c r="V457" t="n">
        <v>0</v>
      </c>
      <c r="X457" t="n">
        <v>0</v>
      </c>
      <c r="Y457" t="n">
        <v>0</v>
      </c>
      <c r="AA457" t="n">
        <v>0</v>
      </c>
      <c r="AB457" t="n">
        <v>0</v>
      </c>
      <c r="AC457" t="n">
        <v>0</v>
      </c>
      <c r="AD457" t="n">
        <v>0</v>
      </c>
      <c r="AE457" t="n">
        <v>0</v>
      </c>
      <c r="AF457" t="n">
        <v>0</v>
      </c>
      <c r="AG457" t="n">
        <v>0</v>
      </c>
      <c r="AH457" t="n">
        <v>0</v>
      </c>
      <c r="AI457" t="n">
        <v>0</v>
      </c>
      <c r="AL457" t="n">
        <v>0</v>
      </c>
      <c r="AN457" t="n">
        <v>0</v>
      </c>
      <c r="AO457" t="n">
        <v>0</v>
      </c>
      <c r="AS457" t="n">
        <v>0</v>
      </c>
      <c r="AU457" t="n">
        <v>0</v>
      </c>
      <c r="AV457" t="n">
        <v>0</v>
      </c>
      <c r="AW457" t="n">
        <v>0</v>
      </c>
      <c r="AX457" t="n">
        <v>0</v>
      </c>
      <c r="AY457" t="n">
        <v>0</v>
      </c>
      <c r="BA457" t="n">
        <v>0</v>
      </c>
      <c r="BL457" t="n">
        <v>0</v>
      </c>
      <c r="BW457" t="n">
        <v>0</v>
      </c>
      <c r="BY457" t="n">
        <v>0</v>
      </c>
      <c r="CA457" t="n">
        <v>0</v>
      </c>
      <c r="CK457" t="n">
        <v>0</v>
      </c>
      <c r="CL457" t="n">
        <v>0</v>
      </c>
      <c r="CM457" t="n">
        <v>0</v>
      </c>
      <c r="CW457" t="n">
        <v>0</v>
      </c>
      <c r="CY457" t="n">
        <v>0</v>
      </c>
      <c r="DB457" t="n">
        <v>0</v>
      </c>
      <c r="DF457" t="n">
        <v>0</v>
      </c>
      <c r="DG457" t="n">
        <v>0</v>
      </c>
      <c r="DO457" t="n">
        <v>0</v>
      </c>
      <c r="DP457" t="n">
        <v>13.3</v>
      </c>
      <c r="DQ457" t="n">
        <v>6.71</v>
      </c>
      <c r="DR457" t="n">
        <v>13.42</v>
      </c>
      <c r="DS457" t="n">
        <v>-0.12</v>
      </c>
      <c r="DT457" t="n">
        <v>20</v>
      </c>
      <c r="DU457" t="n">
        <v>0.52</v>
      </c>
      <c r="DV457" t="inlineStr">
        <is>
          <t>flat</t>
        </is>
      </c>
      <c r="DW457" t="n">
        <v>94.72</v>
      </c>
      <c r="DX457" t="n">
        <v>92.33</v>
      </c>
      <c r="DY457" t="n">
        <v>94.72</v>
      </c>
      <c r="DZ457" t="n">
        <v>0</v>
      </c>
      <c r="EA457" t="n">
        <v>9</v>
      </c>
      <c r="EB457" t="n">
        <v>25.54</v>
      </c>
      <c r="EC457" t="n">
        <v>48.5</v>
      </c>
      <c r="ED457" t="n">
        <v>120</v>
      </c>
      <c r="EE457" t="n">
        <v>9</v>
      </c>
      <c r="EF457" t="b">
        <v>0</v>
      </c>
      <c r="EG457" t="n">
        <v>0.2</v>
      </c>
      <c r="EH457" t="n">
        <v>0</v>
      </c>
      <c r="EI457" t="n">
        <v>220</v>
      </c>
    </row>
    <row r="458">
      <c r="A458" t="inlineStr">
        <is>
          <t>Ashley Phillips</t>
        </is>
      </c>
      <c r="B458" t="inlineStr">
        <is>
          <t>TOT</t>
        </is>
      </c>
      <c r="C458" t="inlineStr">
        <is>
          <t>DEF</t>
        </is>
      </c>
      <c r="D458" t="inlineStr">
        <is>
          <t>DEF</t>
        </is>
      </c>
      <c r="E458" t="n">
        <v>4.5</v>
      </c>
      <c r="F458" t="b">
        <v>1</v>
      </c>
      <c r="G458" t="b">
        <v>0</v>
      </c>
      <c r="H458" t="n">
        <v>21.2</v>
      </c>
      <c r="I458" t="inlineStr">
        <is>
          <t>a</t>
        </is>
      </c>
      <c r="M458" t="n">
        <v>507</v>
      </c>
      <c r="Q458" t="n">
        <v>0</v>
      </c>
      <c r="S458" t="n">
        <v>0</v>
      </c>
      <c r="T458" t="n">
        <v>0</v>
      </c>
      <c r="V458" t="n">
        <v>0</v>
      </c>
      <c r="X458" t="n">
        <v>0</v>
      </c>
      <c r="Y458" t="n">
        <v>0</v>
      </c>
      <c r="AA458" t="n">
        <v>0</v>
      </c>
      <c r="AB458" t="n">
        <v>0</v>
      </c>
      <c r="AC458" t="n">
        <v>0</v>
      </c>
      <c r="AD458" t="n">
        <v>0</v>
      </c>
      <c r="AE458" t="n">
        <v>0</v>
      </c>
      <c r="AF458" t="n">
        <v>0</v>
      </c>
      <c r="AG458" t="n">
        <v>0</v>
      </c>
      <c r="AH458" t="n">
        <v>0</v>
      </c>
      <c r="AI458" t="n">
        <v>0</v>
      </c>
      <c r="AL458" t="n">
        <v>0</v>
      </c>
      <c r="AN458" t="n">
        <v>0</v>
      </c>
      <c r="AO458" t="n">
        <v>0</v>
      </c>
      <c r="AS458" t="n">
        <v>0</v>
      </c>
      <c r="AU458" t="n">
        <v>0</v>
      </c>
      <c r="AV458" t="n">
        <v>0</v>
      </c>
      <c r="AW458" t="n">
        <v>0</v>
      </c>
      <c r="AX458" t="n">
        <v>0</v>
      </c>
      <c r="AY458" t="n">
        <v>0</v>
      </c>
      <c r="BA458" t="n">
        <v>0</v>
      </c>
      <c r="BL458" t="n">
        <v>0</v>
      </c>
      <c r="BW458" t="n">
        <v>0</v>
      </c>
      <c r="BY458" t="n">
        <v>0</v>
      </c>
      <c r="CA458" t="n">
        <v>0</v>
      </c>
      <c r="CK458" t="n">
        <v>0</v>
      </c>
      <c r="CL458" t="n">
        <v>0</v>
      </c>
      <c r="CM458" t="n">
        <v>0</v>
      </c>
      <c r="CW458" t="n">
        <v>0</v>
      </c>
      <c r="CY458" t="n">
        <v>0</v>
      </c>
      <c r="DB458" t="n">
        <v>0</v>
      </c>
      <c r="DF458" t="n">
        <v>0</v>
      </c>
      <c r="DG458" t="n">
        <v>0</v>
      </c>
      <c r="DO458" t="n">
        <v>0.1</v>
      </c>
      <c r="DP458" t="n">
        <v>0</v>
      </c>
      <c r="DQ458" t="n">
        <v>0</v>
      </c>
      <c r="DR458" t="n">
        <v>0</v>
      </c>
      <c r="DS458" t="n">
        <v>0</v>
      </c>
      <c r="DT458" t="n">
        <v>0</v>
      </c>
      <c r="DU458" t="n">
        <v>0</v>
      </c>
      <c r="DV458" t="inlineStr">
        <is>
          <t>flat</t>
        </is>
      </c>
      <c r="DW458" t="n">
        <v>89.33</v>
      </c>
      <c r="DY458" t="n">
        <v>89.33</v>
      </c>
      <c r="DZ458" t="n">
        <v>0</v>
      </c>
      <c r="EA458" t="n">
        <v>1</v>
      </c>
      <c r="EC458" t="n">
        <v>89.33</v>
      </c>
      <c r="ED458" t="n">
        <v>89.33</v>
      </c>
      <c r="EE458" t="n">
        <v>1</v>
      </c>
      <c r="EF458" t="b">
        <v>0</v>
      </c>
      <c r="EG458" t="n">
        <v>0</v>
      </c>
      <c r="EH458" t="n">
        <v>50</v>
      </c>
      <c r="EI458" t="n">
        <v>514</v>
      </c>
    </row>
    <row r="459">
      <c r="A459" t="inlineStr">
        <is>
          <t>Jesurun Rak-Sakyi</t>
        </is>
      </c>
      <c r="B459" t="inlineStr">
        <is>
          <t>CRY</t>
        </is>
      </c>
      <c r="C459" t="inlineStr">
        <is>
          <t>MID</t>
        </is>
      </c>
      <c r="D459" t="inlineStr">
        <is>
          <t>MID</t>
        </is>
      </c>
      <c r="E459" t="n">
        <v>5</v>
      </c>
      <c r="F459" t="b">
        <v>1</v>
      </c>
      <c r="G459" t="b">
        <v>0</v>
      </c>
      <c r="H459" t="n">
        <v>23.9</v>
      </c>
      <c r="I459" t="inlineStr">
        <is>
          <t>a</t>
        </is>
      </c>
      <c r="M459" t="n">
        <v>219</v>
      </c>
      <c r="Q459" t="n">
        <v>0</v>
      </c>
      <c r="S459" t="n">
        <v>0</v>
      </c>
      <c r="T459" t="n">
        <v>0</v>
      </c>
      <c r="V459" t="n">
        <v>0</v>
      </c>
      <c r="X459" t="n">
        <v>0</v>
      </c>
      <c r="Y459" t="n">
        <v>0</v>
      </c>
      <c r="AA459" t="n">
        <v>0</v>
      </c>
      <c r="AB459" t="n">
        <v>0</v>
      </c>
      <c r="AC459" t="n">
        <v>0</v>
      </c>
      <c r="AD459" t="n">
        <v>0</v>
      </c>
      <c r="AE459" t="n">
        <v>0</v>
      </c>
      <c r="AF459" t="n">
        <v>0</v>
      </c>
      <c r="AG459" t="n">
        <v>0</v>
      </c>
      <c r="AH459" t="n">
        <v>0</v>
      </c>
      <c r="AI459" t="n">
        <v>0</v>
      </c>
      <c r="AL459" t="n">
        <v>0</v>
      </c>
      <c r="AN459" t="n">
        <v>0</v>
      </c>
      <c r="AO459" t="n">
        <v>0</v>
      </c>
      <c r="AS459" t="n">
        <v>0</v>
      </c>
      <c r="AU459" t="n">
        <v>0</v>
      </c>
      <c r="AV459" t="n">
        <v>0</v>
      </c>
      <c r="AW459" t="n">
        <v>0</v>
      </c>
      <c r="AX459" t="n">
        <v>0</v>
      </c>
      <c r="AY459" t="n">
        <v>0</v>
      </c>
      <c r="BA459" t="n">
        <v>0</v>
      </c>
      <c r="BL459" t="n">
        <v>0</v>
      </c>
      <c r="BW459" t="n">
        <v>0</v>
      </c>
      <c r="BY459" t="n">
        <v>0</v>
      </c>
      <c r="CA459" t="n">
        <v>0</v>
      </c>
      <c r="CK459" t="n">
        <v>0</v>
      </c>
      <c r="CL459" t="n">
        <v>0</v>
      </c>
      <c r="CM459" t="n">
        <v>0</v>
      </c>
      <c r="CW459" t="n">
        <v>0</v>
      </c>
      <c r="CY459" t="n">
        <v>0</v>
      </c>
      <c r="DB459" t="n">
        <v>0</v>
      </c>
      <c r="DF459" t="n">
        <v>0</v>
      </c>
      <c r="DG459" t="n">
        <v>0</v>
      </c>
      <c r="DO459" t="n">
        <v>0</v>
      </c>
      <c r="DP459" t="n">
        <v>0</v>
      </c>
      <c r="DQ459" t="n">
        <v>0</v>
      </c>
      <c r="DR459" t="n">
        <v>0</v>
      </c>
      <c r="DS459" t="n">
        <v>0</v>
      </c>
      <c r="DT459" t="n">
        <v>0</v>
      </c>
      <c r="DU459" t="n">
        <v>0</v>
      </c>
      <c r="DV459" t="inlineStr">
        <is>
          <t>flat</t>
        </is>
      </c>
      <c r="DW459" t="n">
        <v>24</v>
      </c>
      <c r="EC459" t="n">
        <v>24</v>
      </c>
      <c r="ED459" t="n">
        <v>24</v>
      </c>
      <c r="EE459" t="n">
        <v>1</v>
      </c>
      <c r="EF459" t="b">
        <v>0</v>
      </c>
      <c r="EG459" t="n">
        <v>0</v>
      </c>
      <c r="EH459" t="n">
        <v>0</v>
      </c>
      <c r="EI459" t="n">
        <v>349</v>
      </c>
    </row>
    <row r="460">
      <c r="A460" t="inlineStr">
        <is>
          <t>Fábio Ferreira Vieira</t>
        </is>
      </c>
      <c r="B460" t="inlineStr">
        <is>
          <t>ARS</t>
        </is>
      </c>
      <c r="C460" t="inlineStr">
        <is>
          <t>MID</t>
        </is>
      </c>
      <c r="D460" t="inlineStr">
        <is>
          <t>MID</t>
        </is>
      </c>
      <c r="E460" t="n">
        <v>5.5</v>
      </c>
      <c r="F460" t="b">
        <v>1</v>
      </c>
      <c r="G460" t="b">
        <v>0</v>
      </c>
      <c r="H460" t="n">
        <v>26.2</v>
      </c>
      <c r="I460" t="inlineStr">
        <is>
          <t>a</t>
        </is>
      </c>
      <c r="M460" t="n">
        <v>23</v>
      </c>
      <c r="Q460" t="n">
        <v>0</v>
      </c>
      <c r="S460" t="n">
        <v>0</v>
      </c>
      <c r="T460" t="n">
        <v>0</v>
      </c>
      <c r="V460" t="n">
        <v>0</v>
      </c>
      <c r="X460" t="n">
        <v>0</v>
      </c>
      <c r="Y460" t="n">
        <v>0</v>
      </c>
      <c r="AA460" t="n">
        <v>0</v>
      </c>
      <c r="AB460" t="n">
        <v>0</v>
      </c>
      <c r="AC460" t="n">
        <v>0</v>
      </c>
      <c r="AD460" t="n">
        <v>0</v>
      </c>
      <c r="AE460" t="n">
        <v>0</v>
      </c>
      <c r="AF460" t="n">
        <v>0</v>
      </c>
      <c r="AG460" t="n">
        <v>0</v>
      </c>
      <c r="AH460" t="n">
        <v>0</v>
      </c>
      <c r="AI460" t="n">
        <v>0</v>
      </c>
      <c r="AL460" t="n">
        <v>0</v>
      </c>
      <c r="AN460" t="n">
        <v>0</v>
      </c>
      <c r="AO460" t="n">
        <v>0</v>
      </c>
      <c r="AS460" t="n">
        <v>0</v>
      </c>
      <c r="AU460" t="n">
        <v>0</v>
      </c>
      <c r="AV460" t="n">
        <v>0</v>
      </c>
      <c r="AW460" t="n">
        <v>0</v>
      </c>
      <c r="AX460" t="n">
        <v>0</v>
      </c>
      <c r="AY460" t="n">
        <v>0</v>
      </c>
      <c r="BA460" t="n">
        <v>0</v>
      </c>
      <c r="BL460" t="n">
        <v>0</v>
      </c>
      <c r="BW460" t="n">
        <v>0</v>
      </c>
      <c r="BY460" t="n">
        <v>0</v>
      </c>
      <c r="CA460" t="n">
        <v>0</v>
      </c>
      <c r="CK460" t="n">
        <v>0</v>
      </c>
      <c r="CL460" t="n">
        <v>0</v>
      </c>
      <c r="CM460" t="n">
        <v>0</v>
      </c>
      <c r="CW460" t="n">
        <v>0</v>
      </c>
      <c r="CY460" t="n">
        <v>0</v>
      </c>
      <c r="DB460" t="n">
        <v>0</v>
      </c>
      <c r="DF460" t="n">
        <v>0</v>
      </c>
      <c r="DG460" t="n">
        <v>0</v>
      </c>
      <c r="DO460" t="n">
        <v>0</v>
      </c>
      <c r="DP460" t="n">
        <v>0</v>
      </c>
      <c r="DQ460" t="n">
        <v>0</v>
      </c>
      <c r="DR460" t="n">
        <v>0</v>
      </c>
      <c r="DS460" t="n">
        <v>0</v>
      </c>
      <c r="DT460" t="n">
        <v>0</v>
      </c>
      <c r="DU460" t="n">
        <v>0</v>
      </c>
      <c r="DV460" t="inlineStr">
        <is>
          <t>flat</t>
        </is>
      </c>
      <c r="DW460" t="n">
        <v>75.5</v>
      </c>
      <c r="DX460" t="n">
        <v>83.5</v>
      </c>
      <c r="EB460" t="n">
        <v>18.01</v>
      </c>
      <c r="EC460" t="n">
        <v>59.5</v>
      </c>
      <c r="ED460" t="n">
        <v>95</v>
      </c>
      <c r="EE460" t="n">
        <v>3</v>
      </c>
      <c r="EF460" t="b">
        <v>0</v>
      </c>
      <c r="EG460" t="n">
        <v>0.1</v>
      </c>
      <c r="EH460" t="n">
        <v>40</v>
      </c>
      <c r="EI460" t="n">
        <v>200</v>
      </c>
    </row>
    <row r="461">
      <c r="A461" t="inlineStr">
        <is>
          <t>James Milner</t>
        </is>
      </c>
      <c r="D461" t="inlineStr">
        <is>
          <t>MID</t>
        </is>
      </c>
      <c r="F461" t="b">
        <v>0</v>
      </c>
      <c r="G461" t="b">
        <v>1</v>
      </c>
      <c r="L461" t="inlineStr">
        <is>
          <t>p15157</t>
        </is>
      </c>
      <c r="Q461" t="n">
        <v>778</v>
      </c>
      <c r="R461" t="n">
        <v>20</v>
      </c>
      <c r="T461" t="n">
        <v>8.644</v>
      </c>
      <c r="U461" t="n">
        <v>38.9</v>
      </c>
      <c r="Z461" t="n">
        <v>1</v>
      </c>
      <c r="AD461" t="n">
        <v>0</v>
      </c>
      <c r="AE461" t="n">
        <v>0</v>
      </c>
      <c r="AG461" t="n">
        <v>151</v>
      </c>
      <c r="AH461" t="n">
        <v>-7</v>
      </c>
      <c r="AI461" t="n">
        <v>35</v>
      </c>
      <c r="AN461" t="n">
        <v>0</v>
      </c>
      <c r="AO461" t="n">
        <v>0</v>
      </c>
      <c r="AP461" t="n">
        <v>0</v>
      </c>
      <c r="AQ461" t="n">
        <v>0.286</v>
      </c>
      <c r="AR461" t="n">
        <v>0</v>
      </c>
      <c r="AS461" t="n">
        <v>0.184</v>
      </c>
      <c r="AT461" t="n">
        <v>0.35</v>
      </c>
      <c r="AU461" t="n">
        <v>16</v>
      </c>
      <c r="AV461" t="n">
        <v>0</v>
      </c>
      <c r="AW461" t="n">
        <v>1.3</v>
      </c>
      <c r="AX461" t="n">
        <v>6</v>
      </c>
      <c r="AZ461" t="n">
        <v>0.979</v>
      </c>
      <c r="BA461" t="n">
        <v>0.979</v>
      </c>
      <c r="BB461" t="n">
        <v>0.218</v>
      </c>
      <c r="BD461" t="n">
        <v>0.113</v>
      </c>
      <c r="BE461" t="n">
        <v>0.113</v>
      </c>
      <c r="BF461" t="n">
        <v>0.9</v>
      </c>
      <c r="BG461" t="n">
        <v>0.104</v>
      </c>
      <c r="BH461" t="n">
        <v>0.931</v>
      </c>
      <c r="BI461" t="n">
        <v>1.88</v>
      </c>
      <c r="BJ461" t="n">
        <v>0.959</v>
      </c>
      <c r="BK461" t="n">
        <v>0.111</v>
      </c>
      <c r="BP461" t="n">
        <v>8</v>
      </c>
      <c r="BQ461" t="n">
        <v>2</v>
      </c>
      <c r="BS461" t="n">
        <v>8</v>
      </c>
      <c r="BT461" t="n">
        <v>0.925</v>
      </c>
      <c r="BU461" t="n">
        <v>1</v>
      </c>
      <c r="BX461" t="n">
        <v>0.655</v>
      </c>
      <c r="BY461" t="n">
        <v>0.655</v>
      </c>
      <c r="BZ461" t="n">
        <v>0.076</v>
      </c>
      <c r="CA461" t="n">
        <v>1.634</v>
      </c>
      <c r="CB461" t="n">
        <v>0.189</v>
      </c>
      <c r="CC461" t="n">
        <v>8</v>
      </c>
      <c r="CD461" t="n">
        <v>1</v>
      </c>
      <c r="CE461" t="n">
        <v>8</v>
      </c>
      <c r="CF461" t="n">
        <v>6</v>
      </c>
      <c r="CG461" t="n">
        <v>1</v>
      </c>
      <c r="CH461" t="n">
        <v>4</v>
      </c>
      <c r="CI461" t="n">
        <v>3.979</v>
      </c>
      <c r="CJ461" t="n">
        <v>3.793</v>
      </c>
      <c r="CN461" t="n">
        <v>9</v>
      </c>
      <c r="CO461" t="n">
        <v>6</v>
      </c>
      <c r="CP461" t="n">
        <v>19</v>
      </c>
      <c r="CQ461" t="n">
        <v>1</v>
      </c>
      <c r="CR461" t="n">
        <v>25</v>
      </c>
      <c r="CS461" t="n">
        <v>6</v>
      </c>
      <c r="CT461" t="n">
        <v>0.2</v>
      </c>
      <c r="CU461" t="n">
        <v>1</v>
      </c>
      <c r="DH461" t="n">
        <v>15</v>
      </c>
      <c r="DI461" t="n">
        <v>3</v>
      </c>
      <c r="DL461" t="n">
        <v>1</v>
      </c>
      <c r="DM461" t="n">
        <v>3</v>
      </c>
      <c r="DN461" t="n">
        <v>1</v>
      </c>
      <c r="EJ461" t="n">
        <v>97.2</v>
      </c>
      <c r="EK461" t="n">
        <v>97.2</v>
      </c>
      <c r="EL461" t="n">
        <v>97.2</v>
      </c>
      <c r="EM461" t="n">
        <v>794.3</v>
      </c>
      <c r="EN461" t="n">
        <v>1187.9</v>
      </c>
      <c r="EO461" t="n">
        <v>476</v>
      </c>
    </row>
    <row r="462">
      <c r="A462" t="inlineStr">
        <is>
          <t>Ashley Barnes</t>
        </is>
      </c>
      <c r="D462" t="inlineStr">
        <is>
          <t>FWD</t>
        </is>
      </c>
      <c r="F462" t="b">
        <v>0</v>
      </c>
      <c r="G462" t="b">
        <v>1</v>
      </c>
      <c r="L462" t="inlineStr">
        <is>
          <t>p44699</t>
        </is>
      </c>
      <c r="Q462" t="n">
        <v>40</v>
      </c>
      <c r="R462" t="n">
        <v>7</v>
      </c>
      <c r="T462" t="n">
        <v>0.444</v>
      </c>
      <c r="U462" t="n">
        <v>5.7</v>
      </c>
      <c r="AD462" t="n">
        <v>0</v>
      </c>
      <c r="AE462" t="n">
        <v>0</v>
      </c>
      <c r="AG462" t="n">
        <v>11</v>
      </c>
      <c r="AH462" t="n">
        <v>0</v>
      </c>
      <c r="AI462" t="n">
        <v>5</v>
      </c>
      <c r="AN462" t="n">
        <v>0</v>
      </c>
      <c r="AO462" t="n">
        <v>0</v>
      </c>
      <c r="AS462" t="n">
        <v>0</v>
      </c>
      <c r="AT462" t="n">
        <v>0</v>
      </c>
      <c r="AU462" t="n">
        <v>7</v>
      </c>
      <c r="AV462" t="n">
        <v>0</v>
      </c>
      <c r="AW462" t="n">
        <v>0.41</v>
      </c>
      <c r="AX462" t="n">
        <v>1</v>
      </c>
      <c r="AZ462" t="n">
        <v>0.421</v>
      </c>
      <c r="BA462" t="n">
        <v>0.421</v>
      </c>
      <c r="BB462" t="n">
        <v>0.421</v>
      </c>
      <c r="BD462" t="n">
        <v>0.948</v>
      </c>
      <c r="BE462" t="n">
        <v>0.948</v>
      </c>
      <c r="BF462" t="n">
        <v>0.4</v>
      </c>
      <c r="BG462" t="n">
        <v>0.9</v>
      </c>
      <c r="BH462" t="n">
        <v>1.018</v>
      </c>
      <c r="BI462" t="n">
        <v>0.25</v>
      </c>
      <c r="BJ462" t="n">
        <v>0.255</v>
      </c>
      <c r="BK462" t="n">
        <v>0.574</v>
      </c>
      <c r="BP462" t="n">
        <v>2</v>
      </c>
      <c r="BQ462" t="n">
        <v>1</v>
      </c>
      <c r="BR462" t="n">
        <v>1</v>
      </c>
      <c r="BS462" t="n">
        <v>5</v>
      </c>
      <c r="BT462" t="n">
        <v>11.25</v>
      </c>
      <c r="BX462" t="n">
        <v>0</v>
      </c>
      <c r="BY462" t="n">
        <v>0</v>
      </c>
      <c r="BZ462" t="n">
        <v>0</v>
      </c>
      <c r="CA462" t="n">
        <v>0.421</v>
      </c>
      <c r="CB462" t="n">
        <v>0.948</v>
      </c>
      <c r="CC462" t="n">
        <v>0</v>
      </c>
      <c r="CI462" t="n">
        <v>0.115</v>
      </c>
      <c r="CJ462" t="n">
        <v>0</v>
      </c>
      <c r="CR462" t="n">
        <v>10</v>
      </c>
      <c r="CS462" t="n">
        <v>8</v>
      </c>
      <c r="DH462" t="n">
        <v>2</v>
      </c>
      <c r="DI462" t="n">
        <v>2</v>
      </c>
      <c r="DL462" t="n">
        <v>1</v>
      </c>
      <c r="DM462" t="n">
        <v>2</v>
      </c>
      <c r="DN462" t="n">
        <v>2</v>
      </c>
      <c r="EJ462" t="n">
        <v>20</v>
      </c>
      <c r="EK462" t="n">
        <v>8</v>
      </c>
      <c r="EM462" t="n">
        <v>95</v>
      </c>
      <c r="EO462" t="n">
        <v>95</v>
      </c>
    </row>
    <row r="463">
      <c r="A463" t="inlineStr">
        <is>
          <t>David Button</t>
        </is>
      </c>
      <c r="B463" t="inlineStr">
        <is>
          <t>IPS</t>
        </is>
      </c>
      <c r="C463" t="inlineStr">
        <is>
          <t>GKP</t>
        </is>
      </c>
      <c r="E463" t="n">
        <v>4</v>
      </c>
      <c r="F463" t="b">
        <v>1</v>
      </c>
      <c r="G463" t="b">
        <v>0</v>
      </c>
      <c r="H463" t="n">
        <v>37.5</v>
      </c>
      <c r="I463" t="inlineStr">
        <is>
          <t>a</t>
        </is>
      </c>
      <c r="M463" t="n">
        <v>302</v>
      </c>
      <c r="DO463" t="n">
        <v>0.5</v>
      </c>
      <c r="DP463" t="n">
        <v>0</v>
      </c>
      <c r="DQ463" t="n">
        <v>0</v>
      </c>
      <c r="DR463" t="n">
        <v>0</v>
      </c>
      <c r="DS463" t="n">
        <v>0</v>
      </c>
      <c r="DT463" t="n">
        <v>0</v>
      </c>
      <c r="DU463" t="n">
        <v>0</v>
      </c>
      <c r="DV463" t="inlineStr">
        <is>
          <t>flat</t>
        </is>
      </c>
      <c r="DW463" t="n">
        <v>87.67</v>
      </c>
      <c r="DX463" t="n">
        <v>53</v>
      </c>
      <c r="DY463" t="n">
        <v>114.29</v>
      </c>
      <c r="DZ463" t="n">
        <v>26.62</v>
      </c>
      <c r="EA463" t="n">
        <v>1</v>
      </c>
      <c r="EB463" t="n">
        <v>47.79</v>
      </c>
      <c r="EC463" t="n">
        <v>3</v>
      </c>
      <c r="ED463" t="n">
        <v>116.44</v>
      </c>
      <c r="EE463" t="n">
        <v>5</v>
      </c>
      <c r="EF463" t="b">
        <v>0</v>
      </c>
      <c r="EG463" t="n">
        <v>0.1</v>
      </c>
      <c r="EH463" t="n">
        <v>16.7</v>
      </c>
      <c r="EI463" t="n">
        <v>564</v>
      </c>
    </row>
    <row r="464">
      <c r="A464" t="inlineStr">
        <is>
          <t>Nathaniel Clyne</t>
        </is>
      </c>
      <c r="D464" t="inlineStr">
        <is>
          <t>DEF</t>
        </is>
      </c>
      <c r="F464" t="b">
        <v>0</v>
      </c>
      <c r="G464" t="b">
        <v>1</v>
      </c>
      <c r="L464" t="inlineStr">
        <is>
          <t>p57328</t>
        </is>
      </c>
      <c r="Q464" t="n">
        <v>596</v>
      </c>
      <c r="R464" t="n">
        <v>10</v>
      </c>
      <c r="T464" t="n">
        <v>6.622</v>
      </c>
      <c r="U464" t="n">
        <v>59.6</v>
      </c>
      <c r="Z464" t="n">
        <v>1</v>
      </c>
      <c r="AD464" t="n">
        <v>2</v>
      </c>
      <c r="AE464" t="n">
        <v>0</v>
      </c>
      <c r="AG464" t="n">
        <v>45</v>
      </c>
      <c r="AH464" t="n">
        <v>-5</v>
      </c>
      <c r="AI464" t="n">
        <v>17</v>
      </c>
      <c r="AN464" t="n">
        <v>0</v>
      </c>
      <c r="AO464" t="n">
        <v>0</v>
      </c>
      <c r="AP464" t="n">
        <v>0</v>
      </c>
      <c r="AQ464" t="n">
        <v>0</v>
      </c>
      <c r="AR464" t="n">
        <v>0</v>
      </c>
      <c r="AS464" t="n">
        <v>0.184</v>
      </c>
      <c r="AT464" t="n">
        <v>0.6</v>
      </c>
      <c r="AU464" t="n">
        <v>9</v>
      </c>
      <c r="AV464" t="n">
        <v>0</v>
      </c>
      <c r="AW464" t="n">
        <v>1.2</v>
      </c>
      <c r="AX464" t="n">
        <v>7</v>
      </c>
      <c r="AZ464" t="n">
        <v>0.27</v>
      </c>
      <c r="BA464" t="n">
        <v>0.27</v>
      </c>
      <c r="BB464" t="n">
        <v>0.27</v>
      </c>
      <c r="BD464" t="n">
        <v>0.041</v>
      </c>
      <c r="BE464" t="n">
        <v>0.041</v>
      </c>
      <c r="BH464" t="n">
        <v>0.924</v>
      </c>
      <c r="BI464" t="n">
        <v>0.66</v>
      </c>
      <c r="BJ464" t="n">
        <v>0.397</v>
      </c>
      <c r="BK464" t="n">
        <v>0.06</v>
      </c>
      <c r="BP464" t="n">
        <v>3</v>
      </c>
      <c r="BS464" t="n">
        <v>12</v>
      </c>
      <c r="BT464" t="n">
        <v>1.812</v>
      </c>
      <c r="BX464" t="n">
        <v>0.674</v>
      </c>
      <c r="BY464" t="n">
        <v>0.674</v>
      </c>
      <c r="BZ464" t="n">
        <v>0.102</v>
      </c>
      <c r="CA464" t="n">
        <v>0.945</v>
      </c>
      <c r="CB464" t="n">
        <v>0.143</v>
      </c>
      <c r="CC464" t="n">
        <v>3</v>
      </c>
      <c r="CD464" t="n">
        <v>2</v>
      </c>
      <c r="CE464" t="n">
        <v>3</v>
      </c>
      <c r="CF464" t="n">
        <v>2</v>
      </c>
      <c r="CI464" t="n">
        <v>1.497</v>
      </c>
      <c r="CJ464" t="n">
        <v>1.227</v>
      </c>
      <c r="CN464" t="n">
        <v>9</v>
      </c>
      <c r="CO464" t="n">
        <v>5</v>
      </c>
      <c r="CP464" t="n">
        <v>26</v>
      </c>
      <c r="CQ464" t="n">
        <v>2</v>
      </c>
      <c r="CR464" t="n">
        <v>23</v>
      </c>
      <c r="CS464" t="n">
        <v>2</v>
      </c>
      <c r="DH464" t="n">
        <v>4</v>
      </c>
      <c r="DI464" t="n">
        <v>1</v>
      </c>
      <c r="DL464" t="n">
        <v>4</v>
      </c>
      <c r="DM464" t="n">
        <v>1</v>
      </c>
      <c r="EJ464" t="n">
        <v>198.7</v>
      </c>
      <c r="EK464" t="n">
        <v>49.7</v>
      </c>
      <c r="EL464" t="n">
        <v>198.7</v>
      </c>
      <c r="EM464" t="n">
        <v>2206.1</v>
      </c>
      <c r="EN464" t="n">
        <v>883.6</v>
      </c>
      <c r="EO464" t="n">
        <v>630.9</v>
      </c>
    </row>
    <row r="465">
      <c r="A465" t="inlineStr">
        <is>
          <t>Kyle Walker</t>
        </is>
      </c>
      <c r="D465" t="inlineStr">
        <is>
          <t>DEF</t>
        </is>
      </c>
      <c r="F465" t="b">
        <v>0</v>
      </c>
      <c r="G465" t="b">
        <v>1</v>
      </c>
      <c r="L465" t="inlineStr">
        <is>
          <t>p58621</t>
        </is>
      </c>
      <c r="Q465" t="n">
        <v>3097</v>
      </c>
      <c r="R465" t="n">
        <v>36</v>
      </c>
      <c r="T465" t="n">
        <v>34.411</v>
      </c>
      <c r="U465" t="n">
        <v>86</v>
      </c>
      <c r="Z465" t="n">
        <v>2</v>
      </c>
      <c r="AD465" t="n">
        <v>3</v>
      </c>
      <c r="AE465" t="n">
        <v>0</v>
      </c>
      <c r="AG465" t="n">
        <v>212</v>
      </c>
      <c r="AH465" t="n">
        <v>-30</v>
      </c>
      <c r="AI465" t="n">
        <v>70</v>
      </c>
      <c r="AN465" t="n">
        <v>4</v>
      </c>
      <c r="AO465" t="n">
        <v>8</v>
      </c>
      <c r="AP465" t="n">
        <v>0.114</v>
      </c>
      <c r="AQ465" t="n">
        <v>0.114</v>
      </c>
      <c r="AR465" t="n">
        <v>0.114</v>
      </c>
      <c r="AS465" t="n">
        <v>0.921</v>
      </c>
      <c r="AT465" t="n">
        <v>0.944</v>
      </c>
      <c r="AU465" t="n">
        <v>28</v>
      </c>
      <c r="AV465" t="n">
        <v>1</v>
      </c>
      <c r="AW465" t="n">
        <v>2.67</v>
      </c>
      <c r="AX465" t="n">
        <v>14</v>
      </c>
      <c r="AZ465" t="n">
        <v>0.093</v>
      </c>
      <c r="BA465" t="n">
        <v>0.093</v>
      </c>
      <c r="BB465" t="n">
        <v>0.093</v>
      </c>
      <c r="BD465" t="n">
        <v>0.003</v>
      </c>
      <c r="BE465" t="n">
        <v>0.003</v>
      </c>
      <c r="BH465" t="n">
        <v>0.916</v>
      </c>
      <c r="BI465" t="n">
        <v>1.06</v>
      </c>
      <c r="BJ465" t="n">
        <v>0.137</v>
      </c>
      <c r="BK465" t="n">
        <v>0.004</v>
      </c>
      <c r="BP465" t="n">
        <v>4</v>
      </c>
      <c r="BS465" t="n">
        <v>10</v>
      </c>
      <c r="BT465" t="n">
        <v>0.291</v>
      </c>
      <c r="BX465" t="n">
        <v>1.665</v>
      </c>
      <c r="BY465" t="n">
        <v>1.665</v>
      </c>
      <c r="BZ465" t="n">
        <v>0.048</v>
      </c>
      <c r="CA465" t="n">
        <v>1.758</v>
      </c>
      <c r="CB465" t="n">
        <v>0.051</v>
      </c>
      <c r="CC465" t="n">
        <v>13</v>
      </c>
      <c r="CD465" t="n">
        <v>3</v>
      </c>
      <c r="CE465" t="n">
        <v>13</v>
      </c>
      <c r="CF465" t="n">
        <v>7</v>
      </c>
      <c r="CG465" t="n">
        <v>1</v>
      </c>
      <c r="CI465" t="n">
        <v>9.24</v>
      </c>
      <c r="CJ465" t="n">
        <v>9.071999999999999</v>
      </c>
      <c r="CN465" t="n">
        <v>33</v>
      </c>
      <c r="CO465" t="n">
        <v>45</v>
      </c>
      <c r="CP465" t="n">
        <v>102</v>
      </c>
      <c r="CQ465" t="n">
        <v>10</v>
      </c>
      <c r="CR465" t="n">
        <v>138</v>
      </c>
      <c r="CS465" t="n">
        <v>47</v>
      </c>
      <c r="CT465" t="n">
        <v>0.1</v>
      </c>
      <c r="CU465" t="n">
        <v>0</v>
      </c>
      <c r="CV465" t="n">
        <v>2</v>
      </c>
      <c r="DE465" t="n">
        <v>6.67</v>
      </c>
      <c r="DH465" t="n">
        <v>32</v>
      </c>
      <c r="DI465" t="n">
        <v>22</v>
      </c>
      <c r="DK465" t="n">
        <v>0</v>
      </c>
      <c r="DL465" t="n">
        <v>13</v>
      </c>
      <c r="DM465" t="n">
        <v>14</v>
      </c>
      <c r="DN465" t="n">
        <v>1</v>
      </c>
      <c r="EJ465" t="n">
        <v>774.2</v>
      </c>
      <c r="EK465" t="n">
        <v>309.7</v>
      </c>
      <c r="EL465" t="n">
        <v>238.2</v>
      </c>
      <c r="EM465" t="n">
        <v>33286.3</v>
      </c>
      <c r="EN465" t="n">
        <v>1859.6</v>
      </c>
      <c r="EO465" t="n">
        <v>1761.2</v>
      </c>
    </row>
    <row r="466">
      <c r="A466" t="inlineStr">
        <is>
          <t>Séamus Coleman</t>
        </is>
      </c>
      <c r="D466" t="inlineStr">
        <is>
          <t>DEF</t>
        </is>
      </c>
      <c r="F466" t="b">
        <v>0</v>
      </c>
      <c r="G466" t="b">
        <v>1</v>
      </c>
      <c r="L466" t="inlineStr">
        <is>
          <t>p59949</t>
        </is>
      </c>
      <c r="Q466" t="n">
        <v>20</v>
      </c>
      <c r="R466" t="n">
        <v>5</v>
      </c>
      <c r="T466" t="n">
        <v>0.222</v>
      </c>
      <c r="U466" t="n">
        <v>4</v>
      </c>
      <c r="AD466" t="n">
        <v>0</v>
      </c>
      <c r="AE466" t="n">
        <v>0</v>
      </c>
      <c r="AG466" t="n">
        <v>12</v>
      </c>
      <c r="AH466" t="n">
        <v>-1</v>
      </c>
      <c r="AI466" t="n">
        <v>5</v>
      </c>
      <c r="AN466" t="n">
        <v>0</v>
      </c>
      <c r="AO466" t="n">
        <v>0</v>
      </c>
      <c r="AP466" t="n">
        <v>0</v>
      </c>
      <c r="AQ466" t="n">
        <v>0</v>
      </c>
      <c r="AR466" t="n">
        <v>0</v>
      </c>
      <c r="AS466" t="n">
        <v>0.026</v>
      </c>
      <c r="AT466" t="n">
        <v>0</v>
      </c>
      <c r="AU466" t="n">
        <v>5</v>
      </c>
      <c r="AV466" t="n">
        <v>0</v>
      </c>
      <c r="AW466" t="n">
        <v>0.34</v>
      </c>
      <c r="AX466" t="n">
        <v>1</v>
      </c>
      <c r="AZ466" t="n">
        <v>0</v>
      </c>
      <c r="BA466" t="n">
        <v>0</v>
      </c>
      <c r="BB466" t="n">
        <v>0</v>
      </c>
      <c r="BD466" t="n">
        <v>0</v>
      </c>
      <c r="BE466" t="n">
        <v>0</v>
      </c>
      <c r="BH466" t="n">
        <v>0.93</v>
      </c>
      <c r="BI466" t="n">
        <v>0.92</v>
      </c>
      <c r="BJ466" t="n">
        <v>0</v>
      </c>
      <c r="BK466" t="n">
        <v>0</v>
      </c>
      <c r="BX466" t="n">
        <v>0.038</v>
      </c>
      <c r="BY466" t="n">
        <v>0.038</v>
      </c>
      <c r="BZ466" t="n">
        <v>0.171</v>
      </c>
      <c r="CA466" t="n">
        <v>0.038</v>
      </c>
      <c r="CB466" t="n">
        <v>0.171</v>
      </c>
      <c r="CC466" t="n">
        <v>1</v>
      </c>
      <c r="CE466" t="n">
        <v>1</v>
      </c>
      <c r="CF466" t="n">
        <v>2</v>
      </c>
      <c r="CI466" t="n">
        <v>0.038</v>
      </c>
      <c r="CJ466" t="n">
        <v>0.038</v>
      </c>
      <c r="CP466" t="n">
        <v>2</v>
      </c>
      <c r="CR466" t="n">
        <v>2</v>
      </c>
      <c r="CS466" t="n">
        <v>1</v>
      </c>
      <c r="CU466" t="n">
        <v>1</v>
      </c>
      <c r="DI466" t="n">
        <v>1</v>
      </c>
      <c r="EL466" t="n">
        <v>20</v>
      </c>
      <c r="EN466" t="n">
        <v>527.6</v>
      </c>
      <c r="EO466" t="n">
        <v>527.6</v>
      </c>
    </row>
    <row r="467">
      <c r="A467" t="inlineStr">
        <is>
          <t>Casemiro</t>
        </is>
      </c>
      <c r="D467" t="inlineStr">
        <is>
          <t>MID</t>
        </is>
      </c>
      <c r="F467" t="b">
        <v>0</v>
      </c>
      <c r="G467" t="b">
        <v>1</v>
      </c>
      <c r="L467" t="inlineStr">
        <is>
          <t>p61256</t>
        </is>
      </c>
      <c r="Q467" t="n">
        <v>2588</v>
      </c>
      <c r="R467" t="n">
        <v>34</v>
      </c>
      <c r="T467" t="n">
        <v>28.756</v>
      </c>
      <c r="U467" t="n">
        <v>76.09999999999999</v>
      </c>
      <c r="Z467" t="n">
        <v>2</v>
      </c>
      <c r="AD467" t="n">
        <v>20</v>
      </c>
      <c r="AE467" t="n">
        <v>0</v>
      </c>
      <c r="AG467" t="n">
        <v>615</v>
      </c>
      <c r="AH467" t="n">
        <v>-21</v>
      </c>
      <c r="AI467" t="n">
        <v>165</v>
      </c>
      <c r="AN467" t="n">
        <v>14</v>
      </c>
      <c r="AO467" t="n">
        <v>28</v>
      </c>
      <c r="AP467" t="n">
        <v>0.424</v>
      </c>
      <c r="AQ467" t="n">
        <v>0.545</v>
      </c>
      <c r="AR467" t="n">
        <v>0.424</v>
      </c>
      <c r="AS467" t="n">
        <v>0.868</v>
      </c>
      <c r="AT467" t="n">
        <v>0.853</v>
      </c>
      <c r="AU467" t="n">
        <v>10</v>
      </c>
      <c r="AV467" t="n">
        <v>4</v>
      </c>
      <c r="AW467" t="n">
        <v>3.91</v>
      </c>
      <c r="AX467" t="n">
        <v>15</v>
      </c>
      <c r="AZ467" t="n">
        <v>6.577</v>
      </c>
      <c r="BA467" t="n">
        <v>6.577</v>
      </c>
      <c r="BB467" t="n">
        <v>6.577</v>
      </c>
      <c r="BD467" t="n">
        <v>0.229</v>
      </c>
      <c r="BE467" t="n">
        <v>0.229</v>
      </c>
      <c r="BF467" t="n">
        <v>5.8</v>
      </c>
      <c r="BG467" t="n">
        <v>0.202</v>
      </c>
      <c r="BH467" t="n">
        <v>0.916</v>
      </c>
      <c r="BI467" t="n">
        <v>14.37</v>
      </c>
      <c r="BJ467" t="n">
        <v>4.985</v>
      </c>
      <c r="BK467" t="n">
        <v>0.173</v>
      </c>
      <c r="BP467" t="n">
        <v>52</v>
      </c>
      <c r="BQ467" t="n">
        <v>18</v>
      </c>
      <c r="BR467" t="n">
        <v>6</v>
      </c>
      <c r="BS467" t="n">
        <v>67</v>
      </c>
      <c r="BT467" t="n">
        <v>2.33</v>
      </c>
      <c r="BV467" t="n">
        <v>8</v>
      </c>
      <c r="BX467" t="n">
        <v>3.178</v>
      </c>
      <c r="BY467" t="n">
        <v>3.178</v>
      </c>
      <c r="BZ467" t="n">
        <v>0.111</v>
      </c>
      <c r="CA467" t="n">
        <v>9.755000000000001</v>
      </c>
      <c r="CB467" t="n">
        <v>0.339</v>
      </c>
      <c r="CC467" t="n">
        <v>36</v>
      </c>
      <c r="CD467" t="n">
        <v>4</v>
      </c>
      <c r="CE467" t="n">
        <v>36</v>
      </c>
      <c r="CF467" t="n">
        <v>4</v>
      </c>
      <c r="CG467" t="n">
        <v>5</v>
      </c>
      <c r="CI467" t="n">
        <v>16.169</v>
      </c>
      <c r="CJ467" t="n">
        <v>11.876</v>
      </c>
      <c r="CN467" t="n">
        <v>45</v>
      </c>
      <c r="CO467" t="n">
        <v>31</v>
      </c>
      <c r="CP467" t="n">
        <v>73</v>
      </c>
      <c r="CQ467" t="n">
        <v>27</v>
      </c>
      <c r="CR467" t="n">
        <v>188</v>
      </c>
      <c r="CS467" t="n">
        <v>57</v>
      </c>
      <c r="CT467" t="n">
        <v>0.3</v>
      </c>
      <c r="CV467" t="n">
        <v>5</v>
      </c>
      <c r="DE467" t="n">
        <v>7.33</v>
      </c>
      <c r="DH467" t="n">
        <v>46</v>
      </c>
      <c r="DI467" t="n">
        <v>36</v>
      </c>
      <c r="DL467" t="n">
        <v>6</v>
      </c>
      <c r="DM467" t="n">
        <v>13</v>
      </c>
      <c r="DN467" t="n">
        <v>5</v>
      </c>
      <c r="EJ467" t="n">
        <v>49.8</v>
      </c>
      <c r="EK467" t="n">
        <v>38.6</v>
      </c>
      <c r="EL467" t="n">
        <v>71.90000000000001</v>
      </c>
      <c r="EM467" t="n">
        <v>393.5</v>
      </c>
      <c r="EN467" t="n">
        <v>814.4</v>
      </c>
      <c r="EO467" t="n">
        <v>265.3</v>
      </c>
    </row>
    <row r="468">
      <c r="A468" t="inlineStr">
        <is>
          <t>Kieran Trippier</t>
        </is>
      </c>
      <c r="D468" t="inlineStr">
        <is>
          <t>DEF</t>
        </is>
      </c>
      <c r="F468" t="b">
        <v>0</v>
      </c>
      <c r="G468" t="b">
        <v>1</v>
      </c>
      <c r="L468" t="inlineStr">
        <is>
          <t>p77794</t>
        </is>
      </c>
      <c r="Q468" t="n">
        <v>1592</v>
      </c>
      <c r="R468" t="n">
        <v>21</v>
      </c>
      <c r="T468" t="n">
        <v>17.689</v>
      </c>
      <c r="U468" t="n">
        <v>75.8</v>
      </c>
      <c r="Z468" t="n">
        <v>1</v>
      </c>
      <c r="AD468" t="n">
        <v>2</v>
      </c>
      <c r="AE468" t="n">
        <v>0</v>
      </c>
      <c r="AG468" t="n">
        <v>212</v>
      </c>
      <c r="AH468" t="n">
        <v>-13</v>
      </c>
      <c r="AI468" t="n">
        <v>54</v>
      </c>
      <c r="AN468" t="n">
        <v>1</v>
      </c>
      <c r="AO468" t="n">
        <v>2</v>
      </c>
      <c r="AP468" t="n">
        <v>0.056</v>
      </c>
      <c r="AQ468" t="n">
        <v>0.056</v>
      </c>
      <c r="AR468" t="n">
        <v>0.056</v>
      </c>
      <c r="AS468" t="n">
        <v>0.474</v>
      </c>
      <c r="AT468" t="n">
        <v>0.857</v>
      </c>
      <c r="AU468" t="n">
        <v>15</v>
      </c>
      <c r="AV468" t="n">
        <v>0</v>
      </c>
      <c r="AW468" t="n">
        <v>2.27</v>
      </c>
      <c r="AX468" t="n">
        <v>8</v>
      </c>
      <c r="AZ468" t="n">
        <v>0.096</v>
      </c>
      <c r="BA468" t="n">
        <v>0.096</v>
      </c>
      <c r="BB468" t="n">
        <v>0.096</v>
      </c>
      <c r="BD468" t="n">
        <v>0.005</v>
      </c>
      <c r="BE468" t="n">
        <v>0.005</v>
      </c>
      <c r="BH468" t="n">
        <v>1.052</v>
      </c>
      <c r="BI468" t="n">
        <v>1.7</v>
      </c>
      <c r="BJ468" t="n">
        <v>0.08400000000000001</v>
      </c>
      <c r="BK468" t="n">
        <v>0.005</v>
      </c>
      <c r="BP468" t="n">
        <v>2</v>
      </c>
      <c r="BS468" t="n">
        <v>6</v>
      </c>
      <c r="BT468" t="n">
        <v>0.339</v>
      </c>
      <c r="BX468" t="n">
        <v>1.819</v>
      </c>
      <c r="BY468" t="n">
        <v>1.819</v>
      </c>
      <c r="BZ468" t="n">
        <v>0.103</v>
      </c>
      <c r="CA468" t="n">
        <v>1.915</v>
      </c>
      <c r="CB468" t="n">
        <v>0.108</v>
      </c>
      <c r="CC468" t="n">
        <v>28</v>
      </c>
      <c r="CD468" t="n">
        <v>1</v>
      </c>
      <c r="CE468" t="n">
        <v>28</v>
      </c>
      <c r="CF468" t="n">
        <v>34</v>
      </c>
      <c r="CH468" t="n">
        <v>48</v>
      </c>
      <c r="CI468" t="n">
        <v>5.13</v>
      </c>
      <c r="CJ468" t="n">
        <v>4.712</v>
      </c>
      <c r="CN468" t="n">
        <v>14</v>
      </c>
      <c r="CO468" t="n">
        <v>10</v>
      </c>
      <c r="CP468" t="n">
        <v>48</v>
      </c>
      <c r="CQ468" t="n">
        <v>1</v>
      </c>
      <c r="CR468" t="n">
        <v>72</v>
      </c>
      <c r="CS468" t="n">
        <v>24</v>
      </c>
      <c r="CT468" t="n">
        <v>0.1</v>
      </c>
      <c r="CV468" t="n">
        <v>1</v>
      </c>
      <c r="DE468" t="n">
        <v>6.81</v>
      </c>
      <c r="DH468" t="n">
        <v>22</v>
      </c>
      <c r="DI468" t="n">
        <v>19</v>
      </c>
      <c r="DL468" t="n">
        <v>4</v>
      </c>
      <c r="DM468" t="n">
        <v>6</v>
      </c>
      <c r="DN468" t="n">
        <v>1</v>
      </c>
      <c r="EJ468" t="n">
        <v>796</v>
      </c>
      <c r="EK468" t="n">
        <v>265.3</v>
      </c>
      <c r="EL468" t="n">
        <v>56.9</v>
      </c>
      <c r="EM468" t="n">
        <v>16600.7</v>
      </c>
      <c r="EN468" t="n">
        <v>875</v>
      </c>
      <c r="EO468" t="n">
        <v>831.2</v>
      </c>
    </row>
    <row r="469">
      <c r="A469" t="inlineStr">
        <is>
          <t>Dan Bentley</t>
        </is>
      </c>
      <c r="D469" t="inlineStr">
        <is>
          <t>GKP</t>
        </is>
      </c>
      <c r="F469" t="b">
        <v>0</v>
      </c>
      <c r="G469" t="b">
        <v>1</v>
      </c>
      <c r="L469" t="inlineStr">
        <is>
          <t>p79602</t>
        </is>
      </c>
      <c r="Q469" t="n">
        <v>270</v>
      </c>
      <c r="R469" t="n">
        <v>3</v>
      </c>
      <c r="T469" t="n">
        <v>3</v>
      </c>
      <c r="U469" t="n">
        <v>90</v>
      </c>
      <c r="AD469" t="n">
        <v>0</v>
      </c>
      <c r="AE469" t="n">
        <v>0</v>
      </c>
      <c r="AG469" t="n">
        <v>22</v>
      </c>
      <c r="AH469" t="n">
        <v>-2</v>
      </c>
      <c r="AI469" t="n">
        <v>6</v>
      </c>
      <c r="AN469" t="n">
        <v>0</v>
      </c>
      <c r="AO469" t="n">
        <v>0</v>
      </c>
      <c r="AP469" t="n">
        <v>0</v>
      </c>
      <c r="AQ469" t="n">
        <v>0</v>
      </c>
      <c r="AR469" t="n">
        <v>0</v>
      </c>
      <c r="AS469" t="n">
        <v>0.079</v>
      </c>
      <c r="AT469" t="n">
        <v>1</v>
      </c>
      <c r="AU469" t="n">
        <v>3</v>
      </c>
      <c r="AV469" t="n">
        <v>0</v>
      </c>
      <c r="AW469" t="n">
        <v>0.55</v>
      </c>
      <c r="AX469" t="n">
        <v>2</v>
      </c>
      <c r="AZ469" t="n">
        <v>0</v>
      </c>
      <c r="BA469" t="n">
        <v>0</v>
      </c>
      <c r="BB469" t="n">
        <v>0</v>
      </c>
      <c r="BD469" t="n">
        <v>0</v>
      </c>
      <c r="BE469" t="n">
        <v>0</v>
      </c>
      <c r="BH469" t="n">
        <v>1</v>
      </c>
      <c r="BI469" t="n">
        <v>0</v>
      </c>
      <c r="BJ469" t="n">
        <v>0</v>
      </c>
      <c r="BK469" t="n">
        <v>0</v>
      </c>
      <c r="BX469" t="n">
        <v>0</v>
      </c>
      <c r="BY469" t="n">
        <v>0</v>
      </c>
      <c r="BZ469" t="n">
        <v>0</v>
      </c>
      <c r="CA469" t="n">
        <v>0</v>
      </c>
      <c r="CB469" t="n">
        <v>0</v>
      </c>
      <c r="CC469" t="n">
        <v>0</v>
      </c>
      <c r="CI469" t="n">
        <v>0.223</v>
      </c>
      <c r="CJ469" t="n">
        <v>0.223</v>
      </c>
      <c r="CP469" t="n">
        <v>5</v>
      </c>
      <c r="CR469" t="n">
        <v>3</v>
      </c>
      <c r="CS469" t="n">
        <v>1</v>
      </c>
      <c r="DC469" t="n">
        <v>3</v>
      </c>
      <c r="DD469" t="n">
        <v>3</v>
      </c>
      <c r="DI469" t="n">
        <v>2</v>
      </c>
    </row>
    <row r="470">
      <c r="A470" t="inlineStr">
        <is>
          <t>Jake Bidwell</t>
        </is>
      </c>
      <c r="B470" t="inlineStr">
        <is>
          <t>COV</t>
        </is>
      </c>
      <c r="C470" t="inlineStr">
        <is>
          <t>DEF</t>
        </is>
      </c>
      <c r="E470" t="n">
        <v>4</v>
      </c>
      <c r="F470" t="b">
        <v>1</v>
      </c>
      <c r="G470" t="b">
        <v>0</v>
      </c>
      <c r="H470" t="n">
        <v>33.4</v>
      </c>
      <c r="I470" t="inlineStr">
        <is>
          <t>a</t>
        </is>
      </c>
      <c r="M470" t="n">
        <v>178</v>
      </c>
      <c r="DO470" t="n">
        <v>0.1</v>
      </c>
      <c r="DP470" t="n">
        <v>4.6</v>
      </c>
      <c r="DQ470" t="n">
        <v>2.3</v>
      </c>
      <c r="DR470" t="n">
        <v>4.6</v>
      </c>
      <c r="DS470" t="n">
        <v>0</v>
      </c>
      <c r="DT470" t="n">
        <v>65</v>
      </c>
      <c r="DU470" t="n">
        <v>1.71</v>
      </c>
      <c r="DV470" t="inlineStr">
        <is>
          <t>flat</t>
        </is>
      </c>
      <c r="DW470" t="n">
        <v>109.5</v>
      </c>
      <c r="DX470" t="n">
        <v>115</v>
      </c>
      <c r="DY470" t="n">
        <v>104</v>
      </c>
      <c r="DZ470" t="n">
        <v>-5.5</v>
      </c>
      <c r="EA470" t="n">
        <v>1</v>
      </c>
      <c r="EB470" t="n">
        <v>7.78</v>
      </c>
      <c r="EC470" t="n">
        <v>104</v>
      </c>
      <c r="ED470" t="n">
        <v>115</v>
      </c>
      <c r="EE470" t="n">
        <v>2</v>
      </c>
      <c r="EF470" t="b">
        <v>0</v>
      </c>
      <c r="EG470" t="n">
        <v>0</v>
      </c>
      <c r="EH470" t="n">
        <v>0</v>
      </c>
      <c r="EI470" t="n">
        <v>543</v>
      </c>
    </row>
    <row r="471">
      <c r="A471" t="inlineStr">
        <is>
          <t>Idrissa Gueye</t>
        </is>
      </c>
      <c r="D471" t="inlineStr">
        <is>
          <t>MID</t>
        </is>
      </c>
      <c r="F471" t="b">
        <v>0</v>
      </c>
      <c r="G471" t="b">
        <v>1</v>
      </c>
      <c r="L471" t="inlineStr">
        <is>
          <t>p80801</t>
        </is>
      </c>
      <c r="Q471" t="n">
        <v>2101</v>
      </c>
      <c r="R471" t="n">
        <v>25</v>
      </c>
      <c r="T471" t="n">
        <v>23.344</v>
      </c>
      <c r="U471" t="n">
        <v>84</v>
      </c>
      <c r="Z471" t="n">
        <v>3</v>
      </c>
      <c r="AD471" t="n">
        <v>4</v>
      </c>
      <c r="AE471" t="n">
        <v>0</v>
      </c>
      <c r="AG471" t="n">
        <v>404</v>
      </c>
      <c r="AH471" t="n">
        <v>-15</v>
      </c>
      <c r="AI471" t="n">
        <v>83</v>
      </c>
      <c r="AN471" t="n">
        <v>5</v>
      </c>
      <c r="AO471" t="n">
        <v>10</v>
      </c>
      <c r="AP471" t="n">
        <v>0.2</v>
      </c>
      <c r="AQ471" t="n">
        <v>0.36</v>
      </c>
      <c r="AR471" t="n">
        <v>0.2</v>
      </c>
      <c r="AS471" t="n">
        <v>0.658</v>
      </c>
      <c r="AT471" t="n">
        <v>0.96</v>
      </c>
      <c r="AU471" t="n">
        <v>14</v>
      </c>
      <c r="AV471" t="n">
        <v>2</v>
      </c>
      <c r="AW471" t="n">
        <v>2.71</v>
      </c>
      <c r="AX471" t="n">
        <v>10</v>
      </c>
      <c r="AZ471" t="n">
        <v>1.914</v>
      </c>
      <c r="BA471" t="n">
        <v>1.914</v>
      </c>
      <c r="BB471" t="n">
        <v>1.914</v>
      </c>
      <c r="BD471" t="n">
        <v>0.082</v>
      </c>
      <c r="BE471" t="n">
        <v>0.082</v>
      </c>
      <c r="BF471" t="n">
        <v>1.4</v>
      </c>
      <c r="BG471" t="n">
        <v>0.06</v>
      </c>
      <c r="BH471" t="n">
        <v>1.03</v>
      </c>
      <c r="BI471" t="n">
        <v>5.1</v>
      </c>
      <c r="BJ471" t="n">
        <v>2.051</v>
      </c>
      <c r="BK471" t="n">
        <v>0.08799999999999999</v>
      </c>
      <c r="BP471" t="n">
        <v>29</v>
      </c>
      <c r="BQ471" t="n">
        <v>7</v>
      </c>
      <c r="BS471" t="n">
        <v>34</v>
      </c>
      <c r="BT471" t="n">
        <v>1.456</v>
      </c>
      <c r="BX471" t="n">
        <v>1.694</v>
      </c>
      <c r="BY471" t="n">
        <v>1.694</v>
      </c>
      <c r="BZ471" t="n">
        <v>0.073</v>
      </c>
      <c r="CA471" t="n">
        <v>3.608</v>
      </c>
      <c r="CB471" t="n">
        <v>0.155</v>
      </c>
      <c r="CC471" t="n">
        <v>13</v>
      </c>
      <c r="CD471" t="n">
        <v>2</v>
      </c>
      <c r="CE471" t="n">
        <v>13</v>
      </c>
      <c r="CF471" t="n">
        <v>4</v>
      </c>
      <c r="CG471" t="n">
        <v>1</v>
      </c>
      <c r="CH471" t="n">
        <v>0</v>
      </c>
      <c r="CI471" t="n">
        <v>9.138999999999999</v>
      </c>
      <c r="CJ471" t="n">
        <v>6.896</v>
      </c>
      <c r="CN471" t="n">
        <v>20</v>
      </c>
      <c r="CO471" t="n">
        <v>28</v>
      </c>
      <c r="CP471" t="n">
        <v>24</v>
      </c>
      <c r="CQ471" t="n">
        <v>7</v>
      </c>
      <c r="CR471" t="n">
        <v>94</v>
      </c>
      <c r="CS471" t="n">
        <v>13</v>
      </c>
      <c r="CT471" t="n">
        <v>0.2</v>
      </c>
      <c r="CV471" t="n">
        <v>2</v>
      </c>
      <c r="DE471" t="n">
        <v>7.03</v>
      </c>
      <c r="DH471" t="n">
        <v>21</v>
      </c>
      <c r="DI471" t="n">
        <v>31</v>
      </c>
      <c r="DL471" t="n">
        <v>7</v>
      </c>
      <c r="DM471" t="n">
        <v>9</v>
      </c>
      <c r="EJ471" t="n">
        <v>72.40000000000001</v>
      </c>
      <c r="EK471" t="n">
        <v>61.8</v>
      </c>
      <c r="EL471" t="n">
        <v>161.6</v>
      </c>
      <c r="EM471" t="n">
        <v>1097.6</v>
      </c>
      <c r="EN471" t="n">
        <v>1240.5</v>
      </c>
      <c r="EO471" t="n">
        <v>582.3</v>
      </c>
    </row>
    <row r="472">
      <c r="A472" t="inlineStr">
        <is>
          <t>Alphonse Areola</t>
        </is>
      </c>
      <c r="D472" t="inlineStr">
        <is>
          <t>GKP</t>
        </is>
      </c>
      <c r="F472" t="b">
        <v>0</v>
      </c>
      <c r="G472" t="b">
        <v>1</v>
      </c>
      <c r="L472" t="inlineStr">
        <is>
          <t>p84182</t>
        </is>
      </c>
      <c r="Q472" t="n">
        <v>1800</v>
      </c>
      <c r="R472" t="n">
        <v>20</v>
      </c>
      <c r="T472" t="n">
        <v>20</v>
      </c>
      <c r="U472" t="n">
        <v>90</v>
      </c>
      <c r="Z472" t="n">
        <v>1</v>
      </c>
      <c r="AD472" t="n">
        <v>2</v>
      </c>
      <c r="AE472" t="n">
        <v>0</v>
      </c>
      <c r="AG472" t="n">
        <v>212</v>
      </c>
      <c r="AH472" t="n">
        <v>-8</v>
      </c>
      <c r="AI472" t="n">
        <v>51</v>
      </c>
      <c r="AN472" t="n">
        <v>0</v>
      </c>
      <c r="AO472" t="n">
        <v>0</v>
      </c>
      <c r="AP472" t="n">
        <v>0</v>
      </c>
      <c r="AQ472" t="n">
        <v>0</v>
      </c>
      <c r="AR472" t="n">
        <v>0</v>
      </c>
      <c r="AS472" t="n">
        <v>0.526</v>
      </c>
      <c r="AT472" t="n">
        <v>1</v>
      </c>
      <c r="AU472" t="n">
        <v>13</v>
      </c>
      <c r="AV472" t="n">
        <v>0</v>
      </c>
      <c r="AW472" t="n">
        <v>1.74</v>
      </c>
      <c r="AX472" t="n">
        <v>9</v>
      </c>
      <c r="AZ472" t="n">
        <v>0</v>
      </c>
      <c r="BA472" t="n">
        <v>0</v>
      </c>
      <c r="BB472" t="n">
        <v>0</v>
      </c>
      <c r="BD472" t="n">
        <v>0</v>
      </c>
      <c r="BE472" t="n">
        <v>0</v>
      </c>
      <c r="BH472" t="n">
        <v>1</v>
      </c>
      <c r="BI472" t="n">
        <v>0</v>
      </c>
      <c r="BJ472" t="n">
        <v>0</v>
      </c>
      <c r="BK472" t="n">
        <v>0</v>
      </c>
      <c r="BX472" t="n">
        <v>0.022</v>
      </c>
      <c r="BY472" t="n">
        <v>0.022</v>
      </c>
      <c r="BZ472" t="n">
        <v>0.001</v>
      </c>
      <c r="CA472" t="n">
        <v>0.022</v>
      </c>
      <c r="CB472" t="n">
        <v>0.001</v>
      </c>
      <c r="CC472" t="n">
        <v>1</v>
      </c>
      <c r="CE472" t="n">
        <v>1</v>
      </c>
      <c r="CI472" t="n">
        <v>0.431</v>
      </c>
      <c r="CJ472" t="n">
        <v>0.431</v>
      </c>
      <c r="CO472" t="n">
        <v>1</v>
      </c>
      <c r="CP472" t="n">
        <v>29</v>
      </c>
      <c r="CR472" t="n">
        <v>6</v>
      </c>
      <c r="CS472" t="n">
        <v>5</v>
      </c>
      <c r="CU472" t="n">
        <v>2</v>
      </c>
      <c r="CV472" t="n">
        <v>1</v>
      </c>
      <c r="CZ472" t="n">
        <v>67.5</v>
      </c>
      <c r="DA472" t="n">
        <v>-1.3</v>
      </c>
      <c r="DC472" t="n">
        <v>15</v>
      </c>
      <c r="DD472" t="n">
        <v>21</v>
      </c>
      <c r="DE472" t="n">
        <v>6.57</v>
      </c>
      <c r="DH472" t="n">
        <v>1</v>
      </c>
      <c r="DI472" t="n">
        <v>1</v>
      </c>
      <c r="DK472" t="n">
        <v>1</v>
      </c>
      <c r="EL472" t="n">
        <v>1800</v>
      </c>
      <c r="EN472" t="n">
        <v>81284</v>
      </c>
      <c r="EO472" t="n">
        <v>81284</v>
      </c>
    </row>
    <row r="473">
      <c r="A473" t="inlineStr">
        <is>
          <t>Matt Doherty</t>
        </is>
      </c>
      <c r="D473" t="inlineStr">
        <is>
          <t>DEF</t>
        </is>
      </c>
      <c r="F473" t="b">
        <v>0</v>
      </c>
      <c r="G473" t="b">
        <v>1</v>
      </c>
      <c r="L473" t="inlineStr">
        <is>
          <t>p87835</t>
        </is>
      </c>
      <c r="Q473" t="n">
        <v>791</v>
      </c>
      <c r="R473" t="n">
        <v>11</v>
      </c>
      <c r="T473" t="n">
        <v>8.789</v>
      </c>
      <c r="U473" t="n">
        <v>71.90000000000001</v>
      </c>
      <c r="AD473" t="n">
        <v>0</v>
      </c>
      <c r="AE473" t="n">
        <v>0</v>
      </c>
      <c r="AG473" t="n">
        <v>47</v>
      </c>
      <c r="AH473" t="n">
        <v>-12</v>
      </c>
      <c r="AI473" t="n">
        <v>14</v>
      </c>
      <c r="AN473" t="n">
        <v>0</v>
      </c>
      <c r="AO473" t="n">
        <v>0</v>
      </c>
      <c r="AP473" t="n">
        <v>0</v>
      </c>
      <c r="AQ473" t="n">
        <v>0</v>
      </c>
      <c r="AR473" t="n">
        <v>0</v>
      </c>
      <c r="AS473" t="n">
        <v>0.289</v>
      </c>
      <c r="AT473" t="n">
        <v>0.727</v>
      </c>
      <c r="AU473" t="n">
        <v>10</v>
      </c>
      <c r="AV473" t="n">
        <v>0</v>
      </c>
      <c r="AW473" t="n">
        <v>1</v>
      </c>
      <c r="AX473" t="n">
        <v>5</v>
      </c>
      <c r="AZ473" t="n">
        <v>0.082</v>
      </c>
      <c r="BA473" t="n">
        <v>0.082</v>
      </c>
      <c r="BB473" t="n">
        <v>0.082</v>
      </c>
      <c r="BD473" t="n">
        <v>0.008999999999999999</v>
      </c>
      <c r="BE473" t="n">
        <v>0.008999999999999999</v>
      </c>
      <c r="BH473" t="n">
        <v>1.061</v>
      </c>
      <c r="BI473" t="n">
        <v>2.84</v>
      </c>
      <c r="BJ473" t="n">
        <v>0.095</v>
      </c>
      <c r="BK473" t="n">
        <v>0.011</v>
      </c>
      <c r="BP473" t="n">
        <v>3</v>
      </c>
      <c r="BS473" t="n">
        <v>7</v>
      </c>
      <c r="BT473" t="n">
        <v>0.796</v>
      </c>
      <c r="BX473" t="n">
        <v>0.173</v>
      </c>
      <c r="BY473" t="n">
        <v>0.173</v>
      </c>
      <c r="BZ473" t="n">
        <v>0.02</v>
      </c>
      <c r="CA473" t="n">
        <v>0.255</v>
      </c>
      <c r="CB473" t="n">
        <v>0.029</v>
      </c>
      <c r="CC473" t="n">
        <v>3</v>
      </c>
      <c r="CD473" t="n">
        <v>1</v>
      </c>
      <c r="CE473" t="n">
        <v>3</v>
      </c>
      <c r="CF473" t="n">
        <v>2</v>
      </c>
      <c r="CI473" t="n">
        <v>0.301</v>
      </c>
      <c r="CJ473" t="n">
        <v>0.128</v>
      </c>
      <c r="CN473" t="n">
        <v>8</v>
      </c>
      <c r="CO473" t="n">
        <v>7</v>
      </c>
      <c r="CP473" t="n">
        <v>37</v>
      </c>
      <c r="CQ473" t="n">
        <v>6</v>
      </c>
      <c r="CR473" t="n">
        <v>45</v>
      </c>
      <c r="CS473" t="n">
        <v>21</v>
      </c>
      <c r="DD473" t="n">
        <v>0</v>
      </c>
      <c r="DH473" t="n">
        <v>16</v>
      </c>
      <c r="DI473" t="n">
        <v>6</v>
      </c>
      <c r="DJ473" t="n">
        <v>1</v>
      </c>
      <c r="DK473" t="n">
        <v>1</v>
      </c>
      <c r="DL473" t="n">
        <v>2</v>
      </c>
      <c r="DM473" t="n">
        <v>3</v>
      </c>
      <c r="EJ473" t="n">
        <v>263.7</v>
      </c>
      <c r="EK473" t="n">
        <v>113</v>
      </c>
      <c r="EL473" t="n">
        <v>263.7</v>
      </c>
      <c r="EM473" t="n">
        <v>9614.9</v>
      </c>
      <c r="EN473" t="n">
        <v>4577.6</v>
      </c>
      <c r="EO473" t="n">
        <v>3101.2</v>
      </c>
    </row>
    <row r="474">
      <c r="A474" t="inlineStr">
        <is>
          <t>Stefan Ortega</t>
        </is>
      </c>
      <c r="D474" t="inlineStr">
        <is>
          <t>GKP</t>
        </is>
      </c>
      <c r="F474" t="b">
        <v>0</v>
      </c>
      <c r="G474" t="b">
        <v>1</v>
      </c>
      <c r="L474" t="inlineStr">
        <is>
          <t>p88248</t>
        </is>
      </c>
      <c r="Q474" t="n">
        <v>270</v>
      </c>
      <c r="R474" t="n">
        <v>3</v>
      </c>
      <c r="T474" t="n">
        <v>3</v>
      </c>
      <c r="U474" t="n">
        <v>90</v>
      </c>
      <c r="AD474" t="n">
        <v>0</v>
      </c>
      <c r="AE474" t="n">
        <v>0</v>
      </c>
      <c r="AG474" t="n">
        <v>38</v>
      </c>
      <c r="AH474" t="n">
        <v>0</v>
      </c>
      <c r="AI474" t="n">
        <v>11</v>
      </c>
      <c r="AN474" t="n">
        <v>0</v>
      </c>
      <c r="AO474" t="n">
        <v>0</v>
      </c>
      <c r="AP474" t="n">
        <v>0</v>
      </c>
      <c r="AQ474" t="n">
        <v>0</v>
      </c>
      <c r="AR474" t="n">
        <v>0</v>
      </c>
      <c r="AS474" t="n">
        <v>0.079</v>
      </c>
      <c r="AT474" t="n">
        <v>1</v>
      </c>
      <c r="AU474" t="n">
        <v>1</v>
      </c>
      <c r="AV474" t="n">
        <v>0</v>
      </c>
      <c r="AW474" t="n">
        <v>1.23</v>
      </c>
      <c r="AX474" t="n">
        <v>7</v>
      </c>
      <c r="AZ474" t="n">
        <v>0</v>
      </c>
      <c r="BA474" t="n">
        <v>0</v>
      </c>
      <c r="BB474" t="n">
        <v>0</v>
      </c>
      <c r="BD474" t="n">
        <v>0</v>
      </c>
      <c r="BE474" t="n">
        <v>0</v>
      </c>
      <c r="BH474" t="n">
        <v>1</v>
      </c>
      <c r="BI474" t="n">
        <v>0</v>
      </c>
      <c r="BJ474" t="n">
        <v>0</v>
      </c>
      <c r="BK474" t="n">
        <v>0</v>
      </c>
      <c r="BX474" t="n">
        <v>0</v>
      </c>
      <c r="BY474" t="n">
        <v>0</v>
      </c>
      <c r="BZ474" t="n">
        <v>0</v>
      </c>
      <c r="CA474" t="n">
        <v>0</v>
      </c>
      <c r="CB474" t="n">
        <v>0</v>
      </c>
      <c r="CC474" t="n">
        <v>0</v>
      </c>
      <c r="CI474" t="n">
        <v>0.129</v>
      </c>
      <c r="CJ474" t="n">
        <v>0.129</v>
      </c>
      <c r="CP474" t="n">
        <v>1</v>
      </c>
      <c r="CR474" t="n">
        <v>1</v>
      </c>
      <c r="CS474" t="n">
        <v>1</v>
      </c>
      <c r="DD474" t="n">
        <v>1</v>
      </c>
    </row>
    <row r="475">
      <c r="A475" t="inlineStr">
        <is>
          <t>Niclas Füllkrug</t>
        </is>
      </c>
      <c r="D475" t="inlineStr">
        <is>
          <t>FWD</t>
        </is>
      </c>
      <c r="F475" t="b">
        <v>0</v>
      </c>
      <c r="G475" t="b">
        <v>1</v>
      </c>
      <c r="L475" t="inlineStr">
        <is>
          <t>p91889</t>
        </is>
      </c>
      <c r="Q475" t="n">
        <v>408</v>
      </c>
      <c r="R475" t="n">
        <v>8</v>
      </c>
      <c r="T475" t="n">
        <v>4.533</v>
      </c>
      <c r="U475" t="n">
        <v>51</v>
      </c>
      <c r="AD475" t="n">
        <v>0</v>
      </c>
      <c r="AE475" t="n">
        <v>0</v>
      </c>
      <c r="AG475" t="n">
        <v>27</v>
      </c>
      <c r="AH475" t="n">
        <v>-1</v>
      </c>
      <c r="AI475" t="n">
        <v>12</v>
      </c>
      <c r="AN475" t="n">
        <v>0</v>
      </c>
      <c r="AO475" t="n">
        <v>0</v>
      </c>
      <c r="AP475" t="n">
        <v>0</v>
      </c>
      <c r="AQ475" t="n">
        <v>0.2</v>
      </c>
      <c r="AR475" t="n">
        <v>0</v>
      </c>
      <c r="AS475" t="n">
        <v>0.132</v>
      </c>
      <c r="AT475" t="n">
        <v>0.5</v>
      </c>
      <c r="AU475" t="n">
        <v>8</v>
      </c>
      <c r="AV475" t="n">
        <v>0</v>
      </c>
      <c r="AW475" t="n">
        <v>0.66</v>
      </c>
      <c r="AX475" t="n">
        <v>2</v>
      </c>
      <c r="AZ475" t="n">
        <v>0.983</v>
      </c>
      <c r="BA475" t="n">
        <v>0.983</v>
      </c>
      <c r="BB475" t="n">
        <v>0.983</v>
      </c>
      <c r="BD475" t="n">
        <v>0.217</v>
      </c>
      <c r="BE475" t="n">
        <v>0.217</v>
      </c>
      <c r="BF475" t="n">
        <v>0.4</v>
      </c>
      <c r="BG475" t="n">
        <v>0.08799999999999999</v>
      </c>
      <c r="BH475" t="n">
        <v>1.111</v>
      </c>
      <c r="BI475" t="n">
        <v>3.07</v>
      </c>
      <c r="BJ475" t="n">
        <v>1.033</v>
      </c>
      <c r="BK475" t="n">
        <v>0.228</v>
      </c>
      <c r="BP475" t="n">
        <v>9</v>
      </c>
      <c r="BQ475" t="n">
        <v>3</v>
      </c>
      <c r="BR475" t="n">
        <v>1</v>
      </c>
      <c r="BS475" t="n">
        <v>23</v>
      </c>
      <c r="BT475" t="n">
        <v>5.074</v>
      </c>
      <c r="BX475" t="n">
        <v>0.449</v>
      </c>
      <c r="BY475" t="n">
        <v>0.449</v>
      </c>
      <c r="BZ475" t="n">
        <v>0.099</v>
      </c>
      <c r="CA475" t="n">
        <v>1.432</v>
      </c>
      <c r="CB475" t="n">
        <v>0.316</v>
      </c>
      <c r="CC475" t="n">
        <v>7</v>
      </c>
      <c r="CE475" t="n">
        <v>7</v>
      </c>
      <c r="CI475" t="n">
        <v>0.909</v>
      </c>
      <c r="CJ475" t="n">
        <v>0.123</v>
      </c>
      <c r="CN475" t="n">
        <v>1</v>
      </c>
      <c r="CO475" t="n">
        <v>2</v>
      </c>
      <c r="CP475" t="n">
        <v>4</v>
      </c>
      <c r="CQ475" t="n">
        <v>1</v>
      </c>
      <c r="CR475" t="n">
        <v>21</v>
      </c>
      <c r="CS475" t="n">
        <v>18</v>
      </c>
      <c r="DH475" t="n">
        <v>11</v>
      </c>
      <c r="DI475" t="n">
        <v>1</v>
      </c>
      <c r="DM475" t="n">
        <v>6</v>
      </c>
      <c r="DN475" t="n">
        <v>3</v>
      </c>
      <c r="EJ475" t="n">
        <v>45.3</v>
      </c>
      <c r="EK475" t="n">
        <v>17.7</v>
      </c>
      <c r="EL475" t="n">
        <v>58.3</v>
      </c>
      <c r="EM475" t="n">
        <v>415.1</v>
      </c>
      <c r="EN475" t="n">
        <v>908.5</v>
      </c>
      <c r="EO475" t="n">
        <v>284.9</v>
      </c>
    </row>
    <row r="476">
      <c r="A476" t="inlineStr">
        <is>
          <t>Thomas Meunier</t>
        </is>
      </c>
      <c r="B476" t="inlineStr">
        <is>
          <t>SUN</t>
        </is>
      </c>
      <c r="C476" t="inlineStr">
        <is>
          <t>DEF</t>
        </is>
      </c>
      <c r="E476" t="n">
        <v>4.5</v>
      </c>
      <c r="F476" t="b">
        <v>1</v>
      </c>
      <c r="G476" t="b">
        <v>0</v>
      </c>
      <c r="H476" t="n">
        <v>34.9</v>
      </c>
      <c r="I476" t="inlineStr">
        <is>
          <t>a</t>
        </is>
      </c>
      <c r="M476" t="n">
        <v>541</v>
      </c>
      <c r="DO476" t="n">
        <v>0.5</v>
      </c>
      <c r="DP476" t="n">
        <v>38.06</v>
      </c>
      <c r="DQ476" t="n">
        <v>19.05</v>
      </c>
      <c r="DR476" t="n">
        <v>38.1</v>
      </c>
      <c r="DS476" t="n">
        <v>-0.04</v>
      </c>
      <c r="DT476" t="n">
        <v>804</v>
      </c>
      <c r="DU476" t="n">
        <v>21.16</v>
      </c>
      <c r="DV476" t="inlineStr">
        <is>
          <t>flat</t>
        </is>
      </c>
      <c r="DW476" t="n">
        <v>101.84</v>
      </c>
      <c r="DX476" t="n">
        <v>101</v>
      </c>
      <c r="DY476" t="n">
        <v>105.28</v>
      </c>
      <c r="DZ476" t="n">
        <v>3.44</v>
      </c>
      <c r="EA476" t="n">
        <v>20</v>
      </c>
      <c r="EB476" t="n">
        <v>18.1</v>
      </c>
      <c r="EC476" t="n">
        <v>54</v>
      </c>
      <c r="ED476" t="n">
        <v>120</v>
      </c>
      <c r="EE476" t="n">
        <v>27</v>
      </c>
      <c r="EF476" t="b">
        <v>1</v>
      </c>
      <c r="EG476" t="n">
        <v>0.7</v>
      </c>
      <c r="EH476" t="n">
        <v>20.6</v>
      </c>
      <c r="EI476" t="n">
        <v>515</v>
      </c>
    </row>
    <row r="477">
      <c r="A477" t="inlineStr">
        <is>
          <t>John Stones</t>
        </is>
      </c>
      <c r="D477" t="inlineStr">
        <is>
          <t>DEF</t>
        </is>
      </c>
      <c r="F477" t="b">
        <v>0</v>
      </c>
      <c r="G477" t="b">
        <v>1</v>
      </c>
      <c r="L477" t="inlineStr">
        <is>
          <t>p97299</t>
        </is>
      </c>
      <c r="Q477" t="n">
        <v>439</v>
      </c>
      <c r="R477" t="n">
        <v>9</v>
      </c>
      <c r="T477" t="n">
        <v>4.878</v>
      </c>
      <c r="U477" t="n">
        <v>48.8</v>
      </c>
      <c r="AD477" t="n">
        <v>0</v>
      </c>
      <c r="AE477" t="n">
        <v>0</v>
      </c>
      <c r="AG477" t="n">
        <v>49</v>
      </c>
      <c r="AH477" t="n">
        <v>-6</v>
      </c>
      <c r="AI477" t="n">
        <v>16</v>
      </c>
      <c r="AN477" t="n">
        <v>1</v>
      </c>
      <c r="AO477" t="n">
        <v>2</v>
      </c>
      <c r="AP477" t="n">
        <v>0.2</v>
      </c>
      <c r="AQ477" t="n">
        <v>0.2</v>
      </c>
      <c r="AR477" t="n">
        <v>0</v>
      </c>
      <c r="AS477" t="n">
        <v>0.132</v>
      </c>
      <c r="AT477" t="n">
        <v>0.556</v>
      </c>
      <c r="AU477" t="n">
        <v>7</v>
      </c>
      <c r="AV477" t="n">
        <v>0</v>
      </c>
      <c r="AW477" t="n">
        <v>1.13</v>
      </c>
      <c r="AX477" t="n">
        <v>6</v>
      </c>
      <c r="AZ477" t="n">
        <v>0</v>
      </c>
      <c r="BA477" t="n">
        <v>0</v>
      </c>
      <c r="BB477" t="n">
        <v>0</v>
      </c>
      <c r="BD477" t="n">
        <v>0</v>
      </c>
      <c r="BE477" t="n">
        <v>0</v>
      </c>
      <c r="BH477" t="n">
        <v>1.001</v>
      </c>
      <c r="BI477" t="n">
        <v>2.69</v>
      </c>
      <c r="BJ477" t="n">
        <v>0</v>
      </c>
      <c r="BK477" t="n">
        <v>0</v>
      </c>
      <c r="BS477" t="n">
        <v>2</v>
      </c>
      <c r="BT477" t="n">
        <v>0.41</v>
      </c>
      <c r="BX477" t="n">
        <v>0.063</v>
      </c>
      <c r="BY477" t="n">
        <v>0.063</v>
      </c>
      <c r="BZ477" t="n">
        <v>0.013</v>
      </c>
      <c r="CA477" t="n">
        <v>0.063</v>
      </c>
      <c r="CB477" t="n">
        <v>0.013</v>
      </c>
      <c r="CC477" t="n">
        <v>1</v>
      </c>
      <c r="CE477" t="n">
        <v>1</v>
      </c>
      <c r="CI477" t="n">
        <v>2.191</v>
      </c>
      <c r="CJ477" t="n">
        <v>2.129</v>
      </c>
      <c r="CN477" t="n">
        <v>1</v>
      </c>
      <c r="CO477" t="n">
        <v>3</v>
      </c>
      <c r="CP477" t="n">
        <v>21</v>
      </c>
      <c r="CQ477" t="n">
        <v>6</v>
      </c>
      <c r="CR477" t="n">
        <v>14</v>
      </c>
      <c r="CS477" t="n">
        <v>11</v>
      </c>
      <c r="CU477" t="n">
        <v>1</v>
      </c>
      <c r="DL477" t="n">
        <v>2</v>
      </c>
      <c r="DM477" t="n">
        <v>1</v>
      </c>
      <c r="EK477" t="n">
        <v>219.5</v>
      </c>
      <c r="EL477" t="n">
        <v>439</v>
      </c>
      <c r="EN477" t="n">
        <v>6994.6</v>
      </c>
      <c r="EO477" t="n">
        <v>6994.6</v>
      </c>
    </row>
    <row r="478">
      <c r="A478" t="inlineStr">
        <is>
          <t>Jamaal Lascelles</t>
        </is>
      </c>
      <c r="D478" t="inlineStr">
        <is>
          <t>DEF</t>
        </is>
      </c>
      <c r="F478" t="b">
        <v>0</v>
      </c>
      <c r="G478" t="b">
        <v>1</v>
      </c>
      <c r="L478" t="inlineStr">
        <is>
          <t>p101148</t>
        </is>
      </c>
      <c r="Q478" t="n">
        <v>19</v>
      </c>
      <c r="R478" t="n">
        <v>2</v>
      </c>
      <c r="T478" t="n">
        <v>0.211</v>
      </c>
      <c r="U478" t="n">
        <v>9.5</v>
      </c>
      <c r="AD478" t="n">
        <v>0</v>
      </c>
      <c r="AE478" t="n">
        <v>0</v>
      </c>
      <c r="AG478" t="n">
        <v>-1</v>
      </c>
      <c r="AH478" t="n">
        <v>-1</v>
      </c>
      <c r="AI478" t="n">
        <v>1</v>
      </c>
      <c r="AN478" t="n">
        <v>0</v>
      </c>
      <c r="AO478" t="n">
        <v>0</v>
      </c>
      <c r="AS478" t="n">
        <v>0</v>
      </c>
      <c r="AT478" t="n">
        <v>0</v>
      </c>
      <c r="AU478" t="n">
        <v>2</v>
      </c>
      <c r="AV478" t="n">
        <v>0</v>
      </c>
      <c r="AW478" t="n">
        <v>0.16</v>
      </c>
      <c r="AX478" t="n">
        <v>1</v>
      </c>
      <c r="BH478" t="n">
        <v>0.945</v>
      </c>
      <c r="BI478" t="n">
        <v>0.89</v>
      </c>
      <c r="BJ478" t="n">
        <v>0.038</v>
      </c>
      <c r="BK478" t="n">
        <v>0.18</v>
      </c>
      <c r="BP478" t="n">
        <v>1</v>
      </c>
      <c r="BS478" t="n">
        <v>2</v>
      </c>
      <c r="BT478" t="n">
        <v>9.474</v>
      </c>
      <c r="CP478" t="n">
        <v>4</v>
      </c>
      <c r="CQ478" t="n">
        <v>1</v>
      </c>
      <c r="CR478" t="n">
        <v>1</v>
      </c>
      <c r="CS478" t="n">
        <v>1</v>
      </c>
      <c r="EJ478" t="n">
        <v>19</v>
      </c>
      <c r="EK478" t="n">
        <v>9.5</v>
      </c>
    </row>
    <row r="479">
      <c r="A479" t="inlineStr">
        <is>
          <t>James Ward-Prowse</t>
        </is>
      </c>
      <c r="D479" t="inlineStr">
        <is>
          <t>MID</t>
        </is>
      </c>
      <c r="F479" t="b">
        <v>0</v>
      </c>
      <c r="G479" t="b">
        <v>1</v>
      </c>
      <c r="L479" t="inlineStr">
        <is>
          <t>p101178</t>
        </is>
      </c>
      <c r="Q479" t="n">
        <v>1096</v>
      </c>
      <c r="R479" t="n">
        <v>18</v>
      </c>
      <c r="T479" t="n">
        <v>12.178</v>
      </c>
      <c r="U479" t="n">
        <v>60.9</v>
      </c>
      <c r="Z479" t="n">
        <v>1</v>
      </c>
      <c r="AD479" t="n">
        <v>0</v>
      </c>
      <c r="AE479" t="n">
        <v>0</v>
      </c>
      <c r="AG479" t="n">
        <v>239</v>
      </c>
      <c r="AH479" t="n">
        <v>-9</v>
      </c>
      <c r="AI479" t="n">
        <v>40</v>
      </c>
      <c r="AN479" t="n">
        <v>3</v>
      </c>
      <c r="AO479" t="n">
        <v>6</v>
      </c>
      <c r="AP479" t="n">
        <v>0.25</v>
      </c>
      <c r="AQ479" t="n">
        <v>0.25</v>
      </c>
      <c r="AR479" t="n">
        <v>0.25</v>
      </c>
      <c r="AS479" t="n">
        <v>0.316</v>
      </c>
      <c r="AT479" t="n">
        <v>0.667</v>
      </c>
      <c r="AU479" t="n">
        <v>13</v>
      </c>
      <c r="AV479" t="n">
        <v>0</v>
      </c>
      <c r="AW479" t="n">
        <v>1.41</v>
      </c>
      <c r="AX479" t="n">
        <v>5</v>
      </c>
      <c r="AZ479" t="n">
        <v>0.181</v>
      </c>
      <c r="BA479" t="n">
        <v>0.181</v>
      </c>
      <c r="BB479" t="n">
        <v>0.181</v>
      </c>
      <c r="BD479" t="n">
        <v>0.015</v>
      </c>
      <c r="BE479" t="n">
        <v>0.015</v>
      </c>
      <c r="BF479" t="n">
        <v>0.3</v>
      </c>
      <c r="BG479" t="n">
        <v>0.025</v>
      </c>
      <c r="BH479" t="n">
        <v>1.177</v>
      </c>
      <c r="BI479" t="n">
        <v>13.92</v>
      </c>
      <c r="BJ479" t="n">
        <v>0.282</v>
      </c>
      <c r="BK479" t="n">
        <v>0.023</v>
      </c>
      <c r="BP479" t="n">
        <v>5</v>
      </c>
      <c r="BQ479" t="n">
        <v>2</v>
      </c>
      <c r="BS479" t="n">
        <v>1</v>
      </c>
      <c r="BT479" t="n">
        <v>0.082</v>
      </c>
      <c r="BX479" t="n">
        <v>3.429</v>
      </c>
      <c r="BY479" t="n">
        <v>3.429</v>
      </c>
      <c r="BZ479" t="n">
        <v>0.282</v>
      </c>
      <c r="CA479" t="n">
        <v>3.611</v>
      </c>
      <c r="CB479" t="n">
        <v>0.296</v>
      </c>
      <c r="CC479" t="n">
        <v>23</v>
      </c>
      <c r="CD479" t="n">
        <v>8</v>
      </c>
      <c r="CE479" t="n">
        <v>23</v>
      </c>
      <c r="CF479" t="n">
        <v>28</v>
      </c>
      <c r="CH479" t="n">
        <v>52</v>
      </c>
      <c r="CI479" t="n">
        <v>3.572</v>
      </c>
      <c r="CJ479" t="n">
        <v>3.076</v>
      </c>
      <c r="CN479" t="n">
        <v>7</v>
      </c>
      <c r="CO479" t="n">
        <v>20</v>
      </c>
      <c r="CP479" t="n">
        <v>17</v>
      </c>
      <c r="CQ479" t="n">
        <v>7</v>
      </c>
      <c r="CR479" t="n">
        <v>41</v>
      </c>
      <c r="CS479" t="n">
        <v>10</v>
      </c>
      <c r="CU479" t="n">
        <v>2</v>
      </c>
      <c r="DH479" t="n">
        <v>8</v>
      </c>
      <c r="DI479" t="n">
        <v>13</v>
      </c>
      <c r="DL479" t="n">
        <v>2</v>
      </c>
      <c r="DM479" t="n">
        <v>4</v>
      </c>
      <c r="EJ479" t="n">
        <v>219.2</v>
      </c>
      <c r="EK479" t="n">
        <v>1096</v>
      </c>
      <c r="EL479" t="n">
        <v>47.7</v>
      </c>
      <c r="EM479" t="n">
        <v>6053.8</v>
      </c>
      <c r="EN479" t="n">
        <v>319.6</v>
      </c>
      <c r="EO479" t="n">
        <v>303.6</v>
      </c>
    </row>
    <row r="480">
      <c r="A480" t="inlineStr">
        <is>
          <t>Matt Crooks</t>
        </is>
      </c>
      <c r="B480" t="inlineStr">
        <is>
          <t>HUL</t>
        </is>
      </c>
      <c r="C480" t="inlineStr">
        <is>
          <t>MID</t>
        </is>
      </c>
      <c r="E480" t="n">
        <v>4.5</v>
      </c>
      <c r="F480" t="b">
        <v>1</v>
      </c>
      <c r="G480" t="b">
        <v>0</v>
      </c>
      <c r="H480" t="n">
        <v>32.6</v>
      </c>
      <c r="I480" t="inlineStr">
        <is>
          <t>a</t>
        </is>
      </c>
      <c r="M480" t="n">
        <v>289</v>
      </c>
      <c r="DO480" t="n">
        <v>0.7</v>
      </c>
      <c r="DP480" t="n">
        <v>59.5</v>
      </c>
      <c r="DQ480" t="n">
        <v>30.66</v>
      </c>
      <c r="DR480" t="n">
        <v>61.32</v>
      </c>
      <c r="DS480" t="n">
        <v>-1.82</v>
      </c>
      <c r="DT480" t="n">
        <v>1545</v>
      </c>
      <c r="DU480" t="n">
        <v>40.65</v>
      </c>
      <c r="DV480" t="inlineStr">
        <is>
          <t>fade (losing his place)</t>
        </is>
      </c>
      <c r="DW480" t="n">
        <v>112.67</v>
      </c>
      <c r="DY480" t="n">
        <v>112.67</v>
      </c>
      <c r="DZ480" t="n">
        <v>0</v>
      </c>
      <c r="EA480" t="n">
        <v>1</v>
      </c>
      <c r="EC480" t="n">
        <v>112.67</v>
      </c>
      <c r="ED480" t="n">
        <v>112.67</v>
      </c>
      <c r="EE480" t="n">
        <v>1</v>
      </c>
      <c r="EF480" t="b">
        <v>0</v>
      </c>
      <c r="EG480" t="n">
        <v>0.1</v>
      </c>
      <c r="EH480" t="n">
        <v>66.7</v>
      </c>
      <c r="EI480" t="n">
        <v>491</v>
      </c>
    </row>
    <row r="481">
      <c r="A481" t="inlineStr">
        <is>
          <t>Sam Johnstone</t>
        </is>
      </c>
      <c r="D481" t="inlineStr">
        <is>
          <t>GKP</t>
        </is>
      </c>
      <c r="F481" t="b">
        <v>0</v>
      </c>
      <c r="G481" t="b">
        <v>1</v>
      </c>
      <c r="L481" t="inlineStr">
        <is>
          <t>p101982</t>
        </is>
      </c>
      <c r="Q481" t="n">
        <v>1080</v>
      </c>
      <c r="R481" t="n">
        <v>12</v>
      </c>
      <c r="T481" t="n">
        <v>12</v>
      </c>
      <c r="U481" t="n">
        <v>90</v>
      </c>
      <c r="AD481" t="n">
        <v>0</v>
      </c>
      <c r="AE481" t="n">
        <v>0</v>
      </c>
      <c r="AG481" t="n">
        <v>112</v>
      </c>
      <c r="AH481" t="n">
        <v>-5</v>
      </c>
      <c r="AI481" t="n">
        <v>21</v>
      </c>
      <c r="AN481" t="n">
        <v>0</v>
      </c>
      <c r="AO481" t="n">
        <v>0</v>
      </c>
      <c r="AP481" t="n">
        <v>0</v>
      </c>
      <c r="AQ481" t="n">
        <v>0</v>
      </c>
      <c r="AR481" t="n">
        <v>0</v>
      </c>
      <c r="AS481" t="n">
        <v>0.316</v>
      </c>
      <c r="AT481" t="n">
        <v>1</v>
      </c>
      <c r="AU481" t="n">
        <v>9</v>
      </c>
      <c r="AV481" t="n">
        <v>0</v>
      </c>
      <c r="AW481" t="n">
        <v>1.03</v>
      </c>
      <c r="AX481" t="n">
        <v>3</v>
      </c>
      <c r="AZ481" t="n">
        <v>0</v>
      </c>
      <c r="BA481" t="n">
        <v>0</v>
      </c>
      <c r="BB481" t="n">
        <v>0</v>
      </c>
      <c r="BD481" t="n">
        <v>0</v>
      </c>
      <c r="BE481" t="n">
        <v>0</v>
      </c>
      <c r="BH481" t="n">
        <v>1</v>
      </c>
      <c r="BI481" t="n">
        <v>0</v>
      </c>
      <c r="BJ481" t="n">
        <v>0</v>
      </c>
      <c r="BK481" t="n">
        <v>0</v>
      </c>
      <c r="BX481" t="n">
        <v>0</v>
      </c>
      <c r="BY481" t="n">
        <v>0</v>
      </c>
      <c r="BZ481" t="n">
        <v>0</v>
      </c>
      <c r="CA481" t="n">
        <v>0</v>
      </c>
      <c r="CB481" t="n">
        <v>0</v>
      </c>
      <c r="CC481" t="n">
        <v>0</v>
      </c>
      <c r="CI481" t="n">
        <v>0.319</v>
      </c>
      <c r="CJ481" t="n">
        <v>0.319</v>
      </c>
      <c r="CN481" t="n">
        <v>1</v>
      </c>
      <c r="CP481" t="n">
        <v>24</v>
      </c>
      <c r="CR481" t="n">
        <v>5</v>
      </c>
      <c r="CS481" t="n">
        <v>3</v>
      </c>
      <c r="CU481" t="n">
        <v>1</v>
      </c>
      <c r="DC481" t="n">
        <v>10</v>
      </c>
      <c r="DD481" t="n">
        <v>14</v>
      </c>
      <c r="DI481" t="n">
        <v>0</v>
      </c>
    </row>
    <row r="482">
      <c r="A482" t="inlineStr">
        <is>
          <t>Raúl Jiménez</t>
        </is>
      </c>
      <c r="D482" t="inlineStr">
        <is>
          <t>FWD</t>
        </is>
      </c>
      <c r="F482" t="b">
        <v>0</v>
      </c>
      <c r="G482" t="b">
        <v>1</v>
      </c>
      <c r="L482" t="inlineStr">
        <is>
          <t>p102057</t>
        </is>
      </c>
      <c r="Q482" t="n">
        <v>2199</v>
      </c>
      <c r="R482" t="n">
        <v>36</v>
      </c>
      <c r="T482" t="n">
        <v>24.433</v>
      </c>
      <c r="U482" t="n">
        <v>61.1</v>
      </c>
      <c r="Z482" t="n">
        <v>3</v>
      </c>
      <c r="AD482" t="n">
        <v>8</v>
      </c>
      <c r="AE482" t="n">
        <v>1</v>
      </c>
      <c r="AG482" t="n">
        <v>398</v>
      </c>
      <c r="AH482" t="n">
        <v>-12</v>
      </c>
      <c r="AI482" t="n">
        <v>113</v>
      </c>
      <c r="AN482" t="n">
        <v>0</v>
      </c>
      <c r="AO482" t="n">
        <v>0</v>
      </c>
      <c r="AP482" t="n">
        <v>0</v>
      </c>
      <c r="AQ482" t="n">
        <v>0</v>
      </c>
      <c r="AR482" t="n">
        <v>0</v>
      </c>
      <c r="AS482" t="n">
        <v>0.711</v>
      </c>
      <c r="AT482" t="n">
        <v>0.639</v>
      </c>
      <c r="AU482" t="n">
        <v>23</v>
      </c>
      <c r="AV482" t="n">
        <v>1</v>
      </c>
      <c r="AW482" t="n">
        <v>2.52</v>
      </c>
      <c r="AX482" t="n">
        <v>11</v>
      </c>
      <c r="AZ482" t="n">
        <v>12.017</v>
      </c>
      <c r="BA482" t="n">
        <v>12.017</v>
      </c>
      <c r="BB482" t="n">
        <v>8.972</v>
      </c>
      <c r="BD482" t="n">
        <v>0.492</v>
      </c>
      <c r="BE482" t="n">
        <v>0.492</v>
      </c>
      <c r="BF482" t="n">
        <v>10.6</v>
      </c>
      <c r="BG482" t="n">
        <v>0.434</v>
      </c>
      <c r="BH482" t="n">
        <v>0.93</v>
      </c>
      <c r="BI482" t="n">
        <v>31.47</v>
      </c>
      <c r="BJ482" t="n">
        <v>10.767</v>
      </c>
      <c r="BK482" t="n">
        <v>0.441</v>
      </c>
      <c r="BP482" t="n">
        <v>74</v>
      </c>
      <c r="BQ482" t="n">
        <v>19</v>
      </c>
      <c r="BR482" t="n">
        <v>9</v>
      </c>
      <c r="BS482" t="n">
        <v>106</v>
      </c>
      <c r="BT482" t="n">
        <v>4.338</v>
      </c>
      <c r="BU482" t="n">
        <v>4</v>
      </c>
      <c r="BV482" t="n">
        <v>4</v>
      </c>
      <c r="BX482" t="n">
        <v>1.944</v>
      </c>
      <c r="BY482" t="n">
        <v>1.944</v>
      </c>
      <c r="BZ482" t="n">
        <v>0.08</v>
      </c>
      <c r="CA482" t="n">
        <v>13.961</v>
      </c>
      <c r="CB482" t="n">
        <v>0.571</v>
      </c>
      <c r="CC482" t="n">
        <v>25</v>
      </c>
      <c r="CD482" t="n">
        <v>2</v>
      </c>
      <c r="CE482" t="n">
        <v>25</v>
      </c>
      <c r="CF482" t="n">
        <v>2</v>
      </c>
      <c r="CG482" t="n">
        <v>1</v>
      </c>
      <c r="CI482" t="n">
        <v>10.551</v>
      </c>
      <c r="CJ482" t="n">
        <v>1.558</v>
      </c>
      <c r="CN482" t="n">
        <v>21</v>
      </c>
      <c r="CO482" t="n">
        <v>8</v>
      </c>
      <c r="CP482" t="n">
        <v>30</v>
      </c>
      <c r="CQ482" t="n">
        <v>3</v>
      </c>
      <c r="CR482" t="n">
        <v>163</v>
      </c>
      <c r="CS482" t="n">
        <v>85</v>
      </c>
      <c r="CT482" t="n">
        <v>0.4</v>
      </c>
      <c r="CU482" t="n">
        <v>1</v>
      </c>
      <c r="DE482" t="n">
        <v>6.74</v>
      </c>
      <c r="DH482" t="n">
        <v>46</v>
      </c>
      <c r="DI482" t="n">
        <v>34</v>
      </c>
      <c r="DJ482" t="n">
        <v>2</v>
      </c>
      <c r="DL482" t="n">
        <v>10</v>
      </c>
      <c r="DM482" t="n">
        <v>28</v>
      </c>
      <c r="DN482" t="n">
        <v>19</v>
      </c>
      <c r="EJ482" t="n">
        <v>29.7</v>
      </c>
      <c r="EK482" t="n">
        <v>20.7</v>
      </c>
      <c r="EL482" t="n">
        <v>88</v>
      </c>
      <c r="EM482" t="n">
        <v>183</v>
      </c>
      <c r="EN482" t="n">
        <v>1131.1</v>
      </c>
      <c r="EO482" t="n">
        <v>157.5</v>
      </c>
    </row>
    <row r="483">
      <c r="A483" t="inlineStr">
        <is>
          <t>Jack Butland</t>
        </is>
      </c>
      <c r="B483" t="inlineStr">
        <is>
          <t>HUL</t>
        </is>
      </c>
      <c r="C483" t="inlineStr">
        <is>
          <t>GKP</t>
        </is>
      </c>
      <c r="E483" t="n">
        <v>4.5</v>
      </c>
      <c r="F483" t="b">
        <v>1</v>
      </c>
      <c r="G483" t="b">
        <v>0</v>
      </c>
      <c r="H483" t="n">
        <v>33.4</v>
      </c>
      <c r="I483" t="inlineStr">
        <is>
          <t>i</t>
        </is>
      </c>
      <c r="J483" t="inlineStr">
        <is>
          <t>Arm injury - Unknown return date</t>
        </is>
      </c>
      <c r="K483" t="n">
        <v>0</v>
      </c>
      <c r="M483" t="n">
        <v>274</v>
      </c>
      <c r="DO483" t="n">
        <v>0.5</v>
      </c>
      <c r="DP483" t="n">
        <v>1.14</v>
      </c>
      <c r="DQ483" t="n">
        <v>0.44</v>
      </c>
      <c r="DR483" t="n">
        <v>0.88</v>
      </c>
      <c r="DS483" t="n">
        <v>0.26</v>
      </c>
      <c r="DT483" t="n">
        <v>35</v>
      </c>
      <c r="DU483" t="n">
        <v>0.91</v>
      </c>
      <c r="DV483" t="inlineStr">
        <is>
          <t>flat</t>
        </is>
      </c>
      <c r="DW483" t="n">
        <v>110.96</v>
      </c>
      <c r="DX483" t="n">
        <v>106.56</v>
      </c>
      <c r="DY483" t="n">
        <v>116.85</v>
      </c>
      <c r="DZ483" t="n">
        <v>5.89</v>
      </c>
      <c r="EA483" t="n">
        <v>30</v>
      </c>
      <c r="EB483" t="n">
        <v>19.42</v>
      </c>
      <c r="EC483" t="n">
        <v>1.33</v>
      </c>
      <c r="ED483" t="n">
        <v>120</v>
      </c>
      <c r="EE483" t="n">
        <v>98</v>
      </c>
      <c r="EF483" t="b">
        <v>1</v>
      </c>
      <c r="EG483" t="n">
        <v>2.4</v>
      </c>
      <c r="EH483" t="n">
        <v>14.8</v>
      </c>
      <c r="EI483" t="n">
        <v>489</v>
      </c>
    </row>
    <row r="484">
      <c r="A484" t="inlineStr">
        <is>
          <t>Gerónimo Rulli</t>
        </is>
      </c>
      <c r="B484" t="inlineStr">
        <is>
          <t>MCI</t>
        </is>
      </c>
      <c r="C484" t="inlineStr">
        <is>
          <t>GKP</t>
        </is>
      </c>
      <c r="E484" t="n">
        <v>5</v>
      </c>
      <c r="F484" t="b">
        <v>1</v>
      </c>
      <c r="G484" t="b">
        <v>0</v>
      </c>
      <c r="H484" t="n">
        <v>34.3</v>
      </c>
      <c r="I484" t="inlineStr">
        <is>
          <t>a</t>
        </is>
      </c>
      <c r="M484" t="n">
        <v>587</v>
      </c>
      <c r="DO484" t="n">
        <v>0</v>
      </c>
      <c r="DP484" t="n">
        <v>0</v>
      </c>
      <c r="DQ484" t="n">
        <v>0</v>
      </c>
      <c r="DR484" t="n">
        <v>0</v>
      </c>
      <c r="DS484" t="n">
        <v>0</v>
      </c>
      <c r="DT484" t="n">
        <v>0</v>
      </c>
      <c r="DU484" t="n">
        <v>0</v>
      </c>
      <c r="DV484" t="inlineStr">
        <is>
          <t>flat</t>
        </is>
      </c>
      <c r="DW484" t="n">
        <v>80</v>
      </c>
      <c r="DY484" t="n">
        <v>80</v>
      </c>
      <c r="DZ484" t="n">
        <v>0</v>
      </c>
      <c r="EA484" t="n">
        <v>1</v>
      </c>
      <c r="EC484" t="n">
        <v>80</v>
      </c>
      <c r="ED484" t="n">
        <v>80</v>
      </c>
      <c r="EE484" t="n">
        <v>1</v>
      </c>
      <c r="EF484" t="b">
        <v>0</v>
      </c>
      <c r="EG484" t="n">
        <v>0</v>
      </c>
      <c r="EH484" t="n">
        <v>50</v>
      </c>
      <c r="EI484" t="n">
        <v>389</v>
      </c>
    </row>
    <row r="485">
      <c r="A485" t="inlineStr">
        <is>
          <t>Angus Gunn</t>
        </is>
      </c>
      <c r="D485" t="inlineStr">
        <is>
          <t>GKP</t>
        </is>
      </c>
      <c r="F485" t="b">
        <v>0</v>
      </c>
      <c r="G485" t="b">
        <v>1</v>
      </c>
      <c r="L485" t="inlineStr">
        <is>
          <t>p107265</t>
        </is>
      </c>
      <c r="Q485" t="n">
        <v>45</v>
      </c>
      <c r="R485" t="n">
        <v>1</v>
      </c>
      <c r="T485" t="n">
        <v>0.5</v>
      </c>
      <c r="U485" t="n">
        <v>45</v>
      </c>
      <c r="AD485" t="n">
        <v>0</v>
      </c>
      <c r="AE485" t="n">
        <v>0</v>
      </c>
      <c r="AG485" t="n">
        <v>4</v>
      </c>
      <c r="AH485" t="n">
        <v>0</v>
      </c>
      <c r="AI485" t="n">
        <v>1</v>
      </c>
      <c r="AN485" t="n">
        <v>0</v>
      </c>
      <c r="AO485" t="n">
        <v>0</v>
      </c>
      <c r="AS485" t="n">
        <v>0</v>
      </c>
      <c r="AT485" t="n">
        <v>0</v>
      </c>
      <c r="AU485" t="n">
        <v>1</v>
      </c>
      <c r="AV485" t="n">
        <v>0</v>
      </c>
      <c r="AW485" t="n">
        <v>0.16</v>
      </c>
      <c r="AX485" t="n">
        <v>1</v>
      </c>
      <c r="AZ485" t="n">
        <v>0</v>
      </c>
      <c r="BA485" t="n">
        <v>0</v>
      </c>
      <c r="BB485" t="n">
        <v>0</v>
      </c>
      <c r="BD485" t="n">
        <v>0</v>
      </c>
      <c r="BE485" t="n">
        <v>0</v>
      </c>
      <c r="BH485" t="n">
        <v>1</v>
      </c>
      <c r="BI485" t="n">
        <v>0</v>
      </c>
      <c r="BJ485" t="n">
        <v>0</v>
      </c>
      <c r="BK485" t="n">
        <v>0</v>
      </c>
      <c r="BX485" t="n">
        <v>0</v>
      </c>
      <c r="BY485" t="n">
        <v>0</v>
      </c>
      <c r="BZ485" t="n">
        <v>0</v>
      </c>
      <c r="CA485" t="n">
        <v>0</v>
      </c>
      <c r="CB485" t="n">
        <v>0</v>
      </c>
      <c r="CC485" t="n">
        <v>0</v>
      </c>
      <c r="CI485" t="n">
        <v>0.013</v>
      </c>
      <c r="CJ485" t="n">
        <v>0.013</v>
      </c>
      <c r="CP485" t="n">
        <v>1</v>
      </c>
      <c r="DC485" t="n">
        <v>1</v>
      </c>
      <c r="DD485" t="n">
        <v>1</v>
      </c>
    </row>
    <row r="486">
      <c r="A486" t="inlineStr">
        <is>
          <t>John Egan</t>
        </is>
      </c>
      <c r="B486" t="inlineStr">
        <is>
          <t>HUL</t>
        </is>
      </c>
      <c r="C486" t="inlineStr">
        <is>
          <t>DEF</t>
        </is>
      </c>
      <c r="E486" t="n">
        <v>4</v>
      </c>
      <c r="F486" t="b">
        <v>1</v>
      </c>
      <c r="G486" t="b">
        <v>0</v>
      </c>
      <c r="H486" t="n">
        <v>33.8</v>
      </c>
      <c r="I486" t="inlineStr">
        <is>
          <t>a</t>
        </is>
      </c>
      <c r="M486" t="n">
        <v>277</v>
      </c>
      <c r="DO486" t="n">
        <v>1.7</v>
      </c>
      <c r="DP486" t="n">
        <v>111.19</v>
      </c>
      <c r="DQ486" t="n">
        <v>56.36</v>
      </c>
      <c r="DR486" t="n">
        <v>112.72</v>
      </c>
      <c r="DS486" t="n">
        <v>-1.53</v>
      </c>
      <c r="DT486" t="n">
        <v>3015</v>
      </c>
      <c r="DU486" t="n">
        <v>79.34999999999999</v>
      </c>
      <c r="DV486" t="inlineStr">
        <is>
          <t>flat</t>
        </is>
      </c>
      <c r="DW486" t="n">
        <v>85.48</v>
      </c>
      <c r="DX486" t="n">
        <v>83.5</v>
      </c>
      <c r="DY486" t="n">
        <v>86.20999999999999</v>
      </c>
      <c r="DZ486" t="n">
        <v>0.74</v>
      </c>
      <c r="EA486" t="n">
        <v>24</v>
      </c>
      <c r="EB486" t="n">
        <v>31.63</v>
      </c>
      <c r="EC486" t="n">
        <v>6</v>
      </c>
      <c r="ED486" t="n">
        <v>120</v>
      </c>
      <c r="EE486" t="n">
        <v>30</v>
      </c>
      <c r="EF486" t="b">
        <v>1</v>
      </c>
      <c r="EG486" t="n">
        <v>0.8</v>
      </c>
      <c r="EH486" t="n">
        <v>23.1</v>
      </c>
      <c r="EI486" t="n">
        <v>554</v>
      </c>
    </row>
    <row r="487">
      <c r="A487" t="inlineStr">
        <is>
          <t>Christian Walton</t>
        </is>
      </c>
      <c r="B487" t="inlineStr">
        <is>
          <t>IPS</t>
        </is>
      </c>
      <c r="C487" t="inlineStr">
        <is>
          <t>GKP</t>
        </is>
      </c>
      <c r="E487" t="n">
        <v>4.5</v>
      </c>
      <c r="F487" t="b">
        <v>1</v>
      </c>
      <c r="G487" t="b">
        <v>0</v>
      </c>
      <c r="H487" t="n">
        <v>30.8</v>
      </c>
      <c r="I487" t="inlineStr">
        <is>
          <t>a</t>
        </is>
      </c>
      <c r="M487" t="n">
        <v>300</v>
      </c>
      <c r="DO487" t="n">
        <v>0.6</v>
      </c>
      <c r="DP487" t="n">
        <v>1.38</v>
      </c>
      <c r="DQ487" t="n">
        <v>0.6899999999999999</v>
      </c>
      <c r="DR487" t="n">
        <v>1.38</v>
      </c>
      <c r="DS487" t="n">
        <v>0</v>
      </c>
      <c r="DT487" t="n">
        <v>35</v>
      </c>
      <c r="DU487" t="n">
        <v>0.92</v>
      </c>
      <c r="DV487" t="inlineStr">
        <is>
          <t>flat</t>
        </is>
      </c>
      <c r="DW487" t="n">
        <v>112.65</v>
      </c>
      <c r="DX487" t="n">
        <v>116.25</v>
      </c>
      <c r="DY487" t="n">
        <v>114.88</v>
      </c>
      <c r="DZ487" t="n">
        <v>2.23</v>
      </c>
      <c r="EA487" t="n">
        <v>49</v>
      </c>
      <c r="EB487" t="n">
        <v>16.24</v>
      </c>
      <c r="EC487" t="n">
        <v>40</v>
      </c>
      <c r="ED487" t="n">
        <v>120</v>
      </c>
      <c r="EE487" t="n">
        <v>68</v>
      </c>
      <c r="EF487" t="b">
        <v>1</v>
      </c>
      <c r="EG487" t="n">
        <v>1.5</v>
      </c>
      <c r="EH487" t="n">
        <v>6.8</v>
      </c>
      <c r="EI487" t="n">
        <v>498</v>
      </c>
    </row>
    <row r="488">
      <c r="A488" t="inlineStr">
        <is>
          <t>Solly March</t>
        </is>
      </c>
      <c r="D488" t="inlineStr">
        <is>
          <t>MID</t>
        </is>
      </c>
      <c r="F488" t="b">
        <v>0</v>
      </c>
      <c r="G488" t="b">
        <v>1</v>
      </c>
      <c r="L488" t="inlineStr">
        <is>
          <t>p109345</t>
        </is>
      </c>
      <c r="Q488" t="n">
        <v>38</v>
      </c>
      <c r="R488" t="n">
        <v>4</v>
      </c>
      <c r="T488" t="n">
        <v>0.422</v>
      </c>
      <c r="U488" t="n">
        <v>9.5</v>
      </c>
      <c r="AD488" t="n">
        <v>0</v>
      </c>
      <c r="AE488" t="n">
        <v>0</v>
      </c>
      <c r="AG488" t="n">
        <v>18</v>
      </c>
      <c r="AH488" t="n">
        <v>0</v>
      </c>
      <c r="AI488" t="n">
        <v>4</v>
      </c>
      <c r="AN488" t="n">
        <v>0</v>
      </c>
      <c r="AO488" t="n">
        <v>0</v>
      </c>
      <c r="AS488" t="n">
        <v>0</v>
      </c>
      <c r="AT488" t="n">
        <v>0</v>
      </c>
      <c r="AU488" t="n">
        <v>4</v>
      </c>
      <c r="AV488" t="n">
        <v>0</v>
      </c>
      <c r="AW488" t="n">
        <v>0.31</v>
      </c>
      <c r="AX488" t="n">
        <v>1</v>
      </c>
      <c r="AZ488" t="n">
        <v>0.056</v>
      </c>
      <c r="BA488" t="n">
        <v>0.056</v>
      </c>
      <c r="BB488" t="n">
        <v>0.056</v>
      </c>
      <c r="BD488" t="n">
        <v>0.134</v>
      </c>
      <c r="BE488" t="n">
        <v>0.134</v>
      </c>
      <c r="BF488" t="n">
        <v>0</v>
      </c>
      <c r="BG488" t="n">
        <v>0</v>
      </c>
      <c r="BH488" t="n">
        <v>1.131</v>
      </c>
      <c r="BI488" t="n">
        <v>9.24</v>
      </c>
      <c r="BJ488" t="n">
        <v>0.045</v>
      </c>
      <c r="BK488" t="n">
        <v>0.107</v>
      </c>
      <c r="BP488" t="n">
        <v>1</v>
      </c>
      <c r="BQ488" t="n">
        <v>1</v>
      </c>
      <c r="BS488" t="n">
        <v>4</v>
      </c>
      <c r="BT488" t="n">
        <v>9.474</v>
      </c>
      <c r="BX488" t="n">
        <v>0</v>
      </c>
      <c r="BY488" t="n">
        <v>0</v>
      </c>
      <c r="BZ488" t="n">
        <v>0</v>
      </c>
      <c r="CA488" t="n">
        <v>0.056</v>
      </c>
      <c r="CB488" t="n">
        <v>0.134</v>
      </c>
      <c r="CC488" t="n">
        <v>0</v>
      </c>
      <c r="CI488" t="n">
        <v>0.144</v>
      </c>
      <c r="CJ488" t="n">
        <v>0.08699999999999999</v>
      </c>
      <c r="CN488" t="n">
        <v>2</v>
      </c>
      <c r="CR488" t="n">
        <v>3</v>
      </c>
      <c r="DI488" t="n">
        <v>1</v>
      </c>
      <c r="DM488" t="n">
        <v>2</v>
      </c>
      <c r="EJ488" t="n">
        <v>38</v>
      </c>
      <c r="EK488" t="n">
        <v>9.5</v>
      </c>
      <c r="EM488" t="n">
        <v>672.6</v>
      </c>
      <c r="EO488" t="n">
        <v>672.6</v>
      </c>
    </row>
    <row r="489">
      <c r="A489" t="inlineStr">
        <is>
          <t>Bertrand Traoré</t>
        </is>
      </c>
      <c r="D489" t="inlineStr">
        <is>
          <t>MID</t>
        </is>
      </c>
      <c r="F489" t="b">
        <v>0</v>
      </c>
      <c r="G489" t="b">
        <v>1</v>
      </c>
      <c r="L489" t="inlineStr">
        <is>
          <t>p110504</t>
        </is>
      </c>
      <c r="Q489" t="n">
        <v>638</v>
      </c>
      <c r="R489" t="n">
        <v>12</v>
      </c>
      <c r="T489" t="n">
        <v>7.089</v>
      </c>
      <c r="U489" t="n">
        <v>53.2</v>
      </c>
      <c r="AD489" t="n">
        <v>1</v>
      </c>
      <c r="AE489" t="n">
        <v>0</v>
      </c>
      <c r="AG489" t="n">
        <v>116</v>
      </c>
      <c r="AH489" t="n">
        <v>-2</v>
      </c>
      <c r="AI489" t="n">
        <v>30</v>
      </c>
      <c r="AN489" t="n">
        <v>0</v>
      </c>
      <c r="AO489" t="n">
        <v>0</v>
      </c>
      <c r="AP489" t="n">
        <v>0</v>
      </c>
      <c r="AQ489" t="n">
        <v>0</v>
      </c>
      <c r="AR489" t="n">
        <v>0</v>
      </c>
      <c r="AS489" t="n">
        <v>0.237</v>
      </c>
      <c r="AT489" t="n">
        <v>0.583</v>
      </c>
      <c r="AU489" t="n">
        <v>7</v>
      </c>
      <c r="AV489" t="n">
        <v>0</v>
      </c>
      <c r="AW489" t="n">
        <v>1.73</v>
      </c>
      <c r="AX489" t="n">
        <v>8</v>
      </c>
      <c r="AZ489" t="n">
        <v>0.625</v>
      </c>
      <c r="BA489" t="n">
        <v>0.625</v>
      </c>
      <c r="BB489" t="n">
        <v>0.625</v>
      </c>
      <c r="BD489" t="n">
        <v>0.08799999999999999</v>
      </c>
      <c r="BE489" t="n">
        <v>0.08799999999999999</v>
      </c>
      <c r="BF489" t="n">
        <v>1.5</v>
      </c>
      <c r="BG489" t="n">
        <v>0.212</v>
      </c>
      <c r="BH489" t="n">
        <v>1.203</v>
      </c>
      <c r="BI489" t="n">
        <v>1.23</v>
      </c>
      <c r="BJ489" t="n">
        <v>0.577</v>
      </c>
      <c r="BK489" t="n">
        <v>0.081</v>
      </c>
      <c r="BP489" t="n">
        <v>13</v>
      </c>
      <c r="BQ489" t="n">
        <v>6</v>
      </c>
      <c r="BS489" t="n">
        <v>23</v>
      </c>
      <c r="BT489" t="n">
        <v>3.245</v>
      </c>
      <c r="BX489" t="n">
        <v>0.989</v>
      </c>
      <c r="BY489" t="n">
        <v>0.989</v>
      </c>
      <c r="BZ489" t="n">
        <v>0.139</v>
      </c>
      <c r="CA489" t="n">
        <v>1.614</v>
      </c>
      <c r="CB489" t="n">
        <v>0.228</v>
      </c>
      <c r="CC489" t="n">
        <v>8</v>
      </c>
      <c r="CD489" t="n">
        <v>2</v>
      </c>
      <c r="CE489" t="n">
        <v>8</v>
      </c>
      <c r="CF489" t="n">
        <v>1</v>
      </c>
      <c r="CH489" t="n">
        <v>0</v>
      </c>
      <c r="CI489" t="n">
        <v>2.017</v>
      </c>
      <c r="CJ489" t="n">
        <v>1.23</v>
      </c>
      <c r="CN489" t="n">
        <v>4</v>
      </c>
      <c r="CO489" t="n">
        <v>2</v>
      </c>
      <c r="CP489" t="n">
        <v>6</v>
      </c>
      <c r="CQ489" t="n">
        <v>3</v>
      </c>
      <c r="CR489" t="n">
        <v>42</v>
      </c>
      <c r="CS489" t="n">
        <v>6</v>
      </c>
      <c r="DH489" t="n">
        <v>11</v>
      </c>
      <c r="DI489" t="n">
        <v>11</v>
      </c>
      <c r="DL489" t="n">
        <v>14</v>
      </c>
      <c r="DM489" t="n">
        <v>9</v>
      </c>
      <c r="DN489" t="n">
        <v>1</v>
      </c>
      <c r="EJ489" t="n">
        <v>49.1</v>
      </c>
      <c r="EK489" t="n">
        <v>27.7</v>
      </c>
      <c r="EL489" t="n">
        <v>79.8</v>
      </c>
      <c r="EM489" t="n">
        <v>1021.1</v>
      </c>
      <c r="EN489" t="n">
        <v>645.2</v>
      </c>
      <c r="EO489" t="n">
        <v>395.4</v>
      </c>
    </row>
    <row r="490">
      <c r="A490" t="inlineStr">
        <is>
          <t>Ben Wilson</t>
        </is>
      </c>
      <c r="B490" t="inlineStr">
        <is>
          <t>COV</t>
        </is>
      </c>
      <c r="C490" t="inlineStr">
        <is>
          <t>GKP</t>
        </is>
      </c>
      <c r="E490" t="n">
        <v>4.5</v>
      </c>
      <c r="F490" t="b">
        <v>1</v>
      </c>
      <c r="G490" t="b">
        <v>0</v>
      </c>
      <c r="H490" t="n">
        <v>34</v>
      </c>
      <c r="I490" t="inlineStr">
        <is>
          <t>a</t>
        </is>
      </c>
      <c r="M490" t="n">
        <v>172</v>
      </c>
      <c r="DO490" t="n">
        <v>0.6</v>
      </c>
      <c r="DP490" t="n">
        <v>1.38</v>
      </c>
      <c r="DQ490" t="n">
        <v>0.6899999999999999</v>
      </c>
      <c r="DR490" t="n">
        <v>1.38</v>
      </c>
      <c r="DS490" t="n">
        <v>0</v>
      </c>
      <c r="DT490" t="n">
        <v>35</v>
      </c>
      <c r="DU490" t="n">
        <v>0.91</v>
      </c>
      <c r="DV490" t="inlineStr">
        <is>
          <t>flat</t>
        </is>
      </c>
      <c r="DW490" t="n">
        <v>112.5</v>
      </c>
      <c r="DX490" t="n">
        <v>115.67</v>
      </c>
      <c r="DY490" t="n">
        <v>112.73</v>
      </c>
      <c r="DZ490" t="n">
        <v>0.23</v>
      </c>
      <c r="EA490" t="n">
        <v>25</v>
      </c>
      <c r="EB490" t="n">
        <v>13.15</v>
      </c>
      <c r="EC490" t="n">
        <v>56.5</v>
      </c>
      <c r="ED490" t="n">
        <v>120</v>
      </c>
      <c r="EE490" t="n">
        <v>36</v>
      </c>
      <c r="EF490" t="b">
        <v>1</v>
      </c>
      <c r="EG490" t="n">
        <v>0.9</v>
      </c>
      <c r="EH490" t="n">
        <v>18.2</v>
      </c>
      <c r="EI490" t="n">
        <v>482</v>
      </c>
    </row>
    <row r="491">
      <c r="A491" t="inlineStr">
        <is>
          <t>Joël Veltman</t>
        </is>
      </c>
      <c r="D491" t="inlineStr">
        <is>
          <t>DEF</t>
        </is>
      </c>
      <c r="F491" t="b">
        <v>0</v>
      </c>
      <c r="G491" t="b">
        <v>1</v>
      </c>
      <c r="L491" t="inlineStr">
        <is>
          <t>p111478</t>
        </is>
      </c>
      <c r="Q491" t="n">
        <v>1050</v>
      </c>
      <c r="R491" t="n">
        <v>24</v>
      </c>
      <c r="T491" t="n">
        <v>11.667</v>
      </c>
      <c r="U491" t="n">
        <v>43.8</v>
      </c>
      <c r="AD491" t="n">
        <v>0</v>
      </c>
      <c r="AE491" t="n">
        <v>-1</v>
      </c>
      <c r="AG491" t="n">
        <v>162</v>
      </c>
      <c r="AH491" t="n">
        <v>-14</v>
      </c>
      <c r="AI491" t="n">
        <v>45</v>
      </c>
      <c r="AN491" t="n">
        <v>3</v>
      </c>
      <c r="AO491" t="n">
        <v>6</v>
      </c>
      <c r="AP491" t="n">
        <v>0.333</v>
      </c>
      <c r="AQ491" t="n">
        <v>0.333</v>
      </c>
      <c r="AR491" t="n">
        <v>0.111</v>
      </c>
      <c r="AS491" t="n">
        <v>0.237</v>
      </c>
      <c r="AT491" t="n">
        <v>0.375</v>
      </c>
      <c r="AU491" t="n">
        <v>19</v>
      </c>
      <c r="AV491" t="n">
        <v>1</v>
      </c>
      <c r="AW491" t="n">
        <v>2.04</v>
      </c>
      <c r="AX491" t="n">
        <v>10</v>
      </c>
      <c r="AZ491" t="n">
        <v>1.064</v>
      </c>
      <c r="BA491" t="n">
        <v>1.064</v>
      </c>
      <c r="BB491" t="n">
        <v>1.064</v>
      </c>
      <c r="BD491" t="n">
        <v>0.091</v>
      </c>
      <c r="BE491" t="n">
        <v>0.091</v>
      </c>
      <c r="BF491" t="n">
        <v>1</v>
      </c>
      <c r="BG491" t="n">
        <v>0.08599999999999999</v>
      </c>
      <c r="BH491" t="n">
        <v>0.975</v>
      </c>
      <c r="BI491" t="n">
        <v>3.8</v>
      </c>
      <c r="BJ491" t="n">
        <v>1.121</v>
      </c>
      <c r="BK491" t="n">
        <v>0.096</v>
      </c>
      <c r="BP491" t="n">
        <v>4</v>
      </c>
      <c r="BQ491" t="n">
        <v>1</v>
      </c>
      <c r="BS491" t="n">
        <v>13</v>
      </c>
      <c r="BT491" t="n">
        <v>1.114</v>
      </c>
      <c r="BX491" t="n">
        <v>0.252</v>
      </c>
      <c r="BY491" t="n">
        <v>0.252</v>
      </c>
      <c r="BZ491" t="n">
        <v>0.022</v>
      </c>
      <c r="CA491" t="n">
        <v>1.316</v>
      </c>
      <c r="CB491" t="n">
        <v>0.113</v>
      </c>
      <c r="CC491" t="n">
        <v>4</v>
      </c>
      <c r="CE491" t="n">
        <v>4</v>
      </c>
      <c r="CF491" t="n">
        <v>2</v>
      </c>
      <c r="CI491" t="n">
        <v>2.464</v>
      </c>
      <c r="CJ491" t="n">
        <v>2.322</v>
      </c>
      <c r="CN491" t="n">
        <v>17</v>
      </c>
      <c r="CO491" t="n">
        <v>18</v>
      </c>
      <c r="CP491" t="n">
        <v>44</v>
      </c>
      <c r="CQ491" t="n">
        <v>6</v>
      </c>
      <c r="CR491" t="n">
        <v>75</v>
      </c>
      <c r="CS491" t="n">
        <v>20</v>
      </c>
      <c r="CT491" t="n">
        <v>0.3</v>
      </c>
      <c r="DE491" t="n">
        <v>6.81</v>
      </c>
      <c r="DH491" t="n">
        <v>10</v>
      </c>
      <c r="DI491" t="n">
        <v>22</v>
      </c>
      <c r="DL491" t="n">
        <v>2</v>
      </c>
      <c r="DM491" t="n">
        <v>2</v>
      </c>
      <c r="DN491" t="n">
        <v>2</v>
      </c>
      <c r="EJ491" t="n">
        <v>262.5</v>
      </c>
      <c r="EK491" t="n">
        <v>80.8</v>
      </c>
      <c r="EL491" t="n">
        <v>262.5</v>
      </c>
      <c r="EM491" t="n">
        <v>986.6</v>
      </c>
      <c r="EN491" t="n">
        <v>4166.4</v>
      </c>
      <c r="EO491" t="n">
        <v>797.7</v>
      </c>
    </row>
    <row r="492">
      <c r="A492" t="inlineStr">
        <is>
          <t>Emil Krafth</t>
        </is>
      </c>
      <c r="D492" t="inlineStr">
        <is>
          <t>DEF</t>
        </is>
      </c>
      <c r="F492" t="b">
        <v>0</v>
      </c>
      <c r="G492" t="b">
        <v>1</v>
      </c>
      <c r="L492" t="inlineStr">
        <is>
          <t>p111773</t>
        </is>
      </c>
      <c r="Q492" t="n">
        <v>45</v>
      </c>
      <c r="R492" t="n">
        <v>1</v>
      </c>
      <c r="T492" t="n">
        <v>0.5</v>
      </c>
      <c r="U492" t="n">
        <v>45</v>
      </c>
      <c r="AD492" t="n">
        <v>0</v>
      </c>
      <c r="AE492" t="n">
        <v>0</v>
      </c>
      <c r="AG492" t="n">
        <v>-8</v>
      </c>
      <c r="AH492" t="n">
        <v>0</v>
      </c>
      <c r="AI492" t="n">
        <v>0</v>
      </c>
      <c r="AN492" t="n">
        <v>0</v>
      </c>
      <c r="AO492" t="n">
        <v>0</v>
      </c>
      <c r="AP492" t="n">
        <v>0</v>
      </c>
      <c r="AQ492" t="n">
        <v>0</v>
      </c>
      <c r="AR492" t="n">
        <v>0</v>
      </c>
      <c r="AS492" t="n">
        <v>0.026</v>
      </c>
      <c r="AT492" t="n">
        <v>0</v>
      </c>
      <c r="AU492" t="n">
        <v>1</v>
      </c>
      <c r="AV492" t="n">
        <v>0</v>
      </c>
      <c r="AW492" t="n">
        <v>0</v>
      </c>
      <c r="AX492" t="n">
        <v>0</v>
      </c>
      <c r="AZ492" t="n">
        <v>0</v>
      </c>
      <c r="BA492" t="n">
        <v>0</v>
      </c>
      <c r="BB492" t="n">
        <v>0</v>
      </c>
      <c r="BD492" t="n">
        <v>0</v>
      </c>
      <c r="BE492" t="n">
        <v>0</v>
      </c>
      <c r="BH492" t="n">
        <v>0.971</v>
      </c>
      <c r="BI492" t="n">
        <v>0.24</v>
      </c>
      <c r="BJ492" t="n">
        <v>0</v>
      </c>
      <c r="BK492" t="n">
        <v>0</v>
      </c>
      <c r="BX492" t="n">
        <v>0</v>
      </c>
      <c r="BY492" t="n">
        <v>0</v>
      </c>
      <c r="BZ492" t="n">
        <v>0</v>
      </c>
      <c r="CA492" t="n">
        <v>0</v>
      </c>
      <c r="CB492" t="n">
        <v>0</v>
      </c>
      <c r="CC492" t="n">
        <v>0</v>
      </c>
      <c r="CI492" t="n">
        <v>0.021</v>
      </c>
      <c r="CJ492" t="n">
        <v>0.021</v>
      </c>
      <c r="CP492" t="n">
        <v>1</v>
      </c>
      <c r="DH492" t="n">
        <v>1</v>
      </c>
      <c r="DM492" t="n">
        <v>1</v>
      </c>
    </row>
    <row r="493">
      <c r="A493" t="inlineStr">
        <is>
          <t>Alex Palmer</t>
        </is>
      </c>
      <c r="B493" t="inlineStr">
        <is>
          <t>IPS</t>
        </is>
      </c>
      <c r="C493" t="inlineStr">
        <is>
          <t>GKP</t>
        </is>
      </c>
      <c r="E493" t="n">
        <v>4</v>
      </c>
      <c r="F493" t="b">
        <v>1</v>
      </c>
      <c r="G493" t="b">
        <v>0</v>
      </c>
      <c r="H493" t="n">
        <v>30</v>
      </c>
      <c r="I493" t="inlineStr">
        <is>
          <t>a</t>
        </is>
      </c>
      <c r="M493" t="n">
        <v>301</v>
      </c>
      <c r="DO493" t="n">
        <v>5.7</v>
      </c>
      <c r="DP493" t="n">
        <v>1</v>
      </c>
      <c r="DQ493" t="n">
        <v>0.5</v>
      </c>
      <c r="DR493" t="n">
        <v>1</v>
      </c>
      <c r="DS493" t="n">
        <v>0</v>
      </c>
      <c r="DT493" t="n">
        <v>34</v>
      </c>
      <c r="DU493" t="n">
        <v>0.9</v>
      </c>
      <c r="DV493" t="inlineStr">
        <is>
          <t>flat</t>
        </is>
      </c>
      <c r="DW493" t="n">
        <v>108.39</v>
      </c>
      <c r="DX493" t="n">
        <v>94.40000000000001</v>
      </c>
      <c r="DY493" t="n">
        <v>110.09</v>
      </c>
      <c r="DZ493" t="n">
        <v>1.69</v>
      </c>
      <c r="EA493" t="n">
        <v>29</v>
      </c>
      <c r="EB493" t="n">
        <v>26.42</v>
      </c>
      <c r="EC493" t="n">
        <v>6</v>
      </c>
      <c r="ED493" t="n">
        <v>120</v>
      </c>
      <c r="EE493" t="n">
        <v>42</v>
      </c>
      <c r="EF493" t="b">
        <v>1</v>
      </c>
      <c r="EG493" t="n">
        <v>0.9</v>
      </c>
      <c r="EH493" t="n">
        <v>8.699999999999999</v>
      </c>
      <c r="EI493" t="n">
        <v>563</v>
      </c>
    </row>
    <row r="494">
      <c r="A494" t="inlineStr">
        <is>
          <t>Sam Byram</t>
        </is>
      </c>
      <c r="D494" t="inlineStr">
        <is>
          <t>DEF</t>
        </is>
      </c>
      <c r="F494" t="b">
        <v>0</v>
      </c>
      <c r="G494" t="b">
        <v>1</v>
      </c>
      <c r="L494" t="inlineStr">
        <is>
          <t>p113564</t>
        </is>
      </c>
      <c r="Q494" t="n">
        <v>8</v>
      </c>
      <c r="R494" t="n">
        <v>2</v>
      </c>
      <c r="T494" t="n">
        <v>0.089</v>
      </c>
      <c r="U494" t="n">
        <v>4</v>
      </c>
      <c r="AD494" t="n">
        <v>0</v>
      </c>
      <c r="AE494" t="n">
        <v>0</v>
      </c>
      <c r="AG494" t="n">
        <v>0</v>
      </c>
      <c r="AH494" t="n">
        <v>-1</v>
      </c>
      <c r="AI494" t="n">
        <v>2</v>
      </c>
      <c r="AN494" t="n">
        <v>0</v>
      </c>
      <c r="AO494" t="n">
        <v>0</v>
      </c>
      <c r="AS494" t="n">
        <v>0</v>
      </c>
      <c r="AT494" t="n">
        <v>0</v>
      </c>
      <c r="AU494" t="n">
        <v>2</v>
      </c>
      <c r="AV494" t="n">
        <v>0</v>
      </c>
      <c r="AW494" t="n">
        <v>0.23</v>
      </c>
      <c r="AX494" t="n">
        <v>1</v>
      </c>
      <c r="AZ494" t="n">
        <v>0</v>
      </c>
      <c r="BA494" t="n">
        <v>0</v>
      </c>
      <c r="BB494" t="n">
        <v>0</v>
      </c>
      <c r="BD494" t="n">
        <v>0</v>
      </c>
      <c r="BE494" t="n">
        <v>0</v>
      </c>
      <c r="BH494" t="n">
        <v>1</v>
      </c>
      <c r="BI494" t="n">
        <v>0</v>
      </c>
      <c r="BJ494" t="n">
        <v>0</v>
      </c>
      <c r="BK494" t="n">
        <v>0</v>
      </c>
      <c r="BX494" t="n">
        <v>0</v>
      </c>
      <c r="BY494" t="n">
        <v>0</v>
      </c>
      <c r="BZ494" t="n">
        <v>0</v>
      </c>
      <c r="CA494" t="n">
        <v>0</v>
      </c>
      <c r="CB494" t="n">
        <v>0</v>
      </c>
      <c r="CC494" t="n">
        <v>0</v>
      </c>
      <c r="CI494" t="n">
        <v>0</v>
      </c>
      <c r="CJ494" t="n">
        <v>0</v>
      </c>
      <c r="CN494" t="n">
        <v>0</v>
      </c>
      <c r="CP494" t="n">
        <v>2</v>
      </c>
      <c r="CR494" t="n">
        <v>1</v>
      </c>
      <c r="DH494" t="n">
        <v>1</v>
      </c>
      <c r="DN494" t="n">
        <v>1</v>
      </c>
    </row>
    <row r="495">
      <c r="A495" t="inlineStr">
        <is>
          <t>Leandro Trossard</t>
        </is>
      </c>
      <c r="D495" t="inlineStr">
        <is>
          <t>MID</t>
        </is>
      </c>
      <c r="F495" t="b">
        <v>0</v>
      </c>
      <c r="G495" t="b">
        <v>1</v>
      </c>
      <c r="L495" t="inlineStr">
        <is>
          <t>p116216</t>
        </is>
      </c>
      <c r="Q495" t="n">
        <v>2006</v>
      </c>
      <c r="R495" t="n">
        <v>31</v>
      </c>
      <c r="T495" t="n">
        <v>22.289</v>
      </c>
      <c r="U495" t="n">
        <v>64.7</v>
      </c>
      <c r="Z495" t="n">
        <v>6</v>
      </c>
      <c r="AD495" t="n">
        <v>11</v>
      </c>
      <c r="AE495" t="n">
        <v>0</v>
      </c>
      <c r="AG495" t="n">
        <v>439</v>
      </c>
      <c r="AH495" t="n">
        <v>-6</v>
      </c>
      <c r="AI495" t="n">
        <v>119</v>
      </c>
      <c r="AN495" t="n">
        <v>0</v>
      </c>
      <c r="AO495" t="n">
        <v>0</v>
      </c>
      <c r="AP495" t="n">
        <v>0</v>
      </c>
      <c r="AQ495" t="n">
        <v>0</v>
      </c>
      <c r="AR495" t="n">
        <v>0</v>
      </c>
      <c r="AS495" t="n">
        <v>0.553</v>
      </c>
      <c r="AT495" t="n">
        <v>0.645</v>
      </c>
      <c r="AU495" t="n">
        <v>16</v>
      </c>
      <c r="AV495" t="n">
        <v>3</v>
      </c>
      <c r="AW495" t="n">
        <v>3.45</v>
      </c>
      <c r="AX495" t="n">
        <v>13</v>
      </c>
      <c r="AZ495" t="n">
        <v>6.753</v>
      </c>
      <c r="BA495" t="n">
        <v>6.753</v>
      </c>
      <c r="BB495" t="n">
        <v>6.753</v>
      </c>
      <c r="BD495" t="n">
        <v>0.303</v>
      </c>
      <c r="BE495" t="n">
        <v>0.303</v>
      </c>
      <c r="BF495" t="n">
        <v>5.2</v>
      </c>
      <c r="BG495" t="n">
        <v>0.233</v>
      </c>
      <c r="BH495" t="n">
        <v>1.017</v>
      </c>
      <c r="BI495" t="n">
        <v>27</v>
      </c>
      <c r="BJ495" t="n">
        <v>5.696</v>
      </c>
      <c r="BK495" t="n">
        <v>0.256</v>
      </c>
      <c r="BP495" t="n">
        <v>53</v>
      </c>
      <c r="BQ495" t="n">
        <v>15</v>
      </c>
      <c r="BR495" t="n">
        <v>8</v>
      </c>
      <c r="BS495" t="n">
        <v>114</v>
      </c>
      <c r="BT495" t="n">
        <v>5.115</v>
      </c>
      <c r="BX495" t="n">
        <v>4.988</v>
      </c>
      <c r="BY495" t="n">
        <v>4.988</v>
      </c>
      <c r="BZ495" t="n">
        <v>0.224</v>
      </c>
      <c r="CA495" t="n">
        <v>11.741</v>
      </c>
      <c r="CB495" t="n">
        <v>0.527</v>
      </c>
      <c r="CC495" t="n">
        <v>36</v>
      </c>
      <c r="CD495" t="n">
        <v>8</v>
      </c>
      <c r="CE495" t="n">
        <v>36</v>
      </c>
      <c r="CF495" t="n">
        <v>14</v>
      </c>
      <c r="CG495" t="n">
        <v>6</v>
      </c>
      <c r="CH495" t="n">
        <v>4</v>
      </c>
      <c r="CI495" t="n">
        <v>13.573</v>
      </c>
      <c r="CJ495" t="n">
        <v>4.961</v>
      </c>
      <c r="CN495" t="n">
        <v>17</v>
      </c>
      <c r="CO495" t="n">
        <v>9</v>
      </c>
      <c r="CP495" t="n">
        <v>14</v>
      </c>
      <c r="CQ495" t="n">
        <v>3</v>
      </c>
      <c r="CR495" t="n">
        <v>96</v>
      </c>
      <c r="CS495" t="n">
        <v>6</v>
      </c>
      <c r="CT495" t="n">
        <v>0.4</v>
      </c>
      <c r="CV495" t="n">
        <v>1</v>
      </c>
      <c r="DE495" t="n">
        <v>7.12</v>
      </c>
      <c r="DH495" t="n">
        <v>13</v>
      </c>
      <c r="DI495" t="n">
        <v>39</v>
      </c>
      <c r="DL495" t="n">
        <v>25</v>
      </c>
      <c r="DM495" t="n">
        <v>39</v>
      </c>
      <c r="DN495" t="n">
        <v>5</v>
      </c>
      <c r="EJ495" t="n">
        <v>37.8</v>
      </c>
      <c r="EK495" t="n">
        <v>17.6</v>
      </c>
      <c r="EL495" t="n">
        <v>55.7</v>
      </c>
      <c r="EM495" t="n">
        <v>297</v>
      </c>
      <c r="EN495" t="n">
        <v>402.2</v>
      </c>
      <c r="EO495" t="n">
        <v>170.9</v>
      </c>
    </row>
    <row r="496">
      <c r="A496" t="inlineStr">
        <is>
          <t>Mohamed Salah</t>
        </is>
      </c>
      <c r="D496" t="inlineStr">
        <is>
          <t>MID</t>
        </is>
      </c>
      <c r="F496" t="b">
        <v>0</v>
      </c>
      <c r="G496" t="b">
        <v>1</v>
      </c>
      <c r="L496" t="inlineStr">
        <is>
          <t>p118748</t>
        </is>
      </c>
      <c r="Q496" t="n">
        <v>2148</v>
      </c>
      <c r="R496" t="n">
        <v>27</v>
      </c>
      <c r="T496" t="n">
        <v>23.867</v>
      </c>
      <c r="U496" t="n">
        <v>79.59999999999999</v>
      </c>
      <c r="Z496" t="n">
        <v>7</v>
      </c>
      <c r="AD496" t="n">
        <v>13</v>
      </c>
      <c r="AE496" t="n">
        <v>2</v>
      </c>
      <c r="AG496" t="n">
        <v>390</v>
      </c>
      <c r="AH496" t="n">
        <v>-2</v>
      </c>
      <c r="AI496" t="n">
        <v>125</v>
      </c>
      <c r="AN496" t="n">
        <v>0</v>
      </c>
      <c r="AO496" t="n">
        <v>0</v>
      </c>
      <c r="AP496" t="n">
        <v>0</v>
      </c>
      <c r="AQ496" t="n">
        <v>0.043</v>
      </c>
      <c r="AR496" t="n">
        <v>0</v>
      </c>
      <c r="AS496" t="n">
        <v>0.605</v>
      </c>
      <c r="AT496" t="n">
        <v>0.852</v>
      </c>
      <c r="AU496" t="n">
        <v>11</v>
      </c>
      <c r="AV496" t="n">
        <v>2</v>
      </c>
      <c r="AW496" t="n">
        <v>3.28</v>
      </c>
      <c r="AX496" t="n">
        <v>10</v>
      </c>
      <c r="AZ496" t="n">
        <v>8.837999999999999</v>
      </c>
      <c r="BA496" t="n">
        <v>8.837999999999999</v>
      </c>
      <c r="BB496" t="n">
        <v>8.077</v>
      </c>
      <c r="BD496" t="n">
        <v>0.37</v>
      </c>
      <c r="BE496" t="n">
        <v>0.37</v>
      </c>
      <c r="BF496" t="n">
        <v>7.2</v>
      </c>
      <c r="BG496" t="n">
        <v>0.302</v>
      </c>
      <c r="BH496" t="n">
        <v>0.968</v>
      </c>
      <c r="BI496" t="n">
        <v>74.83</v>
      </c>
      <c r="BJ496" t="n">
        <v>7.969</v>
      </c>
      <c r="BK496" t="n">
        <v>0.334</v>
      </c>
      <c r="BP496" t="n">
        <v>68</v>
      </c>
      <c r="BQ496" t="n">
        <v>19</v>
      </c>
      <c r="BR496" t="n">
        <v>11</v>
      </c>
      <c r="BS496" t="n">
        <v>187</v>
      </c>
      <c r="BT496" t="n">
        <v>7.835</v>
      </c>
      <c r="BU496" t="n">
        <v>1</v>
      </c>
      <c r="BX496" t="n">
        <v>6.428</v>
      </c>
      <c r="BY496" t="n">
        <v>6.428</v>
      </c>
      <c r="BZ496" t="n">
        <v>0.269</v>
      </c>
      <c r="CA496" t="n">
        <v>15.266</v>
      </c>
      <c r="CB496" t="n">
        <v>0.64</v>
      </c>
      <c r="CC496" t="n">
        <v>49</v>
      </c>
      <c r="CD496" t="n">
        <v>11</v>
      </c>
      <c r="CE496" t="n">
        <v>49</v>
      </c>
      <c r="CF496" t="n">
        <v>20</v>
      </c>
      <c r="CG496" t="n">
        <v>2</v>
      </c>
      <c r="CH496" t="n">
        <v>58</v>
      </c>
      <c r="CI496" t="n">
        <v>17.373</v>
      </c>
      <c r="CJ496" t="n">
        <v>6.298</v>
      </c>
      <c r="CN496" t="n">
        <v>12</v>
      </c>
      <c r="CO496" t="n">
        <v>4</v>
      </c>
      <c r="CP496" t="n">
        <v>7</v>
      </c>
      <c r="CQ496" t="n">
        <v>1</v>
      </c>
      <c r="CR496" t="n">
        <v>60</v>
      </c>
      <c r="CS496" t="n">
        <v>8</v>
      </c>
      <c r="CT496" t="n">
        <v>0.9</v>
      </c>
      <c r="CV496" t="n">
        <v>0</v>
      </c>
      <c r="DE496" t="n">
        <v>7.07</v>
      </c>
      <c r="DH496" t="n">
        <v>10</v>
      </c>
      <c r="DI496" t="n">
        <v>16</v>
      </c>
      <c r="DJ496" t="n">
        <v>0</v>
      </c>
      <c r="DL496" t="n">
        <v>19</v>
      </c>
      <c r="DM496" t="n">
        <v>50</v>
      </c>
      <c r="DN496" t="n">
        <v>14</v>
      </c>
      <c r="EJ496" t="n">
        <v>31.6</v>
      </c>
      <c r="EK496" t="n">
        <v>11.5</v>
      </c>
      <c r="EL496" t="n">
        <v>43.8</v>
      </c>
      <c r="EM496" t="n">
        <v>243.1</v>
      </c>
      <c r="EN496" t="n">
        <v>334.2</v>
      </c>
      <c r="EO496" t="n">
        <v>140.7</v>
      </c>
    </row>
    <row r="497">
      <c r="A497" t="inlineStr">
        <is>
          <t>Patrick Roberts</t>
        </is>
      </c>
      <c r="D497" t="inlineStr">
        <is>
          <t>MID</t>
        </is>
      </c>
      <c r="F497" t="b">
        <v>0</v>
      </c>
      <c r="G497" t="b">
        <v>1</v>
      </c>
      <c r="L497" t="inlineStr">
        <is>
          <t>p124165</t>
        </is>
      </c>
      <c r="Q497" t="n">
        <v>27</v>
      </c>
      <c r="R497" t="n">
        <v>1</v>
      </c>
      <c r="T497" t="n">
        <v>0.3</v>
      </c>
      <c r="U497" t="n">
        <v>27</v>
      </c>
      <c r="AD497" t="n">
        <v>0</v>
      </c>
      <c r="AE497" t="n">
        <v>0</v>
      </c>
      <c r="AG497" t="n">
        <v>4</v>
      </c>
      <c r="AH497" t="n">
        <v>0</v>
      </c>
      <c r="AI497" t="n">
        <v>1</v>
      </c>
      <c r="AN497" t="n">
        <v>0</v>
      </c>
      <c r="AO497" t="n">
        <v>0</v>
      </c>
      <c r="AS497" t="n">
        <v>0</v>
      </c>
      <c r="AT497" t="n">
        <v>0</v>
      </c>
      <c r="AU497" t="n">
        <v>1</v>
      </c>
      <c r="AV497" t="n">
        <v>0</v>
      </c>
      <c r="AW497" t="n">
        <v>0.16</v>
      </c>
      <c r="AX497" t="n">
        <v>1</v>
      </c>
      <c r="AZ497" t="n">
        <v>0.068</v>
      </c>
      <c r="BA497" t="n">
        <v>0.068</v>
      </c>
      <c r="BB497" t="n">
        <v>0.068</v>
      </c>
      <c r="BD497" t="n">
        <v>0.227</v>
      </c>
      <c r="BE497" t="n">
        <v>0.227</v>
      </c>
      <c r="BH497" t="n">
        <v>0.996</v>
      </c>
      <c r="BI497" t="n">
        <v>0.03</v>
      </c>
      <c r="BJ497" t="n">
        <v>0.03</v>
      </c>
      <c r="BK497" t="n">
        <v>0.1</v>
      </c>
      <c r="BP497" t="n">
        <v>1</v>
      </c>
      <c r="BS497" t="n">
        <v>1</v>
      </c>
      <c r="BT497" t="n">
        <v>3.333</v>
      </c>
      <c r="BX497" t="n">
        <v>0</v>
      </c>
      <c r="BY497" t="n">
        <v>0</v>
      </c>
      <c r="BZ497" t="n">
        <v>0</v>
      </c>
      <c r="CA497" t="n">
        <v>0.068</v>
      </c>
      <c r="CB497" t="n">
        <v>0.227</v>
      </c>
      <c r="CC497" t="n">
        <v>0</v>
      </c>
      <c r="CI497" t="n">
        <v>0.109</v>
      </c>
      <c r="CJ497" t="n">
        <v>0.041</v>
      </c>
      <c r="CR497" t="n">
        <v>1</v>
      </c>
      <c r="DL497" t="n">
        <v>1</v>
      </c>
      <c r="EJ497" t="n">
        <v>27</v>
      </c>
      <c r="EK497" t="n">
        <v>27</v>
      </c>
      <c r="EM497" t="n">
        <v>397</v>
      </c>
      <c r="EO497" t="n">
        <v>397</v>
      </c>
    </row>
    <row r="498">
      <c r="A498" t="inlineStr">
        <is>
          <t>Nathan Aké</t>
        </is>
      </c>
      <c r="D498" t="inlineStr">
        <is>
          <t>DEF</t>
        </is>
      </c>
      <c r="F498" t="b">
        <v>0</v>
      </c>
      <c r="G498" t="b">
        <v>1</v>
      </c>
      <c r="L498" t="inlineStr">
        <is>
          <t>p126184</t>
        </is>
      </c>
      <c r="Q498" t="n">
        <v>688</v>
      </c>
      <c r="R498" t="n">
        <v>18</v>
      </c>
      <c r="T498" t="n">
        <v>7.644</v>
      </c>
      <c r="U498" t="n">
        <v>38.2</v>
      </c>
      <c r="AD498" t="n">
        <v>0</v>
      </c>
      <c r="AE498" t="n">
        <v>-1</v>
      </c>
      <c r="AG498" t="n">
        <v>141</v>
      </c>
      <c r="AH498" t="n">
        <v>-10</v>
      </c>
      <c r="AI498" t="n">
        <v>35</v>
      </c>
      <c r="AN498" t="n">
        <v>1</v>
      </c>
      <c r="AO498" t="n">
        <v>2</v>
      </c>
      <c r="AP498" t="n">
        <v>0.167</v>
      </c>
      <c r="AQ498" t="n">
        <v>0.167</v>
      </c>
      <c r="AR498" t="n">
        <v>0.167</v>
      </c>
      <c r="AS498" t="n">
        <v>0.158</v>
      </c>
      <c r="AT498" t="n">
        <v>0.389</v>
      </c>
      <c r="AU498" t="n">
        <v>15</v>
      </c>
      <c r="AV498" t="n">
        <v>0</v>
      </c>
      <c r="AW498" t="n">
        <v>1.8</v>
      </c>
      <c r="AX498" t="n">
        <v>8</v>
      </c>
      <c r="AZ498" t="n">
        <v>1.096</v>
      </c>
      <c r="BA498" t="n">
        <v>1.096</v>
      </c>
      <c r="BB498" t="n">
        <v>1.096</v>
      </c>
      <c r="BD498" t="n">
        <v>0.143</v>
      </c>
      <c r="BE498" t="n">
        <v>0.143</v>
      </c>
      <c r="BF498" t="n">
        <v>0.3</v>
      </c>
      <c r="BG498" t="n">
        <v>0.039</v>
      </c>
      <c r="BH498" t="n">
        <v>0.841</v>
      </c>
      <c r="BI498" t="n">
        <v>4.96</v>
      </c>
      <c r="BJ498" t="n">
        <v>0.606</v>
      </c>
      <c r="BK498" t="n">
        <v>0.079</v>
      </c>
      <c r="BP498" t="n">
        <v>6</v>
      </c>
      <c r="BQ498" t="n">
        <v>1</v>
      </c>
      <c r="BR498" t="n">
        <v>1</v>
      </c>
      <c r="BS498" t="n">
        <v>16</v>
      </c>
      <c r="BT498" t="n">
        <v>2.093</v>
      </c>
      <c r="BX498" t="n">
        <v>0.711</v>
      </c>
      <c r="BY498" t="n">
        <v>0.711</v>
      </c>
      <c r="BZ498" t="n">
        <v>0.093</v>
      </c>
      <c r="CA498" t="n">
        <v>1.808</v>
      </c>
      <c r="CB498" t="n">
        <v>0.236</v>
      </c>
      <c r="CC498" t="n">
        <v>6</v>
      </c>
      <c r="CD498" t="n">
        <v>2</v>
      </c>
      <c r="CE498" t="n">
        <v>7</v>
      </c>
      <c r="CF498" t="n">
        <v>3</v>
      </c>
      <c r="CI498" t="n">
        <v>4.448</v>
      </c>
      <c r="CJ498" t="n">
        <v>3.937</v>
      </c>
      <c r="CN498" t="n">
        <v>5</v>
      </c>
      <c r="CO498" t="n">
        <v>5</v>
      </c>
      <c r="CP498" t="n">
        <v>31</v>
      </c>
      <c r="CQ498" t="n">
        <v>1</v>
      </c>
      <c r="CR498" t="n">
        <v>34</v>
      </c>
      <c r="CS498" t="n">
        <v>18</v>
      </c>
      <c r="CV498" t="n">
        <v>1</v>
      </c>
      <c r="DH498" t="n">
        <v>3</v>
      </c>
      <c r="DI498" t="n">
        <v>8</v>
      </c>
      <c r="DN498" t="n">
        <v>1</v>
      </c>
      <c r="EJ498" t="n">
        <v>114.7</v>
      </c>
      <c r="EK498" t="n">
        <v>43</v>
      </c>
      <c r="EL498" t="n">
        <v>98.3</v>
      </c>
      <c r="EM498" t="n">
        <v>627.6</v>
      </c>
      <c r="EN498" t="n">
        <v>967</v>
      </c>
      <c r="EO498" t="n">
        <v>380.6</v>
      </c>
    </row>
    <row r="499">
      <c r="A499" t="inlineStr">
        <is>
          <t>Semi Ajayi</t>
        </is>
      </c>
      <c r="B499" t="inlineStr">
        <is>
          <t>HUL</t>
        </is>
      </c>
      <c r="C499" t="inlineStr">
        <is>
          <t>DEF</t>
        </is>
      </c>
      <c r="E499" t="n">
        <v>4</v>
      </c>
      <c r="F499" t="b">
        <v>1</v>
      </c>
      <c r="G499" t="b">
        <v>0</v>
      </c>
      <c r="H499" t="n">
        <v>32.8</v>
      </c>
      <c r="I499" t="inlineStr">
        <is>
          <t>a</t>
        </is>
      </c>
      <c r="M499" t="n">
        <v>279</v>
      </c>
      <c r="DO499" t="n">
        <v>0.8</v>
      </c>
      <c r="DP499" t="n">
        <v>70.48999999999999</v>
      </c>
      <c r="DQ499" t="n">
        <v>38.21</v>
      </c>
      <c r="DR499" t="n">
        <v>76.42</v>
      </c>
      <c r="DS499" t="n">
        <v>-5.93</v>
      </c>
      <c r="DT499" t="n">
        <v>1824</v>
      </c>
      <c r="DU499" t="n">
        <v>48</v>
      </c>
      <c r="DV499" t="inlineStr">
        <is>
          <t>fade (losing his place)</t>
        </is>
      </c>
      <c r="DW499" t="n">
        <v>95.8</v>
      </c>
      <c r="DX499" t="n">
        <v>86.5</v>
      </c>
      <c r="DY499" t="n">
        <v>115.7</v>
      </c>
      <c r="DZ499" t="n">
        <v>19.9</v>
      </c>
      <c r="EA499" t="n">
        <v>2</v>
      </c>
      <c r="EB499" t="n">
        <v>34.49</v>
      </c>
      <c r="EC499" t="n">
        <v>56</v>
      </c>
      <c r="ED499" t="n">
        <v>117</v>
      </c>
      <c r="EE499" t="n">
        <v>3</v>
      </c>
      <c r="EF499" t="b">
        <v>0</v>
      </c>
      <c r="EG499" t="n">
        <v>0.1</v>
      </c>
      <c r="EH499" t="n">
        <v>0</v>
      </c>
      <c r="EI499" t="n">
        <v>556</v>
      </c>
    </row>
    <row r="500">
      <c r="A500" t="inlineStr">
        <is>
          <t>Chuba Akpom</t>
        </is>
      </c>
      <c r="B500" t="inlineStr">
        <is>
          <t>IPS</t>
        </is>
      </c>
      <c r="C500" t="inlineStr">
        <is>
          <t>FWD</t>
        </is>
      </c>
      <c r="E500" t="n">
        <v>5</v>
      </c>
      <c r="F500" t="b">
        <v>1</v>
      </c>
      <c r="G500" t="b">
        <v>0</v>
      </c>
      <c r="H500" t="n">
        <v>30.9</v>
      </c>
      <c r="I500" t="inlineStr">
        <is>
          <t>a</t>
        </is>
      </c>
      <c r="M500" t="n">
        <v>320</v>
      </c>
      <c r="DO500" t="n">
        <v>0.5</v>
      </c>
      <c r="DP500" t="n">
        <v>28.94</v>
      </c>
      <c r="DQ500" t="n">
        <v>14.47</v>
      </c>
      <c r="DR500" t="n">
        <v>28.94</v>
      </c>
      <c r="DS500" t="n">
        <v>0</v>
      </c>
      <c r="DT500" t="n">
        <v>220</v>
      </c>
      <c r="DU500" t="n">
        <v>5.78</v>
      </c>
      <c r="DV500" t="inlineStr">
        <is>
          <t>flat</t>
        </is>
      </c>
      <c r="DW500" t="n">
        <v>100.5</v>
      </c>
      <c r="DX500" t="n">
        <v>92.90000000000001</v>
      </c>
      <c r="DY500" t="n">
        <v>101.46</v>
      </c>
      <c r="DZ500" t="n">
        <v>0.97</v>
      </c>
      <c r="EA500" t="n">
        <v>31</v>
      </c>
      <c r="EB500" t="n">
        <v>15.51</v>
      </c>
      <c r="EC500" t="n">
        <v>60</v>
      </c>
      <c r="ED500" t="n">
        <v>120</v>
      </c>
      <c r="EE500" t="n">
        <v>51</v>
      </c>
      <c r="EF500" t="b">
        <v>1</v>
      </c>
      <c r="EG500" t="n">
        <v>1.2</v>
      </c>
      <c r="EH500" t="n">
        <v>12.1</v>
      </c>
      <c r="EI500" t="n">
        <v>362</v>
      </c>
    </row>
    <row r="501">
      <c r="A501" t="inlineStr">
        <is>
          <t>José Sá</t>
        </is>
      </c>
      <c r="D501" t="inlineStr">
        <is>
          <t>GKP</t>
        </is>
      </c>
      <c r="F501" t="b">
        <v>0</v>
      </c>
      <c r="G501" t="b">
        <v>1</v>
      </c>
      <c r="L501" t="inlineStr">
        <is>
          <t>p149065</t>
        </is>
      </c>
      <c r="Q501" t="n">
        <v>2070</v>
      </c>
      <c r="R501" t="n">
        <v>23</v>
      </c>
      <c r="T501" t="n">
        <v>23</v>
      </c>
      <c r="U501" t="n">
        <v>90</v>
      </c>
      <c r="AD501" t="n">
        <v>8</v>
      </c>
      <c r="AE501" t="n">
        <v>0</v>
      </c>
      <c r="AG501" t="n">
        <v>292</v>
      </c>
      <c r="AH501" t="n">
        <v>-11</v>
      </c>
      <c r="AI501" t="n">
        <v>68</v>
      </c>
      <c r="AN501" t="n">
        <v>0</v>
      </c>
      <c r="AO501" t="n">
        <v>0</v>
      </c>
      <c r="AP501" t="n">
        <v>0</v>
      </c>
      <c r="AQ501" t="n">
        <v>0</v>
      </c>
      <c r="AR501" t="n">
        <v>0</v>
      </c>
      <c r="AS501" t="n">
        <v>0.605</v>
      </c>
      <c r="AT501" t="n">
        <v>1</v>
      </c>
      <c r="AU501" t="n">
        <v>14</v>
      </c>
      <c r="AV501" t="n">
        <v>1</v>
      </c>
      <c r="AW501" t="n">
        <v>2.72</v>
      </c>
      <c r="AX501" t="n">
        <v>12</v>
      </c>
      <c r="AZ501" t="n">
        <v>0</v>
      </c>
      <c r="BA501" t="n">
        <v>0</v>
      </c>
      <c r="BB501" t="n">
        <v>0</v>
      </c>
      <c r="BD501" t="n">
        <v>0</v>
      </c>
      <c r="BE501" t="n">
        <v>0</v>
      </c>
      <c r="BH501" t="n">
        <v>1</v>
      </c>
      <c r="BI501" t="n">
        <v>0</v>
      </c>
      <c r="BJ501" t="n">
        <v>0</v>
      </c>
      <c r="BK501" t="n">
        <v>0</v>
      </c>
      <c r="BS501" t="n">
        <v>0</v>
      </c>
      <c r="BT501" t="n">
        <v>0</v>
      </c>
      <c r="BX501" t="n">
        <v>0.083</v>
      </c>
      <c r="BY501" t="n">
        <v>0.083</v>
      </c>
      <c r="BZ501" t="n">
        <v>0.004</v>
      </c>
      <c r="CA501" t="n">
        <v>0.083</v>
      </c>
      <c r="CB501" t="n">
        <v>0.004</v>
      </c>
      <c r="CC501" t="n">
        <v>1</v>
      </c>
      <c r="CE501" t="n">
        <v>1</v>
      </c>
      <c r="CI501" t="n">
        <v>1.549</v>
      </c>
      <c r="CJ501" t="n">
        <v>1.466</v>
      </c>
      <c r="CP501" t="n">
        <v>47</v>
      </c>
      <c r="CR501" t="n">
        <v>22</v>
      </c>
      <c r="CS501" t="n">
        <v>17</v>
      </c>
      <c r="CU501" t="n">
        <v>1</v>
      </c>
      <c r="CV501" t="n">
        <v>2</v>
      </c>
      <c r="CZ501" t="n">
        <v>63.7</v>
      </c>
      <c r="DA501" t="n">
        <v>-2.9</v>
      </c>
      <c r="DC501" t="n">
        <v>35</v>
      </c>
      <c r="DD501" t="n">
        <v>29</v>
      </c>
      <c r="DE501" t="n">
        <v>6.76</v>
      </c>
      <c r="DH501" t="n">
        <v>0</v>
      </c>
      <c r="DI501" t="n">
        <v>6</v>
      </c>
      <c r="EL501" t="n">
        <v>2070</v>
      </c>
      <c r="EN501" t="n">
        <v>24902.2</v>
      </c>
      <c r="EO501" t="n">
        <v>24902.2</v>
      </c>
    </row>
    <row r="502">
      <c r="A502" t="inlineStr">
        <is>
          <t>Wes Burns</t>
        </is>
      </c>
      <c r="B502" t="inlineStr">
        <is>
          <t>IPS</t>
        </is>
      </c>
      <c r="C502" t="inlineStr">
        <is>
          <t>MID</t>
        </is>
      </c>
      <c r="E502" t="n">
        <v>5</v>
      </c>
      <c r="F502" t="b">
        <v>1</v>
      </c>
      <c r="G502" t="b">
        <v>0</v>
      </c>
      <c r="H502" t="n">
        <v>31.7</v>
      </c>
      <c r="I502" t="inlineStr">
        <is>
          <t>u</t>
        </is>
      </c>
      <c r="J502" t="inlineStr">
        <is>
          <t>Has joined Leicester City permanently</t>
        </is>
      </c>
      <c r="K502" t="n">
        <v>0</v>
      </c>
      <c r="M502" t="n">
        <v>311</v>
      </c>
      <c r="DO502" t="n">
        <v>0</v>
      </c>
      <c r="DW502" t="n">
        <v>79.67</v>
      </c>
      <c r="DX502" t="n">
        <v>106</v>
      </c>
      <c r="EB502" t="n">
        <v>37.24</v>
      </c>
      <c r="EC502" t="n">
        <v>53.33</v>
      </c>
      <c r="ED502" t="n">
        <v>106</v>
      </c>
      <c r="EE502" t="n">
        <v>2</v>
      </c>
      <c r="EF502" t="b">
        <v>0</v>
      </c>
      <c r="EG502" t="n">
        <v>0</v>
      </c>
      <c r="EH502" t="n">
        <v>0</v>
      </c>
      <c r="EI502" t="n">
        <v>358</v>
      </c>
    </row>
    <row r="503">
      <c r="A503" t="inlineStr">
        <is>
          <t>João Palhinha</t>
        </is>
      </c>
      <c r="D503" t="inlineStr">
        <is>
          <t>MID</t>
        </is>
      </c>
      <c r="F503" t="b">
        <v>0</v>
      </c>
      <c r="G503" t="b">
        <v>1</v>
      </c>
      <c r="L503" t="inlineStr">
        <is>
          <t>p154296</t>
        </is>
      </c>
      <c r="Q503" t="n">
        <v>2197</v>
      </c>
      <c r="R503" t="n">
        <v>33</v>
      </c>
      <c r="T503" t="n">
        <v>24.411</v>
      </c>
      <c r="U503" t="n">
        <v>66.59999999999999</v>
      </c>
      <c r="Z503" t="n">
        <v>2</v>
      </c>
      <c r="AD503" t="n">
        <v>18</v>
      </c>
      <c r="AE503" t="n">
        <v>1</v>
      </c>
      <c r="AG503" t="n">
        <v>500</v>
      </c>
      <c r="AH503" t="n">
        <v>-18</v>
      </c>
      <c r="AI503" t="n">
        <v>127</v>
      </c>
      <c r="AN503" t="n">
        <v>12</v>
      </c>
      <c r="AO503" t="n">
        <v>24</v>
      </c>
      <c r="AP503" t="n">
        <v>0.522</v>
      </c>
      <c r="AQ503" t="n">
        <v>0.696</v>
      </c>
      <c r="AR503" t="n">
        <v>0.522</v>
      </c>
      <c r="AS503" t="n">
        <v>0.605</v>
      </c>
      <c r="AT503" t="n">
        <v>0.636</v>
      </c>
      <c r="AU503" t="n">
        <v>15</v>
      </c>
      <c r="AV503" t="n">
        <v>2</v>
      </c>
      <c r="AW503" t="n">
        <v>3.38</v>
      </c>
      <c r="AX503" t="n">
        <v>12</v>
      </c>
      <c r="AZ503" t="n">
        <v>3.407</v>
      </c>
      <c r="BA503" t="n">
        <v>3.407</v>
      </c>
      <c r="BB503" t="n">
        <v>3.407</v>
      </c>
      <c r="BD503" t="n">
        <v>0.14</v>
      </c>
      <c r="BE503" t="n">
        <v>0.14</v>
      </c>
      <c r="BF503" t="n">
        <v>5</v>
      </c>
      <c r="BG503" t="n">
        <v>0.205</v>
      </c>
      <c r="BH503" t="n">
        <v>1.086</v>
      </c>
      <c r="BI503" t="n">
        <v>9.039999999999999</v>
      </c>
      <c r="BJ503" t="n">
        <v>2.953</v>
      </c>
      <c r="BK503" t="n">
        <v>0.121</v>
      </c>
      <c r="BP503" t="n">
        <v>33</v>
      </c>
      <c r="BQ503" t="n">
        <v>9</v>
      </c>
      <c r="BR503" t="n">
        <v>1</v>
      </c>
      <c r="BS503" t="n">
        <v>45</v>
      </c>
      <c r="BT503" t="n">
        <v>1.843</v>
      </c>
      <c r="BX503" t="n">
        <v>0.769</v>
      </c>
      <c r="BY503" t="n">
        <v>0.769</v>
      </c>
      <c r="BZ503" t="n">
        <v>0.032</v>
      </c>
      <c r="CA503" t="n">
        <v>4.176</v>
      </c>
      <c r="CB503" t="n">
        <v>0.171</v>
      </c>
      <c r="CC503" t="n">
        <v>8</v>
      </c>
      <c r="CD503" t="n">
        <v>1</v>
      </c>
      <c r="CE503" t="n">
        <v>8</v>
      </c>
      <c r="CI503" t="n">
        <v>4.78</v>
      </c>
      <c r="CJ503" t="n">
        <v>3.305</v>
      </c>
      <c r="CN503" t="n">
        <v>66</v>
      </c>
      <c r="CO503" t="n">
        <v>30</v>
      </c>
      <c r="CP503" t="n">
        <v>58</v>
      </c>
      <c r="CQ503" t="n">
        <v>12</v>
      </c>
      <c r="CR503" t="n">
        <v>193</v>
      </c>
      <c r="CS503" t="n">
        <v>36</v>
      </c>
      <c r="CT503" t="n">
        <v>0.2</v>
      </c>
      <c r="CV503" t="n">
        <v>2</v>
      </c>
      <c r="DE503" t="n">
        <v>6.95</v>
      </c>
      <c r="DH503" t="n">
        <v>28</v>
      </c>
      <c r="DI503" t="n">
        <v>37</v>
      </c>
      <c r="DL503" t="n">
        <v>10</v>
      </c>
      <c r="DM503" t="n">
        <v>30</v>
      </c>
      <c r="EJ503" t="n">
        <v>66.59999999999999</v>
      </c>
      <c r="EK503" t="n">
        <v>48.8</v>
      </c>
      <c r="EL503" t="n">
        <v>274.6</v>
      </c>
      <c r="EM503" t="n">
        <v>644.8</v>
      </c>
      <c r="EN503" t="n">
        <v>2856.8</v>
      </c>
      <c r="EO503" t="n">
        <v>526.1</v>
      </c>
    </row>
    <row r="504">
      <c r="A504" t="inlineStr">
        <is>
          <t>Adam Armstrong</t>
        </is>
      </c>
      <c r="D504" t="inlineStr">
        <is>
          <t>FWD</t>
        </is>
      </c>
      <c r="F504" t="b">
        <v>0</v>
      </c>
      <c r="G504" t="b">
        <v>1</v>
      </c>
      <c r="L504" t="inlineStr">
        <is>
          <t>p155511</t>
        </is>
      </c>
      <c r="Q504" t="n">
        <v>1146</v>
      </c>
      <c r="R504" t="n">
        <v>14</v>
      </c>
      <c r="T504" t="n">
        <v>12.733</v>
      </c>
      <c r="U504" t="n">
        <v>81.90000000000001</v>
      </c>
      <c r="Z504" t="n">
        <v>2</v>
      </c>
      <c r="AD504" t="n">
        <v>1</v>
      </c>
      <c r="AE504" t="n">
        <v>0</v>
      </c>
      <c r="AG504" t="n">
        <v>127</v>
      </c>
      <c r="AH504" t="n">
        <v>-2</v>
      </c>
      <c r="AI504" t="n">
        <v>39</v>
      </c>
      <c r="AN504" t="n">
        <v>0</v>
      </c>
      <c r="AO504" t="n">
        <v>0</v>
      </c>
      <c r="AP504" t="n">
        <v>0</v>
      </c>
      <c r="AQ504" t="n">
        <v>0</v>
      </c>
      <c r="AR504" t="n">
        <v>0</v>
      </c>
      <c r="AS504" t="n">
        <v>0.368</v>
      </c>
      <c r="AT504" t="n">
        <v>0.929</v>
      </c>
      <c r="AU504" t="n">
        <v>10</v>
      </c>
      <c r="AV504" t="n">
        <v>0</v>
      </c>
      <c r="AW504" t="n">
        <v>1.63</v>
      </c>
      <c r="AX504" t="n">
        <v>7</v>
      </c>
      <c r="AZ504" t="n">
        <v>2.809</v>
      </c>
      <c r="BA504" t="n">
        <v>2.809</v>
      </c>
      <c r="BB504" t="n">
        <v>2.047</v>
      </c>
      <c r="BD504" t="n">
        <v>0.221</v>
      </c>
      <c r="BE504" t="n">
        <v>0.221</v>
      </c>
      <c r="BF504" t="n">
        <v>1.6</v>
      </c>
      <c r="BG504" t="n">
        <v>0.126</v>
      </c>
      <c r="BH504" t="n">
        <v>0.884</v>
      </c>
      <c r="BI504" t="n">
        <v>8.279999999999999</v>
      </c>
      <c r="BJ504" t="n">
        <v>2.45</v>
      </c>
      <c r="BK504" t="n">
        <v>0.192</v>
      </c>
      <c r="BP504" t="n">
        <v>18</v>
      </c>
      <c r="BQ504" t="n">
        <v>6</v>
      </c>
      <c r="BR504" t="n">
        <v>3</v>
      </c>
      <c r="BS504" t="n">
        <v>42</v>
      </c>
      <c r="BT504" t="n">
        <v>3.298</v>
      </c>
      <c r="BU504" t="n">
        <v>1</v>
      </c>
      <c r="BX504" t="n">
        <v>1.501</v>
      </c>
      <c r="BY504" t="n">
        <v>1.501</v>
      </c>
      <c r="BZ504" t="n">
        <v>0.118</v>
      </c>
      <c r="CA504" t="n">
        <v>4.31</v>
      </c>
      <c r="CB504" t="n">
        <v>0.338</v>
      </c>
      <c r="CC504" t="n">
        <v>6</v>
      </c>
      <c r="CD504" t="n">
        <v>3</v>
      </c>
      <c r="CE504" t="n">
        <v>6</v>
      </c>
      <c r="CF504" t="n">
        <v>1</v>
      </c>
      <c r="CG504" t="n">
        <v>1</v>
      </c>
      <c r="CI504" t="n">
        <v>2.854</v>
      </c>
      <c r="CJ504" t="n">
        <v>0.716</v>
      </c>
      <c r="CN504" t="n">
        <v>4</v>
      </c>
      <c r="CO504" t="n">
        <v>2</v>
      </c>
      <c r="CP504" t="n">
        <v>12</v>
      </c>
      <c r="CQ504" t="n">
        <v>1</v>
      </c>
      <c r="CR504" t="n">
        <v>30</v>
      </c>
      <c r="CS504" t="n">
        <v>9</v>
      </c>
      <c r="DH504" t="n">
        <v>13</v>
      </c>
      <c r="DI504" t="n">
        <v>3</v>
      </c>
      <c r="DL504" t="n">
        <v>10</v>
      </c>
      <c r="DM504" t="n">
        <v>9</v>
      </c>
      <c r="DN504" t="n">
        <v>6</v>
      </c>
      <c r="EJ504" t="n">
        <v>63.7</v>
      </c>
      <c r="EK504" t="n">
        <v>27.3</v>
      </c>
      <c r="EL504" t="n">
        <v>191</v>
      </c>
      <c r="EM504" t="n">
        <v>408</v>
      </c>
      <c r="EN504" t="n">
        <v>763.3</v>
      </c>
      <c r="EO504" t="n">
        <v>265.9</v>
      </c>
    </row>
    <row r="505">
      <c r="A505" t="inlineStr">
        <is>
          <t>Kyle Walker-Peters</t>
        </is>
      </c>
      <c r="D505" t="inlineStr">
        <is>
          <t>DEF</t>
        </is>
      </c>
      <c r="F505" t="b">
        <v>0</v>
      </c>
      <c r="G505" t="b">
        <v>1</v>
      </c>
      <c r="L505" t="inlineStr">
        <is>
          <t>p158534</t>
        </is>
      </c>
      <c r="Q505" t="n">
        <v>1380</v>
      </c>
      <c r="R505" t="n">
        <v>23</v>
      </c>
      <c r="T505" t="n">
        <v>15.333</v>
      </c>
      <c r="U505" t="n">
        <v>60</v>
      </c>
      <c r="AD505" t="n">
        <v>0</v>
      </c>
      <c r="AE505" t="n">
        <v>0</v>
      </c>
      <c r="AG505" t="n">
        <v>212</v>
      </c>
      <c r="AH505" t="n">
        <v>-7</v>
      </c>
      <c r="AI505" t="n">
        <v>53</v>
      </c>
      <c r="AN505" t="n">
        <v>2</v>
      </c>
      <c r="AO505" t="n">
        <v>4</v>
      </c>
      <c r="AP505" t="n">
        <v>0.133</v>
      </c>
      <c r="AQ505" t="n">
        <v>0.133</v>
      </c>
      <c r="AR505" t="n">
        <v>0</v>
      </c>
      <c r="AS505" t="n">
        <v>0.395</v>
      </c>
      <c r="AT505" t="n">
        <v>0.609</v>
      </c>
      <c r="AU505" t="n">
        <v>16</v>
      </c>
      <c r="AV505" t="n">
        <v>0</v>
      </c>
      <c r="AW505" t="n">
        <v>2.06</v>
      </c>
      <c r="AX505" t="n">
        <v>7</v>
      </c>
      <c r="AZ505" t="n">
        <v>1.188</v>
      </c>
      <c r="BA505" t="n">
        <v>1.188</v>
      </c>
      <c r="BB505" t="n">
        <v>1.188</v>
      </c>
      <c r="BD505" t="n">
        <v>0.077</v>
      </c>
      <c r="BE505" t="n">
        <v>0.077</v>
      </c>
      <c r="BF505" t="n">
        <v>1</v>
      </c>
      <c r="BG505" t="n">
        <v>0.065</v>
      </c>
      <c r="BH505" t="n">
        <v>1.022</v>
      </c>
      <c r="BI505" t="n">
        <v>3.06</v>
      </c>
      <c r="BJ505" t="n">
        <v>1.155</v>
      </c>
      <c r="BK505" t="n">
        <v>0.075</v>
      </c>
      <c r="BP505" t="n">
        <v>5</v>
      </c>
      <c r="BQ505" t="n">
        <v>3</v>
      </c>
      <c r="BS505" t="n">
        <v>19</v>
      </c>
      <c r="BT505" t="n">
        <v>1.239</v>
      </c>
      <c r="BX505" t="n">
        <v>0.357</v>
      </c>
      <c r="BY505" t="n">
        <v>0.357</v>
      </c>
      <c r="BZ505" t="n">
        <v>0.023</v>
      </c>
      <c r="CA505" t="n">
        <v>1.545</v>
      </c>
      <c r="CB505" t="n">
        <v>0.101</v>
      </c>
      <c r="CC505" t="n">
        <v>6</v>
      </c>
      <c r="CD505" t="n">
        <v>1</v>
      </c>
      <c r="CE505" t="n">
        <v>7</v>
      </c>
      <c r="CF505" t="n">
        <v>1</v>
      </c>
      <c r="CI505" t="n">
        <v>4.905</v>
      </c>
      <c r="CJ505" t="n">
        <v>3.598</v>
      </c>
      <c r="CN505" t="n">
        <v>30</v>
      </c>
      <c r="CO505" t="n">
        <v>9</v>
      </c>
      <c r="CP505" t="n">
        <v>34</v>
      </c>
      <c r="CQ505" t="n">
        <v>4</v>
      </c>
      <c r="CR505" t="n">
        <v>97</v>
      </c>
      <c r="CS505" t="n">
        <v>12</v>
      </c>
      <c r="CT505" t="n">
        <v>0.5</v>
      </c>
      <c r="CU505" t="n">
        <v>1</v>
      </c>
      <c r="DE505" t="n">
        <v>6.7</v>
      </c>
      <c r="DH505" t="n">
        <v>12</v>
      </c>
      <c r="DI505" t="n">
        <v>25</v>
      </c>
      <c r="DL505" t="n">
        <v>16</v>
      </c>
      <c r="DM505" t="n">
        <v>17</v>
      </c>
      <c r="DN505" t="n">
        <v>1</v>
      </c>
      <c r="EJ505" t="n">
        <v>276</v>
      </c>
      <c r="EK505" t="n">
        <v>72.59999999999999</v>
      </c>
      <c r="EL505" t="n">
        <v>197.1</v>
      </c>
      <c r="EM505" t="n">
        <v>1161.4</v>
      </c>
      <c r="EN505" t="n">
        <v>3865.6</v>
      </c>
      <c r="EO505" t="n">
        <v>893.1</v>
      </c>
    </row>
    <row r="506">
      <c r="A506" t="inlineStr">
        <is>
          <t>Adama Traoré</t>
        </is>
      </c>
      <c r="D506" t="inlineStr">
        <is>
          <t>MID</t>
        </is>
      </c>
      <c r="F506" t="b">
        <v>0</v>
      </c>
      <c r="G506" t="b">
        <v>1</v>
      </c>
      <c r="L506" t="inlineStr">
        <is>
          <t>p159533</t>
        </is>
      </c>
      <c r="Q506" t="n">
        <v>377</v>
      </c>
      <c r="R506" t="n">
        <v>24</v>
      </c>
      <c r="T506" t="n">
        <v>4.189</v>
      </c>
      <c r="U506" t="n">
        <v>15.7</v>
      </c>
      <c r="AD506" t="n">
        <v>0</v>
      </c>
      <c r="AE506" t="n">
        <v>0</v>
      </c>
      <c r="AG506" t="n">
        <v>74</v>
      </c>
      <c r="AH506" t="n">
        <v>0</v>
      </c>
      <c r="AI506" t="n">
        <v>25</v>
      </c>
      <c r="AN506" t="n">
        <v>0</v>
      </c>
      <c r="AO506" t="n">
        <v>0</v>
      </c>
      <c r="AP506" t="n">
        <v>0</v>
      </c>
      <c r="AQ506" t="n">
        <v>0</v>
      </c>
      <c r="AR506" t="n">
        <v>0</v>
      </c>
      <c r="AS506" t="n">
        <v>0.026</v>
      </c>
      <c r="AT506" t="n">
        <v>0.083</v>
      </c>
      <c r="AU506" t="n">
        <v>24</v>
      </c>
      <c r="AV506" t="n">
        <v>0</v>
      </c>
      <c r="AW506" t="n">
        <v>0.58</v>
      </c>
      <c r="AX506" t="n">
        <v>2</v>
      </c>
      <c r="AZ506" t="n">
        <v>0.6879999999999999</v>
      </c>
      <c r="BA506" t="n">
        <v>0.6879999999999999</v>
      </c>
      <c r="BB506" t="n">
        <v>0.6879999999999999</v>
      </c>
      <c r="BD506" t="n">
        <v>0.164</v>
      </c>
      <c r="BE506" t="n">
        <v>0.164</v>
      </c>
      <c r="BF506" t="n">
        <v>0.2</v>
      </c>
      <c r="BG506" t="n">
        <v>0.048</v>
      </c>
      <c r="BH506" t="n">
        <v>1.015</v>
      </c>
      <c r="BI506" t="n">
        <v>7.67</v>
      </c>
      <c r="BJ506" t="n">
        <v>0.7</v>
      </c>
      <c r="BK506" t="n">
        <v>0.167</v>
      </c>
      <c r="BP506" t="n">
        <v>7</v>
      </c>
      <c r="BQ506" t="n">
        <v>1</v>
      </c>
      <c r="BR506" t="n">
        <v>1</v>
      </c>
      <c r="BS506" t="n">
        <v>20</v>
      </c>
      <c r="BT506" t="n">
        <v>4.775</v>
      </c>
      <c r="BX506" t="n">
        <v>0.415</v>
      </c>
      <c r="BY506" t="n">
        <v>0.415</v>
      </c>
      <c r="BZ506" t="n">
        <v>0.099</v>
      </c>
      <c r="CA506" t="n">
        <v>1.103</v>
      </c>
      <c r="CB506" t="n">
        <v>0.263</v>
      </c>
      <c r="CC506" t="n">
        <v>3</v>
      </c>
      <c r="CD506" t="n">
        <v>1</v>
      </c>
      <c r="CE506" t="n">
        <v>3</v>
      </c>
      <c r="CF506" t="n">
        <v>5</v>
      </c>
      <c r="CG506" t="n">
        <v>1</v>
      </c>
      <c r="CI506" t="n">
        <v>1.77</v>
      </c>
      <c r="CJ506" t="n">
        <v>0.704</v>
      </c>
      <c r="CN506" t="n">
        <v>2</v>
      </c>
      <c r="CP506" t="n">
        <v>2</v>
      </c>
      <c r="CQ506" t="n">
        <v>0</v>
      </c>
      <c r="CR506" t="n">
        <v>23</v>
      </c>
      <c r="CS506" t="n">
        <v>1</v>
      </c>
      <c r="CT506" t="n">
        <v>0.5</v>
      </c>
      <c r="DH506" t="n">
        <v>7</v>
      </c>
      <c r="DI506" t="n">
        <v>8</v>
      </c>
      <c r="DL506" t="n">
        <v>12</v>
      </c>
      <c r="DM506" t="n">
        <v>14</v>
      </c>
      <c r="DN506" t="n">
        <v>5</v>
      </c>
      <c r="EJ506" t="n">
        <v>53.9</v>
      </c>
      <c r="EK506" t="n">
        <v>18.8</v>
      </c>
      <c r="EL506" t="n">
        <v>125.7</v>
      </c>
      <c r="EM506" t="n">
        <v>547.7</v>
      </c>
      <c r="EN506" t="n">
        <v>909.1</v>
      </c>
      <c r="EO506" t="n">
        <v>341.8</v>
      </c>
    </row>
    <row r="507">
      <c r="A507" t="inlineStr">
        <is>
          <t>Paddy McNair</t>
        </is>
      </c>
      <c r="B507" t="inlineStr">
        <is>
          <t>HUL</t>
        </is>
      </c>
      <c r="C507" t="inlineStr">
        <is>
          <t>DEF</t>
        </is>
      </c>
      <c r="E507" t="n">
        <v>4</v>
      </c>
      <c r="F507" t="b">
        <v>1</v>
      </c>
      <c r="G507" t="b">
        <v>0</v>
      </c>
      <c r="H507" t="n">
        <v>31.3</v>
      </c>
      <c r="I507" t="inlineStr">
        <is>
          <t>a</t>
        </is>
      </c>
      <c r="M507" t="n">
        <v>285</v>
      </c>
      <c r="DO507" t="n">
        <v>0.1</v>
      </c>
      <c r="DP507" t="n">
        <v>9.65</v>
      </c>
      <c r="DQ507" t="n">
        <v>6.36</v>
      </c>
      <c r="DR507" t="n">
        <v>12.72</v>
      </c>
      <c r="DS507" t="n">
        <v>-3.07</v>
      </c>
      <c r="DT507" t="n">
        <v>103</v>
      </c>
      <c r="DU507" t="n">
        <v>2.7</v>
      </c>
      <c r="DV507" t="inlineStr">
        <is>
          <t>flat</t>
        </is>
      </c>
      <c r="DW507" t="n">
        <v>48</v>
      </c>
      <c r="EC507" t="n">
        <v>48</v>
      </c>
      <c r="ED507" t="n">
        <v>48</v>
      </c>
      <c r="EE507" t="n">
        <v>1</v>
      </c>
      <c r="EF507" t="b">
        <v>0</v>
      </c>
      <c r="EG507" t="n">
        <v>0</v>
      </c>
      <c r="EH507" t="n">
        <v>0</v>
      </c>
      <c r="EI507" t="n">
        <v>562</v>
      </c>
    </row>
    <row r="508">
      <c r="A508" t="inlineStr">
        <is>
          <t>Bernardo Silva</t>
        </is>
      </c>
      <c r="D508" t="inlineStr">
        <is>
          <t>MID</t>
        </is>
      </c>
      <c r="F508" t="b">
        <v>0</v>
      </c>
      <c r="G508" t="b">
        <v>1</v>
      </c>
      <c r="L508" t="inlineStr">
        <is>
          <t>p165809</t>
        </is>
      </c>
      <c r="Q508" t="n">
        <v>2886</v>
      </c>
      <c r="R508" t="n">
        <v>38</v>
      </c>
      <c r="T508" t="n">
        <v>32.067</v>
      </c>
      <c r="U508" t="n">
        <v>75.90000000000001</v>
      </c>
      <c r="Z508" t="n">
        <v>4</v>
      </c>
      <c r="AD508" t="n">
        <v>4</v>
      </c>
      <c r="AE508" t="n">
        <v>0</v>
      </c>
      <c r="AG508" t="n">
        <v>519</v>
      </c>
      <c r="AH508" t="n">
        <v>-15</v>
      </c>
      <c r="AI508" t="n">
        <v>102</v>
      </c>
      <c r="AN508" t="n">
        <v>2</v>
      </c>
      <c r="AO508" t="n">
        <v>4</v>
      </c>
      <c r="AP508" t="n">
        <v>0.059</v>
      </c>
      <c r="AQ508" t="n">
        <v>0.265</v>
      </c>
      <c r="AR508" t="n">
        <v>0.059</v>
      </c>
      <c r="AS508" t="n">
        <v>0.895</v>
      </c>
      <c r="AT508" t="n">
        <v>0.8159999999999999</v>
      </c>
      <c r="AU508" t="n">
        <v>22</v>
      </c>
      <c r="AV508" t="n">
        <v>0</v>
      </c>
      <c r="AW508" t="n">
        <v>1.96</v>
      </c>
      <c r="AX508" t="n">
        <v>9</v>
      </c>
      <c r="AZ508" t="n">
        <v>2.9</v>
      </c>
      <c r="BA508" t="n">
        <v>2.9</v>
      </c>
      <c r="BB508" t="n">
        <v>2.9</v>
      </c>
      <c r="BD508" t="n">
        <v>0.09</v>
      </c>
      <c r="BE508" t="n">
        <v>0.09</v>
      </c>
      <c r="BF508" t="n">
        <v>1.9</v>
      </c>
      <c r="BG508" t="n">
        <v>0.059</v>
      </c>
      <c r="BH508" t="n">
        <v>1.105</v>
      </c>
      <c r="BI508" t="n">
        <v>12.18</v>
      </c>
      <c r="BJ508" t="n">
        <v>2.995</v>
      </c>
      <c r="BK508" t="n">
        <v>0.093</v>
      </c>
      <c r="BP508" t="n">
        <v>30</v>
      </c>
      <c r="BQ508" t="n">
        <v>7</v>
      </c>
      <c r="BR508" t="n">
        <v>1</v>
      </c>
      <c r="BS508" t="n">
        <v>94</v>
      </c>
      <c r="BT508" t="n">
        <v>2.931</v>
      </c>
      <c r="BX508" t="n">
        <v>5.283</v>
      </c>
      <c r="BY508" t="n">
        <v>5.283</v>
      </c>
      <c r="BZ508" t="n">
        <v>0.165</v>
      </c>
      <c r="CA508" t="n">
        <v>8.182</v>
      </c>
      <c r="CB508" t="n">
        <v>0.255</v>
      </c>
      <c r="CC508" t="n">
        <v>47</v>
      </c>
      <c r="CD508" t="n">
        <v>7</v>
      </c>
      <c r="CE508" t="n">
        <v>47</v>
      </c>
      <c r="CF508" t="n">
        <v>19</v>
      </c>
      <c r="CG508" t="n">
        <v>6</v>
      </c>
      <c r="CH508" t="n">
        <v>47</v>
      </c>
      <c r="CI508" t="n">
        <v>25.189</v>
      </c>
      <c r="CJ508" t="n">
        <v>19.403</v>
      </c>
      <c r="CN508" t="n">
        <v>28</v>
      </c>
      <c r="CO508" t="n">
        <v>22</v>
      </c>
      <c r="CP508" t="n">
        <v>34</v>
      </c>
      <c r="CQ508" t="n">
        <v>6</v>
      </c>
      <c r="CR508" t="n">
        <v>101</v>
      </c>
      <c r="CS508" t="n">
        <v>4</v>
      </c>
      <c r="CT508" t="n">
        <v>0.6</v>
      </c>
      <c r="CV508" t="n">
        <v>3</v>
      </c>
      <c r="DE508" t="n">
        <v>7.15</v>
      </c>
      <c r="DH508" t="n">
        <v>37</v>
      </c>
      <c r="DI508" t="n">
        <v>22</v>
      </c>
      <c r="DL508" t="n">
        <v>21</v>
      </c>
      <c r="DM508" t="n">
        <v>34</v>
      </c>
      <c r="DN508" t="n">
        <v>5</v>
      </c>
      <c r="EJ508" t="n">
        <v>96.2</v>
      </c>
      <c r="EK508" t="n">
        <v>30.7</v>
      </c>
      <c r="EL508" t="n">
        <v>61.4</v>
      </c>
      <c r="EM508" t="n">
        <v>995.3</v>
      </c>
      <c r="EN508" t="n">
        <v>546.3</v>
      </c>
      <c r="EO508" t="n">
        <v>352.7</v>
      </c>
    </row>
    <row r="509">
      <c r="A509" t="inlineStr">
        <is>
          <t>Dillon Phillips</t>
        </is>
      </c>
      <c r="B509" t="inlineStr">
        <is>
          <t>HUL</t>
        </is>
      </c>
      <c r="C509" t="inlineStr">
        <is>
          <t>GKP</t>
        </is>
      </c>
      <c r="E509" t="n">
        <v>4</v>
      </c>
      <c r="F509" t="b">
        <v>1</v>
      </c>
      <c r="G509" t="b">
        <v>0</v>
      </c>
      <c r="H509" t="n">
        <v>31.2</v>
      </c>
      <c r="I509" t="inlineStr">
        <is>
          <t>a</t>
        </is>
      </c>
      <c r="M509" t="n">
        <v>273</v>
      </c>
      <c r="DO509" t="n">
        <v>2</v>
      </c>
      <c r="DP509" t="n">
        <v>0</v>
      </c>
      <c r="DQ509" t="n">
        <v>0</v>
      </c>
      <c r="DR509" t="n">
        <v>0</v>
      </c>
      <c r="DS509" t="n">
        <v>0</v>
      </c>
      <c r="DT509" t="n">
        <v>0</v>
      </c>
      <c r="DU509" t="n">
        <v>0</v>
      </c>
      <c r="DV509" t="inlineStr">
        <is>
          <t>flat</t>
        </is>
      </c>
      <c r="DW509" t="n">
        <v>106.67</v>
      </c>
      <c r="DY509" t="n">
        <v>106.67</v>
      </c>
      <c r="DZ509" t="n">
        <v>0</v>
      </c>
      <c r="EA509" t="n">
        <v>5</v>
      </c>
      <c r="EB509" t="n">
        <v>22.02</v>
      </c>
      <c r="EC509" t="n">
        <v>67.43000000000001</v>
      </c>
      <c r="ED509" t="n">
        <v>118.67</v>
      </c>
      <c r="EE509" t="n">
        <v>5</v>
      </c>
      <c r="EF509" t="b">
        <v>0</v>
      </c>
      <c r="EG509" t="n">
        <v>0.1</v>
      </c>
      <c r="EH509" t="n">
        <v>16.7</v>
      </c>
      <c r="EI509" t="n">
        <v>551</v>
      </c>
    </row>
    <row r="510">
      <c r="A510" t="inlineStr">
        <is>
          <t>Josh Laurent</t>
        </is>
      </c>
      <c r="D510" t="inlineStr">
        <is>
          <t>MID</t>
        </is>
      </c>
      <c r="F510" t="b">
        <v>0</v>
      </c>
      <c r="G510" t="b">
        <v>1</v>
      </c>
      <c r="L510" t="inlineStr">
        <is>
          <t>p167887</t>
        </is>
      </c>
      <c r="Q510" t="n">
        <v>1759</v>
      </c>
      <c r="R510" t="n">
        <v>33</v>
      </c>
      <c r="T510" t="n">
        <v>19.544</v>
      </c>
      <c r="U510" t="n">
        <v>53.3</v>
      </c>
      <c r="AD510" t="n">
        <v>1</v>
      </c>
      <c r="AE510" t="n">
        <v>0</v>
      </c>
      <c r="AG510" t="n">
        <v>217</v>
      </c>
      <c r="AH510" t="n">
        <v>-15</v>
      </c>
      <c r="AI510" t="n">
        <v>56</v>
      </c>
      <c r="AN510" t="n">
        <v>4</v>
      </c>
      <c r="AO510" t="n">
        <v>8</v>
      </c>
      <c r="AP510" t="n">
        <v>0.222</v>
      </c>
      <c r="AQ510" t="n">
        <v>0.278</v>
      </c>
      <c r="AR510" t="n">
        <v>0.222</v>
      </c>
      <c r="AS510" t="n">
        <v>0.474</v>
      </c>
      <c r="AT510" t="n">
        <v>0.485</v>
      </c>
      <c r="AU510" t="n">
        <v>28</v>
      </c>
      <c r="AV510" t="n">
        <v>1</v>
      </c>
      <c r="AW510" t="n">
        <v>1.89</v>
      </c>
      <c r="AX510" t="n">
        <v>10</v>
      </c>
      <c r="AZ510" t="n">
        <v>1.044</v>
      </c>
      <c r="BA510" t="n">
        <v>1.044</v>
      </c>
      <c r="BB510" t="n">
        <v>1.044</v>
      </c>
      <c r="BD510" t="n">
        <v>0.053</v>
      </c>
      <c r="BE510" t="n">
        <v>0.053</v>
      </c>
      <c r="BF510" t="n">
        <v>1.1</v>
      </c>
      <c r="BG510" t="n">
        <v>0.056</v>
      </c>
      <c r="BH510" t="n">
        <v>1.026</v>
      </c>
      <c r="BI510" t="n">
        <v>0.87</v>
      </c>
      <c r="BJ510" t="n">
        <v>0.893</v>
      </c>
      <c r="BK510" t="n">
        <v>0.046</v>
      </c>
      <c r="BP510" t="n">
        <v>14</v>
      </c>
      <c r="BQ510" t="n">
        <v>4</v>
      </c>
      <c r="BR510" t="n">
        <v>1</v>
      </c>
      <c r="BS510" t="n">
        <v>23</v>
      </c>
      <c r="BT510" t="n">
        <v>1.177</v>
      </c>
      <c r="BX510" t="n">
        <v>0.736</v>
      </c>
      <c r="BY510" t="n">
        <v>0.736</v>
      </c>
      <c r="BZ510" t="n">
        <v>0.038</v>
      </c>
      <c r="CA510" t="n">
        <v>1.779</v>
      </c>
      <c r="CB510" t="n">
        <v>0.091</v>
      </c>
      <c r="CC510" t="n">
        <v>12</v>
      </c>
      <c r="CE510" t="n">
        <v>12</v>
      </c>
      <c r="CF510" t="n">
        <v>4</v>
      </c>
      <c r="CI510" t="n">
        <v>3.166</v>
      </c>
      <c r="CJ510" t="n">
        <v>1.684</v>
      </c>
      <c r="CN510" t="n">
        <v>25</v>
      </c>
      <c r="CO510" t="n">
        <v>27</v>
      </c>
      <c r="CP510" t="n">
        <v>39</v>
      </c>
      <c r="CQ510" t="n">
        <v>8</v>
      </c>
      <c r="CR510" t="n">
        <v>94</v>
      </c>
      <c r="CS510" t="n">
        <v>26</v>
      </c>
      <c r="CT510" t="n">
        <v>0.1</v>
      </c>
      <c r="CU510" t="n">
        <v>1</v>
      </c>
      <c r="DE510" t="n">
        <v>6.31</v>
      </c>
      <c r="DH510" t="n">
        <v>31</v>
      </c>
      <c r="DI510" t="n">
        <v>11</v>
      </c>
      <c r="DK510" t="n">
        <v>1</v>
      </c>
      <c r="DL510" t="n">
        <v>9</v>
      </c>
      <c r="DM510" t="n">
        <v>15</v>
      </c>
      <c r="DN510" t="n">
        <v>2</v>
      </c>
      <c r="EJ510" t="n">
        <v>125.6</v>
      </c>
      <c r="EK510" t="n">
        <v>76.5</v>
      </c>
      <c r="EL510" t="n">
        <v>146.6</v>
      </c>
      <c r="EM510" t="n">
        <v>1685.4</v>
      </c>
      <c r="EN510" t="n">
        <v>2391.5</v>
      </c>
      <c r="EO510" t="n">
        <v>988.7</v>
      </c>
    </row>
    <row r="511">
      <c r="A511" t="inlineStr">
        <is>
          <t>Matt Grimes</t>
        </is>
      </c>
      <c r="B511" t="inlineStr">
        <is>
          <t>COV</t>
        </is>
      </c>
      <c r="C511" t="inlineStr">
        <is>
          <t>MID</t>
        </is>
      </c>
      <c r="E511" t="n">
        <v>5</v>
      </c>
      <c r="F511" t="b">
        <v>1</v>
      </c>
      <c r="G511" t="b">
        <v>0</v>
      </c>
      <c r="H511" t="n">
        <v>31.1</v>
      </c>
      <c r="I511" t="inlineStr">
        <is>
          <t>a</t>
        </is>
      </c>
      <c r="M511" t="n">
        <v>184</v>
      </c>
      <c r="N511" t="n">
        <v>3</v>
      </c>
      <c r="O511" t="n">
        <v>1</v>
      </c>
      <c r="DO511" t="n">
        <v>0.2</v>
      </c>
      <c r="DP511" t="n">
        <v>96.28</v>
      </c>
      <c r="DQ511" t="n">
        <v>48.17</v>
      </c>
      <c r="DR511" t="n">
        <v>96.34</v>
      </c>
      <c r="DS511" t="n">
        <v>-0.06</v>
      </c>
      <c r="DT511" t="n">
        <v>2668</v>
      </c>
      <c r="DU511" t="n">
        <v>70.2</v>
      </c>
      <c r="DV511" t="inlineStr">
        <is>
          <t>flat</t>
        </is>
      </c>
      <c r="DW511" t="n">
        <v>85.3</v>
      </c>
      <c r="DX511" t="n">
        <v>84</v>
      </c>
      <c r="DY511" t="n">
        <v>90.83</v>
      </c>
      <c r="DZ511" t="n">
        <v>5.53</v>
      </c>
      <c r="EA511" t="n">
        <v>6</v>
      </c>
      <c r="EB511" t="n">
        <v>26.05</v>
      </c>
      <c r="EC511" t="n">
        <v>50.91</v>
      </c>
      <c r="ED511" t="n">
        <v>115.43</v>
      </c>
      <c r="EE511" t="n">
        <v>9</v>
      </c>
      <c r="EF511" t="b">
        <v>0</v>
      </c>
      <c r="EG511" t="n">
        <v>0.2</v>
      </c>
      <c r="EH511" t="n">
        <v>25</v>
      </c>
      <c r="EI511" t="n">
        <v>341</v>
      </c>
    </row>
    <row r="512">
      <c r="A512" t="inlineStr">
        <is>
          <t>Oli McBurnie</t>
        </is>
      </c>
      <c r="B512" t="inlineStr">
        <is>
          <t>HUL</t>
        </is>
      </c>
      <c r="C512" t="inlineStr">
        <is>
          <t>FWD</t>
        </is>
      </c>
      <c r="E512" t="n">
        <v>5.5</v>
      </c>
      <c r="F512" t="b">
        <v>1</v>
      </c>
      <c r="G512" t="b">
        <v>0</v>
      </c>
      <c r="H512" t="n">
        <v>30.2</v>
      </c>
      <c r="I512" t="inlineStr">
        <is>
          <t>a</t>
        </is>
      </c>
      <c r="M512" t="n">
        <v>295</v>
      </c>
      <c r="N512" t="n">
        <v>1</v>
      </c>
      <c r="DO512" t="n">
        <v>1.5</v>
      </c>
      <c r="DP512" t="n">
        <v>140.91</v>
      </c>
      <c r="DQ512" t="n">
        <v>70.48999999999999</v>
      </c>
      <c r="DR512" t="n">
        <v>140.98</v>
      </c>
      <c r="DS512" t="n">
        <v>-0.07000000000000001</v>
      </c>
      <c r="DT512" t="n">
        <v>3260</v>
      </c>
      <c r="DU512" t="n">
        <v>85.8</v>
      </c>
      <c r="DV512" t="inlineStr">
        <is>
          <t>flat</t>
        </is>
      </c>
      <c r="DW512" t="n">
        <v>89.52</v>
      </c>
      <c r="DX512" t="n">
        <v>94.25</v>
      </c>
      <c r="DY512" t="n">
        <v>87.27</v>
      </c>
      <c r="DZ512" t="n">
        <v>-2.24</v>
      </c>
      <c r="EA512" t="n">
        <v>529</v>
      </c>
      <c r="EB512" t="n">
        <v>22.64</v>
      </c>
      <c r="EC512" t="n">
        <v>6.67</v>
      </c>
      <c r="ED512" t="n">
        <v>120</v>
      </c>
      <c r="EE512" t="n">
        <v>912</v>
      </c>
      <c r="EF512" t="b">
        <v>1</v>
      </c>
      <c r="EG512" t="n">
        <v>21</v>
      </c>
      <c r="EH512" t="n">
        <v>10.8</v>
      </c>
      <c r="EI512" t="n">
        <v>209</v>
      </c>
    </row>
    <row r="513">
      <c r="A513" t="inlineStr">
        <is>
          <t>Kieran Dowell</t>
        </is>
      </c>
      <c r="B513" t="inlineStr">
        <is>
          <t>HUL</t>
        </is>
      </c>
      <c r="C513" t="inlineStr">
        <is>
          <t>MID</t>
        </is>
      </c>
      <c r="E513" t="n">
        <v>4.5</v>
      </c>
      <c r="F513" t="b">
        <v>1</v>
      </c>
      <c r="G513" t="b">
        <v>0</v>
      </c>
      <c r="H513" t="n">
        <v>28.9</v>
      </c>
      <c r="I513" t="inlineStr">
        <is>
          <t>a</t>
        </is>
      </c>
      <c r="M513" t="n">
        <v>288</v>
      </c>
      <c r="DO513" t="n">
        <v>0.5</v>
      </c>
      <c r="DP513" t="n">
        <v>11.47</v>
      </c>
      <c r="DQ513" t="n">
        <v>5.88</v>
      </c>
      <c r="DR513" t="n">
        <v>11.76</v>
      </c>
      <c r="DS513" t="n">
        <v>-0.29</v>
      </c>
      <c r="DT513" t="n">
        <v>51</v>
      </c>
      <c r="DU513" t="n">
        <v>1.35</v>
      </c>
      <c r="DV513" t="inlineStr">
        <is>
          <t>flat</t>
        </is>
      </c>
    </row>
    <row r="514">
      <c r="A514" t="inlineStr">
        <is>
          <t>Sam Szmodics</t>
        </is>
      </c>
      <c r="B514" t="inlineStr">
        <is>
          <t>IPS</t>
        </is>
      </c>
      <c r="C514" t="inlineStr">
        <is>
          <t>MID</t>
        </is>
      </c>
      <c r="E514" t="n">
        <v>5</v>
      </c>
      <c r="F514" t="b">
        <v>1</v>
      </c>
      <c r="G514" t="b">
        <v>0</v>
      </c>
      <c r="H514" t="n">
        <v>30.9</v>
      </c>
      <c r="I514" t="inlineStr">
        <is>
          <t>a</t>
        </is>
      </c>
      <c r="M514" t="n">
        <v>319</v>
      </c>
      <c r="DO514" t="n">
        <v>0.1</v>
      </c>
      <c r="DP514" t="n">
        <v>0</v>
      </c>
      <c r="DQ514" t="n">
        <v>0</v>
      </c>
      <c r="DR514" t="n">
        <v>0</v>
      </c>
      <c r="DS514" t="n">
        <v>0</v>
      </c>
      <c r="DT514" t="n">
        <v>0</v>
      </c>
      <c r="DU514" t="n">
        <v>0</v>
      </c>
      <c r="DV514" t="inlineStr">
        <is>
          <t>flat</t>
        </is>
      </c>
      <c r="DW514" t="n">
        <v>79.68000000000001</v>
      </c>
      <c r="DX514" t="n">
        <v>62.5</v>
      </c>
      <c r="DY514" t="n">
        <v>85.70999999999999</v>
      </c>
      <c r="DZ514" t="n">
        <v>6.04</v>
      </c>
      <c r="EA514" t="n">
        <v>1</v>
      </c>
      <c r="EB514" t="n">
        <v>47.38</v>
      </c>
      <c r="EC514" t="n">
        <v>11</v>
      </c>
      <c r="ED514" t="n">
        <v>114</v>
      </c>
      <c r="EE514" t="n">
        <v>4</v>
      </c>
      <c r="EF514" t="b">
        <v>0</v>
      </c>
      <c r="EG514" t="n">
        <v>0.1</v>
      </c>
      <c r="EH514" t="n">
        <v>42.9</v>
      </c>
      <c r="EI514" t="n">
        <v>361</v>
      </c>
    </row>
    <row r="515">
      <c r="A515" t="inlineStr">
        <is>
          <t>Josh Cullen</t>
        </is>
      </c>
      <c r="D515" t="inlineStr">
        <is>
          <t>MID</t>
        </is>
      </c>
      <c r="F515" t="b">
        <v>0</v>
      </c>
      <c r="G515" t="b">
        <v>1</v>
      </c>
      <c r="L515" t="inlineStr">
        <is>
          <t>p172567</t>
        </is>
      </c>
      <c r="Q515" t="n">
        <v>1519</v>
      </c>
      <c r="R515" t="n">
        <v>18</v>
      </c>
      <c r="T515" t="n">
        <v>16.878</v>
      </c>
      <c r="U515" t="n">
        <v>84.40000000000001</v>
      </c>
      <c r="Z515" t="n">
        <v>2</v>
      </c>
      <c r="AD515" t="n">
        <v>7</v>
      </c>
      <c r="AE515" t="n">
        <v>-1</v>
      </c>
      <c r="AG515" t="n">
        <v>307</v>
      </c>
      <c r="AH515" t="n">
        <v>-14</v>
      </c>
      <c r="AI515" t="n">
        <v>69</v>
      </c>
      <c r="AN515" t="n">
        <v>6</v>
      </c>
      <c r="AO515" t="n">
        <v>12</v>
      </c>
      <c r="AP515" t="n">
        <v>0.333</v>
      </c>
      <c r="AQ515" t="n">
        <v>0.333</v>
      </c>
      <c r="AR515" t="n">
        <v>0.333</v>
      </c>
      <c r="AS515" t="n">
        <v>0.474</v>
      </c>
      <c r="AT515" t="n">
        <v>0.944</v>
      </c>
      <c r="AU515" t="n">
        <v>8</v>
      </c>
      <c r="AV515" t="n">
        <v>2</v>
      </c>
      <c r="AW515" t="n">
        <v>2.97</v>
      </c>
      <c r="AX515" t="n">
        <v>14</v>
      </c>
      <c r="AZ515" t="n">
        <v>1.014</v>
      </c>
      <c r="BA515" t="n">
        <v>1.014</v>
      </c>
      <c r="BB515" t="n">
        <v>1.014</v>
      </c>
      <c r="BD515" t="n">
        <v>0.06</v>
      </c>
      <c r="BE515" t="n">
        <v>0.06</v>
      </c>
      <c r="BF515" t="n">
        <v>2.1</v>
      </c>
      <c r="BG515" t="n">
        <v>0.124</v>
      </c>
      <c r="BH515" t="n">
        <v>1.154</v>
      </c>
      <c r="BI515" t="n">
        <v>1.53</v>
      </c>
      <c r="BJ515" t="n">
        <v>1.085</v>
      </c>
      <c r="BK515" t="n">
        <v>0.064</v>
      </c>
      <c r="BP515" t="n">
        <v>11</v>
      </c>
      <c r="BQ515" t="n">
        <v>6</v>
      </c>
      <c r="BS515" t="n">
        <v>7</v>
      </c>
      <c r="BT515" t="n">
        <v>0.415</v>
      </c>
      <c r="BX515" t="n">
        <v>1.817</v>
      </c>
      <c r="BY515" t="n">
        <v>1.817</v>
      </c>
      <c r="BZ515" t="n">
        <v>0.108</v>
      </c>
      <c r="CA515" t="n">
        <v>2.831</v>
      </c>
      <c r="CB515" t="n">
        <v>0.168</v>
      </c>
      <c r="CC515" t="n">
        <v>13</v>
      </c>
      <c r="CD515" t="n">
        <v>4</v>
      </c>
      <c r="CE515" t="n">
        <v>13</v>
      </c>
      <c r="CF515" t="n">
        <v>1</v>
      </c>
      <c r="CG515" t="n">
        <v>4</v>
      </c>
      <c r="CH515" t="n">
        <v>5</v>
      </c>
      <c r="CI515" t="n">
        <v>6.163</v>
      </c>
      <c r="CJ515" t="n">
        <v>4.626</v>
      </c>
      <c r="CN515" t="n">
        <v>18</v>
      </c>
      <c r="CO515" t="n">
        <v>22</v>
      </c>
      <c r="CP515" t="n">
        <v>35</v>
      </c>
      <c r="CQ515" t="n">
        <v>11</v>
      </c>
      <c r="CR515" t="n">
        <v>66</v>
      </c>
      <c r="CS515" t="n">
        <v>17</v>
      </c>
      <c r="CV515" t="n">
        <v>2</v>
      </c>
      <c r="DH515" t="n">
        <v>16</v>
      </c>
      <c r="DI515" t="n">
        <v>18</v>
      </c>
      <c r="DK515" t="n">
        <v>1</v>
      </c>
      <c r="DL515" t="n">
        <v>2</v>
      </c>
      <c r="DM515" t="n">
        <v>10</v>
      </c>
      <c r="EJ515" t="n">
        <v>138.1</v>
      </c>
      <c r="EK515" t="n">
        <v>217</v>
      </c>
      <c r="EL515" t="n">
        <v>116.8</v>
      </c>
      <c r="EM515" t="n">
        <v>1497.7</v>
      </c>
      <c r="EN515" t="n">
        <v>836.1</v>
      </c>
      <c r="EO515" t="n">
        <v>536.5</v>
      </c>
    </row>
    <row r="516">
      <c r="A516" t="inlineStr">
        <is>
          <t>Jay Dasilva</t>
        </is>
      </c>
      <c r="B516" t="inlineStr">
        <is>
          <t>COV</t>
        </is>
      </c>
      <c r="C516" t="inlineStr">
        <is>
          <t>DEF</t>
        </is>
      </c>
      <c r="E516" t="n">
        <v>4</v>
      </c>
      <c r="F516" t="b">
        <v>1</v>
      </c>
      <c r="G516" t="b">
        <v>0</v>
      </c>
      <c r="H516" t="n">
        <v>28.3</v>
      </c>
      <c r="I516" t="inlineStr">
        <is>
          <t>a</t>
        </is>
      </c>
      <c r="M516" t="n">
        <v>176</v>
      </c>
      <c r="DO516" t="n">
        <v>0.7</v>
      </c>
      <c r="DP516" t="n">
        <v>87.41</v>
      </c>
      <c r="DQ516" t="n">
        <v>43.71</v>
      </c>
      <c r="DR516" t="n">
        <v>87.42</v>
      </c>
      <c r="DS516" t="n">
        <v>-0.01</v>
      </c>
      <c r="DT516" t="n">
        <v>2992</v>
      </c>
      <c r="DU516" t="n">
        <v>78.75</v>
      </c>
      <c r="DV516" t="inlineStr">
        <is>
          <t>flat</t>
        </is>
      </c>
      <c r="DW516" t="n">
        <v>108.11</v>
      </c>
      <c r="DX516" t="n">
        <v>109</v>
      </c>
      <c r="DY516" t="n">
        <v>105.45</v>
      </c>
      <c r="DZ516" t="n">
        <v>-2.66</v>
      </c>
      <c r="EA516" t="n">
        <v>1</v>
      </c>
      <c r="EB516" t="n">
        <v>12.21</v>
      </c>
      <c r="EC516" t="n">
        <v>92</v>
      </c>
      <c r="ED516" t="n">
        <v>119</v>
      </c>
      <c r="EE516" t="n">
        <v>4</v>
      </c>
      <c r="EF516" t="b">
        <v>0</v>
      </c>
      <c r="EG516" t="n">
        <v>0.1</v>
      </c>
      <c r="EH516" t="n">
        <v>0</v>
      </c>
      <c r="EI516" t="n">
        <v>541</v>
      </c>
    </row>
    <row r="517">
      <c r="A517" t="inlineStr">
        <is>
          <t>Marcus Edwards</t>
        </is>
      </c>
      <c r="D517" t="inlineStr">
        <is>
          <t>MID</t>
        </is>
      </c>
      <c r="F517" t="b">
        <v>0</v>
      </c>
      <c r="G517" t="b">
        <v>1</v>
      </c>
      <c r="L517" t="inlineStr">
        <is>
          <t>p174592</t>
        </is>
      </c>
      <c r="Q517" t="n">
        <v>1064</v>
      </c>
      <c r="R517" t="n">
        <v>23</v>
      </c>
      <c r="T517" t="n">
        <v>11.822</v>
      </c>
      <c r="U517" t="n">
        <v>46.3</v>
      </c>
      <c r="Z517" t="n">
        <v>3</v>
      </c>
      <c r="AD517" t="n">
        <v>2</v>
      </c>
      <c r="AE517" t="n">
        <v>0</v>
      </c>
      <c r="AG517" t="n">
        <v>189</v>
      </c>
      <c r="AH517" t="n">
        <v>0</v>
      </c>
      <c r="AI517" t="n">
        <v>51</v>
      </c>
      <c r="AN517" t="n">
        <v>0</v>
      </c>
      <c r="AO517" t="n">
        <v>0</v>
      </c>
      <c r="AP517" t="n">
        <v>0</v>
      </c>
      <c r="AQ517" t="n">
        <v>0</v>
      </c>
      <c r="AR517" t="n">
        <v>0</v>
      </c>
      <c r="AS517" t="n">
        <v>0.289</v>
      </c>
      <c r="AT517" t="n">
        <v>0.478</v>
      </c>
      <c r="AU517" t="n">
        <v>18</v>
      </c>
      <c r="AV517" t="n">
        <v>0</v>
      </c>
      <c r="AW517" t="n">
        <v>1.85</v>
      </c>
      <c r="AX517" t="n">
        <v>9</v>
      </c>
      <c r="AZ517" t="n">
        <v>2.284</v>
      </c>
      <c r="BA517" t="n">
        <v>2.284</v>
      </c>
      <c r="BB517" t="n">
        <v>2.284</v>
      </c>
      <c r="BD517" t="n">
        <v>0.193</v>
      </c>
      <c r="BE517" t="n">
        <v>0.193</v>
      </c>
      <c r="BF517" t="n">
        <v>1</v>
      </c>
      <c r="BG517" t="n">
        <v>0.08500000000000001</v>
      </c>
      <c r="BH517" t="n">
        <v>0.948</v>
      </c>
      <c r="BI517" t="n">
        <v>1.49</v>
      </c>
      <c r="BJ517" t="n">
        <v>1.413</v>
      </c>
      <c r="BK517" t="n">
        <v>0.12</v>
      </c>
      <c r="BP517" t="n">
        <v>23</v>
      </c>
      <c r="BQ517" t="n">
        <v>6</v>
      </c>
      <c r="BR517" t="n">
        <v>2</v>
      </c>
      <c r="BS517" t="n">
        <v>54</v>
      </c>
      <c r="BT517" t="n">
        <v>4.568</v>
      </c>
      <c r="BX517" t="n">
        <v>2.546</v>
      </c>
      <c r="BY517" t="n">
        <v>2.546</v>
      </c>
      <c r="BZ517" t="n">
        <v>0.215</v>
      </c>
      <c r="CA517" t="n">
        <v>4.83</v>
      </c>
      <c r="CB517" t="n">
        <v>0.409</v>
      </c>
      <c r="CC517" t="n">
        <v>20</v>
      </c>
      <c r="CD517" t="n">
        <v>6</v>
      </c>
      <c r="CE517" t="n">
        <v>20</v>
      </c>
      <c r="CF517" t="n">
        <v>5</v>
      </c>
      <c r="CG517" t="n">
        <v>2</v>
      </c>
      <c r="CH517" t="n">
        <v>5</v>
      </c>
      <c r="CI517" t="n">
        <v>6.093</v>
      </c>
      <c r="CJ517" t="n">
        <v>3.158</v>
      </c>
      <c r="CN517" t="n">
        <v>5</v>
      </c>
      <c r="CO517" t="n">
        <v>2</v>
      </c>
      <c r="CP517" t="n">
        <v>4</v>
      </c>
      <c r="CR517" t="n">
        <v>45</v>
      </c>
      <c r="CS517" t="n">
        <v>2</v>
      </c>
      <c r="CT517" t="n">
        <v>0.7</v>
      </c>
      <c r="DH517" t="n">
        <v>7</v>
      </c>
      <c r="DI517" t="n">
        <v>18</v>
      </c>
      <c r="DL517" t="n">
        <v>14</v>
      </c>
      <c r="DM517" t="n">
        <v>28</v>
      </c>
      <c r="DN517" t="n">
        <v>1</v>
      </c>
      <c r="EJ517" t="n">
        <v>46.3</v>
      </c>
      <c r="EK517" t="n">
        <v>19.7</v>
      </c>
      <c r="EL517" t="n">
        <v>53.2</v>
      </c>
      <c r="EM517" t="n">
        <v>465.9</v>
      </c>
      <c r="EN517" t="n">
        <v>417.9</v>
      </c>
      <c r="EO517" t="n">
        <v>220.3</v>
      </c>
    </row>
    <row r="518">
      <c r="A518" t="inlineStr">
        <is>
          <t>Haji Wright</t>
        </is>
      </c>
      <c r="B518" t="inlineStr">
        <is>
          <t>COV</t>
        </is>
      </c>
      <c r="C518" t="inlineStr">
        <is>
          <t>FWD</t>
        </is>
      </c>
      <c r="E518" t="n">
        <v>5.5</v>
      </c>
      <c r="F518" t="b">
        <v>1</v>
      </c>
      <c r="G518" t="b">
        <v>0</v>
      </c>
      <c r="H518" t="n">
        <v>28.4</v>
      </c>
      <c r="I518" t="inlineStr">
        <is>
          <t>a</t>
        </is>
      </c>
      <c r="M518" t="n">
        <v>193</v>
      </c>
      <c r="N518" t="n">
        <v>1</v>
      </c>
      <c r="DO518" t="n">
        <v>1.7</v>
      </c>
      <c r="DP518" t="n">
        <v>127.54</v>
      </c>
      <c r="DQ518" t="n">
        <v>58.93</v>
      </c>
      <c r="DR518" t="n">
        <v>117.86</v>
      </c>
      <c r="DS518" t="n">
        <v>9.68</v>
      </c>
      <c r="DT518" t="n">
        <v>2656</v>
      </c>
      <c r="DU518" t="n">
        <v>69.90000000000001</v>
      </c>
      <c r="DV518" t="inlineStr">
        <is>
          <t>ramp-up (injury / late WC return)</t>
        </is>
      </c>
      <c r="DW518" t="n">
        <v>88.8</v>
      </c>
      <c r="DX518" t="n">
        <v>95.73999999999999</v>
      </c>
      <c r="DY518" t="n">
        <v>86.73999999999999</v>
      </c>
      <c r="DZ518" t="n">
        <v>-2.06</v>
      </c>
      <c r="EA518" t="n">
        <v>612</v>
      </c>
      <c r="EB518" t="n">
        <v>22.61</v>
      </c>
      <c r="EC518" t="n">
        <v>5.82</v>
      </c>
      <c r="ED518" t="n">
        <v>120</v>
      </c>
      <c r="EE518" t="n">
        <v>1019</v>
      </c>
      <c r="EF518" t="b">
        <v>1</v>
      </c>
      <c r="EG518" t="n">
        <v>23.2</v>
      </c>
      <c r="EH518" t="n">
        <v>9.9</v>
      </c>
      <c r="EI518" t="n">
        <v>207</v>
      </c>
    </row>
    <row r="519">
      <c r="A519" t="inlineStr">
        <is>
          <t>Darnell Furlong</t>
        </is>
      </c>
      <c r="B519" t="inlineStr">
        <is>
          <t>IPS</t>
        </is>
      </c>
      <c r="C519" t="inlineStr">
        <is>
          <t>DEF</t>
        </is>
      </c>
      <c r="E519" t="n">
        <v>4</v>
      </c>
      <c r="F519" t="b">
        <v>1</v>
      </c>
      <c r="G519" t="b">
        <v>0</v>
      </c>
      <c r="H519" t="n">
        <v>30.8</v>
      </c>
      <c r="I519" t="inlineStr">
        <is>
          <t>a</t>
        </is>
      </c>
      <c r="M519" t="n">
        <v>308</v>
      </c>
      <c r="DO519" t="n">
        <v>0.6</v>
      </c>
      <c r="DP519" t="n">
        <v>78.2</v>
      </c>
      <c r="DQ519" t="n">
        <v>39.1</v>
      </c>
      <c r="DR519" t="n">
        <v>78.2</v>
      </c>
      <c r="DS519" t="n">
        <v>0</v>
      </c>
      <c r="DT519" t="n">
        <v>2775</v>
      </c>
      <c r="DU519" t="n">
        <v>73.02</v>
      </c>
      <c r="DV519" t="inlineStr">
        <is>
          <t>flat</t>
        </is>
      </c>
      <c r="DW519" t="n">
        <v>83.34999999999999</v>
      </c>
      <c r="EB519" t="n">
        <v>42.71</v>
      </c>
      <c r="EC519" t="n">
        <v>19.43</v>
      </c>
      <c r="ED519" t="n">
        <v>108.44</v>
      </c>
      <c r="EE519" t="n">
        <v>4</v>
      </c>
      <c r="EF519" t="b">
        <v>0</v>
      </c>
      <c r="EG519" t="n">
        <v>0.1</v>
      </c>
      <c r="EH519" t="n">
        <v>20</v>
      </c>
      <c r="EI519" t="n">
        <v>570</v>
      </c>
    </row>
    <row r="520">
      <c r="A520" t="inlineStr">
        <is>
          <t>Jarrod Bowen</t>
        </is>
      </c>
      <c r="D520" t="inlineStr">
        <is>
          <t>FWD</t>
        </is>
      </c>
      <c r="F520" t="b">
        <v>0</v>
      </c>
      <c r="G520" t="b">
        <v>1</v>
      </c>
      <c r="L520" t="inlineStr">
        <is>
          <t>p178186</t>
        </is>
      </c>
      <c r="Q520" t="n">
        <v>3405</v>
      </c>
      <c r="R520" t="n">
        <v>38</v>
      </c>
      <c r="T520" t="n">
        <v>37.833</v>
      </c>
      <c r="U520" t="n">
        <v>89.59999999999999</v>
      </c>
      <c r="Z520" t="n">
        <v>11</v>
      </c>
      <c r="AD520" t="n">
        <v>28</v>
      </c>
      <c r="AE520" t="n">
        <v>0</v>
      </c>
      <c r="AG520" t="n">
        <v>718</v>
      </c>
      <c r="AH520" t="n">
        <v>-13</v>
      </c>
      <c r="AI520" t="n">
        <v>187</v>
      </c>
      <c r="AN520" t="n">
        <v>6</v>
      </c>
      <c r="AO520" t="n">
        <v>12</v>
      </c>
      <c r="AP520" t="n">
        <v>0.158</v>
      </c>
      <c r="AQ520" t="n">
        <v>0.237</v>
      </c>
      <c r="AR520" t="n">
        <v>0.158</v>
      </c>
      <c r="AS520" t="n">
        <v>1</v>
      </c>
      <c r="AT520" t="n">
        <v>1</v>
      </c>
      <c r="AU520" t="n">
        <v>17</v>
      </c>
      <c r="AV520" t="n">
        <v>4</v>
      </c>
      <c r="AW520" t="n">
        <v>3.54</v>
      </c>
      <c r="AX520" t="n">
        <v>14</v>
      </c>
      <c r="AZ520" t="n">
        <v>8.273999999999999</v>
      </c>
      <c r="BA520" t="n">
        <v>8.273999999999999</v>
      </c>
      <c r="BB520" t="n">
        <v>7.512</v>
      </c>
      <c r="BD520" t="n">
        <v>0.219</v>
      </c>
      <c r="BE520" t="n">
        <v>0.219</v>
      </c>
      <c r="BF520" t="n">
        <v>7.1</v>
      </c>
      <c r="BG520" t="n">
        <v>0.188</v>
      </c>
      <c r="BH520" t="n">
        <v>1.063</v>
      </c>
      <c r="BI520" t="n">
        <v>37.16</v>
      </c>
      <c r="BJ520" t="n">
        <v>7.674</v>
      </c>
      <c r="BK520" t="n">
        <v>0.203</v>
      </c>
      <c r="BP520" t="n">
        <v>79</v>
      </c>
      <c r="BQ520" t="n">
        <v>28</v>
      </c>
      <c r="BR520" t="n">
        <v>5</v>
      </c>
      <c r="BS520" t="n">
        <v>165</v>
      </c>
      <c r="BT520" t="n">
        <v>4.361</v>
      </c>
      <c r="BU520" t="n">
        <v>1</v>
      </c>
      <c r="BV520" t="n">
        <v>1</v>
      </c>
      <c r="BX520" t="n">
        <v>8.432</v>
      </c>
      <c r="BY520" t="n">
        <v>8.432</v>
      </c>
      <c r="BZ520" t="n">
        <v>0.223</v>
      </c>
      <c r="CA520" t="n">
        <v>16.706</v>
      </c>
      <c r="CB520" t="n">
        <v>0.442</v>
      </c>
      <c r="CC520" t="n">
        <v>44</v>
      </c>
      <c r="CD520" t="n">
        <v>16</v>
      </c>
      <c r="CE520" t="n">
        <v>45</v>
      </c>
      <c r="CF520" t="n">
        <v>27</v>
      </c>
      <c r="CG520" t="n">
        <v>3</v>
      </c>
      <c r="CH520" t="n">
        <v>57</v>
      </c>
      <c r="CI520" t="n">
        <v>14.381</v>
      </c>
      <c r="CJ520" t="n">
        <v>3.878</v>
      </c>
      <c r="CN520" t="n">
        <v>29</v>
      </c>
      <c r="CO520" t="n">
        <v>27</v>
      </c>
      <c r="CP520" t="n">
        <v>39</v>
      </c>
      <c r="CQ520" t="n">
        <v>7</v>
      </c>
      <c r="CR520" t="n">
        <v>185</v>
      </c>
      <c r="CS520" t="n">
        <v>33</v>
      </c>
      <c r="CT520" t="n">
        <v>0.7</v>
      </c>
      <c r="CV520" t="n">
        <v>1</v>
      </c>
      <c r="DE520" t="n">
        <v>7.19</v>
      </c>
      <c r="DH520" t="n">
        <v>19</v>
      </c>
      <c r="DI520" t="n">
        <v>49</v>
      </c>
      <c r="DJ520" t="n">
        <v>0</v>
      </c>
      <c r="DL520" t="n">
        <v>53</v>
      </c>
      <c r="DM520" t="n">
        <v>77</v>
      </c>
      <c r="DN520" t="n">
        <v>17</v>
      </c>
      <c r="EJ520" t="n">
        <v>43.1</v>
      </c>
      <c r="EK520" t="n">
        <v>20.6</v>
      </c>
      <c r="EL520" t="n">
        <v>75.7</v>
      </c>
      <c r="EM520" t="n">
        <v>411.6</v>
      </c>
      <c r="EN520" t="n">
        <v>403.8</v>
      </c>
      <c r="EO520" t="n">
        <v>203.8</v>
      </c>
    </row>
    <row r="521">
      <c r="A521" t="inlineStr">
        <is>
          <t>Marc Cucurella</t>
        </is>
      </c>
      <c r="D521" t="inlineStr">
        <is>
          <t>DEF</t>
        </is>
      </c>
      <c r="F521" t="b">
        <v>0</v>
      </c>
      <c r="G521" t="b">
        <v>1</v>
      </c>
      <c r="L521" t="inlineStr">
        <is>
          <t>p179268</t>
        </is>
      </c>
      <c r="Q521" t="n">
        <v>2710</v>
      </c>
      <c r="R521" t="n">
        <v>34</v>
      </c>
      <c r="T521" t="n">
        <v>30.111</v>
      </c>
      <c r="U521" t="n">
        <v>79.7</v>
      </c>
      <c r="Z521" t="n">
        <v>4</v>
      </c>
      <c r="AD521" t="n">
        <v>4</v>
      </c>
      <c r="AE521" t="n">
        <v>-1</v>
      </c>
      <c r="AG521" t="n">
        <v>443</v>
      </c>
      <c r="AH521" t="n">
        <v>-25</v>
      </c>
      <c r="AI521" t="n">
        <v>103</v>
      </c>
      <c r="AN521" t="n">
        <v>2</v>
      </c>
      <c r="AO521" t="n">
        <v>4</v>
      </c>
      <c r="AP521" t="n">
        <v>0.065</v>
      </c>
      <c r="AQ521" t="n">
        <v>0.065</v>
      </c>
      <c r="AR521" t="n">
        <v>0</v>
      </c>
      <c r="AS521" t="n">
        <v>0.8159999999999999</v>
      </c>
      <c r="AT521" t="n">
        <v>0.853</v>
      </c>
      <c r="AU521" t="n">
        <v>19</v>
      </c>
      <c r="AV521" t="n">
        <v>0</v>
      </c>
      <c r="AW521" t="n">
        <v>2.85</v>
      </c>
      <c r="AX521" t="n">
        <v>8</v>
      </c>
      <c r="AZ521" t="n">
        <v>1.886</v>
      </c>
      <c r="BA521" t="n">
        <v>1.886</v>
      </c>
      <c r="BB521" t="n">
        <v>1.886</v>
      </c>
      <c r="BD521" t="n">
        <v>0.063</v>
      </c>
      <c r="BE521" t="n">
        <v>0.063</v>
      </c>
      <c r="BF521" t="n">
        <v>1.8</v>
      </c>
      <c r="BG521" t="n">
        <v>0.06</v>
      </c>
      <c r="BH521" t="n">
        <v>1.043</v>
      </c>
      <c r="BI521" t="n">
        <v>6.67</v>
      </c>
      <c r="BJ521" t="n">
        <v>2.44</v>
      </c>
      <c r="BK521" t="n">
        <v>0.081</v>
      </c>
      <c r="BP521" t="n">
        <v>20</v>
      </c>
      <c r="BQ521" t="n">
        <v>6</v>
      </c>
      <c r="BR521" t="n">
        <v>1</v>
      </c>
      <c r="BS521" t="n">
        <v>84</v>
      </c>
      <c r="BT521" t="n">
        <v>2.79</v>
      </c>
      <c r="BV521" t="n">
        <v>1</v>
      </c>
      <c r="BX521" t="n">
        <v>4.542</v>
      </c>
      <c r="BY521" t="n">
        <v>4.542</v>
      </c>
      <c r="BZ521" t="n">
        <v>0.151</v>
      </c>
      <c r="CA521" t="n">
        <v>6.428</v>
      </c>
      <c r="CB521" t="n">
        <v>0.213</v>
      </c>
      <c r="CC521" t="n">
        <v>39</v>
      </c>
      <c r="CD521" t="n">
        <v>6</v>
      </c>
      <c r="CE521" t="n">
        <v>39</v>
      </c>
      <c r="CF521" t="n">
        <v>13</v>
      </c>
      <c r="CG521" t="n">
        <v>0</v>
      </c>
      <c r="CH521" t="n">
        <v>1</v>
      </c>
      <c r="CI521" t="n">
        <v>15.159</v>
      </c>
      <c r="CJ521" t="n">
        <v>12.004</v>
      </c>
      <c r="CN521" t="n">
        <v>40</v>
      </c>
      <c r="CO521" t="n">
        <v>32</v>
      </c>
      <c r="CP521" t="n">
        <v>87</v>
      </c>
      <c r="CQ521" t="n">
        <v>8</v>
      </c>
      <c r="CR521" t="n">
        <v>120</v>
      </c>
      <c r="CS521" t="n">
        <v>36</v>
      </c>
      <c r="CT521" t="n">
        <v>0.2</v>
      </c>
      <c r="CV521" t="n">
        <v>1</v>
      </c>
      <c r="DE521" t="n">
        <v>6.97</v>
      </c>
      <c r="DH521" t="n">
        <v>45</v>
      </c>
      <c r="DI521" t="n">
        <v>29</v>
      </c>
      <c r="DL521" t="n">
        <v>1</v>
      </c>
      <c r="DM521" t="n">
        <v>7</v>
      </c>
      <c r="DN521" t="n">
        <v>5</v>
      </c>
      <c r="EJ521" t="n">
        <v>135.5</v>
      </c>
      <c r="EK521" t="n">
        <v>32.3</v>
      </c>
      <c r="EL521" t="n">
        <v>69.5</v>
      </c>
      <c r="EM521" t="n">
        <v>1436.8</v>
      </c>
      <c r="EN521" t="n">
        <v>596.7</v>
      </c>
      <c r="EO521" t="n">
        <v>421.6</v>
      </c>
    </row>
    <row r="522">
      <c r="A522" t="inlineStr">
        <is>
          <t>Jacob Bruun Larsen</t>
        </is>
      </c>
      <c r="D522" t="inlineStr">
        <is>
          <t>MID</t>
        </is>
      </c>
      <c r="F522" t="b">
        <v>0</v>
      </c>
      <c r="G522" t="b">
        <v>1</v>
      </c>
      <c r="L522" t="inlineStr">
        <is>
          <t>p179458</t>
        </is>
      </c>
      <c r="Q522" t="n">
        <v>1023</v>
      </c>
      <c r="R522" t="n">
        <v>28</v>
      </c>
      <c r="T522" t="n">
        <v>11.367</v>
      </c>
      <c r="U522" t="n">
        <v>36.5</v>
      </c>
      <c r="Z522" t="n">
        <v>1</v>
      </c>
      <c r="AD522" t="n">
        <v>0</v>
      </c>
      <c r="AE522" t="n">
        <v>0</v>
      </c>
      <c r="AG522" t="n">
        <v>119</v>
      </c>
      <c r="AH522" t="n">
        <v>-4</v>
      </c>
      <c r="AI522" t="n">
        <v>41</v>
      </c>
      <c r="AN522" t="n">
        <v>0</v>
      </c>
      <c r="AO522" t="n">
        <v>0</v>
      </c>
      <c r="AP522" t="n">
        <v>0</v>
      </c>
      <c r="AQ522" t="n">
        <v>0.1</v>
      </c>
      <c r="AR522" t="n">
        <v>0</v>
      </c>
      <c r="AS522" t="n">
        <v>0.263</v>
      </c>
      <c r="AT522" t="n">
        <v>0.25</v>
      </c>
      <c r="AU522" t="n">
        <v>24</v>
      </c>
      <c r="AV522" t="n">
        <v>0</v>
      </c>
      <c r="AW522" t="n">
        <v>1.05</v>
      </c>
      <c r="AX522" t="n">
        <v>5</v>
      </c>
      <c r="AZ522" t="n">
        <v>1.432</v>
      </c>
      <c r="BA522" t="n">
        <v>1.432</v>
      </c>
      <c r="BB522" t="n">
        <v>1.432</v>
      </c>
      <c r="BD522" t="n">
        <v>0.126</v>
      </c>
      <c r="BE522" t="n">
        <v>0.126</v>
      </c>
      <c r="BF522" t="n">
        <v>0.9</v>
      </c>
      <c r="BG522" t="n">
        <v>0.079</v>
      </c>
      <c r="BH522" t="n">
        <v>0.97</v>
      </c>
      <c r="BI522" t="n">
        <v>6.02</v>
      </c>
      <c r="BJ522" t="n">
        <v>1.329</v>
      </c>
      <c r="BK522" t="n">
        <v>0.117</v>
      </c>
      <c r="BP522" t="n">
        <v>17</v>
      </c>
      <c r="BQ522" t="n">
        <v>4</v>
      </c>
      <c r="BR522" t="n">
        <v>2</v>
      </c>
      <c r="BS522" t="n">
        <v>35</v>
      </c>
      <c r="BT522" t="n">
        <v>3.079</v>
      </c>
      <c r="BX522" t="n">
        <v>1.378</v>
      </c>
      <c r="BY522" t="n">
        <v>1.378</v>
      </c>
      <c r="BZ522" t="n">
        <v>0.121</v>
      </c>
      <c r="CA522" t="n">
        <v>2.81</v>
      </c>
      <c r="CB522" t="n">
        <v>0.247</v>
      </c>
      <c r="CC522" t="n">
        <v>12</v>
      </c>
      <c r="CD522" t="n">
        <v>2</v>
      </c>
      <c r="CE522" t="n">
        <v>12</v>
      </c>
      <c r="CF522" t="n">
        <v>9</v>
      </c>
      <c r="CH522" t="n">
        <v>18</v>
      </c>
      <c r="CI522" t="n">
        <v>4.529</v>
      </c>
      <c r="CJ522" t="n">
        <v>2.253</v>
      </c>
      <c r="CN522" t="n">
        <v>4</v>
      </c>
      <c r="CO522" t="n">
        <v>6</v>
      </c>
      <c r="CP522" t="n">
        <v>13</v>
      </c>
      <c r="CQ522" t="n">
        <v>1</v>
      </c>
      <c r="CR522" t="n">
        <v>33</v>
      </c>
      <c r="CS522" t="n">
        <v>11</v>
      </c>
      <c r="CT522" t="n">
        <v>0.4</v>
      </c>
      <c r="DE522" t="n">
        <v>6.3</v>
      </c>
      <c r="DH522" t="n">
        <v>1</v>
      </c>
      <c r="DI522" t="n">
        <v>0</v>
      </c>
      <c r="DL522" t="n">
        <v>10</v>
      </c>
      <c r="DM522" t="n">
        <v>11</v>
      </c>
      <c r="DN522" t="n">
        <v>4</v>
      </c>
      <c r="EJ522" t="n">
        <v>60.2</v>
      </c>
      <c r="EK522" t="n">
        <v>29.2</v>
      </c>
      <c r="EL522" t="n">
        <v>85.2</v>
      </c>
      <c r="EM522" t="n">
        <v>714.3</v>
      </c>
      <c r="EN522" t="n">
        <v>742.2</v>
      </c>
      <c r="EO522" t="n">
        <v>364</v>
      </c>
    </row>
    <row r="523">
      <c r="A523" t="inlineStr">
        <is>
          <t>Axel Tuanzebe</t>
        </is>
      </c>
      <c r="D523" t="inlineStr">
        <is>
          <t>DEF</t>
        </is>
      </c>
      <c r="F523" t="b">
        <v>0</v>
      </c>
      <c r="G523" t="b">
        <v>1</v>
      </c>
      <c r="L523" t="inlineStr">
        <is>
          <t>p180804</t>
        </is>
      </c>
      <c r="Q523" t="n">
        <v>1202</v>
      </c>
      <c r="R523" t="n">
        <v>14</v>
      </c>
      <c r="T523" t="n">
        <v>13.356</v>
      </c>
      <c r="U523" t="n">
        <v>85.90000000000001</v>
      </c>
      <c r="AD523" t="n">
        <v>0</v>
      </c>
      <c r="AE523" t="n">
        <v>0</v>
      </c>
      <c r="AG523" t="n">
        <v>85</v>
      </c>
      <c r="AH523" t="n">
        <v>-17</v>
      </c>
      <c r="AI523" t="n">
        <v>34</v>
      </c>
      <c r="AN523" t="n">
        <v>5</v>
      </c>
      <c r="AO523" t="n">
        <v>10</v>
      </c>
      <c r="AP523" t="n">
        <v>0.357</v>
      </c>
      <c r="AQ523" t="n">
        <v>0.357</v>
      </c>
      <c r="AR523" t="n">
        <v>0.07099999999999999</v>
      </c>
      <c r="AS523" t="n">
        <v>0.368</v>
      </c>
      <c r="AT523" t="n">
        <v>0.929</v>
      </c>
      <c r="AU523" t="n">
        <v>8</v>
      </c>
      <c r="AV523" t="n">
        <v>0</v>
      </c>
      <c r="AW523" t="n">
        <v>1.96</v>
      </c>
      <c r="AX523" t="n">
        <v>8</v>
      </c>
      <c r="AZ523" t="n">
        <v>0.5580000000000001</v>
      </c>
      <c r="BA523" t="n">
        <v>0.5580000000000001</v>
      </c>
      <c r="BB523" t="n">
        <v>0.5580000000000001</v>
      </c>
      <c r="BD523" t="n">
        <v>0.042</v>
      </c>
      <c r="BE523" t="n">
        <v>0.042</v>
      </c>
      <c r="BF523" t="n">
        <v>0.9</v>
      </c>
      <c r="BG523" t="n">
        <v>0.067</v>
      </c>
      <c r="BH523" t="n">
        <v>1.009</v>
      </c>
      <c r="BI523" t="n">
        <v>0.82</v>
      </c>
      <c r="BJ523" t="n">
        <v>0.616</v>
      </c>
      <c r="BK523" t="n">
        <v>0.046</v>
      </c>
      <c r="BP523" t="n">
        <v>2</v>
      </c>
      <c r="BQ523" t="n">
        <v>1</v>
      </c>
      <c r="BS523" t="n">
        <v>2</v>
      </c>
      <c r="BT523" t="n">
        <v>0.15</v>
      </c>
      <c r="BX523" t="n">
        <v>0</v>
      </c>
      <c r="BY523" t="n">
        <v>0</v>
      </c>
      <c r="BZ523" t="n">
        <v>0</v>
      </c>
      <c r="CA523" t="n">
        <v>0.5580000000000001</v>
      </c>
      <c r="CB523" t="n">
        <v>0.042</v>
      </c>
      <c r="CC523" t="n">
        <v>0</v>
      </c>
      <c r="CI523" t="n">
        <v>2.775</v>
      </c>
      <c r="CJ523" t="n">
        <v>2.216</v>
      </c>
      <c r="CN523" t="n">
        <v>8</v>
      </c>
      <c r="CO523" t="n">
        <v>11</v>
      </c>
      <c r="CP523" t="n">
        <v>83</v>
      </c>
      <c r="CQ523" t="n">
        <v>11</v>
      </c>
      <c r="CR523" t="n">
        <v>38</v>
      </c>
      <c r="CS523" t="n">
        <v>22</v>
      </c>
      <c r="CV523" t="n">
        <v>3</v>
      </c>
      <c r="DH523" t="n">
        <v>13</v>
      </c>
      <c r="DI523" t="n">
        <v>2</v>
      </c>
      <c r="DK523" t="n">
        <v>1</v>
      </c>
      <c r="DN523" t="n">
        <v>1</v>
      </c>
      <c r="EJ523" t="n">
        <v>601</v>
      </c>
      <c r="EK523" t="n">
        <v>601</v>
      </c>
      <c r="EM523" t="n">
        <v>2153.1</v>
      </c>
      <c r="EO523" t="n">
        <v>2153.1</v>
      </c>
    </row>
    <row r="524">
      <c r="A524" t="inlineStr">
        <is>
          <t>Cédric Kipré</t>
        </is>
      </c>
      <c r="B524" t="inlineStr">
        <is>
          <t>IPS</t>
        </is>
      </c>
      <c r="C524" t="inlineStr">
        <is>
          <t>DEF</t>
        </is>
      </c>
      <c r="E524" t="n">
        <v>4</v>
      </c>
      <c r="F524" t="b">
        <v>1</v>
      </c>
      <c r="G524" t="b">
        <v>0</v>
      </c>
      <c r="H524" t="n">
        <v>29.7</v>
      </c>
      <c r="I524" t="inlineStr">
        <is>
          <t>a</t>
        </is>
      </c>
      <c r="M524" t="n">
        <v>303</v>
      </c>
      <c r="DO524" t="n">
        <v>0.6</v>
      </c>
      <c r="DP524" t="n">
        <v>13.96</v>
      </c>
      <c r="DQ524" t="n">
        <v>6.98</v>
      </c>
      <c r="DR524" t="n">
        <v>13.96</v>
      </c>
      <c r="DS524" t="n">
        <v>0</v>
      </c>
      <c r="DT524" t="n">
        <v>193</v>
      </c>
      <c r="DU524" t="n">
        <v>5.07</v>
      </c>
      <c r="DV524" t="inlineStr">
        <is>
          <t>flat</t>
        </is>
      </c>
      <c r="DW524" t="n">
        <v>95.69</v>
      </c>
      <c r="DX524" t="n">
        <v>82.5</v>
      </c>
      <c r="DY524" t="n">
        <v>87.59</v>
      </c>
      <c r="DZ524" t="n">
        <v>-8.1</v>
      </c>
      <c r="EA524" t="n">
        <v>3</v>
      </c>
      <c r="EB524" t="n">
        <v>29.91</v>
      </c>
      <c r="EC524" t="n">
        <v>53</v>
      </c>
      <c r="ED524" t="n">
        <v>120</v>
      </c>
      <c r="EE524" t="n">
        <v>4</v>
      </c>
      <c r="EF524" t="b">
        <v>0</v>
      </c>
      <c r="EG524" t="n">
        <v>0.1</v>
      </c>
      <c r="EH524" t="n">
        <v>0</v>
      </c>
      <c r="EI524" t="n">
        <v>565</v>
      </c>
    </row>
    <row r="525">
      <c r="A525" t="inlineStr">
        <is>
          <t>Hwang Hee-Chan</t>
        </is>
      </c>
      <c r="D525" t="inlineStr">
        <is>
          <t>MID</t>
        </is>
      </c>
      <c r="F525" t="b">
        <v>0</v>
      </c>
      <c r="G525" t="b">
        <v>1</v>
      </c>
      <c r="L525" t="inlineStr">
        <is>
          <t>p184754</t>
        </is>
      </c>
      <c r="Q525" t="n">
        <v>1452</v>
      </c>
      <c r="R525" t="n">
        <v>26</v>
      </c>
      <c r="T525" t="n">
        <v>16.133</v>
      </c>
      <c r="U525" t="n">
        <v>55.8</v>
      </c>
      <c r="Z525" t="n">
        <v>2</v>
      </c>
      <c r="AD525" t="n">
        <v>0</v>
      </c>
      <c r="AE525" t="n">
        <v>0</v>
      </c>
      <c r="AG525" t="n">
        <v>159</v>
      </c>
      <c r="AH525" t="n">
        <v>-6</v>
      </c>
      <c r="AI525" t="n">
        <v>54</v>
      </c>
      <c r="AN525" t="n">
        <v>0</v>
      </c>
      <c r="AO525" t="n">
        <v>0</v>
      </c>
      <c r="AP525" t="n">
        <v>0</v>
      </c>
      <c r="AQ525" t="n">
        <v>0.056</v>
      </c>
      <c r="AR525" t="n">
        <v>0</v>
      </c>
      <c r="AS525" t="n">
        <v>0.474</v>
      </c>
      <c r="AT525" t="n">
        <v>0.577</v>
      </c>
      <c r="AU525" t="n">
        <v>22</v>
      </c>
      <c r="AV525" t="n">
        <v>1</v>
      </c>
      <c r="AW525" t="n">
        <v>2.13</v>
      </c>
      <c r="AX525" t="n">
        <v>11</v>
      </c>
      <c r="AZ525" t="n">
        <v>2.662</v>
      </c>
      <c r="BA525" t="n">
        <v>2.662</v>
      </c>
      <c r="BB525" t="n">
        <v>1.901</v>
      </c>
      <c r="BD525" t="n">
        <v>0.165</v>
      </c>
      <c r="BE525" t="n">
        <v>0.165</v>
      </c>
      <c r="BF525" t="n">
        <v>2.7</v>
      </c>
      <c r="BG525" t="n">
        <v>0.167</v>
      </c>
      <c r="BH525" t="n">
        <v>0.965</v>
      </c>
      <c r="BI525" t="n">
        <v>13.66</v>
      </c>
      <c r="BJ525" t="n">
        <v>2.287</v>
      </c>
      <c r="BK525" t="n">
        <v>0.142</v>
      </c>
      <c r="BP525" t="n">
        <v>19</v>
      </c>
      <c r="BQ525" t="n">
        <v>6</v>
      </c>
      <c r="BR525" t="n">
        <v>2</v>
      </c>
      <c r="BS525" t="n">
        <v>29</v>
      </c>
      <c r="BT525" t="n">
        <v>1.798</v>
      </c>
      <c r="BU525" t="n">
        <v>1</v>
      </c>
      <c r="BX525" t="n">
        <v>1.882</v>
      </c>
      <c r="BY525" t="n">
        <v>1.882</v>
      </c>
      <c r="BZ525" t="n">
        <v>0.117</v>
      </c>
      <c r="CA525" t="n">
        <v>4.543</v>
      </c>
      <c r="CB525" t="n">
        <v>0.282</v>
      </c>
      <c r="CC525" t="n">
        <v>15</v>
      </c>
      <c r="CD525" t="n">
        <v>3</v>
      </c>
      <c r="CE525" t="n">
        <v>15</v>
      </c>
      <c r="CF525" t="n">
        <v>3</v>
      </c>
      <c r="CG525" t="n">
        <v>3</v>
      </c>
      <c r="CH525" t="n">
        <v>6</v>
      </c>
      <c r="CI525" t="n">
        <v>5.158</v>
      </c>
      <c r="CJ525" t="n">
        <v>1.747</v>
      </c>
      <c r="CN525" t="n">
        <v>4</v>
      </c>
      <c r="CO525" t="n">
        <v>13</v>
      </c>
      <c r="CP525" t="n">
        <v>16</v>
      </c>
      <c r="CR525" t="n">
        <v>43</v>
      </c>
      <c r="CS525" t="n">
        <v>6</v>
      </c>
      <c r="CT525" t="n">
        <v>0.4</v>
      </c>
      <c r="CU525" t="n">
        <v>2</v>
      </c>
      <c r="CV525" t="n">
        <v>1</v>
      </c>
      <c r="DE525" t="n">
        <v>6.41</v>
      </c>
      <c r="DH525" t="n">
        <v>28</v>
      </c>
      <c r="DI525" t="n">
        <v>18</v>
      </c>
      <c r="DL525" t="n">
        <v>9</v>
      </c>
      <c r="DM525" t="n">
        <v>11</v>
      </c>
      <c r="DN525" t="n">
        <v>9</v>
      </c>
      <c r="EJ525" t="n">
        <v>76.40000000000001</v>
      </c>
      <c r="EK525" t="n">
        <v>50.1</v>
      </c>
      <c r="EL525" t="n">
        <v>96.8</v>
      </c>
      <c r="EM525" t="n">
        <v>545.5</v>
      </c>
      <c r="EN525" t="n">
        <v>771.7</v>
      </c>
      <c r="EO525" t="n">
        <v>319.6</v>
      </c>
    </row>
    <row r="526">
      <c r="A526" t="inlineStr">
        <is>
          <t>Lewie Coyle</t>
        </is>
      </c>
      <c r="B526" t="inlineStr">
        <is>
          <t>HUL</t>
        </is>
      </c>
      <c r="C526" t="inlineStr">
        <is>
          <t>DEF</t>
        </is>
      </c>
      <c r="E526" t="n">
        <v>4</v>
      </c>
      <c r="F526" t="b">
        <v>1</v>
      </c>
      <c r="G526" t="b">
        <v>0</v>
      </c>
      <c r="H526" t="n">
        <v>30.9</v>
      </c>
      <c r="I526" t="inlineStr">
        <is>
          <t>a</t>
        </is>
      </c>
      <c r="M526" t="n">
        <v>280</v>
      </c>
      <c r="DO526" t="n">
        <v>0.6</v>
      </c>
      <c r="DP526" t="n">
        <v>81.95</v>
      </c>
      <c r="DQ526" t="n">
        <v>41.09</v>
      </c>
      <c r="DR526" t="n">
        <v>82.18000000000001</v>
      </c>
      <c r="DS526" t="n">
        <v>-0.23</v>
      </c>
      <c r="DT526" t="n">
        <v>2833</v>
      </c>
      <c r="DU526" t="n">
        <v>74.55</v>
      </c>
      <c r="DV526" t="inlineStr">
        <is>
          <t>flat</t>
        </is>
      </c>
      <c r="DW526" t="n">
        <v>107.43</v>
      </c>
      <c r="DY526" t="n">
        <v>96</v>
      </c>
      <c r="DZ526" t="n">
        <v>-11.43</v>
      </c>
      <c r="EA526" t="n">
        <v>2</v>
      </c>
      <c r="EB526" t="n">
        <v>23.64</v>
      </c>
      <c r="EC526" t="n">
        <v>72</v>
      </c>
      <c r="ED526" t="n">
        <v>120</v>
      </c>
      <c r="EE526" t="n">
        <v>4</v>
      </c>
      <c r="EF526" t="b">
        <v>0</v>
      </c>
      <c r="EG526" t="n">
        <v>0.1</v>
      </c>
      <c r="EH526" t="n">
        <v>0</v>
      </c>
      <c r="EI526" t="n">
        <v>557</v>
      </c>
    </row>
    <row r="527">
      <c r="A527" t="inlineStr">
        <is>
          <t>Gustavo Hamer</t>
        </is>
      </c>
      <c r="B527" t="inlineStr">
        <is>
          <t>COV</t>
        </is>
      </c>
      <c r="C527" t="inlineStr">
        <is>
          <t>MID</t>
        </is>
      </c>
      <c r="E527" t="n">
        <v>5.5</v>
      </c>
      <c r="F527" t="b">
        <v>1</v>
      </c>
      <c r="G527" t="b">
        <v>0</v>
      </c>
      <c r="H527" t="n">
        <v>29.2</v>
      </c>
      <c r="I527" t="inlineStr">
        <is>
          <t>a</t>
        </is>
      </c>
      <c r="M527" t="n">
        <v>584</v>
      </c>
      <c r="DO527" t="n">
        <v>0</v>
      </c>
      <c r="DP527" t="n">
        <v>61.25</v>
      </c>
      <c r="DQ527" t="n">
        <v>30.78</v>
      </c>
      <c r="DR527" t="n">
        <v>61.56</v>
      </c>
      <c r="DS527" t="n">
        <v>-0.31</v>
      </c>
      <c r="DT527" t="n">
        <v>1476</v>
      </c>
      <c r="DU527" t="n">
        <v>38.85</v>
      </c>
      <c r="DV527" t="inlineStr">
        <is>
          <t>flat</t>
        </is>
      </c>
      <c r="DW527" t="n">
        <v>85.73999999999999</v>
      </c>
      <c r="DY527" t="n">
        <v>85.73999999999999</v>
      </c>
      <c r="DZ527" t="n">
        <v>0</v>
      </c>
      <c r="EA527" t="n">
        <v>4</v>
      </c>
      <c r="EB527" t="n">
        <v>30.08</v>
      </c>
      <c r="EC527" t="n">
        <v>45.33</v>
      </c>
      <c r="ED527" t="n">
        <v>112</v>
      </c>
      <c r="EE527" t="n">
        <v>4</v>
      </c>
      <c r="EF527" t="b">
        <v>0</v>
      </c>
      <c r="EG527" t="n">
        <v>0.1</v>
      </c>
      <c r="EH527" t="n">
        <v>0</v>
      </c>
      <c r="EI527" t="n">
        <v>221</v>
      </c>
    </row>
    <row r="528">
      <c r="A528" t="inlineStr">
        <is>
          <t>Guido Rodríguez</t>
        </is>
      </c>
      <c r="D528" t="inlineStr">
        <is>
          <t>MID</t>
        </is>
      </c>
      <c r="F528" t="b">
        <v>0</v>
      </c>
      <c r="G528" t="b">
        <v>1</v>
      </c>
      <c r="L528" t="inlineStr">
        <is>
          <t>p197024</t>
        </is>
      </c>
      <c r="Q528" t="n">
        <v>177</v>
      </c>
      <c r="R528" t="n">
        <v>6</v>
      </c>
      <c r="T528" t="n">
        <v>1.967</v>
      </c>
      <c r="U528" t="n">
        <v>29.5</v>
      </c>
      <c r="AD528" t="n">
        <v>0</v>
      </c>
      <c r="AE528" t="n">
        <v>0</v>
      </c>
      <c r="AG528" t="n">
        <v>29</v>
      </c>
      <c r="AH528" t="n">
        <v>-1</v>
      </c>
      <c r="AI528" t="n">
        <v>8</v>
      </c>
      <c r="AN528" t="n">
        <v>0</v>
      </c>
      <c r="AO528" t="n">
        <v>0</v>
      </c>
      <c r="AP528" t="n">
        <v>0</v>
      </c>
      <c r="AQ528" t="n">
        <v>0</v>
      </c>
      <c r="AR528" t="n">
        <v>0</v>
      </c>
      <c r="AS528" t="n">
        <v>0.053</v>
      </c>
      <c r="AT528" t="n">
        <v>0.333</v>
      </c>
      <c r="AU528" t="n">
        <v>6</v>
      </c>
      <c r="AV528" t="n">
        <v>0</v>
      </c>
      <c r="AW528" t="n">
        <v>0.53</v>
      </c>
      <c r="AX528" t="n">
        <v>2</v>
      </c>
      <c r="AZ528" t="n">
        <v>0.024</v>
      </c>
      <c r="BA528" t="n">
        <v>0.024</v>
      </c>
      <c r="BB528" t="n">
        <v>0.024</v>
      </c>
      <c r="BD528" t="n">
        <v>0.012</v>
      </c>
      <c r="BE528" t="n">
        <v>0.012</v>
      </c>
      <c r="BH528" t="n">
        <v>0.97</v>
      </c>
      <c r="BI528" t="n">
        <v>0.25</v>
      </c>
      <c r="BJ528" t="n">
        <v>0.029</v>
      </c>
      <c r="BK528" t="n">
        <v>0.015</v>
      </c>
      <c r="BP528" t="n">
        <v>1</v>
      </c>
      <c r="BX528" t="n">
        <v>0</v>
      </c>
      <c r="BY528" t="n">
        <v>0</v>
      </c>
      <c r="BZ528" t="n">
        <v>0</v>
      </c>
      <c r="CA528" t="n">
        <v>0.024</v>
      </c>
      <c r="CB528" t="n">
        <v>0.012</v>
      </c>
      <c r="CC528" t="n">
        <v>0</v>
      </c>
      <c r="CI528" t="n">
        <v>0.322</v>
      </c>
      <c r="CJ528" t="n">
        <v>0.298</v>
      </c>
      <c r="CO528" t="n">
        <v>2</v>
      </c>
      <c r="CP528" t="n">
        <v>2</v>
      </c>
      <c r="CR528" t="n">
        <v>7</v>
      </c>
      <c r="CS528" t="n">
        <v>2</v>
      </c>
      <c r="DH528" t="n">
        <v>2</v>
      </c>
      <c r="DI528" t="n">
        <v>4</v>
      </c>
      <c r="EJ528" t="n">
        <v>177</v>
      </c>
      <c r="EM528" t="n">
        <v>7299.2</v>
      </c>
      <c r="EO528" t="n">
        <v>7299.2</v>
      </c>
    </row>
    <row r="529">
      <c r="A529" t="inlineStr">
        <is>
          <t>Odsonne Édouard</t>
        </is>
      </c>
      <c r="D529" t="inlineStr">
        <is>
          <t>FWD</t>
        </is>
      </c>
      <c r="F529" t="b">
        <v>0</v>
      </c>
      <c r="G529" t="b">
        <v>1</v>
      </c>
      <c r="L529" t="inlineStr">
        <is>
          <t>p199670</t>
        </is>
      </c>
      <c r="Q529" t="n">
        <v>2</v>
      </c>
      <c r="R529" t="n">
        <v>1</v>
      </c>
      <c r="T529" t="n">
        <v>0.022</v>
      </c>
      <c r="U529" t="n">
        <v>2</v>
      </c>
      <c r="AD529" t="n">
        <v>0</v>
      </c>
      <c r="AE529" t="n">
        <v>0</v>
      </c>
      <c r="AG529" t="n">
        <v>6</v>
      </c>
      <c r="AH529" t="n">
        <v>0</v>
      </c>
      <c r="AI529" t="n">
        <v>1</v>
      </c>
      <c r="AN529" t="n">
        <v>0</v>
      </c>
      <c r="AO529" t="n">
        <v>0</v>
      </c>
      <c r="AS529" t="n">
        <v>0</v>
      </c>
      <c r="AT529" t="n">
        <v>0</v>
      </c>
      <c r="AU529" t="n">
        <v>1</v>
      </c>
      <c r="AV529" t="n">
        <v>0</v>
      </c>
      <c r="AW529" t="n">
        <v>0.16</v>
      </c>
      <c r="AX529" t="n">
        <v>1</v>
      </c>
      <c r="BH529" t="n">
        <v>1.124</v>
      </c>
      <c r="BI529" t="n">
        <v>10.86</v>
      </c>
      <c r="BJ529" t="n">
        <v>0</v>
      </c>
      <c r="BK529" t="n">
        <v>0</v>
      </c>
      <c r="CN529" t="n">
        <v>1</v>
      </c>
      <c r="CR529" t="n">
        <v>2</v>
      </c>
      <c r="DI529" t="n">
        <v>1</v>
      </c>
    </row>
    <row r="530">
      <c r="A530" t="inlineStr">
        <is>
          <t>Xaver Schlager</t>
        </is>
      </c>
      <c r="B530" t="inlineStr">
        <is>
          <t>NFO</t>
        </is>
      </c>
      <c r="C530" t="inlineStr">
        <is>
          <t>MID</t>
        </is>
      </c>
      <c r="E530" t="n">
        <v>5</v>
      </c>
      <c r="F530" t="b">
        <v>1</v>
      </c>
      <c r="G530" t="b">
        <v>0</v>
      </c>
      <c r="H530" t="n">
        <v>28.9</v>
      </c>
      <c r="I530" t="inlineStr">
        <is>
          <t>a</t>
        </is>
      </c>
      <c r="M530" t="n">
        <v>558</v>
      </c>
      <c r="O530" t="n">
        <v>2</v>
      </c>
      <c r="DO530" t="n">
        <v>0.1</v>
      </c>
      <c r="DP530" t="n">
        <v>93.72</v>
      </c>
      <c r="DQ530" t="n">
        <v>46.86</v>
      </c>
      <c r="DR530" t="n">
        <v>93.72</v>
      </c>
      <c r="DS530" t="n">
        <v>0</v>
      </c>
      <c r="DT530" t="n">
        <v>2257</v>
      </c>
      <c r="DU530" t="n">
        <v>59.4</v>
      </c>
      <c r="DV530" t="inlineStr">
        <is>
          <t>flat</t>
        </is>
      </c>
      <c r="DW530" t="n">
        <v>89.92</v>
      </c>
      <c r="DX530" t="n">
        <v>71</v>
      </c>
      <c r="DY530" t="n">
        <v>104.43</v>
      </c>
      <c r="DZ530" t="n">
        <v>14.5</v>
      </c>
      <c r="EA530" t="n">
        <v>3</v>
      </c>
      <c r="EB530" t="n">
        <v>25.91</v>
      </c>
      <c r="EC530" t="n">
        <v>47</v>
      </c>
      <c r="ED530" t="n">
        <v>115.43</v>
      </c>
      <c r="EE530" t="n">
        <v>5</v>
      </c>
      <c r="EF530" t="b">
        <v>0</v>
      </c>
      <c r="EG530" t="n">
        <v>0.1</v>
      </c>
      <c r="EH530" t="n">
        <v>28.6</v>
      </c>
      <c r="EI530" t="n">
        <v>375</v>
      </c>
    </row>
    <row r="531">
      <c r="A531" t="inlineStr">
        <is>
          <t>Donyell Malen</t>
        </is>
      </c>
      <c r="D531" t="inlineStr">
        <is>
          <t>MID</t>
        </is>
      </c>
      <c r="F531" t="b">
        <v>0</v>
      </c>
      <c r="G531" t="b">
        <v>1</v>
      </c>
      <c r="L531" t="inlineStr">
        <is>
          <t>p204646</t>
        </is>
      </c>
      <c r="Q531" t="n">
        <v>645</v>
      </c>
      <c r="R531" t="n">
        <v>21</v>
      </c>
      <c r="T531" t="n">
        <v>7.167</v>
      </c>
      <c r="U531" t="n">
        <v>30.7</v>
      </c>
      <c r="Z531" t="n">
        <v>1</v>
      </c>
      <c r="AD531" t="n">
        <v>3</v>
      </c>
      <c r="AE531" t="n">
        <v>0</v>
      </c>
      <c r="AG531" t="n">
        <v>161</v>
      </c>
      <c r="AH531" t="n">
        <v>0</v>
      </c>
      <c r="AI531" t="n">
        <v>55</v>
      </c>
      <c r="AN531" t="n">
        <v>0</v>
      </c>
      <c r="AO531" t="n">
        <v>0</v>
      </c>
      <c r="AP531" t="n">
        <v>0</v>
      </c>
      <c r="AQ531" t="n">
        <v>0</v>
      </c>
      <c r="AR531" t="n">
        <v>0</v>
      </c>
      <c r="AS531" t="n">
        <v>0.132</v>
      </c>
      <c r="AT531" t="n">
        <v>0.19</v>
      </c>
      <c r="AU531" t="n">
        <v>15</v>
      </c>
      <c r="AV531" t="n">
        <v>1</v>
      </c>
      <c r="AW531" t="n">
        <v>2.75</v>
      </c>
      <c r="AX531" t="n">
        <v>15</v>
      </c>
      <c r="AZ531" t="n">
        <v>4.739</v>
      </c>
      <c r="BA531" t="n">
        <v>4.739</v>
      </c>
      <c r="BB531" t="n">
        <v>4.739</v>
      </c>
      <c r="BD531" t="n">
        <v>0.661</v>
      </c>
      <c r="BE531" t="n">
        <v>0.661</v>
      </c>
      <c r="BF531" t="n">
        <v>2.9</v>
      </c>
      <c r="BG531" t="n">
        <v>0.405</v>
      </c>
      <c r="BH531" t="n">
        <v>1.008</v>
      </c>
      <c r="BI531" t="n">
        <v>6.18</v>
      </c>
      <c r="BJ531" t="n">
        <v>4.064</v>
      </c>
      <c r="BK531" t="n">
        <v>0.5669999999999999</v>
      </c>
      <c r="BP531" t="n">
        <v>27</v>
      </c>
      <c r="BQ531" t="n">
        <v>9</v>
      </c>
      <c r="BR531" t="n">
        <v>5</v>
      </c>
      <c r="BS531" t="n">
        <v>48</v>
      </c>
      <c r="BT531" t="n">
        <v>6.698</v>
      </c>
      <c r="BX531" t="n">
        <v>0.369</v>
      </c>
      <c r="BY531" t="n">
        <v>0.369</v>
      </c>
      <c r="BZ531" t="n">
        <v>0.052</v>
      </c>
      <c r="CA531" t="n">
        <v>5.108</v>
      </c>
      <c r="CB531" t="n">
        <v>0.713</v>
      </c>
      <c r="CC531" t="n">
        <v>7</v>
      </c>
      <c r="CE531" t="n">
        <v>7</v>
      </c>
      <c r="CF531" t="n">
        <v>2</v>
      </c>
      <c r="CH531" t="n">
        <v>3</v>
      </c>
      <c r="CI531" t="n">
        <v>6.388</v>
      </c>
      <c r="CJ531" t="n">
        <v>1.917</v>
      </c>
      <c r="CN531" t="n">
        <v>3</v>
      </c>
      <c r="CP531" t="n">
        <v>2</v>
      </c>
      <c r="CR531" t="n">
        <v>21</v>
      </c>
      <c r="CS531" t="n">
        <v>3</v>
      </c>
      <c r="CT531" t="n">
        <v>0.1</v>
      </c>
      <c r="DH531" t="n">
        <v>2</v>
      </c>
      <c r="DI531" t="n">
        <v>6</v>
      </c>
      <c r="DL531" t="n">
        <v>8</v>
      </c>
      <c r="DM531" t="n">
        <v>13</v>
      </c>
      <c r="DN531" t="n">
        <v>1</v>
      </c>
      <c r="EJ531" t="n">
        <v>23.9</v>
      </c>
      <c r="EK531" t="n">
        <v>13.4</v>
      </c>
      <c r="EL531" t="n">
        <v>92.09999999999999</v>
      </c>
      <c r="EM531" t="n">
        <v>136.1</v>
      </c>
      <c r="EN531" t="n">
        <v>1746.2</v>
      </c>
      <c r="EO531" t="n">
        <v>126.3</v>
      </c>
    </row>
    <row r="532">
      <c r="A532" t="inlineStr">
        <is>
          <t>Ibrahima Konaté</t>
        </is>
      </c>
      <c r="D532" t="inlineStr">
        <is>
          <t>DEF</t>
        </is>
      </c>
      <c r="F532" t="b">
        <v>0</v>
      </c>
      <c r="G532" t="b">
        <v>1</v>
      </c>
      <c r="L532" t="inlineStr">
        <is>
          <t>p204716</t>
        </is>
      </c>
      <c r="Q532" t="n">
        <v>3100</v>
      </c>
      <c r="R532" t="n">
        <v>36</v>
      </c>
      <c r="T532" t="n">
        <v>34.444</v>
      </c>
      <c r="U532" t="n">
        <v>86.09999999999999</v>
      </c>
      <c r="AD532" t="n">
        <v>6</v>
      </c>
      <c r="AE532" t="n">
        <v>-2</v>
      </c>
      <c r="AG532" t="n">
        <v>489</v>
      </c>
      <c r="AH532" t="n">
        <v>-43</v>
      </c>
      <c r="AI532" t="n">
        <v>127</v>
      </c>
      <c r="AN532" t="n">
        <v>13</v>
      </c>
      <c r="AO532" t="n">
        <v>26</v>
      </c>
      <c r="AP532" t="n">
        <v>0.361</v>
      </c>
      <c r="AQ532" t="n">
        <v>0.361</v>
      </c>
      <c r="AR532" t="n">
        <v>0.194</v>
      </c>
      <c r="AS532" t="n">
        <v>0.947</v>
      </c>
      <c r="AT532" t="n">
        <v>0.944</v>
      </c>
      <c r="AU532" t="n">
        <v>18</v>
      </c>
      <c r="AV532" t="n">
        <v>1</v>
      </c>
      <c r="AW532" t="n">
        <v>3.19</v>
      </c>
      <c r="AX532" t="n">
        <v>11</v>
      </c>
      <c r="AZ532" t="n">
        <v>1.959</v>
      </c>
      <c r="BA532" t="n">
        <v>1.959</v>
      </c>
      <c r="BB532" t="n">
        <v>1.959</v>
      </c>
      <c r="BD532" t="n">
        <v>0.057</v>
      </c>
      <c r="BE532" t="n">
        <v>0.057</v>
      </c>
      <c r="BF532" t="n">
        <v>1.2</v>
      </c>
      <c r="BG532" t="n">
        <v>0.035</v>
      </c>
      <c r="BH532" t="n">
        <v>0.853</v>
      </c>
      <c r="BI532" t="n">
        <v>4.9</v>
      </c>
      <c r="BJ532" t="n">
        <v>1.015</v>
      </c>
      <c r="BK532" t="n">
        <v>0.029</v>
      </c>
      <c r="BP532" t="n">
        <v>12</v>
      </c>
      <c r="BQ532" t="n">
        <v>4</v>
      </c>
      <c r="BR532" t="n">
        <v>2</v>
      </c>
      <c r="BS532" t="n">
        <v>19</v>
      </c>
      <c r="BT532" t="n">
        <v>0.552</v>
      </c>
      <c r="BX532" t="n">
        <v>0.725</v>
      </c>
      <c r="BY532" t="n">
        <v>0.725</v>
      </c>
      <c r="BZ532" t="n">
        <v>0.021</v>
      </c>
      <c r="CA532" t="n">
        <v>2.684</v>
      </c>
      <c r="CB532" t="n">
        <v>0.078</v>
      </c>
      <c r="CC532" t="n">
        <v>8</v>
      </c>
      <c r="CD532" t="n">
        <v>2</v>
      </c>
      <c r="CE532" t="n">
        <v>8</v>
      </c>
      <c r="CF532" t="n">
        <v>1</v>
      </c>
      <c r="CG532" t="n">
        <v>3</v>
      </c>
      <c r="CI532" t="n">
        <v>11.116</v>
      </c>
      <c r="CJ532" t="n">
        <v>10.798</v>
      </c>
      <c r="CN532" t="n">
        <v>28</v>
      </c>
      <c r="CO532" t="n">
        <v>29</v>
      </c>
      <c r="CP532" t="n">
        <v>190</v>
      </c>
      <c r="CQ532" t="n">
        <v>24</v>
      </c>
      <c r="CR532" t="n">
        <v>220</v>
      </c>
      <c r="CS532" t="n">
        <v>124</v>
      </c>
      <c r="CT532" t="n">
        <v>0</v>
      </c>
      <c r="CV532" t="n">
        <v>3</v>
      </c>
      <c r="DE532" t="n">
        <v>7.11</v>
      </c>
      <c r="DH532" t="n">
        <v>33</v>
      </c>
      <c r="DI532" t="n">
        <v>41</v>
      </c>
      <c r="DK532" t="n">
        <v>1</v>
      </c>
      <c r="DL532" t="n">
        <v>5</v>
      </c>
      <c r="DM532" t="n">
        <v>5</v>
      </c>
      <c r="EJ532" t="n">
        <v>258.3</v>
      </c>
      <c r="EK532" t="n">
        <v>163.2</v>
      </c>
      <c r="EL532" t="n">
        <v>387.5</v>
      </c>
      <c r="EM532" t="n">
        <v>1582.7</v>
      </c>
      <c r="EN532" t="n">
        <v>4274.2</v>
      </c>
      <c r="EO532" t="n">
        <v>1155</v>
      </c>
    </row>
    <row r="533">
      <c r="A533" t="inlineStr">
        <is>
          <t>Joel Latibeaudiere</t>
        </is>
      </c>
      <c r="B533" t="inlineStr">
        <is>
          <t>COV</t>
        </is>
      </c>
      <c r="C533" t="inlineStr">
        <is>
          <t>DEF</t>
        </is>
      </c>
      <c r="E533" t="n">
        <v>4</v>
      </c>
      <c r="F533" t="b">
        <v>1</v>
      </c>
      <c r="G533" t="b">
        <v>0</v>
      </c>
      <c r="H533" t="n">
        <v>26.6</v>
      </c>
      <c r="I533" t="inlineStr">
        <is>
          <t>a</t>
        </is>
      </c>
      <c r="M533" t="n">
        <v>179</v>
      </c>
      <c r="DO533" t="n">
        <v>0.1</v>
      </c>
      <c r="DP533" t="n">
        <v>7.58</v>
      </c>
      <c r="DQ533" t="n">
        <v>3.8</v>
      </c>
      <c r="DR533" t="n">
        <v>7.6</v>
      </c>
      <c r="DS533" t="n">
        <v>-0.02</v>
      </c>
      <c r="DT533" t="n">
        <v>30</v>
      </c>
      <c r="DU533" t="n">
        <v>0.8</v>
      </c>
      <c r="DV533" t="inlineStr">
        <is>
          <t>flat</t>
        </is>
      </c>
      <c r="DW533" t="n">
        <v>90.19</v>
      </c>
      <c r="DY533" t="n">
        <v>89.70999999999999</v>
      </c>
      <c r="DZ533" t="n">
        <v>-0.48</v>
      </c>
      <c r="EA533" t="n">
        <v>1</v>
      </c>
      <c r="EB533" t="n">
        <v>0.67</v>
      </c>
      <c r="EC533" t="n">
        <v>89.70999999999999</v>
      </c>
      <c r="ED533" t="n">
        <v>90.67</v>
      </c>
      <c r="EE533" t="n">
        <v>2</v>
      </c>
      <c r="EF533" t="b">
        <v>0</v>
      </c>
      <c r="EG533" t="n">
        <v>0</v>
      </c>
      <c r="EH533" t="n">
        <v>0</v>
      </c>
      <c r="EI533" t="n">
        <v>544</v>
      </c>
    </row>
    <row r="534">
      <c r="A534" t="inlineStr">
        <is>
          <t>Oleksandr Zinchenko</t>
        </is>
      </c>
      <c r="D534" t="inlineStr">
        <is>
          <t>DEF</t>
        </is>
      </c>
      <c r="F534" t="b">
        <v>0</v>
      </c>
      <c r="G534" t="b">
        <v>1</v>
      </c>
      <c r="L534" t="inlineStr">
        <is>
          <t>p206325</t>
        </is>
      </c>
      <c r="Q534" t="n">
        <v>353</v>
      </c>
      <c r="R534" t="n">
        <v>5</v>
      </c>
      <c r="T534" t="n">
        <v>3.922</v>
      </c>
      <c r="U534" t="n">
        <v>70.59999999999999</v>
      </c>
      <c r="AD534" t="n">
        <v>0</v>
      </c>
      <c r="AE534" t="n">
        <v>0</v>
      </c>
      <c r="AG534" t="n">
        <v>53</v>
      </c>
      <c r="AH534" t="n">
        <v>-3</v>
      </c>
      <c r="AI534" t="n">
        <v>7</v>
      </c>
      <c r="AN534" t="n">
        <v>0</v>
      </c>
      <c r="AO534" t="n">
        <v>0</v>
      </c>
      <c r="AP534" t="n">
        <v>0</v>
      </c>
      <c r="AQ534" t="n">
        <v>0</v>
      </c>
      <c r="AR534" t="n">
        <v>0</v>
      </c>
      <c r="AS534" t="n">
        <v>0.105</v>
      </c>
      <c r="AT534" t="n">
        <v>0.8</v>
      </c>
      <c r="AU534" t="n">
        <v>5</v>
      </c>
      <c r="AV534" t="n">
        <v>0</v>
      </c>
      <c r="AW534" t="n">
        <v>0.51</v>
      </c>
      <c r="AX534" t="n">
        <v>2</v>
      </c>
      <c r="AZ534" t="n">
        <v>0.077</v>
      </c>
      <c r="BA534" t="n">
        <v>0.077</v>
      </c>
      <c r="BB534" t="n">
        <v>0.077</v>
      </c>
      <c r="BD534" t="n">
        <v>0.02</v>
      </c>
      <c r="BE534" t="n">
        <v>0.02</v>
      </c>
      <c r="BF534" t="n">
        <v>0.1</v>
      </c>
      <c r="BG534" t="n">
        <v>0.025</v>
      </c>
      <c r="BH534" t="n">
        <v>0.996</v>
      </c>
      <c r="BI534" t="n">
        <v>2.64</v>
      </c>
      <c r="BJ534" t="n">
        <v>0.07000000000000001</v>
      </c>
      <c r="BK534" t="n">
        <v>0.018</v>
      </c>
      <c r="BP534" t="n">
        <v>4</v>
      </c>
      <c r="BQ534" t="n">
        <v>2</v>
      </c>
      <c r="BS534" t="n">
        <v>2</v>
      </c>
      <c r="BT534" t="n">
        <v>0.51</v>
      </c>
      <c r="BX534" t="n">
        <v>0.451</v>
      </c>
      <c r="BY534" t="n">
        <v>0.451</v>
      </c>
      <c r="BZ534" t="n">
        <v>0.115</v>
      </c>
      <c r="CA534" t="n">
        <v>0.527</v>
      </c>
      <c r="CB534" t="n">
        <v>0.134</v>
      </c>
      <c r="CC534" t="n">
        <v>5</v>
      </c>
      <c r="CD534" t="n">
        <v>1</v>
      </c>
      <c r="CE534" t="n">
        <v>5</v>
      </c>
      <c r="CF534" t="n">
        <v>1</v>
      </c>
      <c r="CG534" t="n">
        <v>1</v>
      </c>
      <c r="CH534" t="n">
        <v>2</v>
      </c>
      <c r="CI534" t="n">
        <v>1.777</v>
      </c>
      <c r="CJ534" t="n">
        <v>1.637</v>
      </c>
      <c r="CN534" t="n">
        <v>6</v>
      </c>
      <c r="CO534" t="n">
        <v>2</v>
      </c>
      <c r="CP534" t="n">
        <v>11</v>
      </c>
      <c r="CQ534" t="n">
        <v>1</v>
      </c>
      <c r="CR534" t="n">
        <v>16</v>
      </c>
      <c r="CS534" t="n">
        <v>4</v>
      </c>
      <c r="DH534" t="n">
        <v>1</v>
      </c>
      <c r="DI534" t="n">
        <v>2</v>
      </c>
      <c r="DL534" t="n">
        <v>1</v>
      </c>
      <c r="DM534" t="n">
        <v>1</v>
      </c>
      <c r="DN534" t="n">
        <v>1</v>
      </c>
      <c r="EJ534" t="n">
        <v>88.2</v>
      </c>
      <c r="EK534" t="n">
        <v>176.5</v>
      </c>
      <c r="EL534" t="n">
        <v>70.59999999999999</v>
      </c>
      <c r="EM534" t="n">
        <v>4601.9</v>
      </c>
      <c r="EN534" t="n">
        <v>783.1</v>
      </c>
      <c r="EO534" t="n">
        <v>669.2</v>
      </c>
    </row>
    <row r="535">
      <c r="A535" t="inlineStr">
        <is>
          <t>Abdülkadir Ömür</t>
        </is>
      </c>
      <c r="B535" t="inlineStr">
        <is>
          <t>HUL</t>
        </is>
      </c>
      <c r="C535" t="inlineStr">
        <is>
          <t>MID</t>
        </is>
      </c>
      <c r="E535" t="n">
        <v>5</v>
      </c>
      <c r="F535" t="b">
        <v>1</v>
      </c>
      <c r="G535" t="b">
        <v>0</v>
      </c>
      <c r="H535" t="n">
        <v>27.2</v>
      </c>
      <c r="I535" t="inlineStr">
        <is>
          <t>a</t>
        </is>
      </c>
      <c r="M535" t="n">
        <v>292</v>
      </c>
      <c r="DO535" t="n">
        <v>0</v>
      </c>
      <c r="DP535" t="n">
        <v>35.18</v>
      </c>
      <c r="DQ535" t="n">
        <v>17.69</v>
      </c>
      <c r="DR535" t="n">
        <v>35.38</v>
      </c>
      <c r="DS535" t="n">
        <v>-0.2</v>
      </c>
      <c r="DT535" t="n">
        <v>675</v>
      </c>
      <c r="DU535" t="n">
        <v>17.76</v>
      </c>
      <c r="DV535" t="inlineStr">
        <is>
          <t>flat</t>
        </is>
      </c>
      <c r="DW535" t="n">
        <v>78.89</v>
      </c>
      <c r="DY535" t="n">
        <v>102.67</v>
      </c>
      <c r="DZ535" t="n">
        <v>23.78</v>
      </c>
      <c r="EA535" t="n">
        <v>1</v>
      </c>
      <c r="EB535" t="n">
        <v>33.63</v>
      </c>
      <c r="EC535" t="n">
        <v>55.11</v>
      </c>
      <c r="ED535" t="n">
        <v>102.67</v>
      </c>
      <c r="EE535" t="n">
        <v>2</v>
      </c>
      <c r="EF535" t="b">
        <v>0</v>
      </c>
      <c r="EG535" t="n">
        <v>0</v>
      </c>
      <c r="EH535" t="n">
        <v>0</v>
      </c>
      <c r="EI535" t="n">
        <v>353</v>
      </c>
    </row>
    <row r="536">
      <c r="A536" t="inlineStr">
        <is>
          <t>Joe Worrall</t>
        </is>
      </c>
      <c r="D536" t="inlineStr">
        <is>
          <t>DEF</t>
        </is>
      </c>
      <c r="F536" t="b">
        <v>0</v>
      </c>
      <c r="G536" t="b">
        <v>1</v>
      </c>
      <c r="L536" t="inlineStr">
        <is>
          <t>p208912</t>
        </is>
      </c>
      <c r="Q536" t="n">
        <v>497</v>
      </c>
      <c r="R536" t="n">
        <v>11</v>
      </c>
      <c r="T536" t="n">
        <v>5.522</v>
      </c>
      <c r="U536" t="n">
        <v>45.2</v>
      </c>
      <c r="Z536" t="n">
        <v>0</v>
      </c>
      <c r="AD536" t="n">
        <v>0</v>
      </c>
      <c r="AE536" t="n">
        <v>0</v>
      </c>
      <c r="AG536" t="n">
        <v>27</v>
      </c>
      <c r="AH536" t="n">
        <v>-13</v>
      </c>
      <c r="AI536" t="n">
        <v>20</v>
      </c>
      <c r="AN536" t="n">
        <v>4</v>
      </c>
      <c r="AO536" t="n">
        <v>8</v>
      </c>
      <c r="AP536" t="n">
        <v>0.8</v>
      </c>
      <c r="AQ536" t="n">
        <v>0.8</v>
      </c>
      <c r="AR536" t="n">
        <v>0.4</v>
      </c>
      <c r="AS536" t="n">
        <v>0.132</v>
      </c>
      <c r="AT536" t="n">
        <v>0.364</v>
      </c>
      <c r="AU536" t="n">
        <v>8</v>
      </c>
      <c r="AV536" t="n">
        <v>0</v>
      </c>
      <c r="AW536" t="n">
        <v>1.01</v>
      </c>
      <c r="AX536" t="n">
        <v>4</v>
      </c>
      <c r="AZ536" t="n">
        <v>0.038</v>
      </c>
      <c r="BA536" t="n">
        <v>0.038</v>
      </c>
      <c r="BB536" t="n">
        <v>0.038</v>
      </c>
      <c r="BD536" t="n">
        <v>0.007</v>
      </c>
      <c r="BE536" t="n">
        <v>0.007</v>
      </c>
      <c r="BH536" t="n">
        <v>0.974</v>
      </c>
      <c r="BI536" t="n">
        <v>1.03</v>
      </c>
      <c r="BJ536" t="n">
        <v>0.078</v>
      </c>
      <c r="BK536" t="n">
        <v>0.014</v>
      </c>
      <c r="BP536" t="n">
        <v>1</v>
      </c>
      <c r="BS536" t="n">
        <v>7</v>
      </c>
      <c r="BT536" t="n">
        <v>1.268</v>
      </c>
      <c r="BX536" t="n">
        <v>0</v>
      </c>
      <c r="BY536" t="n">
        <v>0</v>
      </c>
      <c r="BZ536" t="n">
        <v>0</v>
      </c>
      <c r="CA536" t="n">
        <v>0.038</v>
      </c>
      <c r="CB536" t="n">
        <v>0.007</v>
      </c>
      <c r="CC536" t="n">
        <v>0</v>
      </c>
      <c r="CD536" t="n">
        <v>0</v>
      </c>
      <c r="CE536" t="n">
        <v>0</v>
      </c>
      <c r="CI536" t="n">
        <v>0.545</v>
      </c>
      <c r="CJ536" t="n">
        <v>0.506</v>
      </c>
      <c r="CN536" t="n">
        <v>3</v>
      </c>
      <c r="CO536" t="n">
        <v>5</v>
      </c>
      <c r="CP536" t="n">
        <v>60</v>
      </c>
      <c r="CQ536" t="n">
        <v>7</v>
      </c>
      <c r="CR536" t="n">
        <v>25</v>
      </c>
      <c r="CS536" t="n">
        <v>21</v>
      </c>
      <c r="DH536" t="n">
        <v>4</v>
      </c>
      <c r="DI536" t="n">
        <v>1</v>
      </c>
      <c r="EJ536" t="n">
        <v>497</v>
      </c>
      <c r="EK536" t="n">
        <v>71</v>
      </c>
      <c r="EM536" t="n">
        <v>13044.6</v>
      </c>
      <c r="EO536" t="n">
        <v>13044.6</v>
      </c>
    </row>
    <row r="537">
      <c r="A537" t="inlineStr">
        <is>
          <t>Angel Gomes</t>
        </is>
      </c>
      <c r="D537" t="inlineStr">
        <is>
          <t>MID</t>
        </is>
      </c>
      <c r="F537" t="b">
        <v>0</v>
      </c>
      <c r="G537" t="b">
        <v>1</v>
      </c>
      <c r="L537" t="inlineStr">
        <is>
          <t>p209041</t>
        </is>
      </c>
      <c r="Q537" t="n">
        <v>464</v>
      </c>
      <c r="R537" t="n">
        <v>12</v>
      </c>
      <c r="T537" t="n">
        <v>5.156</v>
      </c>
      <c r="U537" t="n">
        <v>38.7</v>
      </c>
      <c r="AD537" t="n">
        <v>0</v>
      </c>
      <c r="AE537" t="n">
        <v>0</v>
      </c>
      <c r="AG537" t="n">
        <v>76</v>
      </c>
      <c r="AH537" t="n">
        <v>-2</v>
      </c>
      <c r="AI537" t="n">
        <v>16</v>
      </c>
      <c r="AN537" t="n">
        <v>0</v>
      </c>
      <c r="AO537" t="n">
        <v>0</v>
      </c>
      <c r="AP537" t="n">
        <v>0</v>
      </c>
      <c r="AQ537" t="n">
        <v>0.143</v>
      </c>
      <c r="AR537" t="n">
        <v>0</v>
      </c>
      <c r="AS537" t="n">
        <v>0.184</v>
      </c>
      <c r="AT537" t="n">
        <v>0.333</v>
      </c>
      <c r="AU537" t="n">
        <v>11</v>
      </c>
      <c r="AV537" t="n">
        <v>0</v>
      </c>
      <c r="AW537" t="n">
        <v>0.86</v>
      </c>
      <c r="AX537" t="n">
        <v>3</v>
      </c>
      <c r="AZ537" t="n">
        <v>0.193</v>
      </c>
      <c r="BA537" t="n">
        <v>0.193</v>
      </c>
      <c r="BB537" t="n">
        <v>0.193</v>
      </c>
      <c r="BD537" t="n">
        <v>0.038</v>
      </c>
      <c r="BE537" t="n">
        <v>0.038</v>
      </c>
      <c r="BF537" t="n">
        <v>0.2</v>
      </c>
      <c r="BG537" t="n">
        <v>0.039</v>
      </c>
      <c r="BH537" t="n">
        <v>0.994</v>
      </c>
      <c r="BI537" t="n">
        <v>0.25</v>
      </c>
      <c r="BJ537" t="n">
        <v>0.248</v>
      </c>
      <c r="BK537" t="n">
        <v>0.048</v>
      </c>
      <c r="BP537" t="n">
        <v>6</v>
      </c>
      <c r="BQ537" t="n">
        <v>2</v>
      </c>
      <c r="BS537" t="n">
        <v>5</v>
      </c>
      <c r="BT537" t="n">
        <v>0.97</v>
      </c>
      <c r="BX537" t="n">
        <v>0.299</v>
      </c>
      <c r="BY537" t="n">
        <v>0.299</v>
      </c>
      <c r="BZ537" t="n">
        <v>0.058</v>
      </c>
      <c r="CA537" t="n">
        <v>0.493</v>
      </c>
      <c r="CB537" t="n">
        <v>0.096</v>
      </c>
      <c r="CC537" t="n">
        <v>6</v>
      </c>
      <c r="CE537" t="n">
        <v>6</v>
      </c>
      <c r="CF537" t="n">
        <v>2</v>
      </c>
      <c r="CH537" t="n">
        <v>3</v>
      </c>
      <c r="CI537" t="n">
        <v>1.675</v>
      </c>
      <c r="CJ537" t="n">
        <v>1.359</v>
      </c>
      <c r="CN537" t="n">
        <v>6</v>
      </c>
      <c r="CO537" t="n">
        <v>0</v>
      </c>
      <c r="CP537" t="n">
        <v>4</v>
      </c>
      <c r="CQ537" t="n">
        <v>2</v>
      </c>
      <c r="CR537" t="n">
        <v>25</v>
      </c>
      <c r="CS537" t="n">
        <v>2</v>
      </c>
      <c r="DH537" t="n">
        <v>7</v>
      </c>
      <c r="DI537" t="n">
        <v>9</v>
      </c>
      <c r="DL537" t="n">
        <v>4</v>
      </c>
      <c r="DM537" t="n">
        <v>4</v>
      </c>
      <c r="EJ537" t="n">
        <v>77.3</v>
      </c>
      <c r="EK537" t="n">
        <v>92.8</v>
      </c>
      <c r="EL537" t="n">
        <v>77.3</v>
      </c>
      <c r="EM537" t="n">
        <v>2399.2</v>
      </c>
      <c r="EN537" t="n">
        <v>1550.8</v>
      </c>
      <c r="EO537" t="n">
        <v>941.9</v>
      </c>
    </row>
    <row r="538">
      <c r="A538" t="inlineStr">
        <is>
          <t>Jadon Sancho</t>
        </is>
      </c>
      <c r="D538" t="inlineStr">
        <is>
          <t>MID</t>
        </is>
      </c>
      <c r="F538" t="b">
        <v>0</v>
      </c>
      <c r="G538" t="b">
        <v>1</v>
      </c>
      <c r="L538" t="inlineStr">
        <is>
          <t>p209243</t>
        </is>
      </c>
      <c r="Q538" t="n">
        <v>873</v>
      </c>
      <c r="R538" t="n">
        <v>23</v>
      </c>
      <c r="T538" t="n">
        <v>9.699999999999999</v>
      </c>
      <c r="U538" t="n">
        <v>38</v>
      </c>
      <c r="Z538" t="n">
        <v>2</v>
      </c>
      <c r="AD538" t="n">
        <v>0</v>
      </c>
      <c r="AE538" t="n">
        <v>0</v>
      </c>
      <c r="AG538" t="n">
        <v>138</v>
      </c>
      <c r="AH538" t="n">
        <v>-3</v>
      </c>
      <c r="AI538" t="n">
        <v>37</v>
      </c>
      <c r="AN538" t="n">
        <v>0</v>
      </c>
      <c r="AO538" t="n">
        <v>0</v>
      </c>
      <c r="AP538" t="n">
        <v>0</v>
      </c>
      <c r="AQ538" t="n">
        <v>0</v>
      </c>
      <c r="AR538" t="n">
        <v>0</v>
      </c>
      <c r="AS538" t="n">
        <v>0.237</v>
      </c>
      <c r="AT538" t="n">
        <v>0.261</v>
      </c>
      <c r="AU538" t="n">
        <v>20</v>
      </c>
      <c r="AV538" t="n">
        <v>0</v>
      </c>
      <c r="AW538" t="n">
        <v>1.3</v>
      </c>
      <c r="AX538" t="n">
        <v>6</v>
      </c>
      <c r="AZ538" t="n">
        <v>0.769</v>
      </c>
      <c r="BA538" t="n">
        <v>0.769</v>
      </c>
      <c r="BB538" t="n">
        <v>0.769</v>
      </c>
      <c r="BD538" t="n">
        <v>0.079</v>
      </c>
      <c r="BE538" t="n">
        <v>0.079</v>
      </c>
      <c r="BF538" t="n">
        <v>0.5</v>
      </c>
      <c r="BG538" t="n">
        <v>0.052</v>
      </c>
      <c r="BH538" t="n">
        <v>1.077</v>
      </c>
      <c r="BI538" t="n">
        <v>6.76</v>
      </c>
      <c r="BJ538" t="n">
        <v>0.657</v>
      </c>
      <c r="BK538" t="n">
        <v>0.068</v>
      </c>
      <c r="BP538" t="n">
        <v>10</v>
      </c>
      <c r="BQ538" t="n">
        <v>3</v>
      </c>
      <c r="BR538" t="n">
        <v>1</v>
      </c>
      <c r="BS538" t="n">
        <v>56</v>
      </c>
      <c r="BT538" t="n">
        <v>5.773</v>
      </c>
      <c r="BX538" t="n">
        <v>2.052</v>
      </c>
      <c r="BY538" t="n">
        <v>2.052</v>
      </c>
      <c r="BZ538" t="n">
        <v>0.212</v>
      </c>
      <c r="CA538" t="n">
        <v>2.821</v>
      </c>
      <c r="CB538" t="n">
        <v>0.291</v>
      </c>
      <c r="CC538" t="n">
        <v>21</v>
      </c>
      <c r="CD538" t="n">
        <v>3</v>
      </c>
      <c r="CE538" t="n">
        <v>21</v>
      </c>
      <c r="CF538" t="n">
        <v>3</v>
      </c>
      <c r="CH538" t="n">
        <v>5</v>
      </c>
      <c r="CI538" t="n">
        <v>5.169</v>
      </c>
      <c r="CJ538" t="n">
        <v>3.22</v>
      </c>
      <c r="CN538" t="n">
        <v>3</v>
      </c>
      <c r="CO538" t="n">
        <v>2</v>
      </c>
      <c r="CP538" t="n">
        <v>9</v>
      </c>
      <c r="CR538" t="n">
        <v>28</v>
      </c>
      <c r="CS538" t="n">
        <v>3</v>
      </c>
      <c r="CT538" t="n">
        <v>0.3</v>
      </c>
      <c r="CU538" t="n">
        <v>1</v>
      </c>
      <c r="CV538" t="n">
        <v>1</v>
      </c>
      <c r="DE538" t="n">
        <v>6.52</v>
      </c>
      <c r="DH538" t="n">
        <v>3</v>
      </c>
      <c r="DI538" t="n">
        <v>2</v>
      </c>
      <c r="DL538" t="n">
        <v>16</v>
      </c>
      <c r="DM538" t="n">
        <v>9</v>
      </c>
      <c r="DN538" t="n">
        <v>3</v>
      </c>
      <c r="EJ538" t="n">
        <v>87.3</v>
      </c>
      <c r="EK538" t="n">
        <v>15.6</v>
      </c>
      <c r="EL538" t="n">
        <v>41.6</v>
      </c>
      <c r="EM538" t="n">
        <v>1135.4</v>
      </c>
      <c r="EN538" t="n">
        <v>425.4</v>
      </c>
      <c r="EO538" t="n">
        <v>309.5</v>
      </c>
    </row>
    <row r="539">
      <c r="A539" t="inlineStr">
        <is>
          <t>Nayef Aguerd</t>
        </is>
      </c>
      <c r="D539" t="inlineStr">
        <is>
          <t>DEF</t>
        </is>
      </c>
      <c r="F539" t="b">
        <v>0</v>
      </c>
      <c r="G539" t="b">
        <v>1</v>
      </c>
      <c r="L539" t="inlineStr">
        <is>
          <t>p210494</t>
        </is>
      </c>
      <c r="Q539" t="n">
        <v>180</v>
      </c>
      <c r="R539" t="n">
        <v>2</v>
      </c>
      <c r="T539" t="n">
        <v>2</v>
      </c>
      <c r="U539" t="n">
        <v>90</v>
      </c>
      <c r="AD539" t="n">
        <v>0</v>
      </c>
      <c r="AE539" t="n">
        <v>0</v>
      </c>
      <c r="AG539" t="n">
        <v>-4</v>
      </c>
      <c r="AH539" t="n">
        <v>-3</v>
      </c>
      <c r="AI539" t="n">
        <v>3</v>
      </c>
      <c r="AN539" t="n">
        <v>1</v>
      </c>
      <c r="AO539" t="n">
        <v>2</v>
      </c>
      <c r="AP539" t="n">
        <v>0.5</v>
      </c>
      <c r="AQ539" t="n">
        <v>0.5</v>
      </c>
      <c r="AR539" t="n">
        <v>0.5</v>
      </c>
      <c r="AS539" t="n">
        <v>0.053</v>
      </c>
      <c r="AT539" t="n">
        <v>1</v>
      </c>
      <c r="AU539" t="n">
        <v>2</v>
      </c>
      <c r="AV539" t="n">
        <v>0</v>
      </c>
      <c r="AW539" t="n">
        <v>0.36</v>
      </c>
      <c r="AX539" t="n">
        <v>2</v>
      </c>
      <c r="AZ539" t="n">
        <v>0.089</v>
      </c>
      <c r="BA539" t="n">
        <v>0.089</v>
      </c>
      <c r="BB539" t="n">
        <v>0.089</v>
      </c>
      <c r="BD539" t="n">
        <v>0.044</v>
      </c>
      <c r="BE539" t="n">
        <v>0.044</v>
      </c>
      <c r="BH539" t="n">
        <v>0.906</v>
      </c>
      <c r="BI539" t="n">
        <v>3.7</v>
      </c>
      <c r="BJ539" t="n">
        <v>0.091</v>
      </c>
      <c r="BK539" t="n">
        <v>0.046</v>
      </c>
      <c r="BP539" t="n">
        <v>2</v>
      </c>
      <c r="BS539" t="n">
        <v>2</v>
      </c>
      <c r="BT539" t="n">
        <v>1</v>
      </c>
      <c r="BX539" t="n">
        <v>0</v>
      </c>
      <c r="BY539" t="n">
        <v>0</v>
      </c>
      <c r="BZ539" t="n">
        <v>0</v>
      </c>
      <c r="CA539" t="n">
        <v>0.089</v>
      </c>
      <c r="CB539" t="n">
        <v>0.044</v>
      </c>
      <c r="CC539" t="n">
        <v>0</v>
      </c>
      <c r="CI539" t="n">
        <v>0.138</v>
      </c>
      <c r="CJ539" t="n">
        <v>0.138</v>
      </c>
      <c r="CO539" t="n">
        <v>1</v>
      </c>
      <c r="CP539" t="n">
        <v>11</v>
      </c>
      <c r="CQ539" t="n">
        <v>2</v>
      </c>
      <c r="CR539" t="n">
        <v>7</v>
      </c>
      <c r="CS539" t="n">
        <v>4</v>
      </c>
      <c r="DI539" t="n">
        <v>1</v>
      </c>
      <c r="DL539" t="n">
        <v>1</v>
      </c>
      <c r="EJ539" t="n">
        <v>90</v>
      </c>
      <c r="EK539" t="n">
        <v>90</v>
      </c>
      <c r="EM539" t="n">
        <v>2032.1</v>
      </c>
      <c r="EO539" t="n">
        <v>2032.1</v>
      </c>
    </row>
    <row r="540">
      <c r="A540" t="inlineStr">
        <is>
          <t>David Akintola</t>
        </is>
      </c>
      <c r="B540" t="inlineStr">
        <is>
          <t>HUL</t>
        </is>
      </c>
      <c r="C540" t="inlineStr">
        <is>
          <t>MID</t>
        </is>
      </c>
      <c r="E540" t="n">
        <v>5</v>
      </c>
      <c r="F540" t="b">
        <v>1</v>
      </c>
      <c r="G540" t="b">
        <v>0</v>
      </c>
      <c r="H540" t="n">
        <v>30.6</v>
      </c>
      <c r="I540" t="inlineStr">
        <is>
          <t>a</t>
        </is>
      </c>
      <c r="M540" t="n">
        <v>296</v>
      </c>
      <c r="DO540" t="n">
        <v>0</v>
      </c>
      <c r="DP540" t="n">
        <v>22.59</v>
      </c>
      <c r="DQ540" t="n">
        <v>11.37</v>
      </c>
      <c r="DR540" t="n">
        <v>22.74</v>
      </c>
      <c r="DS540" t="n">
        <v>-0.15</v>
      </c>
      <c r="DT540" t="n">
        <v>281</v>
      </c>
      <c r="DU540" t="n">
        <v>7.4</v>
      </c>
      <c r="DV540" t="inlineStr">
        <is>
          <t>flat</t>
        </is>
      </c>
    </row>
    <row r="541">
      <c r="A541" t="inlineStr">
        <is>
          <t>Maximilian Kilman</t>
        </is>
      </c>
      <c r="D541" t="inlineStr">
        <is>
          <t>DEF</t>
        </is>
      </c>
      <c r="F541" t="b">
        <v>0</v>
      </c>
      <c r="G541" t="b">
        <v>1</v>
      </c>
      <c r="L541" t="inlineStr">
        <is>
          <t>p214048</t>
        </is>
      </c>
      <c r="Q541" t="n">
        <v>1559</v>
      </c>
      <c r="R541" t="n">
        <v>21</v>
      </c>
      <c r="T541" t="n">
        <v>17.322</v>
      </c>
      <c r="U541" t="n">
        <v>74.2</v>
      </c>
      <c r="AD541" t="n">
        <v>0</v>
      </c>
      <c r="AE541" t="n">
        <v>0</v>
      </c>
      <c r="AG541" t="n">
        <v>56</v>
      </c>
      <c r="AH541" t="n">
        <v>-24</v>
      </c>
      <c r="AI541" t="n">
        <v>36</v>
      </c>
      <c r="AN541" t="n">
        <v>6</v>
      </c>
      <c r="AO541" t="n">
        <v>12</v>
      </c>
      <c r="AP541" t="n">
        <v>0.353</v>
      </c>
      <c r="AQ541" t="n">
        <v>0.353</v>
      </c>
      <c r="AR541" t="n">
        <v>0.176</v>
      </c>
      <c r="AS541" t="n">
        <v>0.447</v>
      </c>
      <c r="AT541" t="n">
        <v>0.8100000000000001</v>
      </c>
      <c r="AU541" t="n">
        <v>15</v>
      </c>
      <c r="AV541" t="n">
        <v>0</v>
      </c>
      <c r="AW541" t="n">
        <v>1.45</v>
      </c>
      <c r="AX541" t="n">
        <v>6</v>
      </c>
      <c r="AZ541" t="n">
        <v>1.167</v>
      </c>
      <c r="BA541" t="n">
        <v>1.167</v>
      </c>
      <c r="BB541" t="n">
        <v>1.167</v>
      </c>
      <c r="BD541" t="n">
        <v>0.067</v>
      </c>
      <c r="BE541" t="n">
        <v>0.067</v>
      </c>
      <c r="BF541" t="n">
        <v>0.1</v>
      </c>
      <c r="BG541" t="n">
        <v>0.006</v>
      </c>
      <c r="BH541" t="n">
        <v>0.856</v>
      </c>
      <c r="BI541" t="n">
        <v>5.2</v>
      </c>
      <c r="BJ541" t="n">
        <v>0.479</v>
      </c>
      <c r="BK541" t="n">
        <v>0.028</v>
      </c>
      <c r="BP541" t="n">
        <v>7</v>
      </c>
      <c r="BQ541" t="n">
        <v>1</v>
      </c>
      <c r="BR541" t="n">
        <v>2</v>
      </c>
      <c r="BS541" t="n">
        <v>13</v>
      </c>
      <c r="BT541" t="n">
        <v>0.75</v>
      </c>
      <c r="BX541" t="n">
        <v>0.208</v>
      </c>
      <c r="BY541" t="n">
        <v>0.208</v>
      </c>
      <c r="BZ541" t="n">
        <v>0.012</v>
      </c>
      <c r="CA541" t="n">
        <v>1.375</v>
      </c>
      <c r="CB541" t="n">
        <v>0.079</v>
      </c>
      <c r="CC541" t="n">
        <v>4</v>
      </c>
      <c r="CE541" t="n">
        <v>4</v>
      </c>
      <c r="CF541" t="n">
        <v>1</v>
      </c>
      <c r="CI541" t="n">
        <v>1.234</v>
      </c>
      <c r="CJ541" t="n">
        <v>1.128</v>
      </c>
      <c r="CN541" t="n">
        <v>8</v>
      </c>
      <c r="CO541" t="n">
        <v>9</v>
      </c>
      <c r="CP541" t="n">
        <v>111</v>
      </c>
      <c r="CQ541" t="n">
        <v>24</v>
      </c>
      <c r="CR541" t="n">
        <v>69</v>
      </c>
      <c r="CS541" t="n">
        <v>47</v>
      </c>
      <c r="DH541" t="n">
        <v>16</v>
      </c>
      <c r="DI541" t="n">
        <v>2</v>
      </c>
      <c r="DK541" t="n">
        <v>2</v>
      </c>
      <c r="DL541" t="n">
        <v>4</v>
      </c>
      <c r="DM541" t="n">
        <v>5</v>
      </c>
      <c r="EJ541" t="n">
        <v>222.7</v>
      </c>
      <c r="EK541" t="n">
        <v>119.9</v>
      </c>
      <c r="EL541" t="n">
        <v>389.8</v>
      </c>
      <c r="EM541" t="n">
        <v>1335.8</v>
      </c>
      <c r="EN541" t="n">
        <v>7505.7</v>
      </c>
      <c r="EO541" t="n">
        <v>1134</v>
      </c>
    </row>
    <row r="542">
      <c r="A542" t="inlineStr">
        <is>
          <t>Aaron Wan-Bissaka</t>
        </is>
      </c>
      <c r="D542" t="inlineStr">
        <is>
          <t>DEF</t>
        </is>
      </c>
      <c r="F542" t="b">
        <v>0</v>
      </c>
      <c r="G542" t="b">
        <v>1</v>
      </c>
      <c r="L542" t="inlineStr">
        <is>
          <t>p214590</t>
        </is>
      </c>
      <c r="Q542" t="n">
        <v>2084</v>
      </c>
      <c r="R542" t="n">
        <v>25</v>
      </c>
      <c r="T542" t="n">
        <v>23.156</v>
      </c>
      <c r="U542" t="n">
        <v>83.40000000000001</v>
      </c>
      <c r="Z542" t="n">
        <v>2</v>
      </c>
      <c r="AD542" t="n">
        <v>0</v>
      </c>
      <c r="AE542" t="n">
        <v>0</v>
      </c>
      <c r="AG542" t="n">
        <v>178</v>
      </c>
      <c r="AH542" t="n">
        <v>-25</v>
      </c>
      <c r="AI542" t="n">
        <v>67</v>
      </c>
      <c r="AN542" t="n">
        <v>8</v>
      </c>
      <c r="AO542" t="n">
        <v>16</v>
      </c>
      <c r="AP542" t="n">
        <v>0.348</v>
      </c>
      <c r="AQ542" t="n">
        <v>0.348</v>
      </c>
      <c r="AR542" t="n">
        <v>0.13</v>
      </c>
      <c r="AS542" t="n">
        <v>0.605</v>
      </c>
      <c r="AT542" t="n">
        <v>0.92</v>
      </c>
      <c r="AU542" t="n">
        <v>16</v>
      </c>
      <c r="AV542" t="n">
        <v>0</v>
      </c>
      <c r="AW542" t="n">
        <v>2.36</v>
      </c>
      <c r="AX542" t="n">
        <v>8</v>
      </c>
      <c r="AZ542" t="n">
        <v>0</v>
      </c>
      <c r="BA542" t="n">
        <v>0</v>
      </c>
      <c r="BB542" t="n">
        <v>0</v>
      </c>
      <c r="BD542" t="n">
        <v>0</v>
      </c>
      <c r="BE542" t="n">
        <v>0</v>
      </c>
      <c r="BH542" t="n">
        <v>0.878</v>
      </c>
      <c r="BI542" t="n">
        <v>2.48</v>
      </c>
      <c r="BJ542" t="n">
        <v>0</v>
      </c>
      <c r="BK542" t="n">
        <v>0</v>
      </c>
      <c r="BS542" t="n">
        <v>15</v>
      </c>
      <c r="BT542" t="n">
        <v>0.648</v>
      </c>
      <c r="BX542" t="n">
        <v>1.429</v>
      </c>
      <c r="BY542" t="n">
        <v>1.429</v>
      </c>
      <c r="BZ542" t="n">
        <v>0.062</v>
      </c>
      <c r="CA542" t="n">
        <v>1.429</v>
      </c>
      <c r="CB542" t="n">
        <v>0.062</v>
      </c>
      <c r="CC542" t="n">
        <v>18</v>
      </c>
      <c r="CD542" t="n">
        <v>2</v>
      </c>
      <c r="CE542" t="n">
        <v>18</v>
      </c>
      <c r="CF542" t="n">
        <v>16</v>
      </c>
      <c r="CI542" t="n">
        <v>3.828</v>
      </c>
      <c r="CJ542" t="n">
        <v>3.086</v>
      </c>
      <c r="CN542" t="n">
        <v>23</v>
      </c>
      <c r="CO542" t="n">
        <v>40</v>
      </c>
      <c r="CP542" t="n">
        <v>94</v>
      </c>
      <c r="CQ542" t="n">
        <v>7</v>
      </c>
      <c r="CR542" t="n">
        <v>83</v>
      </c>
      <c r="CS542" t="n">
        <v>22</v>
      </c>
      <c r="CT542" t="n">
        <v>0.1</v>
      </c>
      <c r="CV542" t="n">
        <v>3</v>
      </c>
      <c r="DE542" t="n">
        <v>6.8</v>
      </c>
      <c r="DH542" t="n">
        <v>23</v>
      </c>
      <c r="DI542" t="n">
        <v>12</v>
      </c>
      <c r="DL542" t="n">
        <v>16</v>
      </c>
      <c r="DM542" t="n">
        <v>15</v>
      </c>
      <c r="DN542" t="n">
        <v>1</v>
      </c>
      <c r="EK542" t="n">
        <v>138.9</v>
      </c>
      <c r="EL542" t="n">
        <v>115.8</v>
      </c>
      <c r="EN542" t="n">
        <v>1458.4</v>
      </c>
      <c r="EO542" t="n">
        <v>1458.4</v>
      </c>
    </row>
    <row r="543">
      <c r="A543" t="inlineStr">
        <is>
          <t>Tomás Soucek</t>
        </is>
      </c>
      <c r="D543" t="inlineStr">
        <is>
          <t>MID</t>
        </is>
      </c>
      <c r="F543" t="b">
        <v>0</v>
      </c>
      <c r="G543" t="b">
        <v>1</v>
      </c>
      <c r="L543" t="inlineStr">
        <is>
          <t>p215439</t>
        </is>
      </c>
      <c r="Q543" t="n">
        <v>2198</v>
      </c>
      <c r="R543" t="n">
        <v>35</v>
      </c>
      <c r="T543" t="n">
        <v>24.422</v>
      </c>
      <c r="U543" t="n">
        <v>62.8</v>
      </c>
      <c r="AD543" t="n">
        <v>9</v>
      </c>
      <c r="AE543" t="n">
        <v>0</v>
      </c>
      <c r="AG543" t="n">
        <v>406</v>
      </c>
      <c r="AH543" t="n">
        <v>-22</v>
      </c>
      <c r="AI543" t="n">
        <v>103</v>
      </c>
      <c r="AN543" t="n">
        <v>2</v>
      </c>
      <c r="AO543" t="n">
        <v>4</v>
      </c>
      <c r="AP543" t="n">
        <v>0.083</v>
      </c>
      <c r="AQ543" t="n">
        <v>0.292</v>
      </c>
      <c r="AR543" t="n">
        <v>0.083</v>
      </c>
      <c r="AS543" t="n">
        <v>0.632</v>
      </c>
      <c r="AT543" t="n">
        <v>0.657</v>
      </c>
      <c r="AU543" t="n">
        <v>21</v>
      </c>
      <c r="AV543" t="n">
        <v>2</v>
      </c>
      <c r="AW543" t="n">
        <v>2.85</v>
      </c>
      <c r="AX543" t="n">
        <v>12</v>
      </c>
      <c r="AZ543" t="n">
        <v>5.214</v>
      </c>
      <c r="BA543" t="n">
        <v>5.214</v>
      </c>
      <c r="BB543" t="n">
        <v>5.214</v>
      </c>
      <c r="BD543" t="n">
        <v>0.214</v>
      </c>
      <c r="BE543" t="n">
        <v>0.214</v>
      </c>
      <c r="BF543" t="n">
        <v>7</v>
      </c>
      <c r="BG543" t="n">
        <v>0.287</v>
      </c>
      <c r="BH543" t="n">
        <v>1.099</v>
      </c>
      <c r="BI543" t="n">
        <v>23.04</v>
      </c>
      <c r="BJ543" t="n">
        <v>6.295</v>
      </c>
      <c r="BK543" t="n">
        <v>0.258</v>
      </c>
      <c r="BP543" t="n">
        <v>26</v>
      </c>
      <c r="BQ543" t="n">
        <v>14</v>
      </c>
      <c r="BR543" t="n">
        <v>4</v>
      </c>
      <c r="BS543" t="n">
        <v>57</v>
      </c>
      <c r="BT543" t="n">
        <v>2.334</v>
      </c>
      <c r="BV543" t="n">
        <v>1</v>
      </c>
      <c r="BX543" t="n">
        <v>0.822</v>
      </c>
      <c r="BY543" t="n">
        <v>0.822</v>
      </c>
      <c r="BZ543" t="n">
        <v>0.034</v>
      </c>
      <c r="CA543" t="n">
        <v>6.036</v>
      </c>
      <c r="CB543" t="n">
        <v>0.247</v>
      </c>
      <c r="CC543" t="n">
        <v>11</v>
      </c>
      <c r="CD543" t="n">
        <v>1</v>
      </c>
      <c r="CE543" t="n">
        <v>11</v>
      </c>
      <c r="CF543" t="n">
        <v>0</v>
      </c>
      <c r="CI543" t="n">
        <v>7.26</v>
      </c>
      <c r="CJ543" t="n">
        <v>4.539</v>
      </c>
      <c r="CN543" t="n">
        <v>24</v>
      </c>
      <c r="CO543" t="n">
        <v>16</v>
      </c>
      <c r="CP543" t="n">
        <v>83</v>
      </c>
      <c r="CQ543" t="n">
        <v>15</v>
      </c>
      <c r="CR543" t="n">
        <v>136</v>
      </c>
      <c r="CS543" t="n">
        <v>68</v>
      </c>
      <c r="CT543" t="n">
        <v>0.1</v>
      </c>
      <c r="DE543" t="n">
        <v>6.88</v>
      </c>
      <c r="DH543" t="n">
        <v>37</v>
      </c>
      <c r="DI543" t="n">
        <v>22</v>
      </c>
      <c r="DL543" t="n">
        <v>4</v>
      </c>
      <c r="DM543" t="n">
        <v>8</v>
      </c>
      <c r="DN543" t="n">
        <v>5</v>
      </c>
      <c r="EJ543" t="n">
        <v>84.5</v>
      </c>
      <c r="EK543" t="n">
        <v>38.6</v>
      </c>
      <c r="EL543" t="n">
        <v>199.8</v>
      </c>
      <c r="EM543" t="n">
        <v>421.5</v>
      </c>
      <c r="EN543" t="n">
        <v>2674.6</v>
      </c>
      <c r="EO543" t="n">
        <v>364.1</v>
      </c>
    </row>
    <row r="544">
      <c r="A544" t="inlineStr">
        <is>
          <t>Dara O'Shea</t>
        </is>
      </c>
      <c r="B544" t="inlineStr">
        <is>
          <t>IPS</t>
        </is>
      </c>
      <c r="C544" t="inlineStr">
        <is>
          <t>DEF</t>
        </is>
      </c>
      <c r="E544" t="n">
        <v>4</v>
      </c>
      <c r="F544" t="b">
        <v>1</v>
      </c>
      <c r="G544" t="b">
        <v>0</v>
      </c>
      <c r="H544" t="n">
        <v>27.5</v>
      </c>
      <c r="I544" t="inlineStr">
        <is>
          <t>a</t>
        </is>
      </c>
      <c r="M544" t="n">
        <v>304</v>
      </c>
      <c r="DO544" t="n">
        <v>2.7</v>
      </c>
      <c r="DP544" t="n">
        <v>117.26</v>
      </c>
      <c r="DQ544" t="n">
        <v>58.63</v>
      </c>
      <c r="DR544" t="n">
        <v>117.26</v>
      </c>
      <c r="DS544" t="n">
        <v>0</v>
      </c>
      <c r="DT544" t="n">
        <v>3232</v>
      </c>
      <c r="DU544" t="n">
        <v>85.05</v>
      </c>
      <c r="DV544" t="inlineStr">
        <is>
          <t>flat</t>
        </is>
      </c>
      <c r="DW544" t="n">
        <v>98.69</v>
      </c>
      <c r="DX544" t="n">
        <v>85</v>
      </c>
      <c r="DY544" t="n">
        <v>106.22</v>
      </c>
      <c r="DZ544" t="n">
        <v>7.53</v>
      </c>
      <c r="EA544" t="n">
        <v>17</v>
      </c>
      <c r="EB544" t="n">
        <v>24.36</v>
      </c>
      <c r="EC544" t="n">
        <v>17</v>
      </c>
      <c r="ED544" t="n">
        <v>119.33</v>
      </c>
      <c r="EE544" t="n">
        <v>25</v>
      </c>
      <c r="EF544" t="b">
        <v>1</v>
      </c>
      <c r="EG544" t="n">
        <v>0.7</v>
      </c>
      <c r="EH544" t="n">
        <v>21.9</v>
      </c>
      <c r="EI544" t="n">
        <v>566</v>
      </c>
    </row>
    <row r="545">
      <c r="A545" t="inlineStr">
        <is>
          <t>Samuel Chukwueze</t>
        </is>
      </c>
      <c r="D545" t="inlineStr">
        <is>
          <t>MID</t>
        </is>
      </c>
      <c r="F545" t="b">
        <v>0</v>
      </c>
      <c r="G545" t="b">
        <v>1</v>
      </c>
      <c r="L545" t="inlineStr">
        <is>
          <t>p218328</t>
        </is>
      </c>
      <c r="Q545" t="n">
        <v>1075</v>
      </c>
      <c r="R545" t="n">
        <v>23</v>
      </c>
      <c r="T545" t="n">
        <v>11.944</v>
      </c>
      <c r="U545" t="n">
        <v>46.7</v>
      </c>
      <c r="Z545" t="n">
        <v>4</v>
      </c>
      <c r="AD545" t="n">
        <v>2</v>
      </c>
      <c r="AE545" t="n">
        <v>1</v>
      </c>
      <c r="AG545" t="n">
        <v>239</v>
      </c>
      <c r="AH545" t="n">
        <v>-3</v>
      </c>
      <c r="AI545" t="n">
        <v>63</v>
      </c>
      <c r="AN545" t="n">
        <v>0</v>
      </c>
      <c r="AO545" t="n">
        <v>0</v>
      </c>
      <c r="AP545" t="n">
        <v>0</v>
      </c>
      <c r="AQ545" t="n">
        <v>0</v>
      </c>
      <c r="AR545" t="n">
        <v>0</v>
      </c>
      <c r="AS545" t="n">
        <v>0.263</v>
      </c>
      <c r="AT545" t="n">
        <v>0.391</v>
      </c>
      <c r="AU545" t="n">
        <v>15</v>
      </c>
      <c r="AV545" t="n">
        <v>1</v>
      </c>
      <c r="AW545" t="n">
        <v>2.43</v>
      </c>
      <c r="AX545" t="n">
        <v>12</v>
      </c>
      <c r="AZ545" t="n">
        <v>2.333</v>
      </c>
      <c r="BA545" t="n">
        <v>2.333</v>
      </c>
      <c r="BB545" t="n">
        <v>2.333</v>
      </c>
      <c r="BD545" t="n">
        <v>0.195</v>
      </c>
      <c r="BE545" t="n">
        <v>0.195</v>
      </c>
      <c r="BF545" t="n">
        <v>3.1</v>
      </c>
      <c r="BG545" t="n">
        <v>0.26</v>
      </c>
      <c r="BH545" t="n">
        <v>1.099</v>
      </c>
      <c r="BI545" t="n">
        <v>2.1</v>
      </c>
      <c r="BJ545" t="n">
        <v>2.308</v>
      </c>
      <c r="BK545" t="n">
        <v>0.193</v>
      </c>
      <c r="BP545" t="n">
        <v>25</v>
      </c>
      <c r="BQ545" t="n">
        <v>7</v>
      </c>
      <c r="BR545" t="n">
        <v>2</v>
      </c>
      <c r="BS545" t="n">
        <v>56</v>
      </c>
      <c r="BT545" t="n">
        <v>4.688</v>
      </c>
      <c r="BX545" t="n">
        <v>2.836</v>
      </c>
      <c r="BY545" t="n">
        <v>2.836</v>
      </c>
      <c r="BZ545" t="n">
        <v>0.237</v>
      </c>
      <c r="CA545" t="n">
        <v>5.169</v>
      </c>
      <c r="CB545" t="n">
        <v>0.433</v>
      </c>
      <c r="CC545" t="n">
        <v>24</v>
      </c>
      <c r="CD545" t="n">
        <v>4</v>
      </c>
      <c r="CE545" t="n">
        <v>24</v>
      </c>
      <c r="CF545" t="n">
        <v>8</v>
      </c>
      <c r="CG545" t="n">
        <v>3</v>
      </c>
      <c r="CH545" t="n">
        <v>1</v>
      </c>
      <c r="CI545" t="n">
        <v>7.105</v>
      </c>
      <c r="CJ545" t="n">
        <v>2.852</v>
      </c>
      <c r="CN545" t="n">
        <v>4</v>
      </c>
      <c r="CO545" t="n">
        <v>7</v>
      </c>
      <c r="CP545" t="n">
        <v>10</v>
      </c>
      <c r="CQ545" t="n">
        <v>1</v>
      </c>
      <c r="CR545" t="n">
        <v>43</v>
      </c>
      <c r="CS545" t="n">
        <v>7</v>
      </c>
      <c r="CT545" t="n">
        <v>0.8</v>
      </c>
      <c r="CV545" t="n">
        <v>2</v>
      </c>
      <c r="DE545" t="n">
        <v>6.78</v>
      </c>
      <c r="DH545" t="n">
        <v>5</v>
      </c>
      <c r="DI545" t="n">
        <v>12</v>
      </c>
      <c r="DL545" t="n">
        <v>18</v>
      </c>
      <c r="DM545" t="n">
        <v>15</v>
      </c>
      <c r="DN545" t="n">
        <v>3</v>
      </c>
      <c r="EJ545" t="n">
        <v>43</v>
      </c>
      <c r="EK545" t="n">
        <v>19.2</v>
      </c>
      <c r="EL545" t="n">
        <v>44.8</v>
      </c>
      <c r="EM545" t="n">
        <v>460.7</v>
      </c>
      <c r="EN545" t="n">
        <v>379.1</v>
      </c>
      <c r="EO545" t="n">
        <v>208</v>
      </c>
    </row>
    <row r="546">
      <c r="A546" t="inlineStr">
        <is>
          <t>Ellis Simms</t>
        </is>
      </c>
      <c r="B546" t="inlineStr">
        <is>
          <t>COV</t>
        </is>
      </c>
      <c r="C546" t="inlineStr">
        <is>
          <t>FWD</t>
        </is>
      </c>
      <c r="E546" t="n">
        <v>5</v>
      </c>
      <c r="F546" t="b">
        <v>1</v>
      </c>
      <c r="G546" t="b">
        <v>0</v>
      </c>
      <c r="H546" t="n">
        <v>25.6</v>
      </c>
      <c r="I546" t="inlineStr">
        <is>
          <t>a</t>
        </is>
      </c>
      <c r="M546" t="n">
        <v>195</v>
      </c>
      <c r="DO546" t="n">
        <v>0.6</v>
      </c>
      <c r="DP546" t="n">
        <v>52.25</v>
      </c>
      <c r="DQ546" t="n">
        <v>30.22</v>
      </c>
      <c r="DR546" t="n">
        <v>60.44</v>
      </c>
      <c r="DS546" t="n">
        <v>-8.19</v>
      </c>
      <c r="DT546" t="n">
        <v>744</v>
      </c>
      <c r="DU546" t="n">
        <v>19.59</v>
      </c>
      <c r="DV546" t="inlineStr">
        <is>
          <t>fade (losing his place)</t>
        </is>
      </c>
      <c r="DW546" t="n">
        <v>98.64</v>
      </c>
      <c r="DX546" t="n">
        <v>97.59</v>
      </c>
      <c r="DY546" t="n">
        <v>99.01000000000001</v>
      </c>
      <c r="DZ546" t="n">
        <v>0.37</v>
      </c>
      <c r="EA546" t="n">
        <v>111</v>
      </c>
      <c r="EB546" t="n">
        <v>18.51</v>
      </c>
      <c r="EC546" t="n">
        <v>19.56</v>
      </c>
      <c r="ED546" t="n">
        <v>120</v>
      </c>
      <c r="EE546" t="n">
        <v>153</v>
      </c>
      <c r="EF546" t="b">
        <v>1</v>
      </c>
      <c r="EG546" t="n">
        <v>3.6</v>
      </c>
      <c r="EH546" t="n">
        <v>12.1</v>
      </c>
      <c r="EI546" t="n">
        <v>345</v>
      </c>
    </row>
    <row r="547">
      <c r="A547" t="inlineStr">
        <is>
          <t>Luke Woolfenden</t>
        </is>
      </c>
      <c r="B547" t="inlineStr">
        <is>
          <t>COV</t>
        </is>
      </c>
      <c r="C547" t="inlineStr">
        <is>
          <t>DEF</t>
        </is>
      </c>
      <c r="E547" t="n">
        <v>4</v>
      </c>
      <c r="F547" t="b">
        <v>1</v>
      </c>
      <c r="G547" t="b">
        <v>0</v>
      </c>
      <c r="H547" t="n">
        <v>27.8</v>
      </c>
      <c r="I547" t="inlineStr">
        <is>
          <t>a</t>
        </is>
      </c>
      <c r="M547" t="n">
        <v>180</v>
      </c>
      <c r="DO547" t="n">
        <v>0.2</v>
      </c>
      <c r="DP547" t="n">
        <v>15.23</v>
      </c>
      <c r="DQ547" t="n">
        <v>7.62</v>
      </c>
      <c r="DR547" t="n">
        <v>15.24</v>
      </c>
      <c r="DS547" t="n">
        <v>-0.01</v>
      </c>
      <c r="DT547" t="n">
        <v>270</v>
      </c>
      <c r="DU547" t="n">
        <v>7.11</v>
      </c>
      <c r="DV547" t="inlineStr">
        <is>
          <t>flat</t>
        </is>
      </c>
      <c r="DW547" t="n">
        <v>105.33</v>
      </c>
      <c r="DY547" t="n">
        <v>105.33</v>
      </c>
      <c r="DZ547" t="n">
        <v>0</v>
      </c>
      <c r="EA547" t="n">
        <v>1</v>
      </c>
      <c r="EC547" t="n">
        <v>105.33</v>
      </c>
      <c r="ED547" t="n">
        <v>105.33</v>
      </c>
      <c r="EE547" t="n">
        <v>1</v>
      </c>
      <c r="EF547" t="b">
        <v>0</v>
      </c>
      <c r="EG547" t="n">
        <v>0</v>
      </c>
      <c r="EH547" t="n">
        <v>0</v>
      </c>
      <c r="EI547" t="n">
        <v>545</v>
      </c>
    </row>
    <row r="548">
      <c r="A548" t="inlineStr">
        <is>
          <t>Ben Johnson</t>
        </is>
      </c>
      <c r="B548" t="inlineStr">
        <is>
          <t>IPS</t>
        </is>
      </c>
      <c r="C548" t="inlineStr">
        <is>
          <t>DEF</t>
        </is>
      </c>
      <c r="E548" t="n">
        <v>4</v>
      </c>
      <c r="F548" t="b">
        <v>1</v>
      </c>
      <c r="G548" t="b">
        <v>0</v>
      </c>
      <c r="H548" t="n">
        <v>26.6</v>
      </c>
      <c r="I548" t="inlineStr">
        <is>
          <t>a</t>
        </is>
      </c>
      <c r="M548" t="n">
        <v>307</v>
      </c>
      <c r="DO548" t="n">
        <v>0.1</v>
      </c>
      <c r="DP548" t="n">
        <v>18.81</v>
      </c>
      <c r="DQ548" t="n">
        <v>9.41</v>
      </c>
      <c r="DR548" t="n">
        <v>18.82</v>
      </c>
      <c r="DS548" t="n">
        <v>-0.01</v>
      </c>
      <c r="DT548" t="n">
        <v>382</v>
      </c>
      <c r="DU548" t="n">
        <v>10.05</v>
      </c>
      <c r="DV548" t="inlineStr">
        <is>
          <t>flat</t>
        </is>
      </c>
      <c r="DW548" t="n">
        <v>59.52</v>
      </c>
      <c r="DY548" t="n">
        <v>90.67</v>
      </c>
      <c r="DZ548" t="n">
        <v>31.15</v>
      </c>
      <c r="EA548" t="n">
        <v>1</v>
      </c>
      <c r="EB548" t="n">
        <v>44.05</v>
      </c>
      <c r="EC548" t="n">
        <v>28.36</v>
      </c>
      <c r="ED548" t="n">
        <v>90.67</v>
      </c>
      <c r="EE548" t="n">
        <v>2</v>
      </c>
      <c r="EF548" t="b">
        <v>0</v>
      </c>
      <c r="EG548" t="n">
        <v>0.1</v>
      </c>
      <c r="EH548" t="n">
        <v>33.3</v>
      </c>
      <c r="EI548" t="n">
        <v>569</v>
      </c>
    </row>
    <row r="549">
      <c r="A549" t="inlineStr">
        <is>
          <t>George Hirst</t>
        </is>
      </c>
      <c r="B549" t="inlineStr">
        <is>
          <t>IPS</t>
        </is>
      </c>
      <c r="C549" t="inlineStr">
        <is>
          <t>FWD</t>
        </is>
      </c>
      <c r="E549" t="n">
        <v>5</v>
      </c>
      <c r="F549" t="b">
        <v>1</v>
      </c>
      <c r="G549" t="b">
        <v>0</v>
      </c>
      <c r="H549" t="n">
        <v>27.5</v>
      </c>
      <c r="I549" t="inlineStr">
        <is>
          <t>a</t>
        </is>
      </c>
      <c r="M549" t="n">
        <v>317</v>
      </c>
      <c r="N549" t="n">
        <v>3</v>
      </c>
      <c r="DO549" t="n">
        <v>0.4</v>
      </c>
      <c r="DP549" t="n">
        <v>47.58</v>
      </c>
      <c r="DQ549" t="n">
        <v>23.79</v>
      </c>
      <c r="DR549" t="n">
        <v>47.58</v>
      </c>
      <c r="DS549" t="n">
        <v>0</v>
      </c>
      <c r="DT549" t="n">
        <v>448</v>
      </c>
      <c r="DU549" t="n">
        <v>11.79</v>
      </c>
      <c r="DV549" t="inlineStr">
        <is>
          <t>flat</t>
        </is>
      </c>
      <c r="DW549" t="n">
        <v>97.70999999999999</v>
      </c>
      <c r="DX549" t="n">
        <v>98</v>
      </c>
      <c r="DY549" t="n">
        <v>98.93000000000001</v>
      </c>
      <c r="DZ549" t="n">
        <v>1.22</v>
      </c>
      <c r="EA549" t="n">
        <v>33</v>
      </c>
      <c r="EB549" t="n">
        <v>18.53</v>
      </c>
      <c r="EC549" t="n">
        <v>5.33</v>
      </c>
      <c r="ED549" t="n">
        <v>118.5</v>
      </c>
      <c r="EE549" t="n">
        <v>56</v>
      </c>
      <c r="EF549" t="b">
        <v>1</v>
      </c>
      <c r="EG549" t="n">
        <v>1.4</v>
      </c>
      <c r="EH549" t="n">
        <v>15.2</v>
      </c>
      <c r="EI549" t="n">
        <v>360</v>
      </c>
    </row>
    <row r="550">
      <c r="A550" t="inlineStr">
        <is>
          <t>Tyrell Malacia</t>
        </is>
      </c>
      <c r="D550" t="inlineStr">
        <is>
          <t>DEF</t>
        </is>
      </c>
      <c r="F550" t="b">
        <v>0</v>
      </c>
      <c r="G550" t="b">
        <v>1</v>
      </c>
      <c r="L550" t="inlineStr">
        <is>
          <t>p222690</t>
        </is>
      </c>
      <c r="Q550" t="n">
        <v>15</v>
      </c>
      <c r="R550" t="n">
        <v>3</v>
      </c>
      <c r="T550" t="n">
        <v>0.167</v>
      </c>
      <c r="U550" t="n">
        <v>5</v>
      </c>
      <c r="AD550" t="n">
        <v>0</v>
      </c>
      <c r="AE550" t="n">
        <v>0</v>
      </c>
      <c r="AG550" t="n">
        <v>6</v>
      </c>
      <c r="AH550" t="n">
        <v>0</v>
      </c>
      <c r="AI550" t="n">
        <v>3</v>
      </c>
      <c r="AN550" t="n">
        <v>0</v>
      </c>
      <c r="AO550" t="n">
        <v>0</v>
      </c>
      <c r="AS550" t="n">
        <v>0</v>
      </c>
      <c r="AT550" t="n">
        <v>0</v>
      </c>
      <c r="AU550" t="n">
        <v>3</v>
      </c>
      <c r="AV550" t="n">
        <v>0</v>
      </c>
      <c r="AW550" t="n">
        <v>0.27</v>
      </c>
      <c r="AX550" t="n">
        <v>1</v>
      </c>
      <c r="BH550" t="n">
        <v>0.984</v>
      </c>
      <c r="BI550" t="n">
        <v>0.23</v>
      </c>
      <c r="BJ550" t="n">
        <v>0</v>
      </c>
      <c r="BK550" t="n">
        <v>0</v>
      </c>
      <c r="CN550" t="n">
        <v>1</v>
      </c>
      <c r="CP550" t="n">
        <v>1</v>
      </c>
      <c r="CR550" t="n">
        <v>3</v>
      </c>
      <c r="DM550" t="n">
        <v>1</v>
      </c>
    </row>
    <row r="551">
      <c r="A551" t="inlineStr">
        <is>
          <t>Dan Neil</t>
        </is>
      </c>
      <c r="D551" t="inlineStr">
        <is>
          <t>MID</t>
        </is>
      </c>
      <c r="F551" t="b">
        <v>0</v>
      </c>
      <c r="G551" t="b">
        <v>1</v>
      </c>
      <c r="L551" t="inlineStr">
        <is>
          <t>p223336</t>
        </is>
      </c>
      <c r="Q551" t="n">
        <v>13</v>
      </c>
      <c r="R551" t="n">
        <v>3</v>
      </c>
      <c r="T551" t="n">
        <v>0.144</v>
      </c>
      <c r="U551" t="n">
        <v>4.3</v>
      </c>
      <c r="AD551" t="n">
        <v>0</v>
      </c>
      <c r="AE551" t="n">
        <v>0</v>
      </c>
      <c r="AG551" t="n">
        <v>10</v>
      </c>
      <c r="AH551" t="n">
        <v>0</v>
      </c>
      <c r="AI551" t="n">
        <v>3</v>
      </c>
      <c r="AN551" t="n">
        <v>0</v>
      </c>
      <c r="AO551" t="n">
        <v>0</v>
      </c>
      <c r="AS551" t="n">
        <v>0</v>
      </c>
      <c r="AT551" t="n">
        <v>0</v>
      </c>
      <c r="AU551" t="n">
        <v>3</v>
      </c>
      <c r="AV551" t="n">
        <v>0</v>
      </c>
      <c r="AW551" t="n">
        <v>0.27</v>
      </c>
      <c r="AX551" t="n">
        <v>1</v>
      </c>
      <c r="AZ551" t="n">
        <v>0</v>
      </c>
      <c r="BA551" t="n">
        <v>0</v>
      </c>
      <c r="BB551" t="n">
        <v>0</v>
      </c>
      <c r="BD551" t="n">
        <v>0</v>
      </c>
      <c r="BE551" t="n">
        <v>0</v>
      </c>
      <c r="BH551" t="n">
        <v>1</v>
      </c>
      <c r="BI551" t="n">
        <v>0</v>
      </c>
      <c r="BJ551" t="n">
        <v>0</v>
      </c>
      <c r="BK551" t="n">
        <v>0</v>
      </c>
      <c r="BX551" t="n">
        <v>0</v>
      </c>
      <c r="BY551" t="n">
        <v>0</v>
      </c>
      <c r="BZ551" t="n">
        <v>0</v>
      </c>
      <c r="CA551" t="n">
        <v>0</v>
      </c>
      <c r="CB551" t="n">
        <v>0</v>
      </c>
      <c r="CC551" t="n">
        <v>0</v>
      </c>
      <c r="CI551" t="n">
        <v>0</v>
      </c>
      <c r="CJ551" t="n">
        <v>0</v>
      </c>
      <c r="CO551" t="n">
        <v>1</v>
      </c>
      <c r="CP551" t="n">
        <v>1</v>
      </c>
      <c r="CR551" t="n">
        <v>1</v>
      </c>
      <c r="DI551" t="n">
        <v>1</v>
      </c>
    </row>
    <row r="552">
      <c r="A552" t="inlineStr">
        <is>
          <t>Takehiro Tomiyasu</t>
        </is>
      </c>
      <c r="B552" t="inlineStr">
        <is>
          <t>CRY</t>
        </is>
      </c>
      <c r="C552" t="inlineStr">
        <is>
          <t>DEF</t>
        </is>
      </c>
      <c r="E552" t="n">
        <v>4.5</v>
      </c>
      <c r="F552" t="b">
        <v>1</v>
      </c>
      <c r="G552" t="b">
        <v>0</v>
      </c>
      <c r="H552" t="n">
        <v>27.8</v>
      </c>
      <c r="I552" t="inlineStr">
        <is>
          <t>a</t>
        </is>
      </c>
      <c r="M552" t="n">
        <v>577</v>
      </c>
      <c r="DO552" t="n">
        <v>0.1</v>
      </c>
      <c r="DP552" t="n">
        <v>123.24</v>
      </c>
      <c r="DQ552" t="n">
        <v>61.62</v>
      </c>
      <c r="DR552" t="n">
        <v>123.24</v>
      </c>
      <c r="DS552" t="n">
        <v>0</v>
      </c>
      <c r="DT552" t="n">
        <v>2822</v>
      </c>
      <c r="DU552" t="n">
        <v>74.25</v>
      </c>
      <c r="DV552" t="inlineStr">
        <is>
          <t>flat</t>
        </is>
      </c>
      <c r="DW552" t="n">
        <v>95.95999999999999</v>
      </c>
      <c r="DY552" t="n">
        <v>95.95999999999999</v>
      </c>
      <c r="DZ552" t="n">
        <v>0</v>
      </c>
      <c r="EA552" t="n">
        <v>15</v>
      </c>
      <c r="EB552" t="n">
        <v>25.16</v>
      </c>
      <c r="EC552" t="n">
        <v>13.5</v>
      </c>
      <c r="ED552" t="n">
        <v>120</v>
      </c>
      <c r="EE552" t="n">
        <v>15</v>
      </c>
      <c r="EF552" t="b">
        <v>1</v>
      </c>
      <c r="EG552" t="n">
        <v>0.3</v>
      </c>
      <c r="EH552" t="n">
        <v>6.2</v>
      </c>
      <c r="EI552" t="n">
        <v>517</v>
      </c>
    </row>
    <row r="553">
      <c r="A553" t="inlineStr">
        <is>
          <t>Lucas Paquetá</t>
        </is>
      </c>
      <c r="D553" t="inlineStr">
        <is>
          <t>MID</t>
        </is>
      </c>
      <c r="F553" t="b">
        <v>0</v>
      </c>
      <c r="G553" t="b">
        <v>1</v>
      </c>
      <c r="L553" t="inlineStr">
        <is>
          <t>p224024</t>
        </is>
      </c>
      <c r="Q553" t="n">
        <v>1521</v>
      </c>
      <c r="R553" t="n">
        <v>18</v>
      </c>
      <c r="T553" t="n">
        <v>16.9</v>
      </c>
      <c r="U553" t="n">
        <v>84.5</v>
      </c>
      <c r="Z553" t="n">
        <v>1</v>
      </c>
      <c r="AD553" t="n">
        <v>8</v>
      </c>
      <c r="AE553" t="n">
        <v>0</v>
      </c>
      <c r="AG553" t="n">
        <v>287</v>
      </c>
      <c r="AH553" t="n">
        <v>-4</v>
      </c>
      <c r="AI553" t="n">
        <v>69</v>
      </c>
      <c r="AN553" t="n">
        <v>2</v>
      </c>
      <c r="AO553" t="n">
        <v>4</v>
      </c>
      <c r="AP553" t="n">
        <v>0.111</v>
      </c>
      <c r="AQ553" t="n">
        <v>0.444</v>
      </c>
      <c r="AR553" t="n">
        <v>0.111</v>
      </c>
      <c r="AS553" t="n">
        <v>0.474</v>
      </c>
      <c r="AT553" t="n">
        <v>1</v>
      </c>
      <c r="AU553" t="n">
        <v>10</v>
      </c>
      <c r="AV553" t="n">
        <v>2</v>
      </c>
      <c r="AW553" t="n">
        <v>3.22</v>
      </c>
      <c r="AX553" t="n">
        <v>13</v>
      </c>
      <c r="AZ553" t="n">
        <v>2.441</v>
      </c>
      <c r="BA553" t="n">
        <v>2.441</v>
      </c>
      <c r="BB553" t="n">
        <v>0.918</v>
      </c>
      <c r="BD553" t="n">
        <v>0.144</v>
      </c>
      <c r="BE553" t="n">
        <v>0.144</v>
      </c>
      <c r="BF553" t="n">
        <v>2.6</v>
      </c>
      <c r="BG553" t="n">
        <v>0.154</v>
      </c>
      <c r="BH553" t="n">
        <v>0.872</v>
      </c>
      <c r="BI553" t="n">
        <v>17.79</v>
      </c>
      <c r="BJ553" t="n">
        <v>2.486</v>
      </c>
      <c r="BK553" t="n">
        <v>0.147</v>
      </c>
      <c r="BP553" t="n">
        <v>23</v>
      </c>
      <c r="BQ553" t="n">
        <v>11</v>
      </c>
      <c r="BR553" t="n">
        <v>1</v>
      </c>
      <c r="BS553" t="n">
        <v>25</v>
      </c>
      <c r="BT553" t="n">
        <v>1.479</v>
      </c>
      <c r="BU553" t="n">
        <v>2</v>
      </c>
      <c r="BX553" t="n">
        <v>3.012</v>
      </c>
      <c r="BY553" t="n">
        <v>3.012</v>
      </c>
      <c r="BZ553" t="n">
        <v>0.178</v>
      </c>
      <c r="CA553" t="n">
        <v>5.453</v>
      </c>
      <c r="CB553" t="n">
        <v>0.323</v>
      </c>
      <c r="CC553" t="n">
        <v>23</v>
      </c>
      <c r="CD553" t="n">
        <v>6</v>
      </c>
      <c r="CE553" t="n">
        <v>23</v>
      </c>
      <c r="CF553" t="n">
        <v>7</v>
      </c>
      <c r="CG553" t="n">
        <v>3</v>
      </c>
      <c r="CH553" t="n">
        <v>11</v>
      </c>
      <c r="CI553" t="n">
        <v>4.266</v>
      </c>
      <c r="CJ553" t="n">
        <v>1.529</v>
      </c>
      <c r="CN553" t="n">
        <v>22</v>
      </c>
      <c r="CO553" t="n">
        <v>8</v>
      </c>
      <c r="CP553" t="n">
        <v>17</v>
      </c>
      <c r="CQ553" t="n">
        <v>6</v>
      </c>
      <c r="CR553" t="n">
        <v>123</v>
      </c>
      <c r="CS553" t="n">
        <v>38</v>
      </c>
      <c r="CV553" t="n">
        <v>1</v>
      </c>
      <c r="DH553" t="n">
        <v>28</v>
      </c>
      <c r="DI553" t="n">
        <v>30</v>
      </c>
      <c r="DK553" t="n">
        <v>1</v>
      </c>
      <c r="DL553" t="n">
        <v>16</v>
      </c>
      <c r="DM553" t="n">
        <v>27</v>
      </c>
      <c r="DN553" t="n">
        <v>5</v>
      </c>
      <c r="EJ553" t="n">
        <v>66.09999999999999</v>
      </c>
      <c r="EK553" t="n">
        <v>60.8</v>
      </c>
      <c r="EL553" t="n">
        <v>66.09999999999999</v>
      </c>
      <c r="EM553" t="n">
        <v>623.1</v>
      </c>
      <c r="EN553" t="n">
        <v>505</v>
      </c>
      <c r="EO553" t="n">
        <v>278.9</v>
      </c>
    </row>
    <row r="554">
      <c r="A554" t="inlineStr">
        <is>
          <t>Aaron Ramsdale</t>
        </is>
      </c>
      <c r="D554" t="inlineStr">
        <is>
          <t>GKP</t>
        </is>
      </c>
      <c r="F554" t="b">
        <v>0</v>
      </c>
      <c r="G554" t="b">
        <v>1</v>
      </c>
      <c r="L554" t="inlineStr">
        <is>
          <t>p225321</t>
        </is>
      </c>
      <c r="Q554" t="n">
        <v>1003</v>
      </c>
      <c r="R554" t="n">
        <v>12</v>
      </c>
      <c r="T554" t="n">
        <v>11.144</v>
      </c>
      <c r="U554" t="n">
        <v>83.59999999999999</v>
      </c>
      <c r="AD554" t="n">
        <v>1</v>
      </c>
      <c r="AE554" t="n">
        <v>0</v>
      </c>
      <c r="AG554" t="n">
        <v>104</v>
      </c>
      <c r="AH554" t="n">
        <v>-3</v>
      </c>
      <c r="AI554" t="n">
        <v>25</v>
      </c>
      <c r="AN554" t="n">
        <v>0</v>
      </c>
      <c r="AO554" t="n">
        <v>0</v>
      </c>
      <c r="AP554" t="n">
        <v>0</v>
      </c>
      <c r="AQ554" t="n">
        <v>0</v>
      </c>
      <c r="AR554" t="n">
        <v>0</v>
      </c>
      <c r="AS554" t="n">
        <v>0.289</v>
      </c>
      <c r="AT554" t="n">
        <v>0.917</v>
      </c>
      <c r="AU554" t="n">
        <v>9</v>
      </c>
      <c r="AV554" t="n">
        <v>0</v>
      </c>
      <c r="AW554" t="n">
        <v>1.38</v>
      </c>
      <c r="AX554" t="n">
        <v>7</v>
      </c>
      <c r="AZ554" t="n">
        <v>0</v>
      </c>
      <c r="BA554" t="n">
        <v>0</v>
      </c>
      <c r="BB554" t="n">
        <v>0</v>
      </c>
      <c r="BD554" t="n">
        <v>0</v>
      </c>
      <c r="BE554" t="n">
        <v>0</v>
      </c>
      <c r="BH554" t="n">
        <v>1</v>
      </c>
      <c r="BI554" t="n">
        <v>0</v>
      </c>
      <c r="BJ554" t="n">
        <v>0</v>
      </c>
      <c r="BK554" t="n">
        <v>0</v>
      </c>
      <c r="BX554" t="n">
        <v>0.07099999999999999</v>
      </c>
      <c r="BY554" t="n">
        <v>0.07099999999999999</v>
      </c>
      <c r="BZ554" t="n">
        <v>0.006</v>
      </c>
      <c r="CA554" t="n">
        <v>0.07099999999999999</v>
      </c>
      <c r="CB554" t="n">
        <v>0.006</v>
      </c>
      <c r="CC554" t="n">
        <v>1</v>
      </c>
      <c r="CE554" t="n">
        <v>1</v>
      </c>
      <c r="CI554" t="n">
        <v>2.482</v>
      </c>
      <c r="CJ554" t="n">
        <v>2.411</v>
      </c>
      <c r="CP554" t="n">
        <v>10</v>
      </c>
      <c r="CR554" t="n">
        <v>6</v>
      </c>
      <c r="CS554" t="n">
        <v>5</v>
      </c>
      <c r="CV554" t="n">
        <v>1</v>
      </c>
      <c r="DC554" t="n">
        <v>12</v>
      </c>
      <c r="DD554" t="n">
        <v>6</v>
      </c>
      <c r="DI554" t="n">
        <v>1</v>
      </c>
      <c r="EL554" t="n">
        <v>1003</v>
      </c>
      <c r="EN554" t="n">
        <v>14126.6</v>
      </c>
      <c r="EO554" t="n">
        <v>14126.6</v>
      </c>
    </row>
    <row r="555">
      <c r="A555" t="inlineStr">
        <is>
          <t>Victor Torp</t>
        </is>
      </c>
      <c r="B555" t="inlineStr">
        <is>
          <t>COV</t>
        </is>
      </c>
      <c r="C555" t="inlineStr">
        <is>
          <t>MID</t>
        </is>
      </c>
      <c r="E555" t="n">
        <v>5.5</v>
      </c>
      <c r="F555" t="b">
        <v>1</v>
      </c>
      <c r="G555" t="b">
        <v>0</v>
      </c>
      <c r="H555" t="n">
        <v>27.1</v>
      </c>
      <c r="I555" t="inlineStr">
        <is>
          <t>a</t>
        </is>
      </c>
      <c r="M555" t="n">
        <v>188</v>
      </c>
      <c r="N555" t="n">
        <v>2</v>
      </c>
      <c r="O555" t="n">
        <v>2</v>
      </c>
      <c r="P555" t="n">
        <v>2</v>
      </c>
      <c r="DO555" t="n">
        <v>0.2</v>
      </c>
      <c r="DP555" t="n">
        <v>40.42</v>
      </c>
      <c r="DQ555" t="n">
        <v>20.34</v>
      </c>
      <c r="DR555" t="n">
        <v>40.68</v>
      </c>
      <c r="DS555" t="n">
        <v>-0.26</v>
      </c>
      <c r="DT555" t="n">
        <v>724</v>
      </c>
      <c r="DU555" t="n">
        <v>19.05</v>
      </c>
      <c r="DV555" t="inlineStr">
        <is>
          <t>flat</t>
        </is>
      </c>
      <c r="DW555" t="n">
        <v>94.34</v>
      </c>
      <c r="DX555" t="n">
        <v>94.75</v>
      </c>
      <c r="DY555" t="n">
        <v>92.65000000000001</v>
      </c>
      <c r="DZ555" t="n">
        <v>-1.69</v>
      </c>
      <c r="EA555" t="n">
        <v>13</v>
      </c>
      <c r="EB555" t="n">
        <v>14.8</v>
      </c>
      <c r="EC555" t="n">
        <v>69.5</v>
      </c>
      <c r="ED555" t="n">
        <v>117.33</v>
      </c>
      <c r="EE555" t="n">
        <v>20</v>
      </c>
      <c r="EF555" t="b">
        <v>1</v>
      </c>
      <c r="EG555" t="n">
        <v>0.5</v>
      </c>
      <c r="EH555" t="n">
        <v>13</v>
      </c>
      <c r="EI555" t="n">
        <v>205</v>
      </c>
    </row>
    <row r="556">
      <c r="A556" t="inlineStr">
        <is>
          <t>Yves Bissouma</t>
        </is>
      </c>
      <c r="D556" t="inlineStr">
        <is>
          <t>MID</t>
        </is>
      </c>
      <c r="F556" t="b">
        <v>0</v>
      </c>
      <c r="G556" t="b">
        <v>1</v>
      </c>
      <c r="L556" t="inlineStr">
        <is>
          <t>p227127</t>
        </is>
      </c>
      <c r="Q556" t="n">
        <v>605</v>
      </c>
      <c r="R556" t="n">
        <v>11</v>
      </c>
      <c r="T556" t="n">
        <v>6.722</v>
      </c>
      <c r="U556" t="n">
        <v>55</v>
      </c>
      <c r="AD556" t="n">
        <v>0</v>
      </c>
      <c r="AE556" t="n">
        <v>0</v>
      </c>
      <c r="AG556" t="n">
        <v>95</v>
      </c>
      <c r="AH556" t="n">
        <v>-4</v>
      </c>
      <c r="AI556" t="n">
        <v>17</v>
      </c>
      <c r="AN556" t="n">
        <v>2</v>
      </c>
      <c r="AO556" t="n">
        <v>4</v>
      </c>
      <c r="AP556" t="n">
        <v>0.286</v>
      </c>
      <c r="AQ556" t="n">
        <v>0.286</v>
      </c>
      <c r="AR556" t="n">
        <v>0.286</v>
      </c>
      <c r="AS556" t="n">
        <v>0.184</v>
      </c>
      <c r="AT556" t="n">
        <v>0.455</v>
      </c>
      <c r="AU556" t="n">
        <v>8</v>
      </c>
      <c r="AV556" t="n">
        <v>0</v>
      </c>
      <c r="AW556" t="n">
        <v>0.98</v>
      </c>
      <c r="AX556" t="n">
        <v>4</v>
      </c>
      <c r="AZ556" t="n">
        <v>0.212</v>
      </c>
      <c r="BA556" t="n">
        <v>0.212</v>
      </c>
      <c r="BB556" t="n">
        <v>0.212</v>
      </c>
      <c r="BD556" t="n">
        <v>0.032</v>
      </c>
      <c r="BE556" t="n">
        <v>0.032</v>
      </c>
      <c r="BF556" t="n">
        <v>0.1</v>
      </c>
      <c r="BG556" t="n">
        <v>0.015</v>
      </c>
      <c r="BH556" t="n">
        <v>0.995</v>
      </c>
      <c r="BI556" t="n">
        <v>2.35</v>
      </c>
      <c r="BJ556" t="n">
        <v>0.358</v>
      </c>
      <c r="BK556" t="n">
        <v>0.053</v>
      </c>
      <c r="BP556" t="n">
        <v>5</v>
      </c>
      <c r="BQ556" t="n">
        <v>2</v>
      </c>
      <c r="BS556" t="n">
        <v>2</v>
      </c>
      <c r="BT556" t="n">
        <v>0.298</v>
      </c>
      <c r="BX556" t="n">
        <v>0</v>
      </c>
      <c r="BY556" t="n">
        <v>0</v>
      </c>
      <c r="BZ556" t="n">
        <v>0</v>
      </c>
      <c r="CA556" t="n">
        <v>0.212</v>
      </c>
      <c r="CB556" t="n">
        <v>0.032</v>
      </c>
      <c r="CC556" t="n">
        <v>0</v>
      </c>
      <c r="CI556" t="n">
        <v>1.075</v>
      </c>
      <c r="CJ556" t="n">
        <v>0.9330000000000001</v>
      </c>
      <c r="CN556" t="n">
        <v>11</v>
      </c>
      <c r="CO556" t="n">
        <v>9</v>
      </c>
      <c r="CP556" t="n">
        <v>14</v>
      </c>
      <c r="CQ556" t="n">
        <v>3</v>
      </c>
      <c r="CR556" t="n">
        <v>32</v>
      </c>
      <c r="CS556" t="n">
        <v>5</v>
      </c>
      <c r="CU556" t="n">
        <v>1</v>
      </c>
      <c r="DH556" t="n">
        <v>8</v>
      </c>
      <c r="DI556" t="n">
        <v>6</v>
      </c>
      <c r="DL556" t="n">
        <v>3</v>
      </c>
      <c r="DM556" t="n">
        <v>4</v>
      </c>
      <c r="EJ556" t="n">
        <v>121</v>
      </c>
      <c r="EK556" t="n">
        <v>302.5</v>
      </c>
      <c r="EM556" t="n">
        <v>2848.6</v>
      </c>
      <c r="EO556" t="n">
        <v>2848.6</v>
      </c>
    </row>
    <row r="557">
      <c r="A557" t="inlineStr">
        <is>
          <t>Chiedozie Ogbene</t>
        </is>
      </c>
      <c r="B557" t="inlineStr">
        <is>
          <t>IPS</t>
        </is>
      </c>
      <c r="C557" t="inlineStr">
        <is>
          <t>MID</t>
        </is>
      </c>
      <c r="E557" t="n">
        <v>5</v>
      </c>
      <c r="F557" t="b">
        <v>1</v>
      </c>
      <c r="G557" t="b">
        <v>0</v>
      </c>
      <c r="H557" t="n">
        <v>29.3</v>
      </c>
      <c r="I557" t="inlineStr">
        <is>
          <t>a</t>
        </is>
      </c>
      <c r="M557" t="n">
        <v>314</v>
      </c>
      <c r="DO557" t="n">
        <v>0</v>
      </c>
      <c r="DP557" t="n">
        <v>0</v>
      </c>
      <c r="DQ557" t="n">
        <v>0</v>
      </c>
      <c r="DR557" t="n">
        <v>0</v>
      </c>
      <c r="DS557" t="n">
        <v>0</v>
      </c>
      <c r="DT557" t="n">
        <v>0</v>
      </c>
      <c r="DU557" t="n">
        <v>0</v>
      </c>
      <c r="DV557" t="inlineStr">
        <is>
          <t>flat</t>
        </is>
      </c>
      <c r="DW557" t="n">
        <v>92.56999999999999</v>
      </c>
      <c r="DY557" t="n">
        <v>92.56999999999999</v>
      </c>
      <c r="DZ557" t="n">
        <v>0</v>
      </c>
      <c r="EA557" t="n">
        <v>1</v>
      </c>
      <c r="EC557" t="n">
        <v>92.56999999999999</v>
      </c>
      <c r="ED557" t="n">
        <v>92.56999999999999</v>
      </c>
      <c r="EE557" t="n">
        <v>1</v>
      </c>
      <c r="EF557" t="b">
        <v>0</v>
      </c>
      <c r="EG557" t="n">
        <v>0</v>
      </c>
      <c r="EH557" t="n">
        <v>0</v>
      </c>
      <c r="EI557" t="n">
        <v>359</v>
      </c>
    </row>
    <row r="558">
      <c r="A558" t="inlineStr">
        <is>
          <t>Andy Irving</t>
        </is>
      </c>
      <c r="D558" t="inlineStr">
        <is>
          <t>MID</t>
        </is>
      </c>
      <c r="F558" t="b">
        <v>0</v>
      </c>
      <c r="G558" t="b">
        <v>1</v>
      </c>
      <c r="L558" t="inlineStr">
        <is>
          <t>p229384</t>
        </is>
      </c>
      <c r="Q558" t="n">
        <v>157</v>
      </c>
      <c r="R558" t="n">
        <v>7</v>
      </c>
      <c r="T558" t="n">
        <v>1.744</v>
      </c>
      <c r="U558" t="n">
        <v>22.4</v>
      </c>
      <c r="AD558" t="n">
        <v>0</v>
      </c>
      <c r="AE558" t="n">
        <v>0</v>
      </c>
      <c r="AG558" t="n">
        <v>49</v>
      </c>
      <c r="AH558" t="n">
        <v>0</v>
      </c>
      <c r="AI558" t="n">
        <v>9</v>
      </c>
      <c r="AN558" t="n">
        <v>0</v>
      </c>
      <c r="AO558" t="n">
        <v>0</v>
      </c>
      <c r="AP558" t="n">
        <v>0</v>
      </c>
      <c r="AQ558" t="n">
        <v>0</v>
      </c>
      <c r="AR558" t="n">
        <v>0</v>
      </c>
      <c r="AS558" t="n">
        <v>0.053</v>
      </c>
      <c r="AT558" t="n">
        <v>0.286</v>
      </c>
      <c r="AU558" t="n">
        <v>7</v>
      </c>
      <c r="AV558" t="n">
        <v>0</v>
      </c>
      <c r="AW558" t="n">
        <v>0.54</v>
      </c>
      <c r="AX558" t="n">
        <v>2</v>
      </c>
      <c r="AZ558" t="n">
        <v>0</v>
      </c>
      <c r="BA558" t="n">
        <v>0</v>
      </c>
      <c r="BB558" t="n">
        <v>0</v>
      </c>
      <c r="BD558" t="n">
        <v>0</v>
      </c>
      <c r="BE558" t="n">
        <v>0</v>
      </c>
      <c r="BH558" t="n">
        <v>0.996</v>
      </c>
      <c r="BI558" t="n">
        <v>0.13</v>
      </c>
      <c r="BJ558" t="n">
        <v>0</v>
      </c>
      <c r="BK558" t="n">
        <v>0</v>
      </c>
      <c r="BS558" t="n">
        <v>1</v>
      </c>
      <c r="BT558" t="n">
        <v>0.573</v>
      </c>
      <c r="BX558" t="n">
        <v>0.202</v>
      </c>
      <c r="BY558" t="n">
        <v>0.202</v>
      </c>
      <c r="BZ558" t="n">
        <v>0.116</v>
      </c>
      <c r="CA558" t="n">
        <v>0.202</v>
      </c>
      <c r="CB558" t="n">
        <v>0.116</v>
      </c>
      <c r="CC558" t="n">
        <v>3</v>
      </c>
      <c r="CE558" t="n">
        <v>3</v>
      </c>
      <c r="CF558" t="n">
        <v>3</v>
      </c>
      <c r="CH558" t="n">
        <v>12</v>
      </c>
      <c r="CI558" t="n">
        <v>0.174</v>
      </c>
      <c r="CJ558" t="n">
        <v>0.139</v>
      </c>
      <c r="CN558" t="n">
        <v>3</v>
      </c>
      <c r="CO558" t="n">
        <v>1</v>
      </c>
      <c r="CQ558" t="n">
        <v>1</v>
      </c>
      <c r="CR558" t="n">
        <v>6</v>
      </c>
      <c r="DH558" t="n">
        <v>1</v>
      </c>
      <c r="DM558" t="n">
        <v>2</v>
      </c>
      <c r="EK558" t="n">
        <v>157</v>
      </c>
      <c r="EL558" t="n">
        <v>52.3</v>
      </c>
      <c r="EN558" t="n">
        <v>776.8</v>
      </c>
      <c r="EO558" t="n">
        <v>776.8</v>
      </c>
    </row>
    <row r="559">
      <c r="A559" t="inlineStr">
        <is>
          <t>Douglas Luiz</t>
        </is>
      </c>
      <c r="D559" t="inlineStr">
        <is>
          <t>MID</t>
        </is>
      </c>
      <c r="F559" t="b">
        <v>0</v>
      </c>
      <c r="G559" t="b">
        <v>1</v>
      </c>
      <c r="L559" t="inlineStr">
        <is>
          <t>p230046</t>
        </is>
      </c>
      <c r="Q559" t="n">
        <v>923</v>
      </c>
      <c r="R559" t="n">
        <v>21</v>
      </c>
      <c r="T559" t="n">
        <v>10.256</v>
      </c>
      <c r="U559" t="n">
        <v>44</v>
      </c>
      <c r="AD559" t="n">
        <v>1</v>
      </c>
      <c r="AE559" t="n">
        <v>1</v>
      </c>
      <c r="AG559" t="n">
        <v>215</v>
      </c>
      <c r="AH559" t="n">
        <v>-5</v>
      </c>
      <c r="AI559" t="n">
        <v>36</v>
      </c>
      <c r="AN559" t="n">
        <v>0</v>
      </c>
      <c r="AO559" t="n">
        <v>0</v>
      </c>
      <c r="AP559" t="n">
        <v>0</v>
      </c>
      <c r="AQ559" t="n">
        <v>0.417</v>
      </c>
      <c r="AR559" t="n">
        <v>0</v>
      </c>
      <c r="AS559" t="n">
        <v>0.316</v>
      </c>
      <c r="AT559" t="n">
        <v>0.381</v>
      </c>
      <c r="AU559" t="n">
        <v>18</v>
      </c>
      <c r="AV559" t="n">
        <v>0</v>
      </c>
      <c r="AW559" t="n">
        <v>1.49</v>
      </c>
      <c r="AX559" t="n">
        <v>7</v>
      </c>
      <c r="AZ559" t="n">
        <v>0.702</v>
      </c>
      <c r="BA559" t="n">
        <v>0.702</v>
      </c>
      <c r="BB559" t="n">
        <v>0.702</v>
      </c>
      <c r="BD559" t="n">
        <v>0.068</v>
      </c>
      <c r="BE559" t="n">
        <v>0.068</v>
      </c>
      <c r="BF559" t="n">
        <v>0.9</v>
      </c>
      <c r="BG559" t="n">
        <v>0.08799999999999999</v>
      </c>
      <c r="BH559" t="n">
        <v>1.21</v>
      </c>
      <c r="BI559" t="n">
        <v>10.01</v>
      </c>
      <c r="BJ559" t="n">
        <v>0.642</v>
      </c>
      <c r="BK559" t="n">
        <v>0.063</v>
      </c>
      <c r="BP559" t="n">
        <v>11</v>
      </c>
      <c r="BQ559" t="n">
        <v>5</v>
      </c>
      <c r="BR559" t="n">
        <v>2</v>
      </c>
      <c r="BS559" t="n">
        <v>16</v>
      </c>
      <c r="BT559" t="n">
        <v>1.56</v>
      </c>
      <c r="BX559" t="n">
        <v>1.823</v>
      </c>
      <c r="BY559" t="n">
        <v>1.823</v>
      </c>
      <c r="BZ559" t="n">
        <v>0.178</v>
      </c>
      <c r="CA559" t="n">
        <v>2.525</v>
      </c>
      <c r="CB559" t="n">
        <v>0.246</v>
      </c>
      <c r="CC559" t="n">
        <v>19</v>
      </c>
      <c r="CD559" t="n">
        <v>3</v>
      </c>
      <c r="CE559" t="n">
        <v>19</v>
      </c>
      <c r="CF559" t="n">
        <v>11</v>
      </c>
      <c r="CH559" t="n">
        <v>33</v>
      </c>
      <c r="CI559" t="n">
        <v>4.071</v>
      </c>
      <c r="CJ559" t="n">
        <v>2.811</v>
      </c>
      <c r="CN559" t="n">
        <v>13</v>
      </c>
      <c r="CO559" t="n">
        <v>15</v>
      </c>
      <c r="CP559" t="n">
        <v>12</v>
      </c>
      <c r="CQ559" t="n">
        <v>4</v>
      </c>
      <c r="CR559" t="n">
        <v>52</v>
      </c>
      <c r="CS559" t="n">
        <v>9</v>
      </c>
      <c r="CT559" t="n">
        <v>0.3</v>
      </c>
      <c r="CV559" t="n">
        <v>1</v>
      </c>
      <c r="DH559" t="n">
        <v>13</v>
      </c>
      <c r="DI559" t="n">
        <v>15</v>
      </c>
      <c r="DK559" t="n">
        <v>1</v>
      </c>
      <c r="DL559" t="n">
        <v>6</v>
      </c>
      <c r="DM559" t="n">
        <v>3</v>
      </c>
      <c r="EJ559" t="n">
        <v>83.90000000000001</v>
      </c>
      <c r="EK559" t="n">
        <v>57.7</v>
      </c>
      <c r="EL559" t="n">
        <v>48.6</v>
      </c>
      <c r="EM559" t="n">
        <v>1314</v>
      </c>
      <c r="EN559" t="n">
        <v>506.3</v>
      </c>
      <c r="EO559" t="n">
        <v>365.5</v>
      </c>
    </row>
    <row r="560">
      <c r="A560" t="inlineStr">
        <is>
          <t>Jhon Arias</t>
        </is>
      </c>
      <c r="D560" t="inlineStr">
        <is>
          <t>MID</t>
        </is>
      </c>
      <c r="F560" t="b">
        <v>0</v>
      </c>
      <c r="G560" t="b">
        <v>1</v>
      </c>
      <c r="L560" t="inlineStr">
        <is>
          <t>p230376</t>
        </is>
      </c>
      <c r="Q560" t="n">
        <v>1121</v>
      </c>
      <c r="R560" t="n">
        <v>23</v>
      </c>
      <c r="T560" t="n">
        <v>12.456</v>
      </c>
      <c r="U560" t="n">
        <v>48.7</v>
      </c>
      <c r="AD560" t="n">
        <v>3</v>
      </c>
      <c r="AE560" t="n">
        <v>1</v>
      </c>
      <c r="AG560" t="n">
        <v>169</v>
      </c>
      <c r="AH560" t="n">
        <v>-6</v>
      </c>
      <c r="AI560" t="n">
        <v>46</v>
      </c>
      <c r="AN560" t="n">
        <v>2</v>
      </c>
      <c r="AO560" t="n">
        <v>4</v>
      </c>
      <c r="AP560" t="n">
        <v>0.143</v>
      </c>
      <c r="AQ560" t="n">
        <v>0.286</v>
      </c>
      <c r="AR560" t="n">
        <v>0.143</v>
      </c>
      <c r="AS560" t="n">
        <v>0.368</v>
      </c>
      <c r="AT560" t="n">
        <v>0.435</v>
      </c>
      <c r="AU560" t="n">
        <v>19</v>
      </c>
      <c r="AV560" t="n">
        <v>0</v>
      </c>
      <c r="AW560" t="n">
        <v>1.74</v>
      </c>
      <c r="AX560" t="n">
        <v>9</v>
      </c>
      <c r="AZ560" t="n">
        <v>3.293</v>
      </c>
      <c r="BA560" t="n">
        <v>3.293</v>
      </c>
      <c r="BB560" t="n">
        <v>3.293</v>
      </c>
      <c r="BD560" t="n">
        <v>0.264</v>
      </c>
      <c r="BE560" t="n">
        <v>0.264</v>
      </c>
      <c r="BF560" t="n">
        <v>0.8</v>
      </c>
      <c r="BG560" t="n">
        <v>0.064</v>
      </c>
      <c r="BH560" t="n">
        <v>0.773</v>
      </c>
      <c r="BI560" t="n">
        <v>3.38</v>
      </c>
      <c r="BJ560" t="n">
        <v>2.614</v>
      </c>
      <c r="BK560" t="n">
        <v>0.21</v>
      </c>
      <c r="BP560" t="n">
        <v>16</v>
      </c>
      <c r="BQ560" t="n">
        <v>3</v>
      </c>
      <c r="BR560" t="n">
        <v>4</v>
      </c>
      <c r="BS560" t="n">
        <v>39</v>
      </c>
      <c r="BT560" t="n">
        <v>3.131</v>
      </c>
      <c r="BX560" t="n">
        <v>0.896</v>
      </c>
      <c r="BY560" t="n">
        <v>0.896</v>
      </c>
      <c r="BZ560" t="n">
        <v>0.07199999999999999</v>
      </c>
      <c r="CA560" t="n">
        <v>4.189</v>
      </c>
      <c r="CB560" t="n">
        <v>0.336</v>
      </c>
      <c r="CC560" t="n">
        <v>11</v>
      </c>
      <c r="CD560" t="n">
        <v>0</v>
      </c>
      <c r="CE560" t="n">
        <v>11</v>
      </c>
      <c r="CF560" t="n">
        <v>9</v>
      </c>
      <c r="CH560" t="n">
        <v>16</v>
      </c>
      <c r="CI560" t="n">
        <v>4.878</v>
      </c>
      <c r="CJ560" t="n">
        <v>1.345</v>
      </c>
      <c r="CN560" t="n">
        <v>27</v>
      </c>
      <c r="CO560" t="n">
        <v>8</v>
      </c>
      <c r="CP560" t="n">
        <v>15</v>
      </c>
      <c r="CQ560" t="n">
        <v>2</v>
      </c>
      <c r="CR560" t="n">
        <v>70</v>
      </c>
      <c r="CS560" t="n">
        <v>10</v>
      </c>
      <c r="CT560" t="n">
        <v>0.6</v>
      </c>
      <c r="DE560" t="n">
        <v>6.48</v>
      </c>
      <c r="DH560" t="n">
        <v>25</v>
      </c>
      <c r="DI560" t="n">
        <v>9</v>
      </c>
      <c r="DL560" t="n">
        <v>8</v>
      </c>
      <c r="DM560" t="n">
        <v>26</v>
      </c>
      <c r="DN560" t="n">
        <v>3</v>
      </c>
      <c r="EJ560" t="n">
        <v>70.09999999999999</v>
      </c>
      <c r="EK560" t="n">
        <v>28.7</v>
      </c>
      <c r="EL560" t="n">
        <v>101.9</v>
      </c>
      <c r="EM560" t="n">
        <v>340.4</v>
      </c>
      <c r="EN560" t="n">
        <v>1250.8</v>
      </c>
      <c r="EO560" t="n">
        <v>267.6</v>
      </c>
    </row>
    <row r="561">
      <c r="A561" t="inlineStr">
        <is>
          <t>Brandon Thomas-Asante</t>
        </is>
      </c>
      <c r="B561" t="inlineStr">
        <is>
          <t>COV</t>
        </is>
      </c>
      <c r="C561" t="inlineStr">
        <is>
          <t>FWD</t>
        </is>
      </c>
      <c r="E561" t="n">
        <v>5</v>
      </c>
      <c r="F561" t="b">
        <v>1</v>
      </c>
      <c r="G561" t="b">
        <v>0</v>
      </c>
      <c r="H561" t="n">
        <v>27.6</v>
      </c>
      <c r="I561" t="inlineStr">
        <is>
          <t>a</t>
        </is>
      </c>
      <c r="M561" t="n">
        <v>194</v>
      </c>
      <c r="N561" t="n">
        <v>4</v>
      </c>
      <c r="DO561" t="n">
        <v>0.8</v>
      </c>
      <c r="DP561" t="n">
        <v>61.27</v>
      </c>
      <c r="DQ561" t="n">
        <v>31.48</v>
      </c>
      <c r="DR561" t="n">
        <v>62.96</v>
      </c>
      <c r="DS561" t="n">
        <v>-1.69</v>
      </c>
      <c r="DT561" t="n">
        <v>1282</v>
      </c>
      <c r="DU561" t="n">
        <v>33.75</v>
      </c>
      <c r="DV561" t="inlineStr">
        <is>
          <t>flat</t>
        </is>
      </c>
      <c r="DW561" t="n">
        <v>98.31999999999999</v>
      </c>
      <c r="DX561" t="n">
        <v>95.97</v>
      </c>
      <c r="DY561" t="n">
        <v>98.34</v>
      </c>
      <c r="DZ561" t="n">
        <v>0.03</v>
      </c>
      <c r="EA561" t="n">
        <v>104</v>
      </c>
      <c r="EB561" t="n">
        <v>19.53</v>
      </c>
      <c r="EC561" t="n">
        <v>27.43</v>
      </c>
      <c r="ED561" t="n">
        <v>120</v>
      </c>
      <c r="EE561" t="n">
        <v>153</v>
      </c>
      <c r="EF561" t="b">
        <v>1</v>
      </c>
      <c r="EG561" t="n">
        <v>3.4</v>
      </c>
      <c r="EH561" t="n">
        <v>8.4</v>
      </c>
      <c r="EI561" t="n">
        <v>344</v>
      </c>
    </row>
    <row r="562">
      <c r="A562" t="inlineStr">
        <is>
          <t>Jean-Ricner Bellegarde</t>
        </is>
      </c>
      <c r="D562" t="inlineStr">
        <is>
          <t>MID</t>
        </is>
      </c>
      <c r="F562" t="b">
        <v>0</v>
      </c>
      <c r="G562" t="b">
        <v>1</v>
      </c>
      <c r="L562" t="inlineStr">
        <is>
          <t>p231057</t>
        </is>
      </c>
      <c r="Q562" t="n">
        <v>1251</v>
      </c>
      <c r="R562" t="n">
        <v>26</v>
      </c>
      <c r="T562" t="n">
        <v>13.9</v>
      </c>
      <c r="U562" t="n">
        <v>48.1</v>
      </c>
      <c r="Z562" t="n">
        <v>1</v>
      </c>
      <c r="AD562" t="n">
        <v>0</v>
      </c>
      <c r="AE562" t="n">
        <v>0</v>
      </c>
      <c r="AG562" t="n">
        <v>203</v>
      </c>
      <c r="AH562" t="n">
        <v>-5</v>
      </c>
      <c r="AI562" t="n">
        <v>44</v>
      </c>
      <c r="AN562" t="n">
        <v>0</v>
      </c>
      <c r="AO562" t="n">
        <v>0</v>
      </c>
      <c r="AP562" t="n">
        <v>0</v>
      </c>
      <c r="AQ562" t="n">
        <v>0</v>
      </c>
      <c r="AR562" t="n">
        <v>0</v>
      </c>
      <c r="AS562" t="n">
        <v>0.395</v>
      </c>
      <c r="AT562" t="n">
        <v>0.462</v>
      </c>
      <c r="AU562" t="n">
        <v>22</v>
      </c>
      <c r="AV562" t="n">
        <v>0</v>
      </c>
      <c r="AW562" t="n">
        <v>1.35</v>
      </c>
      <c r="AX562" t="n">
        <v>6</v>
      </c>
      <c r="AZ562" t="n">
        <v>0.87</v>
      </c>
      <c r="BA562" t="n">
        <v>0.87</v>
      </c>
      <c r="BB562" t="n">
        <v>0.87</v>
      </c>
      <c r="BD562" t="n">
        <v>0.063</v>
      </c>
      <c r="BE562" t="n">
        <v>0.063</v>
      </c>
      <c r="BF562" t="n">
        <v>1.8</v>
      </c>
      <c r="BG562" t="n">
        <v>0.129</v>
      </c>
      <c r="BH562" t="n">
        <v>1.013</v>
      </c>
      <c r="BI562" t="n">
        <v>3.85</v>
      </c>
      <c r="BJ562" t="n">
        <v>1.053</v>
      </c>
      <c r="BK562" t="n">
        <v>0.076</v>
      </c>
      <c r="BP562" t="n">
        <v>21</v>
      </c>
      <c r="BQ562" t="n">
        <v>7</v>
      </c>
      <c r="BS562" t="n">
        <v>25</v>
      </c>
      <c r="BT562" t="n">
        <v>1.799</v>
      </c>
      <c r="BX562" t="n">
        <v>1.217</v>
      </c>
      <c r="BY562" t="n">
        <v>1.217</v>
      </c>
      <c r="BZ562" t="n">
        <v>0.08799999999999999</v>
      </c>
      <c r="CA562" t="n">
        <v>2.086</v>
      </c>
      <c r="CB562" t="n">
        <v>0.15</v>
      </c>
      <c r="CC562" t="n">
        <v>13</v>
      </c>
      <c r="CD562" t="n">
        <v>2</v>
      </c>
      <c r="CE562" t="n">
        <v>13</v>
      </c>
      <c r="CF562" t="n">
        <v>5</v>
      </c>
      <c r="CG562" t="n">
        <v>2</v>
      </c>
      <c r="CH562" t="n">
        <v>5</v>
      </c>
      <c r="CI562" t="n">
        <v>5.201</v>
      </c>
      <c r="CJ562" t="n">
        <v>3.501</v>
      </c>
      <c r="CN562" t="n">
        <v>15</v>
      </c>
      <c r="CO562" t="n">
        <v>10</v>
      </c>
      <c r="CP562" t="n">
        <v>20</v>
      </c>
      <c r="CQ562" t="n">
        <v>3</v>
      </c>
      <c r="CR562" t="n">
        <v>95</v>
      </c>
      <c r="CS562" t="n">
        <v>9</v>
      </c>
      <c r="CT562" t="n">
        <v>0.4</v>
      </c>
      <c r="CU562" t="n">
        <v>3</v>
      </c>
      <c r="DE562" t="n">
        <v>6.4</v>
      </c>
      <c r="DH562" t="n">
        <v>20</v>
      </c>
      <c r="DI562" t="n">
        <v>41</v>
      </c>
      <c r="DL562" t="n">
        <v>18</v>
      </c>
      <c r="DM562" t="n">
        <v>20</v>
      </c>
      <c r="EJ562" t="n">
        <v>59.6</v>
      </c>
      <c r="EK562" t="n">
        <v>50</v>
      </c>
      <c r="EL562" t="n">
        <v>96.2</v>
      </c>
      <c r="EM562" t="n">
        <v>1438.3</v>
      </c>
      <c r="EN562" t="n">
        <v>1028.3</v>
      </c>
      <c r="EO562" t="n">
        <v>599.6</v>
      </c>
    </row>
    <row r="563">
      <c r="A563" t="inlineStr">
        <is>
          <t>Santiago Bueno</t>
        </is>
      </c>
      <c r="D563" t="inlineStr">
        <is>
          <t>DEF</t>
        </is>
      </c>
      <c r="F563" t="b">
        <v>0</v>
      </c>
      <c r="G563" t="b">
        <v>1</v>
      </c>
      <c r="L563" t="inlineStr">
        <is>
          <t>p231480</t>
        </is>
      </c>
      <c r="Q563" t="n">
        <v>2553</v>
      </c>
      <c r="R563" t="n">
        <v>29</v>
      </c>
      <c r="T563" t="n">
        <v>28.367</v>
      </c>
      <c r="U563" t="n">
        <v>88</v>
      </c>
      <c r="Z563" t="n">
        <v>1</v>
      </c>
      <c r="AD563" t="n">
        <v>4</v>
      </c>
      <c r="AE563" t="n">
        <v>0</v>
      </c>
      <c r="AG563" t="n">
        <v>276</v>
      </c>
      <c r="AH563" t="n">
        <v>-34</v>
      </c>
      <c r="AI563" t="n">
        <v>92</v>
      </c>
      <c r="AN563" t="n">
        <v>5</v>
      </c>
      <c r="AO563" t="n">
        <v>10</v>
      </c>
      <c r="AP563" t="n">
        <v>0.179</v>
      </c>
      <c r="AQ563" t="n">
        <v>0.179</v>
      </c>
      <c r="AR563" t="n">
        <v>0.07099999999999999</v>
      </c>
      <c r="AS563" t="n">
        <v>0.737</v>
      </c>
      <c r="AT563" t="n">
        <v>0.966</v>
      </c>
      <c r="AU563" t="n">
        <v>17</v>
      </c>
      <c r="AV563" t="n">
        <v>2</v>
      </c>
      <c r="AW563" t="n">
        <v>2.86</v>
      </c>
      <c r="AX563" t="n">
        <v>12</v>
      </c>
      <c r="AZ563" t="n">
        <v>1.995</v>
      </c>
      <c r="BA563" t="n">
        <v>1.995</v>
      </c>
      <c r="BB563" t="n">
        <v>1.995</v>
      </c>
      <c r="BD563" t="n">
        <v>0.07000000000000001</v>
      </c>
      <c r="BE563" t="n">
        <v>0.07000000000000001</v>
      </c>
      <c r="BF563" t="n">
        <v>3.1</v>
      </c>
      <c r="BG563" t="n">
        <v>0.109</v>
      </c>
      <c r="BH563" t="n">
        <v>1.09</v>
      </c>
      <c r="BI563" t="n">
        <v>2.73</v>
      </c>
      <c r="BJ563" t="n">
        <v>2.486</v>
      </c>
      <c r="BK563" t="n">
        <v>0.08799999999999999</v>
      </c>
      <c r="BP563" t="n">
        <v>10</v>
      </c>
      <c r="BQ563" t="n">
        <v>7</v>
      </c>
      <c r="BR563" t="n">
        <v>1</v>
      </c>
      <c r="BS563" t="n">
        <v>41</v>
      </c>
      <c r="BT563" t="n">
        <v>1.445</v>
      </c>
      <c r="BV563" t="n">
        <v>1</v>
      </c>
      <c r="BX563" t="n">
        <v>0.902</v>
      </c>
      <c r="BY563" t="n">
        <v>0.902</v>
      </c>
      <c r="BZ563" t="n">
        <v>0.032</v>
      </c>
      <c r="CA563" t="n">
        <v>2.898</v>
      </c>
      <c r="CB563" t="n">
        <v>0.102</v>
      </c>
      <c r="CC563" t="n">
        <v>10</v>
      </c>
      <c r="CD563" t="n">
        <v>1</v>
      </c>
      <c r="CE563" t="n">
        <v>10</v>
      </c>
      <c r="CF563" t="n">
        <v>2</v>
      </c>
      <c r="CI563" t="n">
        <v>4.35</v>
      </c>
      <c r="CJ563" t="n">
        <v>3.939</v>
      </c>
      <c r="CN563" t="n">
        <v>28</v>
      </c>
      <c r="CO563" t="n">
        <v>27</v>
      </c>
      <c r="CP563" t="n">
        <v>116</v>
      </c>
      <c r="CQ563" t="n">
        <v>21</v>
      </c>
      <c r="CR563" t="n">
        <v>109</v>
      </c>
      <c r="CS563" t="n">
        <v>48</v>
      </c>
      <c r="CV563" t="n">
        <v>1</v>
      </c>
      <c r="DE563" t="n">
        <v>6.63</v>
      </c>
      <c r="DH563" t="n">
        <v>30</v>
      </c>
      <c r="DI563" t="n">
        <v>11</v>
      </c>
      <c r="DJ563" t="n">
        <v>1</v>
      </c>
      <c r="DM563" t="n">
        <v>5</v>
      </c>
      <c r="DN563" t="n">
        <v>2</v>
      </c>
      <c r="EJ563" t="n">
        <v>255.3</v>
      </c>
      <c r="EK563" t="n">
        <v>62.3</v>
      </c>
      <c r="EL563" t="n">
        <v>255.3</v>
      </c>
      <c r="EM563" t="n">
        <v>1279.5</v>
      </c>
      <c r="EN563" t="n">
        <v>2829</v>
      </c>
      <c r="EO563" t="n">
        <v>881</v>
      </c>
    </row>
    <row r="564">
      <c r="A564" t="inlineStr">
        <is>
          <t>Jack Taylor</t>
        </is>
      </c>
      <c r="B564" t="inlineStr">
        <is>
          <t>IPS</t>
        </is>
      </c>
      <c r="C564" t="inlineStr">
        <is>
          <t>MID</t>
        </is>
      </c>
      <c r="E564" t="n">
        <v>4.5</v>
      </c>
      <c r="F564" t="b">
        <v>1</v>
      </c>
      <c r="G564" t="b">
        <v>0</v>
      </c>
      <c r="H564" t="n">
        <v>28.2</v>
      </c>
      <c r="I564" t="inlineStr">
        <is>
          <t>i</t>
        </is>
      </c>
      <c r="J564" t="inlineStr">
        <is>
          <t>Knee injury - Unknown return date</t>
        </is>
      </c>
      <c r="K564" t="n">
        <v>0</v>
      </c>
      <c r="M564" t="n">
        <v>312</v>
      </c>
      <c r="DO564" t="n">
        <v>0.1</v>
      </c>
      <c r="DP564" t="n">
        <v>45.98</v>
      </c>
      <c r="DQ564" t="n">
        <v>22.62</v>
      </c>
      <c r="DR564" t="n">
        <v>45.24</v>
      </c>
      <c r="DS564" t="n">
        <v>0.74</v>
      </c>
      <c r="DT564" t="n">
        <v>1317</v>
      </c>
      <c r="DU564" t="n">
        <v>34.65</v>
      </c>
      <c r="DV564" t="inlineStr">
        <is>
          <t>flat</t>
        </is>
      </c>
      <c r="EF564" t="b">
        <v>0</v>
      </c>
      <c r="EG564" t="n">
        <v>0</v>
      </c>
      <c r="EH564" t="n">
        <v>100</v>
      </c>
      <c r="EI564" t="n">
        <v>499</v>
      </c>
    </row>
    <row r="565">
      <c r="A565" t="inlineStr">
        <is>
          <t>Ryan Giles</t>
        </is>
      </c>
      <c r="B565" t="inlineStr">
        <is>
          <t>HUL</t>
        </is>
      </c>
      <c r="C565" t="inlineStr">
        <is>
          <t>DEF</t>
        </is>
      </c>
      <c r="E565" t="n">
        <v>4</v>
      </c>
      <c r="F565" t="b">
        <v>1</v>
      </c>
      <c r="G565" t="b">
        <v>0</v>
      </c>
      <c r="H565" t="n">
        <v>26.6</v>
      </c>
      <c r="I565" t="inlineStr">
        <is>
          <t>a</t>
        </is>
      </c>
      <c r="M565" t="n">
        <v>282</v>
      </c>
      <c r="O565" t="n">
        <v>1</v>
      </c>
      <c r="P565" t="n">
        <v>1</v>
      </c>
      <c r="DO565" t="n">
        <v>0.8</v>
      </c>
      <c r="DP565" t="n">
        <v>86.13</v>
      </c>
      <c r="DQ565" t="n">
        <v>43.07</v>
      </c>
      <c r="DR565" t="n">
        <v>86.14</v>
      </c>
      <c r="DS565" t="n">
        <v>-0.01</v>
      </c>
      <c r="DT565" t="n">
        <v>2787</v>
      </c>
      <c r="DU565" t="n">
        <v>73.34999999999999</v>
      </c>
      <c r="DV565" t="inlineStr">
        <is>
          <t>flat</t>
        </is>
      </c>
      <c r="DW565" t="n">
        <v>95.15000000000001</v>
      </c>
      <c r="DX565" t="n">
        <v>86</v>
      </c>
      <c r="DY565" t="n">
        <v>102.6</v>
      </c>
      <c r="DZ565" t="n">
        <v>7.44</v>
      </c>
      <c r="EA565" t="n">
        <v>8</v>
      </c>
      <c r="EB565" t="n">
        <v>21.85</v>
      </c>
      <c r="EC565" t="n">
        <v>28</v>
      </c>
      <c r="ED565" t="n">
        <v>116</v>
      </c>
      <c r="EE565" t="n">
        <v>14</v>
      </c>
      <c r="EF565" t="b">
        <v>1</v>
      </c>
      <c r="EG565" t="n">
        <v>0.3</v>
      </c>
      <c r="EH565" t="n">
        <v>12.5</v>
      </c>
      <c r="EI565" t="n">
        <v>559</v>
      </c>
    </row>
    <row r="566">
      <c r="A566" t="inlineStr">
        <is>
          <t>Anis Mehmeti</t>
        </is>
      </c>
      <c r="B566" t="inlineStr">
        <is>
          <t>IPS</t>
        </is>
      </c>
      <c r="C566" t="inlineStr">
        <is>
          <t>MID</t>
        </is>
      </c>
      <c r="E566" t="n">
        <v>5</v>
      </c>
      <c r="F566" t="b">
        <v>1</v>
      </c>
      <c r="G566" t="b">
        <v>0</v>
      </c>
      <c r="H566" t="n">
        <v>25.6</v>
      </c>
      <c r="I566" t="inlineStr">
        <is>
          <t>a</t>
        </is>
      </c>
      <c r="M566" t="n">
        <v>324</v>
      </c>
      <c r="DO566" t="n">
        <v>0.1</v>
      </c>
      <c r="DP566" t="n">
        <v>55.83</v>
      </c>
      <c r="DQ566" t="n">
        <v>27.99</v>
      </c>
      <c r="DR566" t="n">
        <v>55.98</v>
      </c>
      <c r="DS566" t="n">
        <v>-0.15</v>
      </c>
      <c r="DT566" t="n">
        <v>1146</v>
      </c>
      <c r="DU566" t="n">
        <v>30.16</v>
      </c>
      <c r="DV566" t="inlineStr">
        <is>
          <t>flat</t>
        </is>
      </c>
      <c r="DW566" t="n">
        <v>80.5</v>
      </c>
      <c r="DX566" t="n">
        <v>80.5</v>
      </c>
      <c r="DY566" t="n">
        <v>80.5</v>
      </c>
      <c r="DZ566" t="n">
        <v>0</v>
      </c>
      <c r="EA566" t="n">
        <v>2</v>
      </c>
      <c r="EB566" t="n">
        <v>37.48</v>
      </c>
      <c r="EC566" t="n">
        <v>54</v>
      </c>
      <c r="ED566" t="n">
        <v>107</v>
      </c>
      <c r="EE566" t="n">
        <v>2</v>
      </c>
      <c r="EF566" t="b">
        <v>0</v>
      </c>
      <c r="EG566" t="n">
        <v>0.1</v>
      </c>
      <c r="EH566" t="n">
        <v>33.3</v>
      </c>
      <c r="EI566" t="n">
        <v>364</v>
      </c>
    </row>
    <row r="567">
      <c r="A567" t="inlineStr">
        <is>
          <t>Anthony Gordon</t>
        </is>
      </c>
      <c r="D567" t="inlineStr">
        <is>
          <t>MID</t>
        </is>
      </c>
      <c r="F567" t="b">
        <v>0</v>
      </c>
      <c r="G567" t="b">
        <v>1</v>
      </c>
      <c r="L567" t="inlineStr">
        <is>
          <t>p232826</t>
        </is>
      </c>
      <c r="Q567" t="n">
        <v>1814</v>
      </c>
      <c r="R567" t="n">
        <v>26</v>
      </c>
      <c r="T567" t="n">
        <v>20.156</v>
      </c>
      <c r="U567" t="n">
        <v>69.8</v>
      </c>
      <c r="Z567" t="n">
        <v>2</v>
      </c>
      <c r="AD567" t="n">
        <v>9</v>
      </c>
      <c r="AE567" t="n">
        <v>-1</v>
      </c>
      <c r="AG567" t="n">
        <v>349</v>
      </c>
      <c r="AH567" t="n">
        <v>-3</v>
      </c>
      <c r="AI567" t="n">
        <v>100</v>
      </c>
      <c r="AN567" t="n">
        <v>0</v>
      </c>
      <c r="AO567" t="n">
        <v>0</v>
      </c>
      <c r="AP567" t="n">
        <v>0</v>
      </c>
      <c r="AQ567" t="n">
        <v>0</v>
      </c>
      <c r="AR567" t="n">
        <v>0</v>
      </c>
      <c r="AS567" t="n">
        <v>0.632</v>
      </c>
      <c r="AT567" t="n">
        <v>0.8080000000000001</v>
      </c>
      <c r="AU567" t="n">
        <v>12</v>
      </c>
      <c r="AV567" t="n">
        <v>4</v>
      </c>
      <c r="AW567" t="n">
        <v>3.31</v>
      </c>
      <c r="AX567" t="n">
        <v>11</v>
      </c>
      <c r="AZ567" t="n">
        <v>8.756</v>
      </c>
      <c r="BA567" t="n">
        <v>8.756</v>
      </c>
      <c r="BB567" t="n">
        <v>6.473</v>
      </c>
      <c r="BD567" t="n">
        <v>0.434</v>
      </c>
      <c r="BE567" t="n">
        <v>0.434</v>
      </c>
      <c r="BF567" t="n">
        <v>6.2</v>
      </c>
      <c r="BG567" t="n">
        <v>0.308</v>
      </c>
      <c r="BH567" t="n">
        <v>0.909</v>
      </c>
      <c r="BI567" t="n">
        <v>31.72</v>
      </c>
      <c r="BJ567" t="n">
        <v>7.971</v>
      </c>
      <c r="BK567" t="n">
        <v>0.395</v>
      </c>
      <c r="BP567" t="n">
        <v>48</v>
      </c>
      <c r="BQ567" t="n">
        <v>20</v>
      </c>
      <c r="BR567" t="n">
        <v>9</v>
      </c>
      <c r="BS567" t="n">
        <v>84</v>
      </c>
      <c r="BT567" t="n">
        <v>4.168</v>
      </c>
      <c r="BU567" t="n">
        <v>3</v>
      </c>
      <c r="BX567" t="n">
        <v>3.715</v>
      </c>
      <c r="BY567" t="n">
        <v>3.715</v>
      </c>
      <c r="BZ567" t="n">
        <v>0.184</v>
      </c>
      <c r="CA567" t="n">
        <v>12.471</v>
      </c>
      <c r="CB567" t="n">
        <v>0.619</v>
      </c>
      <c r="CC567" t="n">
        <v>26</v>
      </c>
      <c r="CD567" t="n">
        <v>5</v>
      </c>
      <c r="CE567" t="n">
        <v>26</v>
      </c>
      <c r="CF567" t="n">
        <v>15</v>
      </c>
      <c r="CG567" t="n">
        <v>2</v>
      </c>
      <c r="CH567" t="n">
        <v>4</v>
      </c>
      <c r="CI567" t="n">
        <v>10.977</v>
      </c>
      <c r="CJ567" t="n">
        <v>4.043</v>
      </c>
      <c r="CN567" t="n">
        <v>13</v>
      </c>
      <c r="CO567" t="n">
        <v>3</v>
      </c>
      <c r="CP567" t="n">
        <v>13</v>
      </c>
      <c r="CR567" t="n">
        <v>100</v>
      </c>
      <c r="CS567" t="n">
        <v>8</v>
      </c>
      <c r="CT567" t="n">
        <v>0.5</v>
      </c>
      <c r="CU567" t="n">
        <v>1</v>
      </c>
      <c r="CV567" t="n">
        <v>1</v>
      </c>
      <c r="DE567" t="n">
        <v>6.96</v>
      </c>
      <c r="DH567" t="n">
        <v>13</v>
      </c>
      <c r="DI567" t="n">
        <v>40</v>
      </c>
      <c r="DJ567" t="n">
        <v>1</v>
      </c>
      <c r="DL567" t="n">
        <v>33</v>
      </c>
      <c r="DM567" t="n">
        <v>26</v>
      </c>
      <c r="DN567" t="n">
        <v>5</v>
      </c>
      <c r="EJ567" t="n">
        <v>37.8</v>
      </c>
      <c r="EK567" t="n">
        <v>21.6</v>
      </c>
      <c r="EL567" t="n">
        <v>69.8</v>
      </c>
      <c r="EM567" t="n">
        <v>207.2</v>
      </c>
      <c r="EN567" t="n">
        <v>488.3</v>
      </c>
      <c r="EO567" t="n">
        <v>145.5</v>
      </c>
    </row>
    <row r="568">
      <c r="A568" t="inlineStr">
        <is>
          <t>Liam Millar</t>
        </is>
      </c>
      <c r="B568" t="inlineStr">
        <is>
          <t>HUL</t>
        </is>
      </c>
      <c r="C568" t="inlineStr">
        <is>
          <t>MID</t>
        </is>
      </c>
      <c r="E568" t="n">
        <v>5</v>
      </c>
      <c r="F568" t="b">
        <v>1</v>
      </c>
      <c r="G568" t="b">
        <v>0</v>
      </c>
      <c r="H568" t="n">
        <v>26.9</v>
      </c>
      <c r="I568" t="inlineStr">
        <is>
          <t>a</t>
        </is>
      </c>
      <c r="M568" t="n">
        <v>287</v>
      </c>
      <c r="DO568" t="n">
        <v>0.1</v>
      </c>
      <c r="DP568" t="n">
        <v>83.93000000000001</v>
      </c>
      <c r="DQ568" t="n">
        <v>42.09</v>
      </c>
      <c r="DR568" t="n">
        <v>84.18000000000001</v>
      </c>
      <c r="DS568" t="n">
        <v>-0.25</v>
      </c>
      <c r="DT568" t="n">
        <v>1978</v>
      </c>
      <c r="DU568" t="n">
        <v>52.05</v>
      </c>
      <c r="DV568" t="inlineStr">
        <is>
          <t>flat</t>
        </is>
      </c>
      <c r="DW568" t="n">
        <v>103.11</v>
      </c>
      <c r="DY568" t="n">
        <v>103.11</v>
      </c>
      <c r="DZ568" t="n">
        <v>0</v>
      </c>
      <c r="EA568" t="n">
        <v>2</v>
      </c>
      <c r="EB568" t="n">
        <v>10.06</v>
      </c>
      <c r="EC568" t="n">
        <v>96</v>
      </c>
      <c r="ED568" t="n">
        <v>110.22</v>
      </c>
      <c r="EE568" t="n">
        <v>2</v>
      </c>
      <c r="EF568" t="b">
        <v>0</v>
      </c>
      <c r="EG568" t="n">
        <v>0.1</v>
      </c>
      <c r="EH568" t="n">
        <v>33.3</v>
      </c>
      <c r="EI568" t="n">
        <v>352</v>
      </c>
    </row>
    <row r="569">
      <c r="A569" t="inlineStr">
        <is>
          <t>Konstantinos Mavropanos</t>
        </is>
      </c>
      <c r="D569" t="inlineStr">
        <is>
          <t>DEF</t>
        </is>
      </c>
      <c r="F569" t="b">
        <v>0</v>
      </c>
      <c r="G569" t="b">
        <v>1</v>
      </c>
      <c r="L569" t="inlineStr">
        <is>
          <t>p233963</t>
        </is>
      </c>
      <c r="Q569" t="n">
        <v>2528</v>
      </c>
      <c r="R569" t="n">
        <v>31</v>
      </c>
      <c r="T569" t="n">
        <v>28.089</v>
      </c>
      <c r="U569" t="n">
        <v>81.5</v>
      </c>
      <c r="AD569" t="n">
        <v>5</v>
      </c>
      <c r="AE569" t="n">
        <v>0</v>
      </c>
      <c r="AG569" t="n">
        <v>336</v>
      </c>
      <c r="AH569" t="n">
        <v>-50</v>
      </c>
      <c r="AI569" t="n">
        <v>122</v>
      </c>
      <c r="AN569" t="n">
        <v>18</v>
      </c>
      <c r="AO569" t="n">
        <v>36</v>
      </c>
      <c r="AP569" t="n">
        <v>0.667</v>
      </c>
      <c r="AQ569" t="n">
        <v>0.667</v>
      </c>
      <c r="AR569" t="n">
        <v>0.407</v>
      </c>
      <c r="AS569" t="n">
        <v>0.711</v>
      </c>
      <c r="AT569" t="n">
        <v>0.871</v>
      </c>
      <c r="AU569" t="n">
        <v>12</v>
      </c>
      <c r="AV569" t="n">
        <v>2</v>
      </c>
      <c r="AW569" t="n">
        <v>4.01</v>
      </c>
      <c r="AX569" t="n">
        <v>21</v>
      </c>
      <c r="AZ569" t="n">
        <v>2.791</v>
      </c>
      <c r="BA569" t="n">
        <v>2.791</v>
      </c>
      <c r="BB569" t="n">
        <v>2.791</v>
      </c>
      <c r="BD569" t="n">
        <v>0.099</v>
      </c>
      <c r="BE569" t="n">
        <v>0.099</v>
      </c>
      <c r="BF569" t="n">
        <v>4.3</v>
      </c>
      <c r="BG569" t="n">
        <v>0.153</v>
      </c>
      <c r="BH569" t="n">
        <v>1.032</v>
      </c>
      <c r="BI569" t="n">
        <v>5.27</v>
      </c>
      <c r="BJ569" t="n">
        <v>2.55</v>
      </c>
      <c r="BK569" t="n">
        <v>0.091</v>
      </c>
      <c r="BP569" t="n">
        <v>23</v>
      </c>
      <c r="BQ569" t="n">
        <v>8</v>
      </c>
      <c r="BR569" t="n">
        <v>3</v>
      </c>
      <c r="BS569" t="n">
        <v>40</v>
      </c>
      <c r="BT569" t="n">
        <v>1.424</v>
      </c>
      <c r="BV569" t="n">
        <v>2</v>
      </c>
      <c r="BX569" t="n">
        <v>0.49</v>
      </c>
      <c r="BY569" t="n">
        <v>0.49</v>
      </c>
      <c r="BZ569" t="n">
        <v>0.017</v>
      </c>
      <c r="CA569" t="n">
        <v>3.281</v>
      </c>
      <c r="CB569" t="n">
        <v>0.117</v>
      </c>
      <c r="CC569" t="n">
        <v>4</v>
      </c>
      <c r="CD569" t="n">
        <v>0</v>
      </c>
      <c r="CE569" t="n">
        <v>4</v>
      </c>
      <c r="CF569" t="n">
        <v>1</v>
      </c>
      <c r="CI569" t="n">
        <v>4.458</v>
      </c>
      <c r="CJ569" t="n">
        <v>4.094</v>
      </c>
      <c r="CN569" t="n">
        <v>25</v>
      </c>
      <c r="CO569" t="n">
        <v>49</v>
      </c>
      <c r="CP569" t="n">
        <v>194</v>
      </c>
      <c r="CQ569" t="n">
        <v>30</v>
      </c>
      <c r="CR569" t="n">
        <v>134</v>
      </c>
      <c r="CS569" t="n">
        <v>84</v>
      </c>
      <c r="CT569" t="n">
        <v>0.1</v>
      </c>
      <c r="CV569" t="n">
        <v>2</v>
      </c>
      <c r="DE569" t="n">
        <v>6.92</v>
      </c>
      <c r="DH569" t="n">
        <v>16</v>
      </c>
      <c r="DI569" t="n">
        <v>9</v>
      </c>
      <c r="DK569" t="n">
        <v>0</v>
      </c>
      <c r="DL569" t="n">
        <v>2</v>
      </c>
      <c r="DM569" t="n">
        <v>2</v>
      </c>
      <c r="DN569" t="n">
        <v>2</v>
      </c>
      <c r="EJ569" t="n">
        <v>109.9</v>
      </c>
      <c r="EK569" t="n">
        <v>63.2</v>
      </c>
      <c r="EL569" t="n">
        <v>632</v>
      </c>
      <c r="EM569" t="n">
        <v>905.7</v>
      </c>
      <c r="EN569" t="n">
        <v>5163.6</v>
      </c>
      <c r="EO569" t="n">
        <v>770.6</v>
      </c>
    </row>
    <row r="570">
      <c r="A570" t="inlineStr">
        <is>
          <t>Azor Matusiwa</t>
        </is>
      </c>
      <c r="B570" t="inlineStr">
        <is>
          <t>IPS</t>
        </is>
      </c>
      <c r="C570" t="inlineStr">
        <is>
          <t>MID</t>
        </is>
      </c>
      <c r="E570" t="n">
        <v>5</v>
      </c>
      <c r="F570" t="b">
        <v>1</v>
      </c>
      <c r="G570" t="b">
        <v>0</v>
      </c>
      <c r="H570" t="n">
        <v>28.3</v>
      </c>
      <c r="I570" t="inlineStr">
        <is>
          <t>i</t>
        </is>
      </c>
      <c r="J570" t="inlineStr">
        <is>
          <t>Muscular injury - Unknown return date</t>
        </is>
      </c>
      <c r="K570" t="n">
        <v>0</v>
      </c>
      <c r="M570" t="n">
        <v>310</v>
      </c>
      <c r="DO570" t="n">
        <v>0</v>
      </c>
      <c r="DP570" t="n">
        <v>38.47</v>
      </c>
      <c r="DQ570" t="n">
        <v>18.92</v>
      </c>
      <c r="DR570" t="n">
        <v>37.84</v>
      </c>
      <c r="DS570" t="n">
        <v>0.63</v>
      </c>
      <c r="DT570" t="n">
        <v>800</v>
      </c>
      <c r="DU570" t="n">
        <v>21.04</v>
      </c>
      <c r="DV570" t="inlineStr">
        <is>
          <t>flat</t>
        </is>
      </c>
      <c r="EF570" t="b">
        <v>0</v>
      </c>
      <c r="EG570" t="n">
        <v>0</v>
      </c>
      <c r="EH570" t="n">
        <v>100</v>
      </c>
      <c r="EI570" t="n">
        <v>357</v>
      </c>
    </row>
    <row r="571">
      <c r="A571" t="inlineStr">
        <is>
          <t>Ephron Mason-Clark</t>
        </is>
      </c>
      <c r="B571" t="inlineStr">
        <is>
          <t>COV</t>
        </is>
      </c>
      <c r="C571" t="inlineStr">
        <is>
          <t>MID</t>
        </is>
      </c>
      <c r="E571" t="n">
        <v>5.5</v>
      </c>
      <c r="F571" t="b">
        <v>1</v>
      </c>
      <c r="G571" t="b">
        <v>0</v>
      </c>
      <c r="H571" t="n">
        <v>27</v>
      </c>
      <c r="I571" t="inlineStr">
        <is>
          <t>a</t>
        </is>
      </c>
      <c r="M571" t="n">
        <v>186</v>
      </c>
      <c r="DO571" t="n">
        <v>0.3</v>
      </c>
      <c r="DP571" t="n">
        <v>111.08</v>
      </c>
      <c r="DQ571" t="n">
        <v>55.5</v>
      </c>
      <c r="DR571" t="n">
        <v>111</v>
      </c>
      <c r="DS571" t="n">
        <v>0.08</v>
      </c>
      <c r="DT571" t="n">
        <v>2440</v>
      </c>
      <c r="DU571" t="n">
        <v>64.2</v>
      </c>
      <c r="DV571" t="inlineStr">
        <is>
          <t>flat</t>
        </is>
      </c>
      <c r="DW571" t="n">
        <v>84.63</v>
      </c>
      <c r="DX571" t="n">
        <v>88.5</v>
      </c>
      <c r="DY571" t="n">
        <v>79.25</v>
      </c>
      <c r="DZ571" t="n">
        <v>-5.38</v>
      </c>
      <c r="EA571" t="n">
        <v>22</v>
      </c>
      <c r="EB571" t="n">
        <v>21.52</v>
      </c>
      <c r="EC571" t="n">
        <v>29.14</v>
      </c>
      <c r="ED571" t="n">
        <v>120</v>
      </c>
      <c r="EE571" t="n">
        <v>35</v>
      </c>
      <c r="EF571" t="b">
        <v>1</v>
      </c>
      <c r="EG571" t="n">
        <v>0.8</v>
      </c>
      <c r="EH571" t="n">
        <v>12.5</v>
      </c>
      <c r="EI571" t="n">
        <v>204</v>
      </c>
    </row>
    <row r="572">
      <c r="A572" t="inlineStr">
        <is>
          <t>Oscar Mingueza</t>
        </is>
      </c>
      <c r="B572" t="inlineStr">
        <is>
          <t>CRY</t>
        </is>
      </c>
      <c r="C572" t="inlineStr">
        <is>
          <t>DEF</t>
        </is>
      </c>
      <c r="E572" t="n">
        <v>4.5</v>
      </c>
      <c r="F572" t="b">
        <v>1</v>
      </c>
      <c r="G572" t="b">
        <v>0</v>
      </c>
      <c r="H572" t="n">
        <v>27.3</v>
      </c>
      <c r="I572" t="inlineStr">
        <is>
          <t>a</t>
        </is>
      </c>
      <c r="M572" t="n">
        <v>207</v>
      </c>
      <c r="DO572" t="n">
        <v>0.1</v>
      </c>
      <c r="DP572" t="n">
        <v>46.72</v>
      </c>
      <c r="DQ572" t="n">
        <v>23.36</v>
      </c>
      <c r="DR572" t="n">
        <v>46.72</v>
      </c>
      <c r="DS572" t="n">
        <v>0</v>
      </c>
      <c r="DT572" t="n">
        <v>1197</v>
      </c>
      <c r="DU572" t="n">
        <v>31.5</v>
      </c>
      <c r="DV572" t="inlineStr">
        <is>
          <t>flat</t>
        </is>
      </c>
      <c r="DW572" t="n">
        <v>97.25</v>
      </c>
      <c r="DX572" t="n">
        <v>102.2</v>
      </c>
      <c r="DY572" t="n">
        <v>98.19</v>
      </c>
      <c r="DZ572" t="n">
        <v>0.9399999999999999</v>
      </c>
      <c r="EA572" t="n">
        <v>18</v>
      </c>
      <c r="EB572" t="n">
        <v>16.16</v>
      </c>
      <c r="EC572" t="n">
        <v>50.4</v>
      </c>
      <c r="ED572" t="n">
        <v>120</v>
      </c>
      <c r="EE572" t="n">
        <v>25</v>
      </c>
      <c r="EF572" t="b">
        <v>1</v>
      </c>
      <c r="EG572" t="n">
        <v>0.6</v>
      </c>
      <c r="EH572" t="n">
        <v>13.8</v>
      </c>
      <c r="EI572" t="n">
        <v>487</v>
      </c>
    </row>
    <row r="573">
      <c r="A573" t="inlineStr">
        <is>
          <t>Regan Slater</t>
        </is>
      </c>
      <c r="B573" t="inlineStr">
        <is>
          <t>HUL</t>
        </is>
      </c>
      <c r="C573" t="inlineStr">
        <is>
          <t>MID</t>
        </is>
      </c>
      <c r="E573" t="n">
        <v>4.5</v>
      </c>
      <c r="F573" t="b">
        <v>1</v>
      </c>
      <c r="G573" t="b">
        <v>0</v>
      </c>
      <c r="H573" t="n">
        <v>26.9</v>
      </c>
      <c r="I573" t="inlineStr">
        <is>
          <t>a</t>
        </is>
      </c>
      <c r="M573" t="n">
        <v>290</v>
      </c>
      <c r="O573" t="n">
        <v>2</v>
      </c>
      <c r="DO573" t="n">
        <v>2.2</v>
      </c>
      <c r="DP573" t="n">
        <v>98.5</v>
      </c>
      <c r="DQ573" t="n">
        <v>49.61</v>
      </c>
      <c r="DR573" t="n">
        <v>99.22</v>
      </c>
      <c r="DS573" t="n">
        <v>-0.72</v>
      </c>
      <c r="DT573" t="n">
        <v>2770</v>
      </c>
      <c r="DU573" t="n">
        <v>72.90000000000001</v>
      </c>
      <c r="DV573" t="inlineStr">
        <is>
          <t>flat</t>
        </is>
      </c>
      <c r="DW573" t="n">
        <v>89.22</v>
      </c>
      <c r="DX573" t="n">
        <v>75</v>
      </c>
      <c r="DY573" t="n">
        <v>91.56999999999999</v>
      </c>
      <c r="DZ573" t="n">
        <v>2.36</v>
      </c>
      <c r="EA573" t="n">
        <v>6</v>
      </c>
      <c r="EB573" t="n">
        <v>21.83</v>
      </c>
      <c r="EC573" t="n">
        <v>40</v>
      </c>
      <c r="ED573" t="n">
        <v>115.5</v>
      </c>
      <c r="EE573" t="n">
        <v>9</v>
      </c>
      <c r="EF573" t="b">
        <v>0</v>
      </c>
      <c r="EG573" t="n">
        <v>0.2</v>
      </c>
      <c r="EH573" t="n">
        <v>18.2</v>
      </c>
      <c r="EI573" t="n">
        <v>492</v>
      </c>
    </row>
    <row r="574">
      <c r="A574" t="inlineStr">
        <is>
          <t>Hayden Hackney</t>
        </is>
      </c>
      <c r="B574" t="inlineStr">
        <is>
          <t>EVE</t>
        </is>
      </c>
      <c r="C574" t="inlineStr">
        <is>
          <t>MID</t>
        </is>
      </c>
      <c r="E574" t="n">
        <v>5.5</v>
      </c>
      <c r="F574" t="b">
        <v>1</v>
      </c>
      <c r="G574" t="b">
        <v>0</v>
      </c>
      <c r="H574" t="n">
        <v>24.2</v>
      </c>
      <c r="I574" t="inlineStr">
        <is>
          <t>a</t>
        </is>
      </c>
      <c r="M574" t="n">
        <v>247</v>
      </c>
      <c r="DO574" t="n">
        <v>0.3</v>
      </c>
      <c r="DP574" t="n">
        <v>53.66</v>
      </c>
      <c r="DQ574" t="n">
        <v>28.25</v>
      </c>
      <c r="DR574" t="n">
        <v>56.5</v>
      </c>
      <c r="DS574" t="n">
        <v>-2.84</v>
      </c>
      <c r="DT574" t="n">
        <v>1053</v>
      </c>
      <c r="DU574" t="n">
        <v>27.7</v>
      </c>
      <c r="DV574" t="inlineStr">
        <is>
          <t>fade (losing his place)</t>
        </is>
      </c>
      <c r="DW574" t="n">
        <v>89.3</v>
      </c>
      <c r="DX574" t="n">
        <v>89.3</v>
      </c>
      <c r="DY574" t="n">
        <v>89.69</v>
      </c>
      <c r="DZ574" t="n">
        <v>0.38</v>
      </c>
      <c r="EA574" t="n">
        <v>29</v>
      </c>
      <c r="EB574" t="n">
        <v>17.91</v>
      </c>
      <c r="EC574" t="n">
        <v>33.85</v>
      </c>
      <c r="ED574" t="n">
        <v>118.4</v>
      </c>
      <c r="EE574" t="n">
        <v>47</v>
      </c>
      <c r="EF574" t="b">
        <v>1</v>
      </c>
      <c r="EG574" t="n">
        <v>1.2</v>
      </c>
      <c r="EH574" t="n">
        <v>19</v>
      </c>
      <c r="EI574" t="n">
        <v>208</v>
      </c>
    </row>
    <row r="575">
      <c r="A575" t="inlineStr">
        <is>
          <t>Valentín Castellanos</t>
        </is>
      </c>
      <c r="D575" t="inlineStr">
        <is>
          <t>FWD</t>
        </is>
      </c>
      <c r="F575" t="b">
        <v>0</v>
      </c>
      <c r="G575" t="b">
        <v>1</v>
      </c>
      <c r="L575" t="inlineStr">
        <is>
          <t>p247670</t>
        </is>
      </c>
      <c r="Q575" t="n">
        <v>1395</v>
      </c>
      <c r="R575" t="n">
        <v>18</v>
      </c>
      <c r="T575" t="n">
        <v>15.5</v>
      </c>
      <c r="U575" t="n">
        <v>77.5</v>
      </c>
      <c r="AD575" t="n">
        <v>5</v>
      </c>
      <c r="AE575" t="n">
        <v>0</v>
      </c>
      <c r="AG575" t="n">
        <v>237</v>
      </c>
      <c r="AH575" t="n">
        <v>-6</v>
      </c>
      <c r="AI575" t="n">
        <v>61</v>
      </c>
      <c r="AN575" t="n">
        <v>0</v>
      </c>
      <c r="AO575" t="n">
        <v>0</v>
      </c>
      <c r="AP575" t="n">
        <v>0</v>
      </c>
      <c r="AQ575" t="n">
        <v>0</v>
      </c>
      <c r="AR575" t="n">
        <v>0</v>
      </c>
      <c r="AS575" t="n">
        <v>0.447</v>
      </c>
      <c r="AT575" t="n">
        <v>0.944</v>
      </c>
      <c r="AU575" t="n">
        <v>12</v>
      </c>
      <c r="AV575" t="n">
        <v>1</v>
      </c>
      <c r="AW575" t="n">
        <v>2.95</v>
      </c>
      <c r="AX575" t="n">
        <v>11</v>
      </c>
      <c r="AZ575" t="n">
        <v>7.12</v>
      </c>
      <c r="BA575" t="n">
        <v>7.12</v>
      </c>
      <c r="BB575" t="n">
        <v>7.12</v>
      </c>
      <c r="BD575" t="n">
        <v>0.459</v>
      </c>
      <c r="BE575" t="n">
        <v>0.459</v>
      </c>
      <c r="BF575" t="n">
        <v>6.3</v>
      </c>
      <c r="BG575" t="n">
        <v>0.406</v>
      </c>
      <c r="BH575" t="n">
        <v>1.04</v>
      </c>
      <c r="BI575" t="n">
        <v>5.75</v>
      </c>
      <c r="BJ575" t="n">
        <v>5.98</v>
      </c>
      <c r="BK575" t="n">
        <v>0.386</v>
      </c>
      <c r="BP575" t="n">
        <v>50</v>
      </c>
      <c r="BQ575" t="n">
        <v>22</v>
      </c>
      <c r="BR575" t="n">
        <v>9</v>
      </c>
      <c r="BS575" t="n">
        <v>75</v>
      </c>
      <c r="BT575" t="n">
        <v>4.839</v>
      </c>
      <c r="BV575" t="n">
        <v>3</v>
      </c>
      <c r="BX575" t="n">
        <v>0.748</v>
      </c>
      <c r="BY575" t="n">
        <v>0.748</v>
      </c>
      <c r="BZ575" t="n">
        <v>0.048</v>
      </c>
      <c r="CA575" t="n">
        <v>7.867</v>
      </c>
      <c r="CB575" t="n">
        <v>0.508</v>
      </c>
      <c r="CC575" t="n">
        <v>12</v>
      </c>
      <c r="CD575" t="n">
        <v>1</v>
      </c>
      <c r="CE575" t="n">
        <v>12</v>
      </c>
      <c r="CF575" t="n">
        <v>2</v>
      </c>
      <c r="CG575" t="n">
        <v>1</v>
      </c>
      <c r="CI575" t="n">
        <v>6.779</v>
      </c>
      <c r="CJ575" t="n">
        <v>1.139</v>
      </c>
      <c r="CN575" t="n">
        <v>8</v>
      </c>
      <c r="CO575" t="n">
        <v>6</v>
      </c>
      <c r="CP575" t="n">
        <v>21</v>
      </c>
      <c r="CQ575" t="n">
        <v>2</v>
      </c>
      <c r="CR575" t="n">
        <v>56</v>
      </c>
      <c r="CS575" t="n">
        <v>27</v>
      </c>
      <c r="DH575" t="n">
        <v>32</v>
      </c>
      <c r="DI575" t="n">
        <v>16</v>
      </c>
      <c r="DK575" t="n">
        <v>0</v>
      </c>
      <c r="DL575" t="n">
        <v>2</v>
      </c>
      <c r="DM575" t="n">
        <v>11</v>
      </c>
      <c r="DN575" t="n">
        <v>9</v>
      </c>
      <c r="EJ575" t="n">
        <v>27.9</v>
      </c>
      <c r="EK575" t="n">
        <v>18.6</v>
      </c>
      <c r="EL575" t="n">
        <v>116.2</v>
      </c>
      <c r="EM575" t="n">
        <v>195.9</v>
      </c>
      <c r="EN575" t="n">
        <v>1866.2</v>
      </c>
      <c r="EO575" t="n">
        <v>177.3</v>
      </c>
    </row>
    <row r="576">
      <c r="A576" t="inlineStr">
        <is>
          <t>Randal Kolo Muani</t>
        </is>
      </c>
      <c r="D576" t="inlineStr">
        <is>
          <t>FWD</t>
        </is>
      </c>
      <c r="F576" t="b">
        <v>0</v>
      </c>
      <c r="G576" t="b">
        <v>1</v>
      </c>
      <c r="L576" t="inlineStr">
        <is>
          <t>p247693</t>
        </is>
      </c>
      <c r="Q576" t="n">
        <v>1670</v>
      </c>
      <c r="R576" t="n">
        <v>30</v>
      </c>
      <c r="T576" t="n">
        <v>18.556</v>
      </c>
      <c r="U576" t="n">
        <v>55.7</v>
      </c>
      <c r="Z576" t="n">
        <v>1</v>
      </c>
      <c r="AD576" t="n">
        <v>1</v>
      </c>
      <c r="AE576" t="n">
        <v>0</v>
      </c>
      <c r="AG576" t="n">
        <v>146</v>
      </c>
      <c r="AH576" t="n">
        <v>-4</v>
      </c>
      <c r="AI576" t="n">
        <v>52</v>
      </c>
      <c r="AN576" t="n">
        <v>0</v>
      </c>
      <c r="AO576" t="n">
        <v>0</v>
      </c>
      <c r="AP576" t="n">
        <v>0</v>
      </c>
      <c r="AQ576" t="n">
        <v>0</v>
      </c>
      <c r="AR576" t="n">
        <v>0</v>
      </c>
      <c r="AS576" t="n">
        <v>0.553</v>
      </c>
      <c r="AT576" t="n">
        <v>0.5669999999999999</v>
      </c>
      <c r="AU576" t="n">
        <v>28</v>
      </c>
      <c r="AV576" t="n">
        <v>0</v>
      </c>
      <c r="AW576" t="n">
        <v>1.27</v>
      </c>
      <c r="AX576" t="n">
        <v>7</v>
      </c>
      <c r="AZ576" t="n">
        <v>2.701</v>
      </c>
      <c r="BA576" t="n">
        <v>2.701</v>
      </c>
      <c r="BB576" t="n">
        <v>2.701</v>
      </c>
      <c r="BD576" t="n">
        <v>0.146</v>
      </c>
      <c r="BE576" t="n">
        <v>0.146</v>
      </c>
      <c r="BF576" t="n">
        <v>1.9</v>
      </c>
      <c r="BG576" t="n">
        <v>0.102</v>
      </c>
      <c r="BH576" t="n">
        <v>0.983</v>
      </c>
      <c r="BI576" t="n">
        <v>2.07</v>
      </c>
      <c r="BJ576" t="n">
        <v>2.035</v>
      </c>
      <c r="BK576" t="n">
        <v>0.11</v>
      </c>
      <c r="BP576" t="n">
        <v>20</v>
      </c>
      <c r="BQ576" t="n">
        <v>4</v>
      </c>
      <c r="BR576" t="n">
        <v>7</v>
      </c>
      <c r="BS576" t="n">
        <v>77</v>
      </c>
      <c r="BT576" t="n">
        <v>4.15</v>
      </c>
      <c r="BX576" t="n">
        <v>1.847</v>
      </c>
      <c r="BY576" t="n">
        <v>1.847</v>
      </c>
      <c r="BZ576" t="n">
        <v>0.1</v>
      </c>
      <c r="CA576" t="n">
        <v>4.548</v>
      </c>
      <c r="CB576" t="n">
        <v>0.245</v>
      </c>
      <c r="CC576" t="n">
        <v>19</v>
      </c>
      <c r="CD576" t="n">
        <v>2</v>
      </c>
      <c r="CE576" t="n">
        <v>19</v>
      </c>
      <c r="CF576" t="n">
        <v>7</v>
      </c>
      <c r="CI576" t="n">
        <v>4.246</v>
      </c>
      <c r="CJ576" t="n">
        <v>0.79</v>
      </c>
      <c r="CN576" t="n">
        <v>18</v>
      </c>
      <c r="CO576" t="n">
        <v>3</v>
      </c>
      <c r="CP576" t="n">
        <v>18</v>
      </c>
      <c r="CQ576" t="n">
        <v>1</v>
      </c>
      <c r="CR576" t="n">
        <v>106</v>
      </c>
      <c r="CS576" t="n">
        <v>32</v>
      </c>
      <c r="CT576" t="n">
        <v>0.6</v>
      </c>
      <c r="CU576" t="n">
        <v>1</v>
      </c>
      <c r="DE576" t="n">
        <v>6.3</v>
      </c>
      <c r="DH576" t="n">
        <v>40</v>
      </c>
      <c r="DI576" t="n">
        <v>17</v>
      </c>
      <c r="DJ576" t="n">
        <v>0</v>
      </c>
      <c r="DL576" t="n">
        <v>28</v>
      </c>
      <c r="DM576" t="n">
        <v>37</v>
      </c>
      <c r="DN576" t="n">
        <v>3</v>
      </c>
      <c r="EJ576" t="n">
        <v>83.5</v>
      </c>
      <c r="EK576" t="n">
        <v>21.7</v>
      </c>
      <c r="EL576" t="n">
        <v>87.90000000000001</v>
      </c>
      <c r="EM576" t="n">
        <v>618.4</v>
      </c>
      <c r="EN576" t="n">
        <v>904.1</v>
      </c>
      <c r="EO576" t="n">
        <v>367.2</v>
      </c>
    </row>
    <row r="577">
      <c r="A577" t="inlineStr">
        <is>
          <t>Lutsharel Geertruida</t>
        </is>
      </c>
      <c r="D577" t="inlineStr">
        <is>
          <t>DEF</t>
        </is>
      </c>
      <c r="F577" t="b">
        <v>0</v>
      </c>
      <c r="G577" t="b">
        <v>1</v>
      </c>
      <c r="L577" t="inlineStr">
        <is>
          <t>p247955</t>
        </is>
      </c>
      <c r="Q577" t="n">
        <v>1685</v>
      </c>
      <c r="R577" t="n">
        <v>28</v>
      </c>
      <c r="T577" t="n">
        <v>18.722</v>
      </c>
      <c r="U577" t="n">
        <v>60.2</v>
      </c>
      <c r="AD577" t="n">
        <v>0</v>
      </c>
      <c r="AE577" t="n">
        <v>0</v>
      </c>
      <c r="AG577" t="n">
        <v>218</v>
      </c>
      <c r="AH577" t="n">
        <v>-13</v>
      </c>
      <c r="AI577" t="n">
        <v>55</v>
      </c>
      <c r="AN577" t="n">
        <v>2</v>
      </c>
      <c r="AO577" t="n">
        <v>4</v>
      </c>
      <c r="AP577" t="n">
        <v>0.118</v>
      </c>
      <c r="AQ577" t="n">
        <v>0.118</v>
      </c>
      <c r="AR577" t="n">
        <v>0.059</v>
      </c>
      <c r="AS577" t="n">
        <v>0.447</v>
      </c>
      <c r="AT577" t="n">
        <v>0.607</v>
      </c>
      <c r="AU577" t="n">
        <v>23</v>
      </c>
      <c r="AV577" t="n">
        <v>0</v>
      </c>
      <c r="AW577" t="n">
        <v>1.63</v>
      </c>
      <c r="AX577" t="n">
        <v>6</v>
      </c>
      <c r="AZ577" t="n">
        <v>0.837</v>
      </c>
      <c r="BA577" t="n">
        <v>0.837</v>
      </c>
      <c r="BB577" t="n">
        <v>0.837</v>
      </c>
      <c r="BD577" t="n">
        <v>0.045</v>
      </c>
      <c r="BE577" t="n">
        <v>0.045</v>
      </c>
      <c r="BF577" t="n">
        <v>0.8</v>
      </c>
      <c r="BG577" t="n">
        <v>0.043</v>
      </c>
      <c r="BH577" t="n">
        <v>1.001</v>
      </c>
      <c r="BI577" t="n">
        <v>0.79</v>
      </c>
      <c r="BJ577" t="n">
        <v>0.791</v>
      </c>
      <c r="BK577" t="n">
        <v>0.042</v>
      </c>
      <c r="BP577" t="n">
        <v>11</v>
      </c>
      <c r="BQ577" t="n">
        <v>3</v>
      </c>
      <c r="BR577" t="n">
        <v>1</v>
      </c>
      <c r="BS577" t="n">
        <v>14</v>
      </c>
      <c r="BT577" t="n">
        <v>0.748</v>
      </c>
      <c r="BX577" t="n">
        <v>0.774</v>
      </c>
      <c r="BY577" t="n">
        <v>0.774</v>
      </c>
      <c r="BZ577" t="n">
        <v>0.041</v>
      </c>
      <c r="CA577" t="n">
        <v>1.611</v>
      </c>
      <c r="CB577" t="n">
        <v>0.08599999999999999</v>
      </c>
      <c r="CC577" t="n">
        <v>8</v>
      </c>
      <c r="CD577" t="n">
        <v>1</v>
      </c>
      <c r="CE577" t="n">
        <v>8</v>
      </c>
      <c r="CF577" t="n">
        <v>2</v>
      </c>
      <c r="CG577" t="n">
        <v>1</v>
      </c>
      <c r="CI577" t="n">
        <v>4.534</v>
      </c>
      <c r="CJ577" t="n">
        <v>3.29</v>
      </c>
      <c r="CN577" t="n">
        <v>21</v>
      </c>
      <c r="CO577" t="n">
        <v>19</v>
      </c>
      <c r="CP577" t="n">
        <v>47</v>
      </c>
      <c r="CQ577" t="n">
        <v>10</v>
      </c>
      <c r="CR577" t="n">
        <v>63</v>
      </c>
      <c r="CS577" t="n">
        <v>12</v>
      </c>
      <c r="CT577" t="n">
        <v>0.3</v>
      </c>
      <c r="CV577" t="n">
        <v>2</v>
      </c>
      <c r="DE577" t="n">
        <v>6.73</v>
      </c>
      <c r="DH577" t="n">
        <v>15</v>
      </c>
      <c r="DI577" t="n">
        <v>7</v>
      </c>
      <c r="DL577" t="n">
        <v>7</v>
      </c>
      <c r="DM577" t="n">
        <v>3</v>
      </c>
      <c r="DN577" t="n">
        <v>1</v>
      </c>
      <c r="EJ577" t="n">
        <v>153.2</v>
      </c>
      <c r="EK577" t="n">
        <v>120.4</v>
      </c>
      <c r="EL577" t="n">
        <v>210.6</v>
      </c>
      <c r="EM577" t="n">
        <v>2012.6</v>
      </c>
      <c r="EN577" t="n">
        <v>2177.7</v>
      </c>
      <c r="EO577" t="n">
        <v>1046</v>
      </c>
    </row>
    <row r="578">
      <c r="A578" t="inlineStr">
        <is>
          <t>Hamed Traoré</t>
        </is>
      </c>
      <c r="D578" t="inlineStr">
        <is>
          <t>MID</t>
        </is>
      </c>
      <c r="F578" t="b">
        <v>0</v>
      </c>
      <c r="G578" t="b">
        <v>1</v>
      </c>
      <c r="L578" t="inlineStr">
        <is>
          <t>p424044</t>
        </is>
      </c>
      <c r="Q578" t="n">
        <v>16</v>
      </c>
      <c r="R578" t="n">
        <v>1</v>
      </c>
      <c r="T578" t="n">
        <v>0.178</v>
      </c>
      <c r="U578" t="n">
        <v>16</v>
      </c>
      <c r="Z578" t="n">
        <v>1</v>
      </c>
      <c r="AD578" t="n">
        <v>0</v>
      </c>
      <c r="AE578" t="n">
        <v>0</v>
      </c>
      <c r="AG578" t="n">
        <v>12</v>
      </c>
      <c r="AH578" t="n">
        <v>0</v>
      </c>
      <c r="AI578" t="n">
        <v>4</v>
      </c>
      <c r="AN578" t="n">
        <v>0</v>
      </c>
      <c r="AO578" t="n">
        <v>0</v>
      </c>
      <c r="AS578" t="n">
        <v>0</v>
      </c>
      <c r="AT578" t="n">
        <v>0</v>
      </c>
      <c r="AU578" t="n">
        <v>0</v>
      </c>
      <c r="AV578" t="n">
        <v>0</v>
      </c>
      <c r="AW578" t="n">
        <v>0.65</v>
      </c>
      <c r="AX578" t="n">
        <v>4</v>
      </c>
      <c r="AZ578" t="n">
        <v>0</v>
      </c>
      <c r="BA578" t="n">
        <v>0</v>
      </c>
      <c r="BB578" t="n">
        <v>0</v>
      </c>
      <c r="BD578" t="n">
        <v>0</v>
      </c>
      <c r="BE578" t="n">
        <v>0</v>
      </c>
      <c r="BH578" t="n">
        <v>0.869</v>
      </c>
      <c r="BI578" t="n">
        <v>1.21</v>
      </c>
      <c r="BJ578" t="n">
        <v>0</v>
      </c>
      <c r="BK578" t="n">
        <v>0</v>
      </c>
      <c r="BX578" t="n">
        <v>0.096</v>
      </c>
      <c r="BY578" t="n">
        <v>0.096</v>
      </c>
      <c r="BZ578" t="n">
        <v>0.538</v>
      </c>
      <c r="CA578" t="n">
        <v>0.096</v>
      </c>
      <c r="CB578" t="n">
        <v>0.538</v>
      </c>
      <c r="CC578" t="n">
        <v>1</v>
      </c>
      <c r="CE578" t="n">
        <v>1</v>
      </c>
      <c r="CH578" t="n">
        <v>1</v>
      </c>
      <c r="CI578" t="n">
        <v>0.096</v>
      </c>
      <c r="CJ578" t="n">
        <v>0</v>
      </c>
      <c r="CP578" t="n">
        <v>1</v>
      </c>
      <c r="CR578" t="n">
        <v>1</v>
      </c>
      <c r="EL578" t="n">
        <v>16</v>
      </c>
      <c r="EN578" t="n">
        <v>167.4</v>
      </c>
      <c r="EO578" t="n">
        <v>167.4</v>
      </c>
    </row>
    <row r="579">
      <c r="A579" t="inlineStr">
        <is>
          <t>Sasa Kalajdzic</t>
        </is>
      </c>
      <c r="D579" t="inlineStr">
        <is>
          <t>FWD</t>
        </is>
      </c>
      <c r="F579" t="b">
        <v>0</v>
      </c>
      <c r="G579" t="b">
        <v>1</v>
      </c>
      <c r="L579" t="inlineStr">
        <is>
          <t>p429414</t>
        </is>
      </c>
      <c r="Q579" t="n">
        <v>14</v>
      </c>
      <c r="R579" t="n">
        <v>1</v>
      </c>
      <c r="T579" t="n">
        <v>0.156</v>
      </c>
      <c r="U579" t="n">
        <v>14</v>
      </c>
      <c r="AD579" t="n">
        <v>0</v>
      </c>
      <c r="AE579" t="n">
        <v>0</v>
      </c>
      <c r="AG579" t="n">
        <v>1</v>
      </c>
      <c r="AH579" t="n">
        <v>0</v>
      </c>
      <c r="AI579" t="n">
        <v>1</v>
      </c>
      <c r="AN579" t="n">
        <v>0</v>
      </c>
      <c r="AO579" t="n">
        <v>0</v>
      </c>
      <c r="AS579" t="n">
        <v>0</v>
      </c>
      <c r="AT579" t="n">
        <v>0</v>
      </c>
      <c r="AU579" t="n">
        <v>1</v>
      </c>
      <c r="AV579" t="n">
        <v>0</v>
      </c>
      <c r="AW579" t="n">
        <v>0.16</v>
      </c>
      <c r="AX579" t="n">
        <v>1</v>
      </c>
      <c r="AZ579" t="n">
        <v>0</v>
      </c>
      <c r="BA579" t="n">
        <v>0</v>
      </c>
      <c r="BB579" t="n">
        <v>0</v>
      </c>
      <c r="BD579" t="n">
        <v>0</v>
      </c>
      <c r="BE579" t="n">
        <v>0</v>
      </c>
      <c r="BH579" t="n">
        <v>1.034</v>
      </c>
      <c r="BI579" t="n">
        <v>1.28</v>
      </c>
      <c r="BJ579" t="n">
        <v>0</v>
      </c>
      <c r="BK579" t="n">
        <v>0</v>
      </c>
      <c r="BS579" t="n">
        <v>1</v>
      </c>
      <c r="BT579" t="n">
        <v>6.429</v>
      </c>
      <c r="BX579" t="n">
        <v>0</v>
      </c>
      <c r="BY579" t="n">
        <v>0</v>
      </c>
      <c r="BZ579" t="n">
        <v>0</v>
      </c>
      <c r="CA579" t="n">
        <v>0</v>
      </c>
      <c r="CB579" t="n">
        <v>0</v>
      </c>
      <c r="CC579" t="n">
        <v>0</v>
      </c>
      <c r="CI579" t="n">
        <v>0</v>
      </c>
      <c r="CJ579" t="n">
        <v>0</v>
      </c>
      <c r="CO579" t="n">
        <v>1</v>
      </c>
      <c r="CR579" t="n">
        <v>2</v>
      </c>
      <c r="CS579" t="n">
        <v>2</v>
      </c>
      <c r="DM579" t="n">
        <v>1</v>
      </c>
      <c r="EK579" t="n">
        <v>14</v>
      </c>
    </row>
    <row r="580">
      <c r="A580" t="inlineStr">
        <is>
          <t>Ladislav Krejcí</t>
        </is>
      </c>
      <c r="D580" t="inlineStr">
        <is>
          <t>DEF</t>
        </is>
      </c>
      <c r="F580" t="b">
        <v>0</v>
      </c>
      <c r="G580" t="b">
        <v>1</v>
      </c>
      <c r="L580" t="inlineStr">
        <is>
          <t>p431248</t>
        </is>
      </c>
      <c r="Q580" t="n">
        <v>2361</v>
      </c>
      <c r="R580" t="n">
        <v>28</v>
      </c>
      <c r="T580" t="n">
        <v>26.233</v>
      </c>
      <c r="U580" t="n">
        <v>84.3</v>
      </c>
      <c r="Z580" t="n">
        <v>1</v>
      </c>
      <c r="AD580" t="n">
        <v>0</v>
      </c>
      <c r="AE580" t="n">
        <v>-1</v>
      </c>
      <c r="AG580" t="n">
        <v>206</v>
      </c>
      <c r="AH580" t="n">
        <v>-29</v>
      </c>
      <c r="AI580" t="n">
        <v>67</v>
      </c>
      <c r="AN580" t="n">
        <v>3</v>
      </c>
      <c r="AO580" t="n">
        <v>6</v>
      </c>
      <c r="AP580" t="n">
        <v>0.111</v>
      </c>
      <c r="AQ580" t="n">
        <v>0.111</v>
      </c>
      <c r="AR580" t="n">
        <v>0.037</v>
      </c>
      <c r="AS580" t="n">
        <v>0.711</v>
      </c>
      <c r="AT580" t="n">
        <v>0.964</v>
      </c>
      <c r="AU580" t="n">
        <v>20</v>
      </c>
      <c r="AV580" t="n">
        <v>0</v>
      </c>
      <c r="AW580" t="n">
        <v>2.52</v>
      </c>
      <c r="AX580" t="n">
        <v>8</v>
      </c>
      <c r="AZ580" t="n">
        <v>1.724</v>
      </c>
      <c r="BA580" t="n">
        <v>1.724</v>
      </c>
      <c r="BB580" t="n">
        <v>1.724</v>
      </c>
      <c r="BD580" t="n">
        <v>0.066</v>
      </c>
      <c r="BE580" t="n">
        <v>0.066</v>
      </c>
      <c r="BF580" t="n">
        <v>2.8</v>
      </c>
      <c r="BG580" t="n">
        <v>0.107</v>
      </c>
      <c r="BH580" t="n">
        <v>1.056</v>
      </c>
      <c r="BI580" t="n">
        <v>2.23</v>
      </c>
      <c r="BJ580" t="n">
        <v>2.354</v>
      </c>
      <c r="BK580" t="n">
        <v>0.09</v>
      </c>
      <c r="BP580" t="n">
        <v>21</v>
      </c>
      <c r="BQ580" t="n">
        <v>10</v>
      </c>
      <c r="BR580" t="n">
        <v>3</v>
      </c>
      <c r="BS580" t="n">
        <v>47</v>
      </c>
      <c r="BT580" t="n">
        <v>1.792</v>
      </c>
      <c r="BV580" t="n">
        <v>1</v>
      </c>
      <c r="BX580" t="n">
        <v>1.491</v>
      </c>
      <c r="BY580" t="n">
        <v>1.491</v>
      </c>
      <c r="BZ580" t="n">
        <v>0.057</v>
      </c>
      <c r="CA580" t="n">
        <v>3.215</v>
      </c>
      <c r="CB580" t="n">
        <v>0.123</v>
      </c>
      <c r="CC580" t="n">
        <v>9</v>
      </c>
      <c r="CD580" t="n">
        <v>2</v>
      </c>
      <c r="CE580" t="n">
        <v>9</v>
      </c>
      <c r="CF580" t="n">
        <v>4</v>
      </c>
      <c r="CG580" t="n">
        <v>1</v>
      </c>
      <c r="CI580" t="n">
        <v>4.149</v>
      </c>
      <c r="CJ580" t="n">
        <v>2.592</v>
      </c>
      <c r="CN580" t="n">
        <v>21</v>
      </c>
      <c r="CO580" t="n">
        <v>32</v>
      </c>
      <c r="CP580" t="n">
        <v>117</v>
      </c>
      <c r="CQ580" t="n">
        <v>15</v>
      </c>
      <c r="CR580" t="n">
        <v>104</v>
      </c>
      <c r="CS580" t="n">
        <v>64</v>
      </c>
      <c r="CT580" t="n">
        <v>0</v>
      </c>
      <c r="CU580" t="n">
        <v>1</v>
      </c>
      <c r="CV580" t="n">
        <v>3</v>
      </c>
      <c r="DE580" t="n">
        <v>6.56</v>
      </c>
      <c r="DH580" t="n">
        <v>33</v>
      </c>
      <c r="DI580" t="n">
        <v>7</v>
      </c>
      <c r="DL580" t="n">
        <v>2</v>
      </c>
      <c r="DM580" t="n">
        <v>8</v>
      </c>
      <c r="EJ580" t="n">
        <v>112.4</v>
      </c>
      <c r="EK580" t="n">
        <v>50.2</v>
      </c>
      <c r="EL580" t="n">
        <v>262.3</v>
      </c>
      <c r="EM580" t="n">
        <v>1369.1</v>
      </c>
      <c r="EN580" t="n">
        <v>1583.6</v>
      </c>
      <c r="EO580" t="n">
        <v>734.3</v>
      </c>
    </row>
    <row r="581">
      <c r="A581" t="inlineStr">
        <is>
          <t>Zian Flemming</t>
        </is>
      </c>
      <c r="D581" t="inlineStr">
        <is>
          <t>FWD</t>
        </is>
      </c>
      <c r="F581" t="b">
        <v>0</v>
      </c>
      <c r="G581" t="b">
        <v>1</v>
      </c>
      <c r="L581" t="inlineStr">
        <is>
          <t>p431639</t>
        </is>
      </c>
      <c r="Q581" t="n">
        <v>1776</v>
      </c>
      <c r="R581" t="n">
        <v>29</v>
      </c>
      <c r="T581" t="n">
        <v>19.733</v>
      </c>
      <c r="U581" t="n">
        <v>61.2</v>
      </c>
      <c r="AD581" t="n">
        <v>11</v>
      </c>
      <c r="AE581" t="n">
        <v>0</v>
      </c>
      <c r="AG581" t="n">
        <v>360</v>
      </c>
      <c r="AH581" t="n">
        <v>-11</v>
      </c>
      <c r="AI581" t="n">
        <v>99</v>
      </c>
      <c r="AN581" t="n">
        <v>0</v>
      </c>
      <c r="AO581" t="n">
        <v>0</v>
      </c>
      <c r="AP581" t="n">
        <v>0</v>
      </c>
      <c r="AQ581" t="n">
        <v>0</v>
      </c>
      <c r="AR581" t="n">
        <v>0</v>
      </c>
      <c r="AS581" t="n">
        <v>0.553</v>
      </c>
      <c r="AT581" t="n">
        <v>0.6899999999999999</v>
      </c>
      <c r="AU581" t="n">
        <v>19</v>
      </c>
      <c r="AV581" t="n">
        <v>1</v>
      </c>
      <c r="AW581" t="n">
        <v>3.12</v>
      </c>
      <c r="AX581" t="n">
        <v>13</v>
      </c>
      <c r="AZ581" t="n">
        <v>9.555</v>
      </c>
      <c r="BA581" t="n">
        <v>9.555</v>
      </c>
      <c r="BB581" t="n">
        <v>8.032</v>
      </c>
      <c r="BD581" t="n">
        <v>0.484</v>
      </c>
      <c r="BE581" t="n">
        <v>0.484</v>
      </c>
      <c r="BF581" t="n">
        <v>7.7</v>
      </c>
      <c r="BG581" t="n">
        <v>0.39</v>
      </c>
      <c r="BH581" t="n">
        <v>0.985</v>
      </c>
      <c r="BI581" t="n">
        <v>7.94</v>
      </c>
      <c r="BJ581" t="n">
        <v>7.82</v>
      </c>
      <c r="BK581" t="n">
        <v>0.396</v>
      </c>
      <c r="BP581" t="n">
        <v>53</v>
      </c>
      <c r="BQ581" t="n">
        <v>21</v>
      </c>
      <c r="BR581" t="n">
        <v>10</v>
      </c>
      <c r="BS581" t="n">
        <v>71</v>
      </c>
      <c r="BT581" t="n">
        <v>3.598</v>
      </c>
      <c r="BU581" t="n">
        <v>2</v>
      </c>
      <c r="BV581" t="n">
        <v>3</v>
      </c>
      <c r="BX581" t="n">
        <v>0.6850000000000001</v>
      </c>
      <c r="BY581" t="n">
        <v>0.6850000000000001</v>
      </c>
      <c r="BZ581" t="n">
        <v>0.035</v>
      </c>
      <c r="CA581" t="n">
        <v>10.24</v>
      </c>
      <c r="CB581" t="n">
        <v>0.519</v>
      </c>
      <c r="CC581" t="n">
        <v>10</v>
      </c>
      <c r="CE581" t="n">
        <v>10</v>
      </c>
      <c r="CF581" t="n">
        <v>1</v>
      </c>
      <c r="CI581" t="n">
        <v>7.825</v>
      </c>
      <c r="CJ581" t="n">
        <v>1.719</v>
      </c>
      <c r="CN581" t="n">
        <v>10</v>
      </c>
      <c r="CO581" t="n">
        <v>7</v>
      </c>
      <c r="CP581" t="n">
        <v>37</v>
      </c>
      <c r="CQ581" t="n">
        <v>5</v>
      </c>
      <c r="CR581" t="n">
        <v>114</v>
      </c>
      <c r="CS581" t="n">
        <v>68</v>
      </c>
      <c r="CT581" t="n">
        <v>0.2</v>
      </c>
      <c r="DE581" t="n">
        <v>6.72</v>
      </c>
      <c r="DH581" t="n">
        <v>50</v>
      </c>
      <c r="DI581" t="n">
        <v>26</v>
      </c>
      <c r="DL581" t="n">
        <v>4</v>
      </c>
      <c r="DM581" t="n">
        <v>17</v>
      </c>
      <c r="DN581" t="n">
        <v>3</v>
      </c>
      <c r="EJ581" t="n">
        <v>33.5</v>
      </c>
      <c r="EK581" t="n">
        <v>25</v>
      </c>
      <c r="EL581" t="n">
        <v>177.6</v>
      </c>
      <c r="EM581" t="n">
        <v>185.9</v>
      </c>
      <c r="EN581" t="n">
        <v>2593.3</v>
      </c>
      <c r="EO581" t="n">
        <v>173.4</v>
      </c>
    </row>
    <row r="582">
      <c r="A582" t="inlineStr">
        <is>
          <t>Vitezslav Jaros</t>
        </is>
      </c>
      <c r="B582" t="inlineStr">
        <is>
          <t>LIV</t>
        </is>
      </c>
      <c r="C582" t="inlineStr">
        <is>
          <t>GKP</t>
        </is>
      </c>
      <c r="E582" t="n">
        <v>4</v>
      </c>
      <c r="F582" t="b">
        <v>1</v>
      </c>
      <c r="G582" t="b">
        <v>0</v>
      </c>
      <c r="H582" t="n">
        <v>25.1</v>
      </c>
      <c r="I582" t="inlineStr">
        <is>
          <t>i</t>
        </is>
      </c>
      <c r="J582" t="inlineStr">
        <is>
          <t>Knee injury - Unknown return date</t>
        </is>
      </c>
      <c r="K582" t="n">
        <v>0</v>
      </c>
      <c r="M582" t="n">
        <v>354</v>
      </c>
      <c r="DO582" t="n">
        <v>0</v>
      </c>
      <c r="DP582" t="n">
        <v>0</v>
      </c>
      <c r="DQ582" t="n">
        <v>0</v>
      </c>
      <c r="DR582" t="n">
        <v>0</v>
      </c>
      <c r="DS582" t="n">
        <v>0</v>
      </c>
      <c r="DT582" t="n">
        <v>0</v>
      </c>
      <c r="DU582" t="n">
        <v>0</v>
      </c>
      <c r="DV582" t="inlineStr">
        <is>
          <t>flat</t>
        </is>
      </c>
      <c r="DW582" t="n">
        <v>59.79</v>
      </c>
      <c r="DY582" t="n">
        <v>59.79</v>
      </c>
      <c r="DZ582" t="n">
        <v>0</v>
      </c>
      <c r="EA582" t="n">
        <v>2</v>
      </c>
      <c r="EB582" t="n">
        <v>77.95</v>
      </c>
      <c r="EC582" t="n">
        <v>4.67</v>
      </c>
      <c r="ED582" t="n">
        <v>114.91</v>
      </c>
      <c r="EE582" t="n">
        <v>2</v>
      </c>
      <c r="EF582" t="b">
        <v>0</v>
      </c>
      <c r="EG582" t="n">
        <v>0.1</v>
      </c>
      <c r="EH582" t="n">
        <v>33.3</v>
      </c>
      <c r="EI582" t="n">
        <v>572</v>
      </c>
    </row>
    <row r="583">
      <c r="A583" t="inlineStr">
        <is>
          <t>Marshall Munetsi</t>
        </is>
      </c>
      <c r="D583" t="inlineStr">
        <is>
          <t>MID</t>
        </is>
      </c>
      <c r="F583" t="b">
        <v>0</v>
      </c>
      <c r="G583" t="b">
        <v>1</v>
      </c>
      <c r="L583" t="inlineStr">
        <is>
          <t>p433312</t>
        </is>
      </c>
      <c r="Q583" t="n">
        <v>873</v>
      </c>
      <c r="R583" t="n">
        <v>13</v>
      </c>
      <c r="T583" t="n">
        <v>9.699999999999999</v>
      </c>
      <c r="U583" t="n">
        <v>67.2</v>
      </c>
      <c r="Z583" t="n">
        <v>1</v>
      </c>
      <c r="AD583" t="n">
        <v>1</v>
      </c>
      <c r="AE583" t="n">
        <v>0</v>
      </c>
      <c r="AG583" t="n">
        <v>126</v>
      </c>
      <c r="AH583" t="n">
        <v>-5</v>
      </c>
      <c r="AI583" t="n">
        <v>38</v>
      </c>
      <c r="AN583" t="n">
        <v>3</v>
      </c>
      <c r="AO583" t="n">
        <v>6</v>
      </c>
      <c r="AP583" t="n">
        <v>0.333</v>
      </c>
      <c r="AQ583" t="n">
        <v>0.333</v>
      </c>
      <c r="AR583" t="n">
        <v>0.333</v>
      </c>
      <c r="AS583" t="n">
        <v>0.237</v>
      </c>
      <c r="AT583" t="n">
        <v>0.6919999999999999</v>
      </c>
      <c r="AU583" t="n">
        <v>7</v>
      </c>
      <c r="AV583" t="n">
        <v>0</v>
      </c>
      <c r="AW583" t="n">
        <v>1.93</v>
      </c>
      <c r="AX583" t="n">
        <v>8</v>
      </c>
      <c r="AZ583" t="n">
        <v>1.839</v>
      </c>
      <c r="BA583" t="n">
        <v>1.839</v>
      </c>
      <c r="BB583" t="n">
        <v>1.839</v>
      </c>
      <c r="BD583" t="n">
        <v>0.19</v>
      </c>
      <c r="BE583" t="n">
        <v>0.19</v>
      </c>
      <c r="BF583" t="n">
        <v>1.7</v>
      </c>
      <c r="BG583" t="n">
        <v>0.175</v>
      </c>
      <c r="BH583" t="n">
        <v>0.957</v>
      </c>
      <c r="BI583" t="n">
        <v>4.96</v>
      </c>
      <c r="BJ583" t="n">
        <v>1.569</v>
      </c>
      <c r="BK583" t="n">
        <v>0.162</v>
      </c>
      <c r="BP583" t="n">
        <v>14</v>
      </c>
      <c r="BQ583" t="n">
        <v>6</v>
      </c>
      <c r="BR583" t="n">
        <v>0</v>
      </c>
      <c r="BS583" t="n">
        <v>37</v>
      </c>
      <c r="BT583" t="n">
        <v>3.814</v>
      </c>
      <c r="BV583" t="n">
        <v>1</v>
      </c>
      <c r="BX583" t="n">
        <v>0.381</v>
      </c>
      <c r="BY583" t="n">
        <v>0.381</v>
      </c>
      <c r="BZ583" t="n">
        <v>0.039</v>
      </c>
      <c r="CA583" t="n">
        <v>2.22</v>
      </c>
      <c r="CB583" t="n">
        <v>0.229</v>
      </c>
      <c r="CC583" t="n">
        <v>3</v>
      </c>
      <c r="CD583" t="n">
        <v>1</v>
      </c>
      <c r="CE583" t="n">
        <v>3</v>
      </c>
      <c r="CF583" t="n">
        <v>3</v>
      </c>
      <c r="CI583" t="n">
        <v>3.097</v>
      </c>
      <c r="CJ583" t="n">
        <v>1.001</v>
      </c>
      <c r="CN583" t="n">
        <v>12</v>
      </c>
      <c r="CO583" t="n">
        <v>7</v>
      </c>
      <c r="CP583" t="n">
        <v>30</v>
      </c>
      <c r="CQ583" t="n">
        <v>2</v>
      </c>
      <c r="CR583" t="n">
        <v>65</v>
      </c>
      <c r="CS583" t="n">
        <v>30</v>
      </c>
      <c r="DH583" t="n">
        <v>19</v>
      </c>
      <c r="DI583" t="n">
        <v>10</v>
      </c>
      <c r="DL583" t="n">
        <v>5</v>
      </c>
      <c r="DM583" t="n">
        <v>11</v>
      </c>
      <c r="DN583" t="n">
        <v>4</v>
      </c>
      <c r="EJ583" t="n">
        <v>62.4</v>
      </c>
      <c r="EK583" t="n">
        <v>23.6</v>
      </c>
      <c r="EL583" t="n">
        <v>291</v>
      </c>
      <c r="EM583" t="n">
        <v>474.7</v>
      </c>
      <c r="EN583" t="n">
        <v>2292.2</v>
      </c>
      <c r="EO583" t="n">
        <v>393.3</v>
      </c>
    </row>
    <row r="584">
      <c r="A584" t="inlineStr">
        <is>
          <t>Cody Drameh</t>
        </is>
      </c>
      <c r="B584" t="inlineStr">
        <is>
          <t>HUL</t>
        </is>
      </c>
      <c r="C584" t="inlineStr">
        <is>
          <t>DEF</t>
        </is>
      </c>
      <c r="E584" t="n">
        <v>4</v>
      </c>
      <c r="F584" t="b">
        <v>1</v>
      </c>
      <c r="G584" t="b">
        <v>0</v>
      </c>
      <c r="H584" t="n">
        <v>24.7</v>
      </c>
      <c r="I584" t="inlineStr">
        <is>
          <t>i</t>
        </is>
      </c>
      <c r="J584" t="inlineStr">
        <is>
          <t>Hamstring injury - Expected back 29 Aug</t>
        </is>
      </c>
      <c r="K584" t="n">
        <v>0</v>
      </c>
      <c r="M584" t="n">
        <v>281</v>
      </c>
      <c r="DO584" t="n">
        <v>0</v>
      </c>
      <c r="DP584" t="n">
        <v>21.86</v>
      </c>
      <c r="DQ584" t="n">
        <v>10.76</v>
      </c>
      <c r="DR584" t="n">
        <v>21.52</v>
      </c>
      <c r="DS584" t="n">
        <v>0.34</v>
      </c>
      <c r="DT584" t="n">
        <v>619</v>
      </c>
      <c r="DU584" t="n">
        <v>16.29</v>
      </c>
      <c r="DV584" t="inlineStr">
        <is>
          <t>flat</t>
        </is>
      </c>
    </row>
    <row r="585">
      <c r="A585" t="inlineStr">
        <is>
          <t>Lyle Foster</t>
        </is>
      </c>
      <c r="D585" t="inlineStr">
        <is>
          <t>FWD</t>
        </is>
      </c>
      <c r="F585" t="b">
        <v>0</v>
      </c>
      <c r="G585" t="b">
        <v>1</v>
      </c>
      <c r="L585" t="inlineStr">
        <is>
          <t>p435973</t>
        </is>
      </c>
      <c r="Q585" t="n">
        <v>1372</v>
      </c>
      <c r="R585" t="n">
        <v>26</v>
      </c>
      <c r="T585" t="n">
        <v>15.244</v>
      </c>
      <c r="U585" t="n">
        <v>52.8</v>
      </c>
      <c r="Z585" t="n">
        <v>2</v>
      </c>
      <c r="AD585" t="n">
        <v>4</v>
      </c>
      <c r="AE585" t="n">
        <v>0</v>
      </c>
      <c r="AG585" t="n">
        <v>197</v>
      </c>
      <c r="AH585" t="n">
        <v>-5</v>
      </c>
      <c r="AI585" t="n">
        <v>58</v>
      </c>
      <c r="AN585" t="n">
        <v>0</v>
      </c>
      <c r="AO585" t="n">
        <v>0</v>
      </c>
      <c r="AP585" t="n">
        <v>0</v>
      </c>
      <c r="AQ585" t="n">
        <v>0</v>
      </c>
      <c r="AR585" t="n">
        <v>0</v>
      </c>
      <c r="AS585" t="n">
        <v>0.395</v>
      </c>
      <c r="AT585" t="n">
        <v>0.538</v>
      </c>
      <c r="AU585" t="n">
        <v>21</v>
      </c>
      <c r="AV585" t="n">
        <v>0</v>
      </c>
      <c r="AW585" t="n">
        <v>1.89</v>
      </c>
      <c r="AX585" t="n">
        <v>7</v>
      </c>
      <c r="AZ585" t="n">
        <v>3.592</v>
      </c>
      <c r="BA585" t="n">
        <v>3.592</v>
      </c>
      <c r="BB585" t="n">
        <v>3.592</v>
      </c>
      <c r="BD585" t="n">
        <v>0.236</v>
      </c>
      <c r="BE585" t="n">
        <v>0.236</v>
      </c>
      <c r="BF585" t="n">
        <v>3.3</v>
      </c>
      <c r="BG585" t="n">
        <v>0.216</v>
      </c>
      <c r="BH585" t="n">
        <v>1.123</v>
      </c>
      <c r="BI585" t="n">
        <v>7.58</v>
      </c>
      <c r="BJ585" t="n">
        <v>3.617</v>
      </c>
      <c r="BK585" t="n">
        <v>0.237</v>
      </c>
      <c r="BP585" t="n">
        <v>20</v>
      </c>
      <c r="BQ585" t="n">
        <v>6</v>
      </c>
      <c r="BR585" t="n">
        <v>3</v>
      </c>
      <c r="BS585" t="n">
        <v>55</v>
      </c>
      <c r="BT585" t="n">
        <v>3.608</v>
      </c>
      <c r="BX585" t="n">
        <v>1.146</v>
      </c>
      <c r="BY585" t="n">
        <v>1.146</v>
      </c>
      <c r="BZ585" t="n">
        <v>0.075</v>
      </c>
      <c r="CA585" t="n">
        <v>4.738</v>
      </c>
      <c r="CB585" t="n">
        <v>0.311</v>
      </c>
      <c r="CC585" t="n">
        <v>10</v>
      </c>
      <c r="CD585" t="n">
        <v>2</v>
      </c>
      <c r="CE585" t="n">
        <v>10</v>
      </c>
      <c r="CF585" t="n">
        <v>1</v>
      </c>
      <c r="CI585" t="n">
        <v>5.975</v>
      </c>
      <c r="CJ585" t="n">
        <v>2.13</v>
      </c>
      <c r="CN585" t="n">
        <v>12</v>
      </c>
      <c r="CO585" t="n">
        <v>4</v>
      </c>
      <c r="CP585" t="n">
        <v>20</v>
      </c>
      <c r="CQ585" t="n">
        <v>3</v>
      </c>
      <c r="CR585" t="n">
        <v>66</v>
      </c>
      <c r="CS585" t="n">
        <v>28</v>
      </c>
      <c r="CT585" t="n">
        <v>0.6</v>
      </c>
      <c r="DE585" t="n">
        <v>6.24</v>
      </c>
      <c r="DH585" t="n">
        <v>22</v>
      </c>
      <c r="DI585" t="n">
        <v>13</v>
      </c>
      <c r="DL585" t="n">
        <v>10</v>
      </c>
      <c r="DM585" t="n">
        <v>32</v>
      </c>
      <c r="DN585" t="n">
        <v>11</v>
      </c>
      <c r="EJ585" t="n">
        <v>68.59999999999999</v>
      </c>
      <c r="EK585" t="n">
        <v>24.9</v>
      </c>
      <c r="EL585" t="n">
        <v>137.2</v>
      </c>
      <c r="EM585" t="n">
        <v>381.9</v>
      </c>
      <c r="EN585" t="n">
        <v>1197.3</v>
      </c>
      <c r="EO585" t="n">
        <v>289.6</v>
      </c>
    </row>
    <row r="586">
      <c r="A586" t="inlineStr">
        <is>
          <t>Liam Kitching</t>
        </is>
      </c>
      <c r="B586" t="inlineStr">
        <is>
          <t>COV</t>
        </is>
      </c>
      <c r="C586" t="inlineStr">
        <is>
          <t>DEF</t>
        </is>
      </c>
      <c r="E586" t="n">
        <v>4</v>
      </c>
      <c r="F586" t="b">
        <v>1</v>
      </c>
      <c r="G586" t="b">
        <v>0</v>
      </c>
      <c r="H586" t="n">
        <v>26.9</v>
      </c>
      <c r="I586" t="inlineStr">
        <is>
          <t>a</t>
        </is>
      </c>
      <c r="M586" t="n">
        <v>174</v>
      </c>
      <c r="DO586" t="n">
        <v>0.6</v>
      </c>
      <c r="DP586" t="n">
        <v>38.69</v>
      </c>
      <c r="DQ586" t="n">
        <v>19.35</v>
      </c>
      <c r="DR586" t="n">
        <v>38.7</v>
      </c>
      <c r="DS586" t="n">
        <v>-0.01</v>
      </c>
      <c r="DT586" t="n">
        <v>847</v>
      </c>
      <c r="DU586" t="n">
        <v>22.29</v>
      </c>
      <c r="DV586" t="inlineStr">
        <is>
          <t>flat</t>
        </is>
      </c>
      <c r="DW586" t="n">
        <v>104.16</v>
      </c>
      <c r="DX586" t="n">
        <v>115</v>
      </c>
      <c r="DY586" t="n">
        <v>115</v>
      </c>
      <c r="DZ586" t="n">
        <v>10.84</v>
      </c>
      <c r="EA586" t="n">
        <v>2</v>
      </c>
      <c r="EB586" t="n">
        <v>19.08</v>
      </c>
      <c r="EC586" t="n">
        <v>69.33</v>
      </c>
      <c r="ED586" t="n">
        <v>120</v>
      </c>
      <c r="EE586" t="n">
        <v>7</v>
      </c>
      <c r="EF586" t="b">
        <v>0</v>
      </c>
      <c r="EG586" t="n">
        <v>0.2</v>
      </c>
      <c r="EH586" t="n">
        <v>30</v>
      </c>
      <c r="EI586" t="n">
        <v>539</v>
      </c>
    </row>
    <row r="587">
      <c r="A587" t="inlineStr">
        <is>
          <t>Mike Trésor</t>
        </is>
      </c>
      <c r="D587" t="inlineStr">
        <is>
          <t>MID</t>
        </is>
      </c>
      <c r="F587" t="b">
        <v>0</v>
      </c>
      <c r="G587" t="b">
        <v>1</v>
      </c>
      <c r="L587" t="inlineStr">
        <is>
          <t>p437748</t>
        </is>
      </c>
      <c r="Q587" t="n">
        <v>37</v>
      </c>
      <c r="R587" t="n">
        <v>6</v>
      </c>
      <c r="T587" t="n">
        <v>0.411</v>
      </c>
      <c r="U587" t="n">
        <v>6.2</v>
      </c>
      <c r="AD587" t="n">
        <v>0</v>
      </c>
      <c r="AE587" t="n">
        <v>0</v>
      </c>
      <c r="AG587" t="n">
        <v>18</v>
      </c>
      <c r="AH587" t="n">
        <v>0</v>
      </c>
      <c r="AI587" t="n">
        <v>6</v>
      </c>
      <c r="AN587" t="n">
        <v>0</v>
      </c>
      <c r="AO587" t="n">
        <v>0</v>
      </c>
      <c r="AS587" t="n">
        <v>0</v>
      </c>
      <c r="AT587" t="n">
        <v>0</v>
      </c>
      <c r="AU587" t="n">
        <v>6</v>
      </c>
      <c r="AV587" t="n">
        <v>0</v>
      </c>
      <c r="AW587" t="n">
        <v>0.37</v>
      </c>
      <c r="AX587" t="n">
        <v>1</v>
      </c>
      <c r="AZ587" t="n">
        <v>0</v>
      </c>
      <c r="BA587" t="n">
        <v>0</v>
      </c>
      <c r="BB587" t="n">
        <v>0</v>
      </c>
      <c r="BD587" t="n">
        <v>0</v>
      </c>
      <c r="BE587" t="n">
        <v>0</v>
      </c>
      <c r="BH587" t="n">
        <v>0.956</v>
      </c>
      <c r="BI587" t="n">
        <v>0.37</v>
      </c>
      <c r="BJ587" t="n">
        <v>0</v>
      </c>
      <c r="BK587" t="n">
        <v>0</v>
      </c>
      <c r="BS587" t="n">
        <v>1</v>
      </c>
      <c r="BT587" t="n">
        <v>2.432</v>
      </c>
      <c r="BX587" t="n">
        <v>0</v>
      </c>
      <c r="BY587" t="n">
        <v>0</v>
      </c>
      <c r="BZ587" t="n">
        <v>0</v>
      </c>
      <c r="CA587" t="n">
        <v>0</v>
      </c>
      <c r="CB587" t="n">
        <v>0</v>
      </c>
      <c r="CC587" t="n">
        <v>0</v>
      </c>
      <c r="CE587" t="n">
        <v>1</v>
      </c>
      <c r="CF587" t="n">
        <v>1</v>
      </c>
      <c r="CH587" t="n">
        <v>2</v>
      </c>
      <c r="CI587" t="n">
        <v>0.027</v>
      </c>
      <c r="CJ587" t="n">
        <v>0.027</v>
      </c>
      <c r="CN587" t="n">
        <v>1</v>
      </c>
      <c r="CR587" t="n">
        <v>1</v>
      </c>
      <c r="CS587" t="n">
        <v>0</v>
      </c>
      <c r="DM587" t="n">
        <v>2</v>
      </c>
      <c r="EK587" t="n">
        <v>37</v>
      </c>
      <c r="EL587" t="n">
        <v>37</v>
      </c>
    </row>
    <row r="588">
      <c r="A588" t="inlineStr">
        <is>
          <t>Christos Tzolis</t>
        </is>
      </c>
      <c r="B588" t="inlineStr">
        <is>
          <t>ARS</t>
        </is>
      </c>
      <c r="C588" t="inlineStr">
        <is>
          <t>MID</t>
        </is>
      </c>
      <c r="E588" t="n">
        <v>6.5</v>
      </c>
      <c r="F588" t="b">
        <v>1</v>
      </c>
      <c r="G588" t="b">
        <v>0</v>
      </c>
      <c r="H588" t="n">
        <v>24.6</v>
      </c>
      <c r="I588" t="inlineStr">
        <is>
          <t>a</t>
        </is>
      </c>
      <c r="M588" t="n">
        <v>557</v>
      </c>
      <c r="O588" t="n">
        <v>4</v>
      </c>
      <c r="DO588" t="n">
        <v>4.1</v>
      </c>
      <c r="DP588" t="n">
        <v>125.91</v>
      </c>
      <c r="DQ588" t="n">
        <v>63.17</v>
      </c>
      <c r="DR588" t="n">
        <v>126.34</v>
      </c>
      <c r="DS588" t="n">
        <v>-0.43</v>
      </c>
      <c r="DT588" t="n">
        <v>2155</v>
      </c>
      <c r="DU588" t="n">
        <v>56.7</v>
      </c>
      <c r="DV588" t="inlineStr">
        <is>
          <t>flat</t>
        </is>
      </c>
      <c r="DW588" t="n">
        <v>61.01</v>
      </c>
      <c r="DX588" t="n">
        <v>64.09999999999999</v>
      </c>
      <c r="DY588" t="n">
        <v>57.14</v>
      </c>
      <c r="DZ588" t="n">
        <v>-3.87</v>
      </c>
      <c r="EA588" t="n">
        <v>1118</v>
      </c>
      <c r="EB588" t="n">
        <v>25.79</v>
      </c>
      <c r="EC588" t="n">
        <v>2.29</v>
      </c>
      <c r="ED588" t="n">
        <v>120</v>
      </c>
      <c r="EE588" t="n">
        <v>2215</v>
      </c>
      <c r="EF588" t="b">
        <v>1</v>
      </c>
      <c r="EG588" t="n">
        <v>52.1</v>
      </c>
      <c r="EH588" t="n">
        <v>12.8</v>
      </c>
      <c r="EI588" t="n">
        <v>55</v>
      </c>
    </row>
    <row r="589">
      <c r="A589" t="inlineStr">
        <is>
          <t>Josh Eccles</t>
        </is>
      </c>
      <c r="B589" t="inlineStr">
        <is>
          <t>COV</t>
        </is>
      </c>
      <c r="C589" t="inlineStr">
        <is>
          <t>MID</t>
        </is>
      </c>
      <c r="E589" t="n">
        <v>5</v>
      </c>
      <c r="F589" t="b">
        <v>1</v>
      </c>
      <c r="G589" t="b">
        <v>0</v>
      </c>
      <c r="H589" t="n">
        <v>26.4</v>
      </c>
      <c r="I589" t="inlineStr">
        <is>
          <t>a</t>
        </is>
      </c>
      <c r="M589" t="n">
        <v>187</v>
      </c>
      <c r="DO589" t="n">
        <v>0</v>
      </c>
      <c r="DP589" t="n">
        <v>28.36</v>
      </c>
      <c r="DQ589" t="n">
        <v>14.34</v>
      </c>
      <c r="DR589" t="n">
        <v>28.68</v>
      </c>
      <c r="DS589" t="n">
        <v>-0.32</v>
      </c>
      <c r="DT589" t="n">
        <v>192</v>
      </c>
      <c r="DU589" t="n">
        <v>5.04</v>
      </c>
      <c r="DV589" t="inlineStr">
        <is>
          <t>flat</t>
        </is>
      </c>
    </row>
    <row r="590">
      <c r="A590" t="inlineStr">
        <is>
          <t>Armando Broja</t>
        </is>
      </c>
      <c r="D590" t="inlineStr">
        <is>
          <t>FWD</t>
        </is>
      </c>
      <c r="F590" t="b">
        <v>0</v>
      </c>
      <c r="G590" t="b">
        <v>1</v>
      </c>
      <c r="L590" t="inlineStr">
        <is>
          <t>p440323</t>
        </is>
      </c>
      <c r="Q590" t="n">
        <v>849</v>
      </c>
      <c r="R590" t="n">
        <v>24</v>
      </c>
      <c r="T590" t="n">
        <v>9.433</v>
      </c>
      <c r="U590" t="n">
        <v>35.4</v>
      </c>
      <c r="Z590" t="n">
        <v>1</v>
      </c>
      <c r="AD590" t="n">
        <v>2</v>
      </c>
      <c r="AE590" t="n">
        <v>0</v>
      </c>
      <c r="AG590" t="n">
        <v>119</v>
      </c>
      <c r="AH590" t="n">
        <v>0</v>
      </c>
      <c r="AI590" t="n">
        <v>43</v>
      </c>
      <c r="AN590" t="n">
        <v>1</v>
      </c>
      <c r="AO590" t="n">
        <v>2</v>
      </c>
      <c r="AP590" t="n">
        <v>0.125</v>
      </c>
      <c r="AQ590" t="n">
        <v>0.125</v>
      </c>
      <c r="AR590" t="n">
        <v>0.125</v>
      </c>
      <c r="AS590" t="n">
        <v>0.211</v>
      </c>
      <c r="AT590" t="n">
        <v>0.333</v>
      </c>
      <c r="AU590" t="n">
        <v>22</v>
      </c>
      <c r="AV590" t="n">
        <v>0</v>
      </c>
      <c r="AW590" t="n">
        <v>1.58</v>
      </c>
      <c r="AX590" t="n">
        <v>7</v>
      </c>
      <c r="AZ590" t="n">
        <v>2.517</v>
      </c>
      <c r="BA590" t="n">
        <v>2.517</v>
      </c>
      <c r="BB590" t="n">
        <v>2.517</v>
      </c>
      <c r="BD590" t="n">
        <v>0.267</v>
      </c>
      <c r="BE590" t="n">
        <v>0.267</v>
      </c>
      <c r="BF590" t="n">
        <v>1.7</v>
      </c>
      <c r="BG590" t="n">
        <v>0.18</v>
      </c>
      <c r="BH590" t="n">
        <v>1.005</v>
      </c>
      <c r="BI590" t="n">
        <v>5.33</v>
      </c>
      <c r="BJ590" t="n">
        <v>2.151</v>
      </c>
      <c r="BK590" t="n">
        <v>0.228</v>
      </c>
      <c r="BP590" t="n">
        <v>16</v>
      </c>
      <c r="BQ590" t="n">
        <v>6</v>
      </c>
      <c r="BR590" t="n">
        <v>3</v>
      </c>
      <c r="BS590" t="n">
        <v>42</v>
      </c>
      <c r="BT590" t="n">
        <v>4.452</v>
      </c>
      <c r="BV590" t="n">
        <v>1</v>
      </c>
      <c r="BX590" t="n">
        <v>0.61</v>
      </c>
      <c r="BY590" t="n">
        <v>0.61</v>
      </c>
      <c r="BZ590" t="n">
        <v>0.065</v>
      </c>
      <c r="CA590" t="n">
        <v>3.126</v>
      </c>
      <c r="CB590" t="n">
        <v>0.331</v>
      </c>
      <c r="CC590" t="n">
        <v>5</v>
      </c>
      <c r="CD590" t="n">
        <v>1</v>
      </c>
      <c r="CE590" t="n">
        <v>5</v>
      </c>
      <c r="CF590" t="n">
        <v>1</v>
      </c>
      <c r="CI590" t="n">
        <v>2.686</v>
      </c>
      <c r="CJ590" t="n">
        <v>1.026</v>
      </c>
      <c r="CN590" t="n">
        <v>3</v>
      </c>
      <c r="CO590" t="n">
        <v>3</v>
      </c>
      <c r="CP590" t="n">
        <v>9</v>
      </c>
      <c r="CR590" t="n">
        <v>65</v>
      </c>
      <c r="CS590" t="n">
        <v>35</v>
      </c>
      <c r="CT590" t="n">
        <v>0.6</v>
      </c>
      <c r="DH590" t="n">
        <v>14</v>
      </c>
      <c r="DI590" t="n">
        <v>16</v>
      </c>
      <c r="DL590" t="n">
        <v>8</v>
      </c>
      <c r="DM590" t="n">
        <v>20</v>
      </c>
      <c r="DN590" t="n">
        <v>6</v>
      </c>
      <c r="EJ590" t="n">
        <v>53.1</v>
      </c>
      <c r="EK590" t="n">
        <v>20.2</v>
      </c>
      <c r="EL590" t="n">
        <v>169.8</v>
      </c>
      <c r="EM590" t="n">
        <v>337.4</v>
      </c>
      <c r="EN590" t="n">
        <v>1392.4</v>
      </c>
      <c r="EO590" t="n">
        <v>271.6</v>
      </c>
    </row>
    <row r="591">
      <c r="A591" t="inlineStr">
        <is>
          <t>Ki-Jana Hoever</t>
        </is>
      </c>
      <c r="D591" t="inlineStr">
        <is>
          <t>DEF</t>
        </is>
      </c>
      <c r="F591" t="b">
        <v>0</v>
      </c>
      <c r="G591" t="b">
        <v>1</v>
      </c>
      <c r="L591" t="inlineStr">
        <is>
          <t>p441271</t>
        </is>
      </c>
      <c r="Q591" t="n">
        <v>428</v>
      </c>
      <c r="R591" t="n">
        <v>8</v>
      </c>
      <c r="T591" t="n">
        <v>4.756</v>
      </c>
      <c r="U591" t="n">
        <v>53.5</v>
      </c>
      <c r="AD591" t="n">
        <v>0</v>
      </c>
      <c r="AE591" t="n">
        <v>0</v>
      </c>
      <c r="AG591" t="n">
        <v>35</v>
      </c>
      <c r="AH591" t="n">
        <v>-3</v>
      </c>
      <c r="AI591" t="n">
        <v>10</v>
      </c>
      <c r="AN591" t="n">
        <v>1</v>
      </c>
      <c r="AO591" t="n">
        <v>2</v>
      </c>
      <c r="AP591" t="n">
        <v>0.167</v>
      </c>
      <c r="AQ591" t="n">
        <v>0.167</v>
      </c>
      <c r="AR591" t="n">
        <v>0</v>
      </c>
      <c r="AS591" t="n">
        <v>0.158</v>
      </c>
      <c r="AT591" t="n">
        <v>0.5</v>
      </c>
      <c r="AU591" t="n">
        <v>7</v>
      </c>
      <c r="AV591" t="n">
        <v>0</v>
      </c>
      <c r="AW591" t="n">
        <v>0.72</v>
      </c>
      <c r="AX591" t="n">
        <v>4</v>
      </c>
      <c r="AZ591" t="n">
        <v>0.008999999999999999</v>
      </c>
      <c r="BA591" t="n">
        <v>0.008999999999999999</v>
      </c>
      <c r="BB591" t="n">
        <v>0.008999999999999999</v>
      </c>
      <c r="BD591" t="n">
        <v>0.002</v>
      </c>
      <c r="BE591" t="n">
        <v>0.002</v>
      </c>
      <c r="BF591" t="n">
        <v>0</v>
      </c>
      <c r="BG591" t="n">
        <v>0</v>
      </c>
      <c r="BH591" t="n">
        <v>0.998</v>
      </c>
      <c r="BI591" t="n">
        <v>0.02</v>
      </c>
      <c r="BJ591" t="n">
        <v>0.02</v>
      </c>
      <c r="BK591" t="n">
        <v>0.004</v>
      </c>
      <c r="BP591" t="n">
        <v>1</v>
      </c>
      <c r="BQ591" t="n">
        <v>1</v>
      </c>
      <c r="BS591" t="n">
        <v>3</v>
      </c>
      <c r="BT591" t="n">
        <v>0.631</v>
      </c>
      <c r="BX591" t="n">
        <v>0.339</v>
      </c>
      <c r="BY591" t="n">
        <v>0.339</v>
      </c>
      <c r="BZ591" t="n">
        <v>0.07099999999999999</v>
      </c>
      <c r="CA591" t="n">
        <v>0.348</v>
      </c>
      <c r="CB591" t="n">
        <v>0.073</v>
      </c>
      <c r="CC591" t="n">
        <v>5</v>
      </c>
      <c r="CD591" t="n">
        <v>2</v>
      </c>
      <c r="CE591" t="n">
        <v>5</v>
      </c>
      <c r="CF591" t="n">
        <v>7</v>
      </c>
      <c r="CI591" t="n">
        <v>1.378</v>
      </c>
      <c r="CJ591" t="n">
        <v>1.03</v>
      </c>
      <c r="CN591" t="n">
        <v>11</v>
      </c>
      <c r="CO591" t="n">
        <v>6</v>
      </c>
      <c r="CP591" t="n">
        <v>20</v>
      </c>
      <c r="CQ591" t="n">
        <v>1</v>
      </c>
      <c r="CR591" t="n">
        <v>27</v>
      </c>
      <c r="CS591" t="n">
        <v>6</v>
      </c>
      <c r="DH591" t="n">
        <v>3</v>
      </c>
      <c r="DI591" t="n">
        <v>3</v>
      </c>
      <c r="DL591" t="n">
        <v>5</v>
      </c>
      <c r="DM591" t="n">
        <v>3</v>
      </c>
      <c r="DN591" t="n">
        <v>1</v>
      </c>
      <c r="EJ591" t="n">
        <v>428</v>
      </c>
      <c r="EK591" t="n">
        <v>142.7</v>
      </c>
      <c r="EL591" t="n">
        <v>85.59999999999999</v>
      </c>
      <c r="EM591" t="n">
        <v>46359.8</v>
      </c>
      <c r="EN591" t="n">
        <v>1263.4</v>
      </c>
      <c r="EO591" t="n">
        <v>1229.9</v>
      </c>
    </row>
    <row r="592">
      <c r="A592" t="inlineStr">
        <is>
          <t>Daizen Maeda</t>
        </is>
      </c>
      <c r="B592" t="inlineStr">
        <is>
          <t>IPS</t>
        </is>
      </c>
      <c r="C592" t="inlineStr">
        <is>
          <t>MID</t>
        </is>
      </c>
      <c r="E592" t="n">
        <v>5.5</v>
      </c>
      <c r="F592" t="b">
        <v>1</v>
      </c>
      <c r="G592" t="b">
        <v>0</v>
      </c>
      <c r="H592" t="n">
        <v>28.8</v>
      </c>
      <c r="I592" t="inlineStr">
        <is>
          <t>a</t>
        </is>
      </c>
      <c r="M592" t="n">
        <v>562</v>
      </c>
      <c r="DO592" t="n">
        <v>0.5</v>
      </c>
      <c r="DP592" t="n">
        <v>112.72</v>
      </c>
      <c r="DQ592" t="n">
        <v>56.36</v>
      </c>
      <c r="DR592" t="n">
        <v>112.72</v>
      </c>
      <c r="DS592" t="n">
        <v>0</v>
      </c>
      <c r="DT592" t="n">
        <v>2502</v>
      </c>
      <c r="DU592" t="n">
        <v>65.84999999999999</v>
      </c>
      <c r="DV592" t="inlineStr">
        <is>
          <t>flat</t>
        </is>
      </c>
      <c r="DW592" t="n">
        <v>86.98</v>
      </c>
      <c r="DX592" t="n">
        <v>89.61</v>
      </c>
      <c r="DY592" t="n">
        <v>86.33</v>
      </c>
      <c r="DZ592" t="n">
        <v>-0.65</v>
      </c>
      <c r="EA592" t="n">
        <v>66</v>
      </c>
      <c r="EB592" t="n">
        <v>27.41</v>
      </c>
      <c r="EC592" t="n">
        <v>0.57</v>
      </c>
      <c r="ED592" t="n">
        <v>120</v>
      </c>
      <c r="EE592" t="n">
        <v>112</v>
      </c>
      <c r="EF592" t="b">
        <v>1</v>
      </c>
      <c r="EG592" t="n">
        <v>2.6</v>
      </c>
      <c r="EH592" t="n">
        <v>13.2</v>
      </c>
      <c r="EI592" t="n">
        <v>213</v>
      </c>
    </row>
    <row r="593">
      <c r="A593" t="inlineStr">
        <is>
          <t>Jack Clarke</t>
        </is>
      </c>
      <c r="B593" t="inlineStr">
        <is>
          <t>IPS</t>
        </is>
      </c>
      <c r="C593" t="inlineStr">
        <is>
          <t>MID</t>
        </is>
      </c>
      <c r="E593" t="n">
        <v>5.5</v>
      </c>
      <c r="F593" t="b">
        <v>1</v>
      </c>
      <c r="G593" t="b">
        <v>0</v>
      </c>
      <c r="H593" t="n">
        <v>25.7</v>
      </c>
      <c r="I593" t="inlineStr">
        <is>
          <t>a</t>
        </is>
      </c>
      <c r="M593" t="n">
        <v>313</v>
      </c>
      <c r="N593" t="n">
        <v>1</v>
      </c>
      <c r="O593" t="n">
        <v>3</v>
      </c>
      <c r="P593" t="n">
        <v>3</v>
      </c>
      <c r="DO593" t="n">
        <v>0.3</v>
      </c>
      <c r="DP593" t="n">
        <v>62.43</v>
      </c>
      <c r="DQ593" t="n">
        <v>31.23</v>
      </c>
      <c r="DR593" t="n">
        <v>62.46</v>
      </c>
      <c r="DS593" t="n">
        <v>-0.03</v>
      </c>
      <c r="DT593" t="n">
        <v>1060</v>
      </c>
      <c r="DU593" t="n">
        <v>27.9</v>
      </c>
      <c r="DV593" t="inlineStr">
        <is>
          <t>flat</t>
        </is>
      </c>
      <c r="DW593" t="n">
        <v>89.08</v>
      </c>
      <c r="DX593" t="n">
        <v>86.12</v>
      </c>
      <c r="DY593" t="n">
        <v>91.84999999999999</v>
      </c>
      <c r="DZ593" t="n">
        <v>2.78</v>
      </c>
      <c r="EA593" t="n">
        <v>29</v>
      </c>
      <c r="EB593" t="n">
        <v>23.56</v>
      </c>
      <c r="EC593" t="n">
        <v>6.55</v>
      </c>
      <c r="ED593" t="n">
        <v>118.4</v>
      </c>
      <c r="EE593" t="n">
        <v>36</v>
      </c>
      <c r="EF593" t="b">
        <v>1</v>
      </c>
      <c r="EG593" t="n">
        <v>0.9</v>
      </c>
      <c r="EH593" t="n">
        <v>20</v>
      </c>
      <c r="EI593" t="n">
        <v>210</v>
      </c>
    </row>
    <row r="594">
      <c r="A594" t="inlineStr">
        <is>
          <t>Thimothée Lo-Tutala</t>
        </is>
      </c>
      <c r="B594" t="inlineStr">
        <is>
          <t>HUL</t>
        </is>
      </c>
      <c r="C594" t="inlineStr">
        <is>
          <t>GKP</t>
        </is>
      </c>
      <c r="E594" t="n">
        <v>4</v>
      </c>
      <c r="F594" t="b">
        <v>1</v>
      </c>
      <c r="G594" t="b">
        <v>0</v>
      </c>
      <c r="H594" t="n">
        <v>23.5</v>
      </c>
      <c r="I594" t="inlineStr">
        <is>
          <t>a</t>
        </is>
      </c>
      <c r="M594" t="n">
        <v>276</v>
      </c>
      <c r="DO594" t="n">
        <v>0.2</v>
      </c>
      <c r="DP594" t="n">
        <v>0</v>
      </c>
      <c r="DQ594" t="n">
        <v>0</v>
      </c>
      <c r="DR594" t="n">
        <v>0</v>
      </c>
      <c r="DS594" t="n">
        <v>0</v>
      </c>
      <c r="DT594" t="n">
        <v>0</v>
      </c>
      <c r="DU594" t="n">
        <v>0</v>
      </c>
      <c r="DV594" t="inlineStr">
        <is>
          <t>flat</t>
        </is>
      </c>
      <c r="DW594" t="n">
        <v>116.82</v>
      </c>
      <c r="DX594" t="n">
        <v>113</v>
      </c>
      <c r="DY594" t="n">
        <v>116.14</v>
      </c>
      <c r="DZ594" t="n">
        <v>-0.68</v>
      </c>
      <c r="EA594" t="n">
        <v>3</v>
      </c>
      <c r="EB594" t="n">
        <v>3.2</v>
      </c>
      <c r="EC594" t="n">
        <v>113</v>
      </c>
      <c r="ED594" t="n">
        <v>120</v>
      </c>
      <c r="EE594" t="n">
        <v>4</v>
      </c>
      <c r="EF594" t="b">
        <v>0</v>
      </c>
      <c r="EG594" t="n">
        <v>0.1</v>
      </c>
      <c r="EH594" t="n">
        <v>20</v>
      </c>
      <c r="EI594" t="n">
        <v>553</v>
      </c>
    </row>
    <row r="595">
      <c r="A595" t="inlineStr">
        <is>
          <t>Hidemasa Morita</t>
        </is>
      </c>
      <c r="B595" t="inlineStr">
        <is>
          <t>HUL</t>
        </is>
      </c>
      <c r="C595" t="inlineStr">
        <is>
          <t>MID</t>
        </is>
      </c>
      <c r="E595" t="n">
        <v>5</v>
      </c>
      <c r="F595" t="b">
        <v>1</v>
      </c>
      <c r="G595" t="b">
        <v>0</v>
      </c>
      <c r="H595" t="n">
        <v>31.3</v>
      </c>
      <c r="I595" t="inlineStr">
        <is>
          <t>a</t>
        </is>
      </c>
      <c r="M595" t="n">
        <v>563</v>
      </c>
      <c r="DO595" t="n">
        <v>0.1</v>
      </c>
      <c r="DP595" t="n">
        <v>86.53</v>
      </c>
      <c r="DQ595" t="n">
        <v>41.28</v>
      </c>
      <c r="DR595" t="n">
        <v>82.56</v>
      </c>
      <c r="DS595" t="n">
        <v>3.97</v>
      </c>
      <c r="DT595" t="n">
        <v>2525</v>
      </c>
      <c r="DU595" t="n">
        <v>66.45</v>
      </c>
      <c r="DV595" t="inlineStr">
        <is>
          <t>flat</t>
        </is>
      </c>
      <c r="DW595" t="n">
        <v>70.25</v>
      </c>
      <c r="DX595" t="n">
        <v>110</v>
      </c>
      <c r="DY595" t="n">
        <v>70.25</v>
      </c>
      <c r="DZ595" t="n">
        <v>0</v>
      </c>
      <c r="EA595" t="n">
        <v>2</v>
      </c>
      <c r="EB595" t="n">
        <v>56.21</v>
      </c>
      <c r="EC595" t="n">
        <v>30.5</v>
      </c>
      <c r="ED595" t="n">
        <v>110</v>
      </c>
      <c r="EE595" t="n">
        <v>2</v>
      </c>
      <c r="EF595" t="b">
        <v>0</v>
      </c>
      <c r="EG595" t="n">
        <v>0.1</v>
      </c>
      <c r="EH595" t="n">
        <v>33.3</v>
      </c>
      <c r="EI595" t="n">
        <v>379</v>
      </c>
    </row>
    <row r="596">
      <c r="A596" t="inlineStr">
        <is>
          <t>Ronald Araujo</t>
        </is>
      </c>
      <c r="B596" t="inlineStr">
        <is>
          <t>LIV</t>
        </is>
      </c>
      <c r="C596" t="inlineStr">
        <is>
          <t>DEF</t>
        </is>
      </c>
      <c r="E596" t="n">
        <v>5.5</v>
      </c>
      <c r="F596" t="b">
        <v>1</v>
      </c>
      <c r="G596" t="b">
        <v>0</v>
      </c>
      <c r="H596" t="n">
        <v>27.5</v>
      </c>
      <c r="I596" t="inlineStr">
        <is>
          <t>a</t>
        </is>
      </c>
      <c r="M596" t="n">
        <v>579</v>
      </c>
      <c r="DO596" t="n">
        <v>0.7</v>
      </c>
      <c r="DP596" t="n">
        <v>89.81</v>
      </c>
      <c r="DQ596" t="n">
        <v>45.9</v>
      </c>
      <c r="DR596" t="n">
        <v>91.8</v>
      </c>
      <c r="DS596" t="n">
        <v>-1.99</v>
      </c>
      <c r="DT596" t="n">
        <v>1984</v>
      </c>
      <c r="DU596" t="n">
        <v>52.2</v>
      </c>
      <c r="DV596" t="inlineStr">
        <is>
          <t>flat</t>
        </is>
      </c>
      <c r="DW596" t="n">
        <v>79.08</v>
      </c>
      <c r="DX596" t="n">
        <v>86.17</v>
      </c>
      <c r="DY596" t="n">
        <v>79.08</v>
      </c>
      <c r="DZ596" t="n">
        <v>0</v>
      </c>
      <c r="EA596" t="n">
        <v>491</v>
      </c>
      <c r="EB596" t="n">
        <v>21.61</v>
      </c>
      <c r="EC596" t="n">
        <v>13.33</v>
      </c>
      <c r="ED596" t="n">
        <v>120</v>
      </c>
      <c r="EE596" t="n">
        <v>491</v>
      </c>
      <c r="EF596" t="b">
        <v>1</v>
      </c>
      <c r="EG596" t="n">
        <v>11.2</v>
      </c>
      <c r="EH596" t="n">
        <v>9.9</v>
      </c>
      <c r="EI596" t="n">
        <v>219</v>
      </c>
    </row>
    <row r="597">
      <c r="A597" t="inlineStr">
        <is>
          <t>Matty Jacob</t>
        </is>
      </c>
      <c r="B597" t="inlineStr">
        <is>
          <t>HUL</t>
        </is>
      </c>
      <c r="C597" t="inlineStr">
        <is>
          <t>DEF</t>
        </is>
      </c>
      <c r="E597" t="n">
        <v>4</v>
      </c>
      <c r="F597" t="b">
        <v>1</v>
      </c>
      <c r="G597" t="b">
        <v>0</v>
      </c>
      <c r="H597" t="n">
        <v>25.2</v>
      </c>
      <c r="I597" t="inlineStr">
        <is>
          <t>d</t>
        </is>
      </c>
      <c r="J597" t="inlineStr">
        <is>
          <t>Hip injury - 75% chance of playing</t>
        </is>
      </c>
      <c r="K597" t="n">
        <v>75</v>
      </c>
      <c r="M597" t="n">
        <v>283</v>
      </c>
      <c r="DO597" t="n">
        <v>0</v>
      </c>
      <c r="DP597" t="n">
        <v>7.46</v>
      </c>
      <c r="DQ597" t="n">
        <v>3.7</v>
      </c>
      <c r="DR597" t="n">
        <v>7.4</v>
      </c>
      <c r="DS597" t="n">
        <v>0.06</v>
      </c>
      <c r="DT597" t="n">
        <v>38</v>
      </c>
      <c r="DU597" t="n">
        <v>1</v>
      </c>
      <c r="DV597" t="inlineStr">
        <is>
          <t>flat</t>
        </is>
      </c>
      <c r="DW597" t="n">
        <v>109.33</v>
      </c>
      <c r="EC597" t="n">
        <v>109.33</v>
      </c>
      <c r="ED597" t="n">
        <v>109.33</v>
      </c>
      <c r="EE597" t="n">
        <v>1</v>
      </c>
      <c r="EF597" t="b">
        <v>0</v>
      </c>
      <c r="EG597" t="n">
        <v>0</v>
      </c>
      <c r="EH597" t="n">
        <v>0</v>
      </c>
      <c r="EI597" t="n">
        <v>560</v>
      </c>
    </row>
    <row r="598">
      <c r="A598" t="inlineStr">
        <is>
          <t>Jacob Greaves</t>
        </is>
      </c>
      <c r="B598" t="inlineStr">
        <is>
          <t>IPS</t>
        </is>
      </c>
      <c r="C598" t="inlineStr">
        <is>
          <t>DEF</t>
        </is>
      </c>
      <c r="E598" t="n">
        <v>4</v>
      </c>
      <c r="F598" t="b">
        <v>1</v>
      </c>
      <c r="G598" t="b">
        <v>0</v>
      </c>
      <c r="H598" t="n">
        <v>25.9</v>
      </c>
      <c r="I598" t="inlineStr">
        <is>
          <t>a</t>
        </is>
      </c>
      <c r="M598" t="n">
        <v>306</v>
      </c>
      <c r="DO598" t="n">
        <v>0.7</v>
      </c>
      <c r="DP598" t="n">
        <v>57.86</v>
      </c>
      <c r="DQ598" t="n">
        <v>28.93</v>
      </c>
      <c r="DR598" t="n">
        <v>57.86</v>
      </c>
      <c r="DS598" t="n">
        <v>0</v>
      </c>
      <c r="DT598" t="n">
        <v>1533</v>
      </c>
      <c r="DU598" t="n">
        <v>40.35</v>
      </c>
      <c r="DV598" t="inlineStr">
        <is>
          <t>flat</t>
        </is>
      </c>
      <c r="DW598" t="n">
        <v>78.48</v>
      </c>
      <c r="DY598" t="n">
        <v>106.67</v>
      </c>
      <c r="DZ598" t="n">
        <v>28.19</v>
      </c>
      <c r="EA598" t="n">
        <v>1</v>
      </c>
      <c r="EB598" t="n">
        <v>24.6</v>
      </c>
      <c r="EC598" t="n">
        <v>61.33</v>
      </c>
      <c r="ED598" t="n">
        <v>106.67</v>
      </c>
      <c r="EE598" t="n">
        <v>3</v>
      </c>
      <c r="EF598" t="b">
        <v>0</v>
      </c>
      <c r="EG598" t="n">
        <v>0.1</v>
      </c>
      <c r="EH598" t="n">
        <v>25</v>
      </c>
      <c r="EI598" t="n">
        <v>568</v>
      </c>
    </row>
    <row r="599">
      <c r="A599" t="inlineStr">
        <is>
          <t>Crysencio Summerville</t>
        </is>
      </c>
      <c r="D599" t="inlineStr">
        <is>
          <t>MID</t>
        </is>
      </c>
      <c r="F599" t="b">
        <v>0</v>
      </c>
      <c r="G599" t="b">
        <v>1</v>
      </c>
      <c r="L599" t="inlineStr">
        <is>
          <t>p450070</t>
        </is>
      </c>
      <c r="Q599" t="n">
        <v>2480</v>
      </c>
      <c r="R599" t="n">
        <v>31</v>
      </c>
      <c r="T599" t="n">
        <v>27.556</v>
      </c>
      <c r="U599" t="n">
        <v>80</v>
      </c>
      <c r="Z599" t="n">
        <v>2</v>
      </c>
      <c r="AD599" t="n">
        <v>9</v>
      </c>
      <c r="AE599" t="n">
        <v>-1</v>
      </c>
      <c r="AG599" t="n">
        <v>402</v>
      </c>
      <c r="AH599" t="n">
        <v>-10</v>
      </c>
      <c r="AI599" t="n">
        <v>109</v>
      </c>
      <c r="AN599" t="n">
        <v>1</v>
      </c>
      <c r="AO599" t="n">
        <v>2</v>
      </c>
      <c r="AP599" t="n">
        <v>0.034</v>
      </c>
      <c r="AQ599" t="n">
        <v>0.207</v>
      </c>
      <c r="AR599" t="n">
        <v>0.034</v>
      </c>
      <c r="AS599" t="n">
        <v>0.763</v>
      </c>
      <c r="AT599" t="n">
        <v>0.903</v>
      </c>
      <c r="AU599" t="n">
        <v>17</v>
      </c>
      <c r="AV599" t="n">
        <v>3</v>
      </c>
      <c r="AW599" t="n">
        <v>3.08</v>
      </c>
      <c r="AX599" t="n">
        <v>11</v>
      </c>
      <c r="AZ599" t="n">
        <v>5.699</v>
      </c>
      <c r="BA599" t="n">
        <v>5.699</v>
      </c>
      <c r="BB599" t="n">
        <v>5.699</v>
      </c>
      <c r="BD599" t="n">
        <v>0.207</v>
      </c>
      <c r="BE599" t="n">
        <v>0.207</v>
      </c>
      <c r="BF599" t="n">
        <v>4.5</v>
      </c>
      <c r="BG599" t="n">
        <v>0.163</v>
      </c>
      <c r="BH599" t="n">
        <v>1.03</v>
      </c>
      <c r="BI599" t="n">
        <v>9.869999999999999</v>
      </c>
      <c r="BJ599" t="n">
        <v>5.591</v>
      </c>
      <c r="BK599" t="n">
        <v>0.203</v>
      </c>
      <c r="BP599" t="n">
        <v>54</v>
      </c>
      <c r="BQ599" t="n">
        <v>15</v>
      </c>
      <c r="BR599" t="n">
        <v>7</v>
      </c>
      <c r="BS599" t="n">
        <v>116</v>
      </c>
      <c r="BT599" t="n">
        <v>4.21</v>
      </c>
      <c r="BV599" t="n">
        <v>1</v>
      </c>
      <c r="BX599" t="n">
        <v>3.236</v>
      </c>
      <c r="BY599" t="n">
        <v>3.236</v>
      </c>
      <c r="BZ599" t="n">
        <v>0.117</v>
      </c>
      <c r="CA599" t="n">
        <v>8.935</v>
      </c>
      <c r="CB599" t="n">
        <v>0.324</v>
      </c>
      <c r="CC599" t="n">
        <v>28</v>
      </c>
      <c r="CD599" t="n">
        <v>4</v>
      </c>
      <c r="CE599" t="n">
        <v>28</v>
      </c>
      <c r="CF599" t="n">
        <v>14</v>
      </c>
      <c r="CG599" t="n">
        <v>1</v>
      </c>
      <c r="CH599" t="n">
        <v>30</v>
      </c>
      <c r="CI599" t="n">
        <v>11.091</v>
      </c>
      <c r="CJ599" t="n">
        <v>3.963</v>
      </c>
      <c r="CN599" t="n">
        <v>25</v>
      </c>
      <c r="CO599" t="n">
        <v>16</v>
      </c>
      <c r="CP599" t="n">
        <v>30</v>
      </c>
      <c r="CQ599" t="n">
        <v>4</v>
      </c>
      <c r="CR599" t="n">
        <v>170</v>
      </c>
      <c r="CS599" t="n">
        <v>7</v>
      </c>
      <c r="CT599" t="n">
        <v>0.5</v>
      </c>
      <c r="CV599" t="n">
        <v>1</v>
      </c>
      <c r="DE599" t="n">
        <v>7.04</v>
      </c>
      <c r="DH599" t="n">
        <v>49</v>
      </c>
      <c r="DI599" t="n">
        <v>67</v>
      </c>
      <c r="DJ599" t="n">
        <v>1</v>
      </c>
      <c r="DL599" t="n">
        <v>51</v>
      </c>
      <c r="DM599" t="n">
        <v>39</v>
      </c>
      <c r="DN599" t="n">
        <v>6</v>
      </c>
      <c r="EJ599" t="n">
        <v>45.9</v>
      </c>
      <c r="EK599" t="n">
        <v>21.4</v>
      </c>
      <c r="EL599" t="n">
        <v>88.59999999999999</v>
      </c>
      <c r="EM599" t="n">
        <v>435.2</v>
      </c>
      <c r="EN599" t="n">
        <v>766.4</v>
      </c>
      <c r="EO599" t="n">
        <v>277.6</v>
      </c>
    </row>
    <row r="600">
      <c r="A600" t="inlineStr">
        <is>
          <t>Myles Peart-Harris</t>
        </is>
      </c>
      <c r="D600" t="inlineStr">
        <is>
          <t>MID</t>
        </is>
      </c>
      <c r="F600" t="b">
        <v>0</v>
      </c>
      <c r="G600" t="b">
        <v>1</v>
      </c>
      <c r="L600" t="inlineStr">
        <is>
          <t>p450539</t>
        </is>
      </c>
      <c r="Q600" t="n">
        <v>1</v>
      </c>
      <c r="R600" t="n">
        <v>1</v>
      </c>
      <c r="T600" t="n">
        <v>0.011</v>
      </c>
      <c r="U600" t="n">
        <v>1</v>
      </c>
      <c r="AD600" t="n">
        <v>0</v>
      </c>
      <c r="AE600" t="n">
        <v>0</v>
      </c>
      <c r="AG600" t="n">
        <v>2</v>
      </c>
      <c r="AH600" t="n">
        <v>0</v>
      </c>
      <c r="AI600" t="n">
        <v>1</v>
      </c>
      <c r="AN600" t="n">
        <v>0</v>
      </c>
      <c r="AO600" t="n">
        <v>0</v>
      </c>
      <c r="AS600" t="n">
        <v>0</v>
      </c>
      <c r="AT600" t="n">
        <v>0</v>
      </c>
      <c r="AU600" t="n">
        <v>1</v>
      </c>
      <c r="AV600" t="n">
        <v>0</v>
      </c>
      <c r="AW600" t="n">
        <v>0.16</v>
      </c>
      <c r="AX600" t="n">
        <v>1</v>
      </c>
      <c r="AZ600" t="n">
        <v>0</v>
      </c>
      <c r="BA600" t="n">
        <v>0</v>
      </c>
      <c r="BB600" t="n">
        <v>0</v>
      </c>
      <c r="BD600" t="n">
        <v>0</v>
      </c>
      <c r="BE600" t="n">
        <v>0</v>
      </c>
      <c r="BH600" t="n">
        <v>1</v>
      </c>
      <c r="BI600" t="n">
        <v>0</v>
      </c>
      <c r="BJ600" t="n">
        <v>0</v>
      </c>
      <c r="BK600" t="n">
        <v>0</v>
      </c>
      <c r="BX600" t="n">
        <v>0</v>
      </c>
      <c r="BY600" t="n">
        <v>0</v>
      </c>
      <c r="BZ600" t="n">
        <v>0</v>
      </c>
      <c r="CA600" t="n">
        <v>0</v>
      </c>
      <c r="CB600" t="n">
        <v>0</v>
      </c>
      <c r="CC600" t="n">
        <v>0</v>
      </c>
      <c r="CI600" t="n">
        <v>0</v>
      </c>
      <c r="CJ600" t="n">
        <v>0</v>
      </c>
      <c r="DH600" t="n">
        <v>1</v>
      </c>
    </row>
    <row r="601">
      <c r="A601" t="inlineStr">
        <is>
          <t>Milan van Ewijk</t>
        </is>
      </c>
      <c r="B601" t="inlineStr">
        <is>
          <t>COV</t>
        </is>
      </c>
      <c r="C601" t="inlineStr">
        <is>
          <t>DEF</t>
        </is>
      </c>
      <c r="E601" t="n">
        <v>4</v>
      </c>
      <c r="F601" t="b">
        <v>1</v>
      </c>
      <c r="G601" t="b">
        <v>0</v>
      </c>
      <c r="H601" t="n">
        <v>25.9</v>
      </c>
      <c r="I601" t="inlineStr">
        <is>
          <t>a</t>
        </is>
      </c>
      <c r="M601" t="n">
        <v>175</v>
      </c>
      <c r="DO601" t="n">
        <v>15.4</v>
      </c>
      <c r="DP601" t="n">
        <v>106.68</v>
      </c>
      <c r="DQ601" t="n">
        <v>53.34</v>
      </c>
      <c r="DR601" t="n">
        <v>106.68</v>
      </c>
      <c r="DS601" t="n">
        <v>0</v>
      </c>
      <c r="DT601" t="n">
        <v>3342</v>
      </c>
      <c r="DU601" t="n">
        <v>87.95999999999999</v>
      </c>
      <c r="DV601" t="inlineStr">
        <is>
          <t>flat</t>
        </is>
      </c>
      <c r="DW601" t="n">
        <v>95.26000000000001</v>
      </c>
      <c r="DX601" t="n">
        <v>95.89</v>
      </c>
      <c r="DY601" t="n">
        <v>97.43000000000001</v>
      </c>
      <c r="DZ601" t="n">
        <v>2.17</v>
      </c>
      <c r="EA601" t="n">
        <v>113</v>
      </c>
      <c r="EB601" t="n">
        <v>20.7</v>
      </c>
      <c r="EC601" t="n">
        <v>8</v>
      </c>
      <c r="ED601" t="n">
        <v>120</v>
      </c>
      <c r="EE601" t="n">
        <v>176</v>
      </c>
      <c r="EF601" t="b">
        <v>1</v>
      </c>
      <c r="EG601" t="n">
        <v>4.2</v>
      </c>
      <c r="EH601" t="n">
        <v>15</v>
      </c>
      <c r="EI601" t="n">
        <v>540</v>
      </c>
    </row>
    <row r="602">
      <c r="A602" t="inlineStr">
        <is>
          <t>João Pedro Loureiro da Costa</t>
        </is>
      </c>
      <c r="B602" t="inlineStr">
        <is>
          <t>BHA</t>
        </is>
      </c>
      <c r="C602" t="inlineStr">
        <is>
          <t>DEF</t>
        </is>
      </c>
      <c r="E602" t="n">
        <v>4.5</v>
      </c>
      <c r="F602" t="b">
        <v>1</v>
      </c>
      <c r="G602" t="b">
        <v>0</v>
      </c>
      <c r="H602" t="n">
        <v>26.4</v>
      </c>
      <c r="I602" t="inlineStr">
        <is>
          <t>a</t>
        </is>
      </c>
      <c r="M602" t="n">
        <v>119</v>
      </c>
      <c r="DO602" t="n">
        <v>0</v>
      </c>
      <c r="DP602" t="n">
        <v>28.36</v>
      </c>
      <c r="DQ602" t="n">
        <v>14.17</v>
      </c>
      <c r="DR602" t="n">
        <v>28.34</v>
      </c>
      <c r="DS602" t="n">
        <v>0.02</v>
      </c>
      <c r="DT602" t="n">
        <v>346</v>
      </c>
      <c r="DU602" t="n">
        <v>9.109999999999999</v>
      </c>
      <c r="DV602" t="inlineStr">
        <is>
          <t>flat</t>
        </is>
      </c>
      <c r="DW602" t="n">
        <v>103.37</v>
      </c>
      <c r="DX602" t="n">
        <v>78</v>
      </c>
      <c r="DY602" t="n">
        <v>116.05</v>
      </c>
      <c r="DZ602" t="n">
        <v>12.68</v>
      </c>
      <c r="EA602" t="n">
        <v>2</v>
      </c>
      <c r="EB602" t="n">
        <v>22.02</v>
      </c>
      <c r="EC602" t="n">
        <v>78</v>
      </c>
      <c r="ED602" t="n">
        <v>117.6</v>
      </c>
      <c r="EE602" t="n">
        <v>3</v>
      </c>
      <c r="EF602" t="b">
        <v>0</v>
      </c>
      <c r="EG602" t="n">
        <v>0.1</v>
      </c>
      <c r="EH602" t="n">
        <v>0</v>
      </c>
      <c r="EI602" t="n">
        <v>480</v>
      </c>
    </row>
    <row r="603">
      <c r="A603" t="inlineStr">
        <is>
          <t>Michael Svoboda</t>
        </is>
      </c>
      <c r="B603" t="inlineStr">
        <is>
          <t>BHA</t>
        </is>
      </c>
      <c r="C603" t="inlineStr">
        <is>
          <t>DEF</t>
        </is>
      </c>
      <c r="E603" t="n">
        <v>5</v>
      </c>
      <c r="F603" t="b">
        <v>1</v>
      </c>
      <c r="G603" t="b">
        <v>0</v>
      </c>
      <c r="H603" t="n">
        <v>27.8</v>
      </c>
      <c r="I603" t="inlineStr">
        <is>
          <t>a</t>
        </is>
      </c>
      <c r="M603" t="n">
        <v>120</v>
      </c>
      <c r="DO603" t="n">
        <v>0.1</v>
      </c>
      <c r="DP603" t="n">
        <v>17.3</v>
      </c>
      <c r="DQ603" t="n">
        <v>8.69</v>
      </c>
      <c r="DR603" t="n">
        <v>17.38</v>
      </c>
      <c r="DS603" t="n">
        <v>-0.08</v>
      </c>
      <c r="DT603" t="n">
        <v>148</v>
      </c>
      <c r="DU603" t="n">
        <v>3.89</v>
      </c>
      <c r="DV603" t="inlineStr">
        <is>
          <t>flat</t>
        </is>
      </c>
      <c r="DW603" t="n">
        <v>95.31999999999999</v>
      </c>
      <c r="DX603" t="n">
        <v>87.75</v>
      </c>
      <c r="DY603" t="n">
        <v>119</v>
      </c>
      <c r="DZ603" t="n">
        <v>23.68</v>
      </c>
      <c r="EA603" t="n">
        <v>1</v>
      </c>
      <c r="EB603" t="n">
        <v>32.66</v>
      </c>
      <c r="EC603" t="n">
        <v>31</v>
      </c>
      <c r="ED603" t="n">
        <v>119</v>
      </c>
      <c r="EE603" t="n">
        <v>6</v>
      </c>
      <c r="EF603" t="b">
        <v>0</v>
      </c>
      <c r="EG603" t="n">
        <v>0.3</v>
      </c>
      <c r="EH603" t="n">
        <v>57.1</v>
      </c>
      <c r="EI603" t="n">
        <v>336</v>
      </c>
    </row>
    <row r="604">
      <c r="A604" t="inlineStr">
        <is>
          <t>Leif Davis</t>
        </is>
      </c>
      <c r="B604" t="inlineStr">
        <is>
          <t>IPS</t>
        </is>
      </c>
      <c r="C604" t="inlineStr">
        <is>
          <t>DEF</t>
        </is>
      </c>
      <c r="E604" t="n">
        <v>4</v>
      </c>
      <c r="F604" t="b">
        <v>1</v>
      </c>
      <c r="G604" t="b">
        <v>0</v>
      </c>
      <c r="H604" t="n">
        <v>26.6</v>
      </c>
      <c r="I604" t="inlineStr">
        <is>
          <t>a</t>
        </is>
      </c>
      <c r="M604" t="n">
        <v>305</v>
      </c>
      <c r="O604" t="n">
        <v>2</v>
      </c>
      <c r="P604" t="n">
        <v>2</v>
      </c>
      <c r="DO604" t="n">
        <v>5</v>
      </c>
      <c r="DP604" t="n">
        <v>100.42</v>
      </c>
      <c r="DQ604" t="n">
        <v>50.21</v>
      </c>
      <c r="DR604" t="n">
        <v>100.42</v>
      </c>
      <c r="DS604" t="n">
        <v>0</v>
      </c>
      <c r="DT604" t="n">
        <v>3186</v>
      </c>
      <c r="DU604" t="n">
        <v>83.84999999999999</v>
      </c>
      <c r="DV604" t="inlineStr">
        <is>
          <t>flat</t>
        </is>
      </c>
      <c r="DW604" t="n">
        <v>98.38</v>
      </c>
      <c r="DX604" t="n">
        <v>99.73999999999999</v>
      </c>
      <c r="DY604" t="n">
        <v>99.68000000000001</v>
      </c>
      <c r="DZ604" t="n">
        <v>1.3</v>
      </c>
      <c r="EA604" t="n">
        <v>69</v>
      </c>
      <c r="EB604" t="n">
        <v>21.98</v>
      </c>
      <c r="EC604" t="n">
        <v>25</v>
      </c>
      <c r="ED604" t="n">
        <v>120</v>
      </c>
      <c r="EE604" t="n">
        <v>89</v>
      </c>
      <c r="EF604" t="b">
        <v>1</v>
      </c>
      <c r="EG604" t="n">
        <v>2.1</v>
      </c>
      <c r="EH604" t="n">
        <v>13.6</v>
      </c>
      <c r="EI604" t="n">
        <v>567</v>
      </c>
    </row>
    <row r="605">
      <c r="A605" t="inlineStr">
        <is>
          <t>Bobby Thomas</t>
        </is>
      </c>
      <c r="B605" t="inlineStr">
        <is>
          <t>COV</t>
        </is>
      </c>
      <c r="C605" t="inlineStr">
        <is>
          <t>DEF</t>
        </is>
      </c>
      <c r="E605" t="n">
        <v>4</v>
      </c>
      <c r="F605" t="b">
        <v>1</v>
      </c>
      <c r="G605" t="b">
        <v>0</v>
      </c>
      <c r="H605" t="n">
        <v>25.6</v>
      </c>
      <c r="I605" t="inlineStr">
        <is>
          <t>a</t>
        </is>
      </c>
      <c r="M605" t="n">
        <v>173</v>
      </c>
      <c r="DO605" t="n">
        <v>8.199999999999999</v>
      </c>
      <c r="DP605" t="n">
        <v>116.02</v>
      </c>
      <c r="DQ605" t="n">
        <v>58.01</v>
      </c>
      <c r="DR605" t="n">
        <v>116.02</v>
      </c>
      <c r="DS605" t="n">
        <v>0</v>
      </c>
      <c r="DT605" t="n">
        <v>3135</v>
      </c>
      <c r="DU605" t="n">
        <v>82.5</v>
      </c>
      <c r="DV605" t="inlineStr">
        <is>
          <t>flat</t>
        </is>
      </c>
      <c r="DW605" t="n">
        <v>95.83</v>
      </c>
      <c r="DX605" t="n">
        <v>93.29000000000001</v>
      </c>
      <c r="DY605" t="n">
        <v>96.06999999999999</v>
      </c>
      <c r="DZ605" t="n">
        <v>0.24</v>
      </c>
      <c r="EA605" t="n">
        <v>51</v>
      </c>
      <c r="EB605" t="n">
        <v>19.86</v>
      </c>
      <c r="EC605" t="n">
        <v>37.33</v>
      </c>
      <c r="ED605" t="n">
        <v>120</v>
      </c>
      <c r="EE605" t="n">
        <v>91</v>
      </c>
      <c r="EF605" t="b">
        <v>1</v>
      </c>
      <c r="EG605" t="n">
        <v>2.6</v>
      </c>
      <c r="EH605" t="n">
        <v>27.8</v>
      </c>
      <c r="EI605" t="n">
        <v>538</v>
      </c>
    </row>
    <row r="606">
      <c r="A606" t="inlineStr">
        <is>
          <t>Bashir Humphreys</t>
        </is>
      </c>
      <c r="D606" t="inlineStr">
        <is>
          <t>DEF</t>
        </is>
      </c>
      <c r="F606" t="b">
        <v>0</v>
      </c>
      <c r="G606" t="b">
        <v>1</v>
      </c>
      <c r="L606" t="inlineStr">
        <is>
          <t>p461188</t>
        </is>
      </c>
      <c r="Q606" t="n">
        <v>1578</v>
      </c>
      <c r="R606" t="n">
        <v>20</v>
      </c>
      <c r="T606" t="n">
        <v>17.533</v>
      </c>
      <c r="U606" t="n">
        <v>78.90000000000001</v>
      </c>
      <c r="AD606" t="n">
        <v>0</v>
      </c>
      <c r="AE606" t="n">
        <v>-1</v>
      </c>
      <c r="AG606" t="n">
        <v>189</v>
      </c>
      <c r="AH606" t="n">
        <v>-21</v>
      </c>
      <c r="AI606" t="n">
        <v>46</v>
      </c>
      <c r="AN606" t="n">
        <v>6</v>
      </c>
      <c r="AO606" t="n">
        <v>12</v>
      </c>
      <c r="AP606" t="n">
        <v>0.353</v>
      </c>
      <c r="AQ606" t="n">
        <v>0.353</v>
      </c>
      <c r="AR606" t="n">
        <v>0.059</v>
      </c>
      <c r="AS606" t="n">
        <v>0.447</v>
      </c>
      <c r="AT606" t="n">
        <v>0.9</v>
      </c>
      <c r="AU606" t="n">
        <v>14</v>
      </c>
      <c r="AV606" t="n">
        <v>0</v>
      </c>
      <c r="AW606" t="n">
        <v>1.99</v>
      </c>
      <c r="AX606" t="n">
        <v>8</v>
      </c>
      <c r="AZ606" t="n">
        <v>0.526</v>
      </c>
      <c r="BA606" t="n">
        <v>0.526</v>
      </c>
      <c r="BB606" t="n">
        <v>0.526</v>
      </c>
      <c r="BD606" t="n">
        <v>0.03</v>
      </c>
      <c r="BE606" t="n">
        <v>0.03</v>
      </c>
      <c r="BF606" t="n">
        <v>0.6</v>
      </c>
      <c r="BG606" t="n">
        <v>0.034</v>
      </c>
      <c r="BH606" t="n">
        <v>1.021</v>
      </c>
      <c r="BI606" t="n">
        <v>0.42</v>
      </c>
      <c r="BJ606" t="n">
        <v>0.429</v>
      </c>
      <c r="BK606" t="n">
        <v>0.024</v>
      </c>
      <c r="BP606" t="n">
        <v>9</v>
      </c>
      <c r="BQ606" t="n">
        <v>3</v>
      </c>
      <c r="BR606" t="n">
        <v>1</v>
      </c>
      <c r="BS606" t="n">
        <v>24</v>
      </c>
      <c r="BT606" t="n">
        <v>1.369</v>
      </c>
      <c r="BX606" t="n">
        <v>0.864</v>
      </c>
      <c r="BY606" t="n">
        <v>0.864</v>
      </c>
      <c r="BZ606" t="n">
        <v>0.049</v>
      </c>
      <c r="CA606" t="n">
        <v>1.391</v>
      </c>
      <c r="CB606" t="n">
        <v>0.079</v>
      </c>
      <c r="CC606" t="n">
        <v>9</v>
      </c>
      <c r="CD606" t="n">
        <v>1</v>
      </c>
      <c r="CE606" t="n">
        <v>9</v>
      </c>
      <c r="CF606" t="n">
        <v>3</v>
      </c>
      <c r="CI606" t="n">
        <v>3.338</v>
      </c>
      <c r="CJ606" t="n">
        <v>2.934</v>
      </c>
      <c r="CN606" t="n">
        <v>18</v>
      </c>
      <c r="CO606" t="n">
        <v>11</v>
      </c>
      <c r="CP606" t="n">
        <v>84</v>
      </c>
      <c r="CQ606" t="n">
        <v>19</v>
      </c>
      <c r="CR606" t="n">
        <v>69</v>
      </c>
      <c r="CS606" t="n">
        <v>26</v>
      </c>
      <c r="CT606" t="n">
        <v>0.1</v>
      </c>
      <c r="CV606" t="n">
        <v>2</v>
      </c>
      <c r="DH606" t="n">
        <v>14</v>
      </c>
      <c r="DI606" t="n">
        <v>10</v>
      </c>
      <c r="DL606" t="n">
        <v>6</v>
      </c>
      <c r="DM606" t="n">
        <v>6</v>
      </c>
      <c r="DN606" t="n">
        <v>2</v>
      </c>
      <c r="EJ606" t="n">
        <v>175.3</v>
      </c>
      <c r="EK606" t="n">
        <v>65.8</v>
      </c>
      <c r="EL606" t="n">
        <v>175.3</v>
      </c>
      <c r="EM606" t="n">
        <v>2999.2</v>
      </c>
      <c r="EN606" t="n">
        <v>1825.5</v>
      </c>
      <c r="EO606" t="n">
        <v>1134.8</v>
      </c>
    </row>
    <row r="607">
      <c r="A607" t="inlineStr">
        <is>
          <t>Dennis Cirkin</t>
        </is>
      </c>
      <c r="D607" t="inlineStr">
        <is>
          <t>DEF</t>
        </is>
      </c>
      <c r="F607" t="b">
        <v>0</v>
      </c>
      <c r="G607" t="b">
        <v>1</v>
      </c>
      <c r="L607" t="inlineStr">
        <is>
          <t>p461195</t>
        </is>
      </c>
      <c r="Q607" t="n">
        <v>320</v>
      </c>
      <c r="R607" t="n">
        <v>8</v>
      </c>
      <c r="T607" t="n">
        <v>3.556</v>
      </c>
      <c r="U607" t="n">
        <v>40</v>
      </c>
      <c r="AD607" t="n">
        <v>0</v>
      </c>
      <c r="AE607" t="n">
        <v>0</v>
      </c>
      <c r="AG607" t="n">
        <v>37</v>
      </c>
      <c r="AH607" t="n">
        <v>-6</v>
      </c>
      <c r="AI607" t="n">
        <v>14</v>
      </c>
      <c r="AN607" t="n">
        <v>1</v>
      </c>
      <c r="AO607" t="n">
        <v>2</v>
      </c>
      <c r="AP607" t="n">
        <v>0.333</v>
      </c>
      <c r="AQ607" t="n">
        <v>0.333</v>
      </c>
      <c r="AR607" t="n">
        <v>0</v>
      </c>
      <c r="AS607" t="n">
        <v>0.079</v>
      </c>
      <c r="AT607" t="n">
        <v>0.25</v>
      </c>
      <c r="AU607" t="n">
        <v>7</v>
      </c>
      <c r="AV607" t="n">
        <v>0</v>
      </c>
      <c r="AW607" t="n">
        <v>1.34</v>
      </c>
      <c r="AX607" t="n">
        <v>8</v>
      </c>
      <c r="AZ607" t="n">
        <v>0.066</v>
      </c>
      <c r="BA607" t="n">
        <v>0.066</v>
      </c>
      <c r="BB607" t="n">
        <v>0.066</v>
      </c>
      <c r="BD607" t="n">
        <v>0.019</v>
      </c>
      <c r="BE607" t="n">
        <v>0.019</v>
      </c>
      <c r="BH607" t="n">
        <v>0.99</v>
      </c>
      <c r="BI607" t="n">
        <v>0.08</v>
      </c>
      <c r="BJ607" t="n">
        <v>0.079</v>
      </c>
      <c r="BK607" t="n">
        <v>0.022</v>
      </c>
      <c r="BP607" t="n">
        <v>1</v>
      </c>
      <c r="BS607" t="n">
        <v>4</v>
      </c>
      <c r="BT607" t="n">
        <v>1.125</v>
      </c>
      <c r="BX607" t="n">
        <v>0</v>
      </c>
      <c r="BY607" t="n">
        <v>0</v>
      </c>
      <c r="BZ607" t="n">
        <v>0</v>
      </c>
      <c r="CA607" t="n">
        <v>0.066</v>
      </c>
      <c r="CB607" t="n">
        <v>0.019</v>
      </c>
      <c r="CC607" t="n">
        <v>0</v>
      </c>
      <c r="CF607" t="n">
        <v>1</v>
      </c>
      <c r="CI607" t="n">
        <v>0.603</v>
      </c>
      <c r="CJ607" t="n">
        <v>0.536</v>
      </c>
      <c r="CN607" t="n">
        <v>5</v>
      </c>
      <c r="CO607" t="n">
        <v>5</v>
      </c>
      <c r="CP607" t="n">
        <v>14</v>
      </c>
      <c r="CQ607" t="n">
        <v>1</v>
      </c>
      <c r="CR607" t="n">
        <v>18</v>
      </c>
      <c r="CS607" t="n">
        <v>5</v>
      </c>
      <c r="DH607" t="n">
        <v>4</v>
      </c>
      <c r="DI607" t="n">
        <v>2</v>
      </c>
      <c r="DL607" t="n">
        <v>3</v>
      </c>
      <c r="DM607" t="n">
        <v>5</v>
      </c>
      <c r="EJ607" t="n">
        <v>320</v>
      </c>
      <c r="EK607" t="n">
        <v>80</v>
      </c>
      <c r="EM607" t="n">
        <v>4822.3</v>
      </c>
      <c r="EO607" t="n">
        <v>4822.3</v>
      </c>
    </row>
    <row r="608">
      <c r="A608" t="inlineStr">
        <is>
          <t>Kasey McAteer</t>
        </is>
      </c>
      <c r="B608" t="inlineStr">
        <is>
          <t>IPS</t>
        </is>
      </c>
      <c r="C608" t="inlineStr">
        <is>
          <t>MID</t>
        </is>
      </c>
      <c r="E608" t="n">
        <v>4.5</v>
      </c>
      <c r="F608" t="b">
        <v>1</v>
      </c>
      <c r="G608" t="b">
        <v>0</v>
      </c>
      <c r="H608" t="n">
        <v>24.7</v>
      </c>
      <c r="I608" t="inlineStr">
        <is>
          <t>a</t>
        </is>
      </c>
      <c r="M608" t="n">
        <v>323</v>
      </c>
      <c r="DO608" t="n">
        <v>1.5</v>
      </c>
      <c r="DP608" t="n">
        <v>0</v>
      </c>
      <c r="DQ608" t="n">
        <v>0</v>
      </c>
      <c r="DR608" t="n">
        <v>0</v>
      </c>
      <c r="DS608" t="n">
        <v>0</v>
      </c>
      <c r="DT608" t="n">
        <v>0</v>
      </c>
      <c r="DU608" t="n">
        <v>0</v>
      </c>
      <c r="DV608" t="inlineStr">
        <is>
          <t>flat</t>
        </is>
      </c>
      <c r="DW608" t="n">
        <v>90.47</v>
      </c>
      <c r="DX608" t="n">
        <v>102.5</v>
      </c>
      <c r="DY608" t="n">
        <v>86</v>
      </c>
      <c r="DZ608" t="n">
        <v>-4.47</v>
      </c>
      <c r="EA608" t="n">
        <v>1</v>
      </c>
      <c r="EB608" t="n">
        <v>26.58</v>
      </c>
      <c r="EC608" t="n">
        <v>66.40000000000001</v>
      </c>
      <c r="ED608" t="n">
        <v>119</v>
      </c>
      <c r="EE608" t="n">
        <v>3</v>
      </c>
      <c r="EF608" t="b">
        <v>0</v>
      </c>
      <c r="EG608" t="n">
        <v>0.1</v>
      </c>
      <c r="EH608" t="n">
        <v>0</v>
      </c>
      <c r="EI608" t="n">
        <v>501</v>
      </c>
    </row>
    <row r="609">
      <c r="A609" t="inlineStr">
        <is>
          <t>Jean-Clair Todibo</t>
        </is>
      </c>
      <c r="D609" t="inlineStr">
        <is>
          <t>DEF</t>
        </is>
      </c>
      <c r="F609" t="b">
        <v>0</v>
      </c>
      <c r="G609" t="b">
        <v>1</v>
      </c>
      <c r="L609" t="inlineStr">
        <is>
          <t>p462116</t>
        </is>
      </c>
      <c r="Q609" t="n">
        <v>1817</v>
      </c>
      <c r="R609" t="n">
        <v>23</v>
      </c>
      <c r="T609" t="n">
        <v>20.189</v>
      </c>
      <c r="U609" t="n">
        <v>79</v>
      </c>
      <c r="Z609" t="n">
        <v>1</v>
      </c>
      <c r="AD609" t="n">
        <v>1</v>
      </c>
      <c r="AE609" t="n">
        <v>0</v>
      </c>
      <c r="AG609" t="n">
        <v>136</v>
      </c>
      <c r="AH609" t="n">
        <v>-24</v>
      </c>
      <c r="AI609" t="n">
        <v>46</v>
      </c>
      <c r="AN609" t="n">
        <v>8</v>
      </c>
      <c r="AO609" t="n">
        <v>16</v>
      </c>
      <c r="AP609" t="n">
        <v>0.364</v>
      </c>
      <c r="AQ609" t="n">
        <v>0.364</v>
      </c>
      <c r="AR609" t="n">
        <v>0.091</v>
      </c>
      <c r="AS609" t="n">
        <v>0.579</v>
      </c>
      <c r="AT609" t="n">
        <v>0.826</v>
      </c>
      <c r="AU609" t="n">
        <v>17</v>
      </c>
      <c r="AV609" t="n">
        <v>0</v>
      </c>
      <c r="AW609" t="n">
        <v>1.92</v>
      </c>
      <c r="AX609" t="n">
        <v>9</v>
      </c>
      <c r="AZ609" t="n">
        <v>0.656</v>
      </c>
      <c r="BA609" t="n">
        <v>0.656</v>
      </c>
      <c r="BB609" t="n">
        <v>0.656</v>
      </c>
      <c r="BD609" t="n">
        <v>0.032</v>
      </c>
      <c r="BE609" t="n">
        <v>0.032</v>
      </c>
      <c r="BH609" t="n">
        <v>0.929</v>
      </c>
      <c r="BI609" t="n">
        <v>0.61</v>
      </c>
      <c r="BJ609" t="n">
        <v>0.232</v>
      </c>
      <c r="BK609" t="n">
        <v>0.011</v>
      </c>
      <c r="BP609" t="n">
        <v>2</v>
      </c>
      <c r="BR609" t="n">
        <v>1</v>
      </c>
      <c r="BS609" t="n">
        <v>9</v>
      </c>
      <c r="BT609" t="n">
        <v>0.446</v>
      </c>
      <c r="BX609" t="n">
        <v>0.38</v>
      </c>
      <c r="BY609" t="n">
        <v>0.38</v>
      </c>
      <c r="BZ609" t="n">
        <v>0.019</v>
      </c>
      <c r="CA609" t="n">
        <v>1.036</v>
      </c>
      <c r="CB609" t="n">
        <v>0.051</v>
      </c>
      <c r="CC609" t="n">
        <v>5</v>
      </c>
      <c r="CE609" t="n">
        <v>5</v>
      </c>
      <c r="CI609" t="n">
        <v>1.825</v>
      </c>
      <c r="CJ609" t="n">
        <v>1.6</v>
      </c>
      <c r="CN609" t="n">
        <v>24</v>
      </c>
      <c r="CO609" t="n">
        <v>17</v>
      </c>
      <c r="CP609" t="n">
        <v>98</v>
      </c>
      <c r="CQ609" t="n">
        <v>13</v>
      </c>
      <c r="CR609" t="n">
        <v>69</v>
      </c>
      <c r="CS609" t="n">
        <v>25</v>
      </c>
      <c r="CT609" t="n">
        <v>0</v>
      </c>
      <c r="CV609" t="n">
        <v>2</v>
      </c>
      <c r="DE609" t="n">
        <v>6.66</v>
      </c>
      <c r="DH609" t="n">
        <v>8</v>
      </c>
      <c r="DI609" t="n">
        <v>3</v>
      </c>
      <c r="DL609" t="n">
        <v>4</v>
      </c>
      <c r="DM609" t="n">
        <v>1</v>
      </c>
      <c r="DN609" t="n">
        <v>1</v>
      </c>
      <c r="EJ609" t="n">
        <v>908.5</v>
      </c>
      <c r="EK609" t="n">
        <v>201.9</v>
      </c>
      <c r="EL609" t="n">
        <v>363.4</v>
      </c>
      <c r="EM609" t="n">
        <v>2769.8</v>
      </c>
      <c r="EN609" t="n">
        <v>4782.1</v>
      </c>
      <c r="EO609" t="n">
        <v>1753.9</v>
      </c>
    </row>
    <row r="610">
      <c r="A610" t="inlineStr">
        <is>
          <t>Ali Al-Hamadi</t>
        </is>
      </c>
      <c r="B610" t="inlineStr">
        <is>
          <t>IPS</t>
        </is>
      </c>
      <c r="C610" t="inlineStr">
        <is>
          <t>FWD</t>
        </is>
      </c>
      <c r="E610" t="n">
        <v>5</v>
      </c>
      <c r="F610" t="b">
        <v>1</v>
      </c>
      <c r="G610" t="b">
        <v>0</v>
      </c>
      <c r="H610" t="n">
        <v>24.5</v>
      </c>
      <c r="I610" t="inlineStr">
        <is>
          <t>a</t>
        </is>
      </c>
      <c r="M610" t="n">
        <v>322</v>
      </c>
      <c r="DO610" t="n">
        <v>0.2</v>
      </c>
      <c r="DP610" t="n">
        <v>38.74</v>
      </c>
      <c r="DQ610" t="n">
        <v>19.37</v>
      </c>
      <c r="DR610" t="n">
        <v>38.74</v>
      </c>
      <c r="DS610" t="n">
        <v>0</v>
      </c>
      <c r="DT610" t="n">
        <v>38</v>
      </c>
      <c r="DU610" t="n">
        <v>1</v>
      </c>
      <c r="DV610" t="inlineStr">
        <is>
          <t>flat</t>
        </is>
      </c>
      <c r="DW610" t="n">
        <v>100.44</v>
      </c>
      <c r="DX610" t="n">
        <v>109</v>
      </c>
      <c r="DY610" t="n">
        <v>97.70999999999999</v>
      </c>
      <c r="DZ610" t="n">
        <v>-2.73</v>
      </c>
      <c r="EA610" t="n">
        <v>3</v>
      </c>
      <c r="EB610" t="n">
        <v>13.86</v>
      </c>
      <c r="EC610" t="n">
        <v>72.67</v>
      </c>
      <c r="ED610" t="n">
        <v>118</v>
      </c>
      <c r="EE610" t="n">
        <v>9</v>
      </c>
      <c r="EF610" t="b">
        <v>0</v>
      </c>
      <c r="EG610" t="n">
        <v>0.2</v>
      </c>
      <c r="EH610" t="n">
        <v>25</v>
      </c>
      <c r="EI610" t="n">
        <v>363</v>
      </c>
    </row>
    <row r="611">
      <c r="A611" t="inlineStr">
        <is>
          <t>Shea Charles</t>
        </is>
      </c>
      <c r="B611" t="inlineStr">
        <is>
          <t>FUL</t>
        </is>
      </c>
      <c r="C611" t="inlineStr">
        <is>
          <t>MID</t>
        </is>
      </c>
      <c r="E611" t="n">
        <v>5</v>
      </c>
      <c r="F611" t="b">
        <v>1</v>
      </c>
      <c r="G611" t="b">
        <v>0</v>
      </c>
      <c r="H611" t="n">
        <v>22.8</v>
      </c>
      <c r="I611" t="inlineStr">
        <is>
          <t>a</t>
        </is>
      </c>
      <c r="M611" t="n">
        <v>580</v>
      </c>
      <c r="DO611" t="n">
        <v>0.1</v>
      </c>
      <c r="DP611" t="n">
        <v>52.5</v>
      </c>
      <c r="DQ611" t="n">
        <v>26.26</v>
      </c>
      <c r="DR611" t="n">
        <v>52.52</v>
      </c>
      <c r="DS611" t="n">
        <v>-0.02</v>
      </c>
      <c r="DT611" t="n">
        <v>1305</v>
      </c>
      <c r="DU611" t="n">
        <v>34.35</v>
      </c>
      <c r="DV611" t="inlineStr">
        <is>
          <t>flat</t>
        </is>
      </c>
      <c r="DW611" t="n">
        <v>108.87</v>
      </c>
      <c r="DY611" t="n">
        <v>108.87</v>
      </c>
      <c r="DZ611" t="n">
        <v>0</v>
      </c>
      <c r="EA611" t="n">
        <v>3</v>
      </c>
      <c r="EB611" t="n">
        <v>8.4</v>
      </c>
      <c r="EC611" t="n">
        <v>99.2</v>
      </c>
      <c r="ED611" t="n">
        <v>114.4</v>
      </c>
      <c r="EE611" t="n">
        <v>3</v>
      </c>
      <c r="EF611" t="b">
        <v>0</v>
      </c>
      <c r="EG611" t="n">
        <v>0.1</v>
      </c>
      <c r="EH611" t="n">
        <v>0</v>
      </c>
      <c r="EI611" t="n">
        <v>386</v>
      </c>
    </row>
    <row r="612">
      <c r="A612" t="inlineStr">
        <is>
          <t>Harvey Davies</t>
        </is>
      </c>
      <c r="B612" t="inlineStr">
        <is>
          <t>LIV</t>
        </is>
      </c>
      <c r="C612" t="inlineStr">
        <is>
          <t>GKP</t>
        </is>
      </c>
      <c r="E612" t="n">
        <v>4</v>
      </c>
      <c r="F612" t="b">
        <v>1</v>
      </c>
      <c r="G612" t="b">
        <v>0</v>
      </c>
      <c r="H612" t="n">
        <v>23</v>
      </c>
      <c r="I612" t="inlineStr">
        <is>
          <t>a</t>
        </is>
      </c>
      <c r="M612" t="n">
        <v>355</v>
      </c>
      <c r="DO612" t="n">
        <v>0.1</v>
      </c>
      <c r="DP612" t="n">
        <v>0</v>
      </c>
      <c r="DQ612" t="n">
        <v>0</v>
      </c>
      <c r="DR612" t="n">
        <v>0</v>
      </c>
      <c r="DS612" t="n">
        <v>0</v>
      </c>
      <c r="DT612" t="n">
        <v>0</v>
      </c>
      <c r="DU612" t="n">
        <v>0</v>
      </c>
      <c r="DV612" t="inlineStr">
        <is>
          <t>flat</t>
        </is>
      </c>
      <c r="DW612" t="n">
        <v>107.37</v>
      </c>
      <c r="DX612" t="n">
        <v>115</v>
      </c>
      <c r="DY612" t="n">
        <v>107.37</v>
      </c>
      <c r="DZ612" t="n">
        <v>0</v>
      </c>
      <c r="EA612" t="n">
        <v>4</v>
      </c>
      <c r="EB612" t="n">
        <v>9.49</v>
      </c>
      <c r="EC612" t="n">
        <v>98.13</v>
      </c>
      <c r="ED612" t="n">
        <v>119</v>
      </c>
      <c r="EE612" t="n">
        <v>4</v>
      </c>
      <c r="EF612" t="b">
        <v>0</v>
      </c>
      <c r="EG612" t="n">
        <v>0.1</v>
      </c>
      <c r="EH612" t="n">
        <v>20</v>
      </c>
      <c r="EI612" t="n">
        <v>573</v>
      </c>
    </row>
    <row r="613">
      <c r="A613" t="inlineStr">
        <is>
          <t>Kaine Kesler-Hayden</t>
        </is>
      </c>
      <c r="B613" t="inlineStr">
        <is>
          <t>COV</t>
        </is>
      </c>
      <c r="C613" t="inlineStr">
        <is>
          <t>DEF</t>
        </is>
      </c>
      <c r="E613" t="n">
        <v>4</v>
      </c>
      <c r="F613" t="b">
        <v>1</v>
      </c>
      <c r="G613" t="b">
        <v>0</v>
      </c>
      <c r="H613" t="n">
        <v>23.8</v>
      </c>
      <c r="I613" t="inlineStr">
        <is>
          <t>a</t>
        </is>
      </c>
      <c r="M613" t="n">
        <v>177</v>
      </c>
      <c r="DO613" t="n">
        <v>0.1</v>
      </c>
      <c r="DP613" t="n">
        <v>16.49</v>
      </c>
      <c r="DQ613" t="n">
        <v>8.25</v>
      </c>
      <c r="DR613" t="n">
        <v>16.5</v>
      </c>
      <c r="DS613" t="n">
        <v>-0.01</v>
      </c>
      <c r="DT613" t="n">
        <v>253</v>
      </c>
      <c r="DU613" t="n">
        <v>6.66</v>
      </c>
      <c r="DV613" t="inlineStr">
        <is>
          <t>flat</t>
        </is>
      </c>
      <c r="DW613" t="n">
        <v>63.22</v>
      </c>
      <c r="DX613" t="n">
        <v>106</v>
      </c>
      <c r="EB613" t="n">
        <v>60.5</v>
      </c>
      <c r="EC613" t="n">
        <v>20.44</v>
      </c>
      <c r="ED613" t="n">
        <v>106</v>
      </c>
      <c r="EE613" t="n">
        <v>2</v>
      </c>
      <c r="EF613" t="b">
        <v>0</v>
      </c>
      <c r="EG613" t="n">
        <v>0</v>
      </c>
      <c r="EH613" t="n">
        <v>0</v>
      </c>
      <c r="EI613" t="n">
        <v>542</v>
      </c>
    </row>
    <row r="614">
      <c r="A614" t="inlineStr">
        <is>
          <t>Eliot Matazo</t>
        </is>
      </c>
      <c r="B614" t="inlineStr">
        <is>
          <t>HUL</t>
        </is>
      </c>
      <c r="C614" t="inlineStr">
        <is>
          <t>MID</t>
        </is>
      </c>
      <c r="E614" t="n">
        <v>4.5</v>
      </c>
      <c r="F614" t="b">
        <v>1</v>
      </c>
      <c r="G614" t="b">
        <v>0</v>
      </c>
      <c r="H614" t="n">
        <v>24.5</v>
      </c>
      <c r="I614" t="inlineStr">
        <is>
          <t>i</t>
        </is>
      </c>
      <c r="J614" t="inlineStr">
        <is>
          <t>Knee injury - Unknown return date</t>
        </is>
      </c>
      <c r="K614" t="n">
        <v>0</v>
      </c>
      <c r="M614" t="n">
        <v>291</v>
      </c>
      <c r="DO614" t="n">
        <v>0</v>
      </c>
      <c r="DP614" t="n">
        <v>0</v>
      </c>
      <c r="DQ614" t="n">
        <v>0</v>
      </c>
      <c r="DR614" t="n">
        <v>0</v>
      </c>
      <c r="DS614" t="n">
        <v>0</v>
      </c>
      <c r="DT614" t="n">
        <v>0</v>
      </c>
      <c r="DU614" t="n">
        <v>0</v>
      </c>
      <c r="DV614" t="inlineStr">
        <is>
          <t>flat</t>
        </is>
      </c>
    </row>
    <row r="615">
      <c r="A615" t="inlineStr">
        <is>
          <t>Hannibal Mejbri</t>
        </is>
      </c>
      <c r="D615" t="inlineStr">
        <is>
          <t>MID</t>
        </is>
      </c>
      <c r="F615" t="b">
        <v>0</v>
      </c>
      <c r="G615" t="b">
        <v>1</v>
      </c>
      <c r="L615" t="inlineStr">
        <is>
          <t>p465527</t>
        </is>
      </c>
      <c r="Q615" t="n">
        <v>1231</v>
      </c>
      <c r="R615" t="n">
        <v>27</v>
      </c>
      <c r="T615" t="n">
        <v>13.678</v>
      </c>
      <c r="U615" t="n">
        <v>45.6</v>
      </c>
      <c r="Z615" t="n">
        <v>4</v>
      </c>
      <c r="AD615" t="n">
        <v>4</v>
      </c>
      <c r="AE615" t="n">
        <v>0</v>
      </c>
      <c r="AG615" t="n">
        <v>255</v>
      </c>
      <c r="AH615" t="n">
        <v>-6</v>
      </c>
      <c r="AI615" t="n">
        <v>59</v>
      </c>
      <c r="AN615" t="n">
        <v>2</v>
      </c>
      <c r="AO615" t="n">
        <v>4</v>
      </c>
      <c r="AP615" t="n">
        <v>0.133</v>
      </c>
      <c r="AQ615" t="n">
        <v>0.2</v>
      </c>
      <c r="AR615" t="n">
        <v>0.133</v>
      </c>
      <c r="AS615" t="n">
        <v>0.395</v>
      </c>
      <c r="AT615" t="n">
        <v>0.444</v>
      </c>
      <c r="AU615" t="n">
        <v>21</v>
      </c>
      <c r="AV615" t="n">
        <v>2</v>
      </c>
      <c r="AW615" t="n">
        <v>2.45</v>
      </c>
      <c r="AX615" t="n">
        <v>10</v>
      </c>
      <c r="AZ615" t="n">
        <v>0.75</v>
      </c>
      <c r="BA615" t="n">
        <v>0.75</v>
      </c>
      <c r="BB615" t="n">
        <v>0.75</v>
      </c>
      <c r="BD615" t="n">
        <v>0.055</v>
      </c>
      <c r="BE615" t="n">
        <v>0.055</v>
      </c>
      <c r="BF615" t="n">
        <v>0.7</v>
      </c>
      <c r="BG615" t="n">
        <v>0.051</v>
      </c>
      <c r="BH615" t="n">
        <v>0.996</v>
      </c>
      <c r="BI615" t="n">
        <v>0.9399999999999999</v>
      </c>
      <c r="BJ615" t="n">
        <v>0.906</v>
      </c>
      <c r="BK615" t="n">
        <v>0.066</v>
      </c>
      <c r="BP615" t="n">
        <v>19</v>
      </c>
      <c r="BQ615" t="n">
        <v>5</v>
      </c>
      <c r="BS615" t="n">
        <v>22</v>
      </c>
      <c r="BT615" t="n">
        <v>1.608</v>
      </c>
      <c r="BX615" t="n">
        <v>2.838</v>
      </c>
      <c r="BY615" t="n">
        <v>2.838</v>
      </c>
      <c r="BZ615" t="n">
        <v>0.208</v>
      </c>
      <c r="CA615" t="n">
        <v>3.588</v>
      </c>
      <c r="CB615" t="n">
        <v>0.262</v>
      </c>
      <c r="CC615" t="n">
        <v>21</v>
      </c>
      <c r="CD615" t="n">
        <v>5</v>
      </c>
      <c r="CE615" t="n">
        <v>21</v>
      </c>
      <c r="CF615" t="n">
        <v>11</v>
      </c>
      <c r="CG615" t="n">
        <v>3</v>
      </c>
      <c r="CH615" t="n">
        <v>1</v>
      </c>
      <c r="CI615" t="n">
        <v>5.953</v>
      </c>
      <c r="CJ615" t="n">
        <v>3.376</v>
      </c>
      <c r="CN615" t="n">
        <v>17</v>
      </c>
      <c r="CO615" t="n">
        <v>8</v>
      </c>
      <c r="CP615" t="n">
        <v>7</v>
      </c>
      <c r="CQ615" t="n">
        <v>3</v>
      </c>
      <c r="CR615" t="n">
        <v>102</v>
      </c>
      <c r="CS615" t="n">
        <v>6</v>
      </c>
      <c r="CT615" t="n">
        <v>0.9</v>
      </c>
      <c r="CV615" t="n">
        <v>2</v>
      </c>
      <c r="DE615" t="n">
        <v>6.64</v>
      </c>
      <c r="DH615" t="n">
        <v>24</v>
      </c>
      <c r="DI615" t="n">
        <v>47</v>
      </c>
      <c r="DK615" t="n">
        <v>1</v>
      </c>
      <c r="DL615" t="n">
        <v>20</v>
      </c>
      <c r="DM615" t="n">
        <v>33</v>
      </c>
      <c r="DN615" t="n">
        <v>3</v>
      </c>
      <c r="EJ615" t="n">
        <v>64.8</v>
      </c>
      <c r="EK615" t="n">
        <v>56</v>
      </c>
      <c r="EL615" t="n">
        <v>58.6</v>
      </c>
      <c r="EM615" t="n">
        <v>1641.7</v>
      </c>
      <c r="EN615" t="n">
        <v>433.7</v>
      </c>
      <c r="EO615" t="n">
        <v>343.1</v>
      </c>
    </row>
    <row r="616">
      <c r="A616" t="inlineStr">
        <is>
          <t>Mads Hermansen</t>
        </is>
      </c>
      <c r="D616" t="inlineStr">
        <is>
          <t>GKP</t>
        </is>
      </c>
      <c r="F616" t="b">
        <v>0</v>
      </c>
      <c r="G616" t="b">
        <v>1</v>
      </c>
      <c r="L616" t="inlineStr">
        <is>
          <t>p467189</t>
        </is>
      </c>
      <c r="Q616" t="n">
        <v>1620</v>
      </c>
      <c r="R616" t="n">
        <v>18</v>
      </c>
      <c r="T616" t="n">
        <v>18</v>
      </c>
      <c r="U616" t="n">
        <v>90</v>
      </c>
      <c r="Z616" t="n">
        <v>1</v>
      </c>
      <c r="AD616" t="n">
        <v>8</v>
      </c>
      <c r="AE616" t="n">
        <v>0</v>
      </c>
      <c r="AG616" t="n">
        <v>277</v>
      </c>
      <c r="AH616" t="n">
        <v>-5</v>
      </c>
      <c r="AI616" t="n">
        <v>76</v>
      </c>
      <c r="AN616" t="n">
        <v>0</v>
      </c>
      <c r="AO616" t="n">
        <v>0</v>
      </c>
      <c r="AP616" t="n">
        <v>0</v>
      </c>
      <c r="AQ616" t="n">
        <v>0</v>
      </c>
      <c r="AR616" t="n">
        <v>0</v>
      </c>
      <c r="AS616" t="n">
        <v>0.474</v>
      </c>
      <c r="AT616" t="n">
        <v>1</v>
      </c>
      <c r="AU616" t="n">
        <v>9</v>
      </c>
      <c r="AV616" t="n">
        <v>2</v>
      </c>
      <c r="AW616" t="n">
        <v>3.15</v>
      </c>
      <c r="AX616" t="n">
        <v>10</v>
      </c>
      <c r="AZ616" t="n">
        <v>0</v>
      </c>
      <c r="BA616" t="n">
        <v>0</v>
      </c>
      <c r="BB616" t="n">
        <v>0</v>
      </c>
      <c r="BD616" t="n">
        <v>0</v>
      </c>
      <c r="BE616" t="n">
        <v>0</v>
      </c>
      <c r="BH616" t="n">
        <v>1</v>
      </c>
      <c r="BI616" t="n">
        <v>0</v>
      </c>
      <c r="BJ616" t="n">
        <v>0</v>
      </c>
      <c r="BK616" t="n">
        <v>0</v>
      </c>
      <c r="BX616" t="n">
        <v>0.037</v>
      </c>
      <c r="BY616" t="n">
        <v>0.037</v>
      </c>
      <c r="BZ616" t="n">
        <v>0.002</v>
      </c>
      <c r="CA616" t="n">
        <v>0.037</v>
      </c>
      <c r="CB616" t="n">
        <v>0.002</v>
      </c>
      <c r="CC616" t="n">
        <v>2</v>
      </c>
      <c r="CE616" t="n">
        <v>2</v>
      </c>
      <c r="CI616" t="n">
        <v>2.042</v>
      </c>
      <c r="CJ616" t="n">
        <v>2.005</v>
      </c>
      <c r="CN616" t="n">
        <v>0</v>
      </c>
      <c r="CP616" t="n">
        <v>20</v>
      </c>
      <c r="CR616" t="n">
        <v>11</v>
      </c>
      <c r="CS616" t="n">
        <v>10</v>
      </c>
      <c r="CU616" t="n">
        <v>3</v>
      </c>
      <c r="CV616" t="n">
        <v>1</v>
      </c>
      <c r="DC616" t="n">
        <v>23</v>
      </c>
      <c r="DD616" t="n">
        <v>12</v>
      </c>
      <c r="DI616" t="n">
        <v>2</v>
      </c>
      <c r="EL616" t="n">
        <v>810</v>
      </c>
      <c r="EN616" t="n">
        <v>43552.6</v>
      </c>
      <c r="EO616" t="n">
        <v>43552.6</v>
      </c>
    </row>
    <row r="617">
      <c r="A617" t="inlineStr">
        <is>
          <t>Lorenzo Lucca</t>
        </is>
      </c>
      <c r="D617" t="inlineStr">
        <is>
          <t>FWD</t>
        </is>
      </c>
      <c r="F617" t="b">
        <v>0</v>
      </c>
      <c r="G617" t="b">
        <v>1</v>
      </c>
      <c r="L617" t="inlineStr">
        <is>
          <t>p469130</t>
        </is>
      </c>
      <c r="Q617" t="n">
        <v>127</v>
      </c>
      <c r="R617" t="n">
        <v>4</v>
      </c>
      <c r="T617" t="n">
        <v>1.411</v>
      </c>
      <c r="U617" t="n">
        <v>31.8</v>
      </c>
      <c r="AD617" t="n">
        <v>0</v>
      </c>
      <c r="AE617" t="n">
        <v>0</v>
      </c>
      <c r="AG617" t="n">
        <v>31</v>
      </c>
      <c r="AH617" t="n">
        <v>-2</v>
      </c>
      <c r="AI617" t="n">
        <v>9</v>
      </c>
      <c r="AN617" t="n">
        <v>0</v>
      </c>
      <c r="AO617" t="n">
        <v>0</v>
      </c>
      <c r="AP617" t="n">
        <v>0</v>
      </c>
      <c r="AQ617" t="n">
        <v>0</v>
      </c>
      <c r="AR617" t="n">
        <v>0</v>
      </c>
      <c r="AS617" t="n">
        <v>0.026</v>
      </c>
      <c r="AT617" t="n">
        <v>0.25</v>
      </c>
      <c r="AU617" t="n">
        <v>3</v>
      </c>
      <c r="AV617" t="n">
        <v>0</v>
      </c>
      <c r="AW617" t="n">
        <v>1.35</v>
      </c>
      <c r="AX617" t="n">
        <v>5</v>
      </c>
      <c r="AZ617" t="n">
        <v>1.185</v>
      </c>
      <c r="BA617" t="n">
        <v>1.185</v>
      </c>
      <c r="BB617" t="n">
        <v>1.185</v>
      </c>
      <c r="BD617" t="n">
        <v>0.839</v>
      </c>
      <c r="BE617" t="n">
        <v>0.839</v>
      </c>
      <c r="BF617" t="n">
        <v>0.2</v>
      </c>
      <c r="BG617" t="n">
        <v>0.142</v>
      </c>
      <c r="BH617" t="n">
        <v>0.9330000000000001</v>
      </c>
      <c r="BI617" t="n">
        <v>0.79</v>
      </c>
      <c r="BJ617" t="n">
        <v>0.737</v>
      </c>
      <c r="BK617" t="n">
        <v>0.522</v>
      </c>
      <c r="BP617" t="n">
        <v>4</v>
      </c>
      <c r="BQ617" t="n">
        <v>1</v>
      </c>
      <c r="BR617" t="n">
        <v>1</v>
      </c>
      <c r="BS617" t="n">
        <v>9</v>
      </c>
      <c r="BT617" t="n">
        <v>6.378</v>
      </c>
      <c r="BV617" t="n">
        <v>1</v>
      </c>
      <c r="BX617" t="n">
        <v>0.037</v>
      </c>
      <c r="BY617" t="n">
        <v>0.037</v>
      </c>
      <c r="BZ617" t="n">
        <v>0.026</v>
      </c>
      <c r="CA617" t="n">
        <v>1.221</v>
      </c>
      <c r="CB617" t="n">
        <v>0.865</v>
      </c>
      <c r="CC617" t="n">
        <v>1</v>
      </c>
      <c r="CE617" t="n">
        <v>1</v>
      </c>
      <c r="CI617" t="n">
        <v>1.672</v>
      </c>
      <c r="CJ617" t="n">
        <v>0.488</v>
      </c>
      <c r="CO617" t="n">
        <v>1</v>
      </c>
      <c r="CP617" t="n">
        <v>3</v>
      </c>
      <c r="CR617" t="n">
        <v>7</v>
      </c>
      <c r="CS617" t="n">
        <v>5</v>
      </c>
      <c r="DH617" t="n">
        <v>1</v>
      </c>
      <c r="DI617" t="n">
        <v>2</v>
      </c>
      <c r="DM617" t="n">
        <v>3</v>
      </c>
      <c r="DN617" t="n">
        <v>2</v>
      </c>
      <c r="EJ617" t="n">
        <v>31.8</v>
      </c>
      <c r="EK617" t="n">
        <v>14.1</v>
      </c>
      <c r="EL617" t="n">
        <v>127</v>
      </c>
      <c r="EM617" t="n">
        <v>107.2</v>
      </c>
      <c r="EN617" t="n">
        <v>3465.7</v>
      </c>
      <c r="EO617" t="n">
        <v>104</v>
      </c>
    </row>
    <row r="618">
      <c r="A618" t="inlineStr">
        <is>
          <t>Lukás Hornícek</t>
        </is>
      </c>
      <c r="B618" t="inlineStr">
        <is>
          <t>NEW</t>
        </is>
      </c>
      <c r="C618" t="inlineStr">
        <is>
          <t>GKP</t>
        </is>
      </c>
      <c r="E618" t="n">
        <v>5</v>
      </c>
      <c r="F618" t="b">
        <v>1</v>
      </c>
      <c r="G618" t="b">
        <v>0</v>
      </c>
      <c r="H618" t="n">
        <v>24.1</v>
      </c>
      <c r="I618" t="inlineStr">
        <is>
          <t>a</t>
        </is>
      </c>
      <c r="M618" t="n">
        <v>567</v>
      </c>
      <c r="DO618" t="n">
        <v>0.5</v>
      </c>
      <c r="DP618" t="n">
        <v>124.44</v>
      </c>
      <c r="DQ618" t="n">
        <v>62.22</v>
      </c>
      <c r="DR618" t="n">
        <v>124.44</v>
      </c>
      <c r="DS618" t="n">
        <v>0</v>
      </c>
      <c r="DT618" t="n">
        <v>3374</v>
      </c>
      <c r="DU618" t="n">
        <v>88.8</v>
      </c>
      <c r="DV618" t="inlineStr">
        <is>
          <t>flat</t>
        </is>
      </c>
      <c r="DW618" t="n">
        <v>109.56</v>
      </c>
      <c r="DX618" t="n">
        <v>112.44</v>
      </c>
      <c r="DY618" t="n">
        <v>108.71</v>
      </c>
      <c r="DZ618" t="n">
        <v>-0.84</v>
      </c>
      <c r="EA618" t="n">
        <v>488</v>
      </c>
      <c r="EB618" t="n">
        <v>15.21</v>
      </c>
      <c r="EC618" t="n">
        <v>5.5</v>
      </c>
      <c r="ED618" t="n">
        <v>120</v>
      </c>
      <c r="EE618" t="n">
        <v>734</v>
      </c>
      <c r="EF618" t="b">
        <v>1</v>
      </c>
      <c r="EG618" t="n">
        <v>17.4</v>
      </c>
      <c r="EH618" t="n">
        <v>13.4</v>
      </c>
      <c r="EI618" t="n">
        <v>376</v>
      </c>
    </row>
    <row r="619">
      <c r="A619" t="inlineStr">
        <is>
          <t>Konstantinos Tzolakis</t>
        </is>
      </c>
      <c r="B619" t="inlineStr">
        <is>
          <t>HUL</t>
        </is>
      </c>
      <c r="C619" t="inlineStr">
        <is>
          <t>GKP</t>
        </is>
      </c>
      <c r="E619" t="n">
        <v>4.5</v>
      </c>
      <c r="F619" t="b">
        <v>1</v>
      </c>
      <c r="G619" t="b">
        <v>0</v>
      </c>
      <c r="H619" t="n">
        <v>23.8</v>
      </c>
      <c r="I619" t="inlineStr">
        <is>
          <t>a</t>
        </is>
      </c>
      <c r="M619" t="n">
        <v>572</v>
      </c>
      <c r="DO619" t="n">
        <v>0.3</v>
      </c>
      <c r="DP619" t="n">
        <v>109.89</v>
      </c>
      <c r="DQ619" t="n">
        <v>55.05</v>
      </c>
      <c r="DR619" t="n">
        <v>110.1</v>
      </c>
      <c r="DS619" t="n">
        <v>-0.21</v>
      </c>
      <c r="DT619" t="n">
        <v>3385</v>
      </c>
      <c r="DU619" t="n">
        <v>89.08</v>
      </c>
      <c r="DV619" t="inlineStr">
        <is>
          <t>flat</t>
        </is>
      </c>
      <c r="DW619" t="n">
        <v>113.15</v>
      </c>
      <c r="DX619" t="n">
        <v>107.75</v>
      </c>
      <c r="DY619" t="n">
        <v>113.37</v>
      </c>
      <c r="DZ619" t="n">
        <v>0.22</v>
      </c>
      <c r="EA619" t="n">
        <v>100</v>
      </c>
      <c r="EB619" t="n">
        <v>10.72</v>
      </c>
      <c r="EC619" t="n">
        <v>43.64</v>
      </c>
      <c r="ED619" t="n">
        <v>120</v>
      </c>
      <c r="EE619" t="n">
        <v>118</v>
      </c>
      <c r="EF619" t="b">
        <v>1</v>
      </c>
      <c r="EG619" t="n">
        <v>2.7</v>
      </c>
      <c r="EH619" t="n">
        <v>9.9</v>
      </c>
      <c r="EI619" t="n">
        <v>516</v>
      </c>
    </row>
    <row r="620">
      <c r="A620" t="inlineStr">
        <is>
          <t>Maxime Estève</t>
        </is>
      </c>
      <c r="D620" t="inlineStr">
        <is>
          <t>DEF</t>
        </is>
      </c>
      <c r="F620" t="b">
        <v>0</v>
      </c>
      <c r="G620" t="b">
        <v>1</v>
      </c>
      <c r="L620" t="inlineStr">
        <is>
          <t>p477717</t>
        </is>
      </c>
      <c r="Q620" t="n">
        <v>2937</v>
      </c>
      <c r="R620" t="n">
        <v>34</v>
      </c>
      <c r="T620" t="n">
        <v>32.633</v>
      </c>
      <c r="U620" t="n">
        <v>86.40000000000001</v>
      </c>
      <c r="AD620" t="n">
        <v>0</v>
      </c>
      <c r="AE620" t="n">
        <v>0</v>
      </c>
      <c r="AG620" t="n">
        <v>215</v>
      </c>
      <c r="AH620" t="n">
        <v>-49</v>
      </c>
      <c r="AI620" t="n">
        <v>85</v>
      </c>
      <c r="AN620" t="n">
        <v>19</v>
      </c>
      <c r="AO620" t="n">
        <v>38</v>
      </c>
      <c r="AP620" t="n">
        <v>0.5590000000000001</v>
      </c>
      <c r="AQ620" t="n">
        <v>0.5590000000000001</v>
      </c>
      <c r="AR620" t="n">
        <v>0.294</v>
      </c>
      <c r="AS620" t="n">
        <v>0.895</v>
      </c>
      <c r="AT620" t="n">
        <v>0.971</v>
      </c>
      <c r="AU620" t="n">
        <v>16</v>
      </c>
      <c r="AV620" t="n">
        <v>0</v>
      </c>
      <c r="AW620" t="n">
        <v>1.95</v>
      </c>
      <c r="AX620" t="n">
        <v>8</v>
      </c>
      <c r="AZ620" t="n">
        <v>0.452</v>
      </c>
      <c r="BA620" t="n">
        <v>0.452</v>
      </c>
      <c r="BB620" t="n">
        <v>0.452</v>
      </c>
      <c r="BD620" t="n">
        <v>0.014</v>
      </c>
      <c r="BE620" t="n">
        <v>0.014</v>
      </c>
      <c r="BF620" t="n">
        <v>0.1</v>
      </c>
      <c r="BG620" t="n">
        <v>0.003</v>
      </c>
      <c r="BH620" t="n">
        <v>0.9</v>
      </c>
      <c r="BI620" t="n">
        <v>1</v>
      </c>
      <c r="BJ620" t="n">
        <v>0.657</v>
      </c>
      <c r="BK620" t="n">
        <v>0.02</v>
      </c>
      <c r="BP620" t="n">
        <v>10</v>
      </c>
      <c r="BQ620" t="n">
        <v>1</v>
      </c>
      <c r="BR620" t="n">
        <v>0</v>
      </c>
      <c r="BS620" t="n">
        <v>30</v>
      </c>
      <c r="BT620" t="n">
        <v>0.919</v>
      </c>
      <c r="BX620" t="n">
        <v>0.702</v>
      </c>
      <c r="BY620" t="n">
        <v>0.702</v>
      </c>
      <c r="BZ620" t="n">
        <v>0.022</v>
      </c>
      <c r="CA620" t="n">
        <v>1.154</v>
      </c>
      <c r="CB620" t="n">
        <v>0.035</v>
      </c>
      <c r="CC620" t="n">
        <v>6</v>
      </c>
      <c r="CD620" t="n">
        <v>1</v>
      </c>
      <c r="CE620" t="n">
        <v>7</v>
      </c>
      <c r="CF620" t="n">
        <v>2</v>
      </c>
      <c r="CI620" t="n">
        <v>4.438</v>
      </c>
      <c r="CJ620" t="n">
        <v>4.29</v>
      </c>
      <c r="CN620" t="n">
        <v>26</v>
      </c>
      <c r="CO620" t="n">
        <v>37</v>
      </c>
      <c r="CP620" t="n">
        <v>221</v>
      </c>
      <c r="CQ620" t="n">
        <v>33</v>
      </c>
      <c r="CR620" t="n">
        <v>139</v>
      </c>
      <c r="CS620" t="n">
        <v>80</v>
      </c>
      <c r="CT620" t="n">
        <v>0.1</v>
      </c>
      <c r="CU620" t="n">
        <v>2</v>
      </c>
      <c r="CV620" t="n">
        <v>1</v>
      </c>
      <c r="DE620" t="n">
        <v>6.44</v>
      </c>
      <c r="DH620" t="n">
        <v>13</v>
      </c>
      <c r="DI620" t="n">
        <v>12</v>
      </c>
      <c r="DL620" t="n">
        <v>3</v>
      </c>
      <c r="DM620" t="n">
        <v>3</v>
      </c>
      <c r="DN620" t="n">
        <v>0</v>
      </c>
      <c r="EJ620" t="n">
        <v>293.7</v>
      </c>
      <c r="EK620" t="n">
        <v>97.90000000000001</v>
      </c>
      <c r="EL620" t="n">
        <v>419.6</v>
      </c>
      <c r="EM620" t="n">
        <v>6503.4</v>
      </c>
      <c r="EN620" t="n">
        <v>4183.1</v>
      </c>
      <c r="EO620" t="n">
        <v>2545.7</v>
      </c>
    </row>
    <row r="621">
      <c r="A621" t="inlineStr">
        <is>
          <t>Hjalmar Ekdal</t>
        </is>
      </c>
      <c r="D621" t="inlineStr">
        <is>
          <t>DEF</t>
        </is>
      </c>
      <c r="F621" t="b">
        <v>0</v>
      </c>
      <c r="G621" t="b">
        <v>1</v>
      </c>
      <c r="L621" t="inlineStr">
        <is>
          <t>p478969</t>
        </is>
      </c>
      <c r="Q621" t="n">
        <v>1539</v>
      </c>
      <c r="R621" t="n">
        <v>19</v>
      </c>
      <c r="T621" t="n">
        <v>17.1</v>
      </c>
      <c r="U621" t="n">
        <v>81</v>
      </c>
      <c r="AD621" t="n">
        <v>2</v>
      </c>
      <c r="AE621" t="n">
        <v>0</v>
      </c>
      <c r="AG621" t="n">
        <v>133</v>
      </c>
      <c r="AH621" t="n">
        <v>-26</v>
      </c>
      <c r="AI621" t="n">
        <v>52</v>
      </c>
      <c r="AN621" t="n">
        <v>9</v>
      </c>
      <c r="AO621" t="n">
        <v>18</v>
      </c>
      <c r="AP621" t="n">
        <v>0.529</v>
      </c>
      <c r="AQ621" t="n">
        <v>0.529</v>
      </c>
      <c r="AR621" t="n">
        <v>0.353</v>
      </c>
      <c r="AS621" t="n">
        <v>0.447</v>
      </c>
      <c r="AT621" t="n">
        <v>0.895</v>
      </c>
      <c r="AU621" t="n">
        <v>10</v>
      </c>
      <c r="AV621" t="n">
        <v>0</v>
      </c>
      <c r="AW621" t="n">
        <v>2.28</v>
      </c>
      <c r="AX621" t="n">
        <v>9</v>
      </c>
      <c r="AZ621" t="n">
        <v>0.608</v>
      </c>
      <c r="BA621" t="n">
        <v>0.608</v>
      </c>
      <c r="BB621" t="n">
        <v>0.608</v>
      </c>
      <c r="BD621" t="n">
        <v>0.036</v>
      </c>
      <c r="BE621" t="n">
        <v>0.036</v>
      </c>
      <c r="BF621" t="n">
        <v>0.1</v>
      </c>
      <c r="BG621" t="n">
        <v>0.006</v>
      </c>
      <c r="BH621" t="n">
        <v>0.975</v>
      </c>
      <c r="BI621" t="n">
        <v>0.31</v>
      </c>
      <c r="BJ621" t="n">
        <v>0.244</v>
      </c>
      <c r="BK621" t="n">
        <v>0.014</v>
      </c>
      <c r="BP621" t="n">
        <v>6</v>
      </c>
      <c r="BQ621" t="n">
        <v>1</v>
      </c>
      <c r="BR621" t="n">
        <v>1</v>
      </c>
      <c r="BS621" t="n">
        <v>21</v>
      </c>
      <c r="BT621" t="n">
        <v>1.228</v>
      </c>
      <c r="BX621" t="n">
        <v>0.168</v>
      </c>
      <c r="BY621" t="n">
        <v>0.168</v>
      </c>
      <c r="BZ621" t="n">
        <v>0.01</v>
      </c>
      <c r="CA621" t="n">
        <v>0.776</v>
      </c>
      <c r="CB621" t="n">
        <v>0.045</v>
      </c>
      <c r="CC621" t="n">
        <v>4</v>
      </c>
      <c r="CE621" t="n">
        <v>4</v>
      </c>
      <c r="CI621" t="n">
        <v>2.712</v>
      </c>
      <c r="CJ621" t="n">
        <v>2.587</v>
      </c>
      <c r="CN621" t="n">
        <v>16</v>
      </c>
      <c r="CO621" t="n">
        <v>12</v>
      </c>
      <c r="CP621" t="n">
        <v>125</v>
      </c>
      <c r="CQ621" t="n">
        <v>13</v>
      </c>
      <c r="CR621" t="n">
        <v>83</v>
      </c>
      <c r="CS621" t="n">
        <v>52</v>
      </c>
      <c r="CU621" t="n">
        <v>1</v>
      </c>
      <c r="CV621" t="n">
        <v>1</v>
      </c>
      <c r="DH621" t="n">
        <v>5</v>
      </c>
      <c r="DI621" t="n">
        <v>7</v>
      </c>
      <c r="DL621" t="n">
        <v>2</v>
      </c>
      <c r="DM621" t="n">
        <v>4</v>
      </c>
      <c r="DN621" t="n">
        <v>2</v>
      </c>
      <c r="EJ621" t="n">
        <v>256.5</v>
      </c>
      <c r="EK621" t="n">
        <v>73.3</v>
      </c>
      <c r="EL621" t="n">
        <v>384.8</v>
      </c>
      <c r="EM621" t="n">
        <v>2530.4</v>
      </c>
      <c r="EN621" t="n">
        <v>9152.799999999999</v>
      </c>
      <c r="EO621" t="n">
        <v>1982.3</v>
      </c>
    </row>
    <row r="622">
      <c r="A622" t="inlineStr">
        <is>
          <t>Jack Rudoni</t>
        </is>
      </c>
      <c r="B622" t="inlineStr">
        <is>
          <t>COV</t>
        </is>
      </c>
      <c r="C622" t="inlineStr">
        <is>
          <t>MID</t>
        </is>
      </c>
      <c r="E622" t="n">
        <v>5</v>
      </c>
      <c r="F622" t="b">
        <v>1</v>
      </c>
      <c r="G622" t="b">
        <v>0</v>
      </c>
      <c r="H622" t="n">
        <v>25.2</v>
      </c>
      <c r="I622" t="inlineStr">
        <is>
          <t>d</t>
        </is>
      </c>
      <c r="J622" t="inlineStr">
        <is>
          <t>Shoulder injury - 75% chance of playing</t>
        </is>
      </c>
      <c r="K622" t="n">
        <v>75</v>
      </c>
      <c r="M622" t="n">
        <v>183</v>
      </c>
      <c r="O622" t="n">
        <v>3</v>
      </c>
      <c r="P622" t="n">
        <v>1</v>
      </c>
      <c r="DO622" t="n">
        <v>0.2</v>
      </c>
      <c r="DP622" t="n">
        <v>40.99</v>
      </c>
      <c r="DQ622" t="n">
        <v>20.08</v>
      </c>
      <c r="DR622" t="n">
        <v>40.16</v>
      </c>
      <c r="DS622" t="n">
        <v>0.83</v>
      </c>
      <c r="DT622" t="n">
        <v>948</v>
      </c>
      <c r="DU622" t="n">
        <v>24.95</v>
      </c>
      <c r="DV622" t="inlineStr">
        <is>
          <t>flat</t>
        </is>
      </c>
      <c r="DW622" t="n">
        <v>86.68000000000001</v>
      </c>
      <c r="DX622" t="n">
        <v>83.43000000000001</v>
      </c>
      <c r="DY622" t="n">
        <v>92.59999999999999</v>
      </c>
      <c r="DZ622" t="n">
        <v>5.92</v>
      </c>
      <c r="EA622" t="n">
        <v>14</v>
      </c>
      <c r="EB622" t="n">
        <v>18</v>
      </c>
      <c r="EC622" t="n">
        <v>43.43</v>
      </c>
      <c r="ED622" t="n">
        <v>118.55</v>
      </c>
      <c r="EE622" t="n">
        <v>21</v>
      </c>
      <c r="EF622" t="b">
        <v>1</v>
      </c>
      <c r="EG622" t="n">
        <v>0.5</v>
      </c>
      <c r="EH622" t="n">
        <v>19.2</v>
      </c>
      <c r="EI622" t="n">
        <v>340</v>
      </c>
    </row>
    <row r="623">
      <c r="A623" t="inlineStr">
        <is>
          <t>Jaden Philogene</t>
        </is>
      </c>
      <c r="B623" t="inlineStr">
        <is>
          <t>IPS</t>
        </is>
      </c>
      <c r="C623" t="inlineStr">
        <is>
          <t>MID</t>
        </is>
      </c>
      <c r="E623" t="n">
        <v>5.5</v>
      </c>
      <c r="F623" t="b">
        <v>1</v>
      </c>
      <c r="G623" t="b">
        <v>0</v>
      </c>
      <c r="H623" t="n">
        <v>24.5</v>
      </c>
      <c r="I623" t="inlineStr">
        <is>
          <t>a</t>
        </is>
      </c>
      <c r="M623" t="n">
        <v>318</v>
      </c>
      <c r="N623" t="n">
        <v>4</v>
      </c>
      <c r="O623" t="n">
        <v>4</v>
      </c>
      <c r="DO623" t="n">
        <v>0.2</v>
      </c>
      <c r="DP623" t="n">
        <v>55.14</v>
      </c>
      <c r="DQ623" t="n">
        <v>27.57</v>
      </c>
      <c r="DR623" t="n">
        <v>55.14</v>
      </c>
      <c r="DS623" t="n">
        <v>0</v>
      </c>
      <c r="DT623" t="n">
        <v>958</v>
      </c>
      <c r="DU623" t="n">
        <v>25.2</v>
      </c>
      <c r="DV623" t="inlineStr">
        <is>
          <t>flat</t>
        </is>
      </c>
      <c r="DW623" t="n">
        <v>87.70999999999999</v>
      </c>
      <c r="DX623" t="n">
        <v>91.59999999999999</v>
      </c>
      <c r="DY623" t="n">
        <v>90.86</v>
      </c>
      <c r="DZ623" t="n">
        <v>3.15</v>
      </c>
      <c r="EA623" t="n">
        <v>11</v>
      </c>
      <c r="EB623" t="n">
        <v>21.06</v>
      </c>
      <c r="EC623" t="n">
        <v>18.67</v>
      </c>
      <c r="ED623" t="n">
        <v>109.5</v>
      </c>
      <c r="EE623" t="n">
        <v>18</v>
      </c>
      <c r="EF623" t="b">
        <v>1</v>
      </c>
      <c r="EG623" t="n">
        <v>0.5</v>
      </c>
      <c r="EH623" t="n">
        <v>21.7</v>
      </c>
      <c r="EI623" t="n">
        <v>216</v>
      </c>
    </row>
    <row r="624">
      <c r="A624" t="inlineStr">
        <is>
          <t>António João Pereira de Albuquerque Tavares da Silva</t>
        </is>
      </c>
      <c r="B624" t="inlineStr">
        <is>
          <t>BOU</t>
        </is>
      </c>
      <c r="C624" t="inlineStr">
        <is>
          <t>DEF</t>
        </is>
      </c>
      <c r="E624" t="n">
        <v>5</v>
      </c>
      <c r="F624" t="b">
        <v>1</v>
      </c>
      <c r="G624" t="b">
        <v>0</v>
      </c>
      <c r="H624" t="n">
        <v>22.8</v>
      </c>
      <c r="I624" t="inlineStr">
        <is>
          <t>a</t>
        </is>
      </c>
      <c r="M624" t="n">
        <v>566</v>
      </c>
      <c r="DO624" t="n">
        <v>0.2</v>
      </c>
      <c r="DP624" t="n">
        <v>139.88</v>
      </c>
      <c r="DQ624" t="n">
        <v>69.94</v>
      </c>
      <c r="DR624" t="n">
        <v>139.88</v>
      </c>
      <c r="DS624" t="n">
        <v>0</v>
      </c>
      <c r="DT624" t="n">
        <v>3175</v>
      </c>
      <c r="DU624" t="n">
        <v>83.55</v>
      </c>
      <c r="DV624" t="inlineStr">
        <is>
          <t>flat</t>
        </is>
      </c>
      <c r="DW624" t="n">
        <v>96.34</v>
      </c>
      <c r="DX624" t="n">
        <v>99.29000000000001</v>
      </c>
      <c r="DY624" t="n">
        <v>97.15000000000001</v>
      </c>
      <c r="DZ624" t="n">
        <v>0.8100000000000001</v>
      </c>
      <c r="EA624" t="n">
        <v>131</v>
      </c>
      <c r="EB624" t="n">
        <v>16.78</v>
      </c>
      <c r="EC624" t="n">
        <v>33.14</v>
      </c>
      <c r="ED624" t="n">
        <v>120</v>
      </c>
      <c r="EE624" t="n">
        <v>228</v>
      </c>
      <c r="EF624" t="b">
        <v>1</v>
      </c>
      <c r="EG624" t="n">
        <v>5.3</v>
      </c>
      <c r="EH624" t="n">
        <v>11.6</v>
      </c>
      <c r="EI624" t="n">
        <v>381</v>
      </c>
    </row>
    <row r="625">
      <c r="A625" t="inlineStr">
        <is>
          <t>Rodrigo Gomes</t>
        </is>
      </c>
      <c r="D625" t="inlineStr">
        <is>
          <t>DEF</t>
        </is>
      </c>
      <c r="F625" t="b">
        <v>0</v>
      </c>
      <c r="G625" t="b">
        <v>1</v>
      </c>
      <c r="L625" t="inlineStr">
        <is>
          <t>p483081</t>
        </is>
      </c>
      <c r="Q625" t="n">
        <v>960</v>
      </c>
      <c r="R625" t="n">
        <v>22</v>
      </c>
      <c r="T625" t="n">
        <v>10.667</v>
      </c>
      <c r="U625" t="n">
        <v>43.6</v>
      </c>
      <c r="AD625" t="n">
        <v>0</v>
      </c>
      <c r="AE625" t="n">
        <v>0</v>
      </c>
      <c r="AG625" t="n">
        <v>96</v>
      </c>
      <c r="AH625" t="n">
        <v>-4</v>
      </c>
      <c r="AI625" t="n">
        <v>48</v>
      </c>
      <c r="AN625" t="n">
        <v>0</v>
      </c>
      <c r="AO625" t="n">
        <v>0</v>
      </c>
      <c r="AP625" t="n">
        <v>0</v>
      </c>
      <c r="AQ625" t="n">
        <v>0</v>
      </c>
      <c r="AR625" t="n">
        <v>0</v>
      </c>
      <c r="AS625" t="n">
        <v>0.237</v>
      </c>
      <c r="AT625" t="n">
        <v>0.318</v>
      </c>
      <c r="AU625" t="n">
        <v>18</v>
      </c>
      <c r="AV625" t="n">
        <v>0</v>
      </c>
      <c r="AW625" t="n">
        <v>2.04</v>
      </c>
      <c r="AX625" t="n">
        <v>7</v>
      </c>
      <c r="AZ625" t="n">
        <v>2.284</v>
      </c>
      <c r="BA625" t="n">
        <v>2.284</v>
      </c>
      <c r="BB625" t="n">
        <v>2.284</v>
      </c>
      <c r="BD625" t="n">
        <v>0.214</v>
      </c>
      <c r="BE625" t="n">
        <v>0.214</v>
      </c>
      <c r="BF625" t="n">
        <v>1.5</v>
      </c>
      <c r="BG625" t="n">
        <v>0.141</v>
      </c>
      <c r="BH625" t="n">
        <v>0.9399999999999999</v>
      </c>
      <c r="BI625" t="n">
        <v>2.85</v>
      </c>
      <c r="BJ625" t="n">
        <v>2.002</v>
      </c>
      <c r="BK625" t="n">
        <v>0.188</v>
      </c>
      <c r="BP625" t="n">
        <v>20</v>
      </c>
      <c r="BQ625" t="n">
        <v>6</v>
      </c>
      <c r="BR625" t="n">
        <v>2</v>
      </c>
      <c r="BS625" t="n">
        <v>50</v>
      </c>
      <c r="BT625" t="n">
        <v>4.688</v>
      </c>
      <c r="BX625" t="n">
        <v>0.151</v>
      </c>
      <c r="BY625" t="n">
        <v>0.151</v>
      </c>
      <c r="BZ625" t="n">
        <v>0.014</v>
      </c>
      <c r="CA625" t="n">
        <v>2.436</v>
      </c>
      <c r="CB625" t="n">
        <v>0.228</v>
      </c>
      <c r="CC625" t="n">
        <v>3</v>
      </c>
      <c r="CE625" t="n">
        <v>3</v>
      </c>
      <c r="CF625" t="n">
        <v>3</v>
      </c>
      <c r="CI625" t="n">
        <v>3.377</v>
      </c>
      <c r="CJ625" t="n">
        <v>1.008</v>
      </c>
      <c r="CN625" t="n">
        <v>18</v>
      </c>
      <c r="CO625" t="n">
        <v>9</v>
      </c>
      <c r="CP625" t="n">
        <v>13</v>
      </c>
      <c r="CQ625" t="n">
        <v>2</v>
      </c>
      <c r="CR625" t="n">
        <v>45</v>
      </c>
      <c r="CS625" t="n">
        <v>6</v>
      </c>
      <c r="CT625" t="n">
        <v>0.5</v>
      </c>
      <c r="DE625" t="n">
        <v>6.43</v>
      </c>
      <c r="DH625" t="n">
        <v>6</v>
      </c>
      <c r="DI625" t="n">
        <v>8</v>
      </c>
      <c r="DL625" t="n">
        <v>8</v>
      </c>
      <c r="DM625" t="n">
        <v>7</v>
      </c>
      <c r="DN625" t="n">
        <v>3</v>
      </c>
      <c r="EJ625" t="n">
        <v>48</v>
      </c>
      <c r="EK625" t="n">
        <v>19.2</v>
      </c>
      <c r="EL625" t="n">
        <v>320</v>
      </c>
      <c r="EM625" t="n">
        <v>420.2</v>
      </c>
      <c r="EN625" t="n">
        <v>6344.4</v>
      </c>
      <c r="EO625" t="n">
        <v>394.1</v>
      </c>
    </row>
    <row r="626">
      <c r="A626" t="inlineStr">
        <is>
          <t>Oliver Dovin</t>
        </is>
      </c>
      <c r="B626" t="inlineStr">
        <is>
          <t>COV</t>
        </is>
      </c>
      <c r="C626" t="inlineStr">
        <is>
          <t>GKP</t>
        </is>
      </c>
      <c r="E626" t="n">
        <v>4</v>
      </c>
      <c r="F626" t="b">
        <v>1</v>
      </c>
      <c r="G626" t="b">
        <v>0</v>
      </c>
      <c r="H626" t="n">
        <v>24.1</v>
      </c>
      <c r="I626" t="inlineStr">
        <is>
          <t>a</t>
        </is>
      </c>
      <c r="M626" t="n">
        <v>171</v>
      </c>
      <c r="DO626" t="n">
        <v>2.3</v>
      </c>
      <c r="DP626" t="n">
        <v>0</v>
      </c>
      <c r="DQ626" t="n">
        <v>0</v>
      </c>
      <c r="DR626" t="n">
        <v>0</v>
      </c>
      <c r="DS626" t="n">
        <v>0</v>
      </c>
      <c r="DT626" t="n">
        <v>0</v>
      </c>
      <c r="DU626" t="n">
        <v>0</v>
      </c>
      <c r="DV626" t="inlineStr">
        <is>
          <t>flat</t>
        </is>
      </c>
      <c r="DW626" t="n">
        <v>112.81</v>
      </c>
      <c r="DX626" t="n">
        <v>84.5</v>
      </c>
      <c r="DY626" t="n">
        <v>116.62</v>
      </c>
      <c r="DZ626" t="n">
        <v>3.81</v>
      </c>
      <c r="EA626" t="n">
        <v>12</v>
      </c>
      <c r="EB626" t="n">
        <v>14.12</v>
      </c>
      <c r="EC626" t="n">
        <v>55</v>
      </c>
      <c r="ED626" t="n">
        <v>120</v>
      </c>
      <c r="EE626" t="n">
        <v>20</v>
      </c>
      <c r="EF626" t="b">
        <v>1</v>
      </c>
      <c r="EG626" t="n">
        <v>0.5</v>
      </c>
      <c r="EH626" t="n">
        <v>20</v>
      </c>
      <c r="EI626" t="n">
        <v>537</v>
      </c>
    </row>
    <row r="627">
      <c r="A627" t="inlineStr">
        <is>
          <t>Tolu Arokodare</t>
        </is>
      </c>
      <c r="D627" t="inlineStr">
        <is>
          <t>FWD</t>
        </is>
      </c>
      <c r="F627" t="b">
        <v>0</v>
      </c>
      <c r="G627" t="b">
        <v>1</v>
      </c>
      <c r="L627" t="inlineStr">
        <is>
          <t>p488213</t>
        </is>
      </c>
      <c r="Q627" t="n">
        <v>1407</v>
      </c>
      <c r="R627" t="n">
        <v>33</v>
      </c>
      <c r="T627" t="n">
        <v>15.633</v>
      </c>
      <c r="U627" t="n">
        <v>42.6</v>
      </c>
      <c r="Z627" t="n">
        <v>1</v>
      </c>
      <c r="AD627" t="n">
        <v>5</v>
      </c>
      <c r="AE627" t="n">
        <v>1</v>
      </c>
      <c r="AG627" t="n">
        <v>211</v>
      </c>
      <c r="AH627" t="n">
        <v>-10</v>
      </c>
      <c r="AI627" t="n">
        <v>67</v>
      </c>
      <c r="AN627" t="n">
        <v>0</v>
      </c>
      <c r="AO627" t="n">
        <v>0</v>
      </c>
      <c r="AP627" t="n">
        <v>0</v>
      </c>
      <c r="AQ627" t="n">
        <v>0.077</v>
      </c>
      <c r="AR627" t="n">
        <v>0</v>
      </c>
      <c r="AS627" t="n">
        <v>0.342</v>
      </c>
      <c r="AT627" t="n">
        <v>0.424</v>
      </c>
      <c r="AU627" t="n">
        <v>28</v>
      </c>
      <c r="AV627" t="n">
        <v>0</v>
      </c>
      <c r="AW627" t="n">
        <v>1.81</v>
      </c>
      <c r="AX627" t="n">
        <v>8</v>
      </c>
      <c r="AZ627" t="n">
        <v>7.427</v>
      </c>
      <c r="BA627" t="n">
        <v>7.427</v>
      </c>
      <c r="BB627" t="n">
        <v>6.665</v>
      </c>
      <c r="BD627" t="n">
        <v>0.475</v>
      </c>
      <c r="BE627" t="n">
        <v>0.475</v>
      </c>
      <c r="BF627" t="n">
        <v>4</v>
      </c>
      <c r="BG627" t="n">
        <v>0.256</v>
      </c>
      <c r="BH627" t="n">
        <v>0.89</v>
      </c>
      <c r="BI627" t="n">
        <v>5.49</v>
      </c>
      <c r="BJ627" t="n">
        <v>4.884</v>
      </c>
      <c r="BK627" t="n">
        <v>0.312</v>
      </c>
      <c r="BP627" t="n">
        <v>47</v>
      </c>
      <c r="BQ627" t="n">
        <v>16</v>
      </c>
      <c r="BR627" t="n">
        <v>11</v>
      </c>
      <c r="BS627" t="n">
        <v>101</v>
      </c>
      <c r="BT627" t="n">
        <v>6.461</v>
      </c>
      <c r="BV627" t="n">
        <v>2</v>
      </c>
      <c r="BX627" t="n">
        <v>1.16</v>
      </c>
      <c r="BY627" t="n">
        <v>1.16</v>
      </c>
      <c r="BZ627" t="n">
        <v>0.074</v>
      </c>
      <c r="CA627" t="n">
        <v>8.586</v>
      </c>
      <c r="CB627" t="n">
        <v>0.549</v>
      </c>
      <c r="CC627" t="n">
        <v>11</v>
      </c>
      <c r="CD627" t="n">
        <v>1</v>
      </c>
      <c r="CE627" t="n">
        <v>12</v>
      </c>
      <c r="CI627" t="n">
        <v>5.404</v>
      </c>
      <c r="CJ627" t="n">
        <v>1.102</v>
      </c>
      <c r="CN627" t="n">
        <v>5</v>
      </c>
      <c r="CO627" t="n">
        <v>5</v>
      </c>
      <c r="CP627" t="n">
        <v>43</v>
      </c>
      <c r="CQ627" t="n">
        <v>2</v>
      </c>
      <c r="CR627" t="n">
        <v>141</v>
      </c>
      <c r="CS627" t="n">
        <v>99</v>
      </c>
      <c r="CT627" t="n">
        <v>0.5</v>
      </c>
      <c r="DE627" t="n">
        <v>6.59</v>
      </c>
      <c r="DH627" t="n">
        <v>17</v>
      </c>
      <c r="DI627" t="n">
        <v>17</v>
      </c>
      <c r="DL627" t="n">
        <v>18</v>
      </c>
      <c r="DM627" t="n">
        <v>22</v>
      </c>
      <c r="DN627" t="n">
        <v>6</v>
      </c>
      <c r="EJ627" t="n">
        <v>29.9</v>
      </c>
      <c r="EK627" t="n">
        <v>13.9</v>
      </c>
      <c r="EL627" t="n">
        <v>117.2</v>
      </c>
      <c r="EM627" t="n">
        <v>189.5</v>
      </c>
      <c r="EN627" t="n">
        <v>1213.3</v>
      </c>
      <c r="EO627" t="n">
        <v>163.9</v>
      </c>
    </row>
    <row r="628">
      <c r="A628" t="inlineStr">
        <is>
          <t>Freddie Potts</t>
        </is>
      </c>
      <c r="D628" t="inlineStr">
        <is>
          <t>MID</t>
        </is>
      </c>
      <c r="F628" t="b">
        <v>0</v>
      </c>
      <c r="G628" t="b">
        <v>1</v>
      </c>
      <c r="L628" t="inlineStr">
        <is>
          <t>p490142</t>
        </is>
      </c>
      <c r="Q628" t="n">
        <v>1167</v>
      </c>
      <c r="R628" t="n">
        <v>22</v>
      </c>
      <c r="T628" t="n">
        <v>12.967</v>
      </c>
      <c r="U628" t="n">
        <v>53</v>
      </c>
      <c r="Z628" t="n">
        <v>1</v>
      </c>
      <c r="AD628" t="n">
        <v>0</v>
      </c>
      <c r="AE628" t="n">
        <v>0</v>
      </c>
      <c r="AG628" t="n">
        <v>207</v>
      </c>
      <c r="AH628" t="n">
        <v>-8</v>
      </c>
      <c r="AI628" t="n">
        <v>37</v>
      </c>
      <c r="AN628" t="n">
        <v>1</v>
      </c>
      <c r="AO628" t="n">
        <v>2</v>
      </c>
      <c r="AP628" t="n">
        <v>0.083</v>
      </c>
      <c r="AQ628" t="n">
        <v>0.333</v>
      </c>
      <c r="AR628" t="n">
        <v>0.083</v>
      </c>
      <c r="AS628" t="n">
        <v>0.316</v>
      </c>
      <c r="AT628" t="n">
        <v>0.455</v>
      </c>
      <c r="AU628" t="n">
        <v>19</v>
      </c>
      <c r="AV628" t="n">
        <v>0</v>
      </c>
      <c r="AW628" t="n">
        <v>1.2</v>
      </c>
      <c r="AX628" t="n">
        <v>5</v>
      </c>
      <c r="AZ628" t="n">
        <v>0.213</v>
      </c>
      <c r="BA628" t="n">
        <v>0.213</v>
      </c>
      <c r="BB628" t="n">
        <v>0.213</v>
      </c>
      <c r="BD628" t="n">
        <v>0.016</v>
      </c>
      <c r="BE628" t="n">
        <v>0.016</v>
      </c>
      <c r="BF628" t="n">
        <v>0.5</v>
      </c>
      <c r="BG628" t="n">
        <v>0.039</v>
      </c>
      <c r="BH628" t="n">
        <v>1.035</v>
      </c>
      <c r="BI628" t="n">
        <v>0.21</v>
      </c>
      <c r="BJ628" t="n">
        <v>0.217</v>
      </c>
      <c r="BK628" t="n">
        <v>0.017</v>
      </c>
      <c r="BP628" t="n">
        <v>3</v>
      </c>
      <c r="BQ628" t="n">
        <v>1</v>
      </c>
      <c r="BS628" t="n">
        <v>8</v>
      </c>
      <c r="BT628" t="n">
        <v>0.617</v>
      </c>
      <c r="BX628" t="n">
        <v>1.208</v>
      </c>
      <c r="BY628" t="n">
        <v>1.208</v>
      </c>
      <c r="BZ628" t="n">
        <v>0.093</v>
      </c>
      <c r="CA628" t="n">
        <v>1.42</v>
      </c>
      <c r="CB628" t="n">
        <v>0.11</v>
      </c>
      <c r="CC628" t="n">
        <v>8</v>
      </c>
      <c r="CD628" t="n">
        <v>2</v>
      </c>
      <c r="CE628" t="n">
        <v>8</v>
      </c>
      <c r="CF628" t="n">
        <v>6</v>
      </c>
      <c r="CH628" t="n">
        <v>25</v>
      </c>
      <c r="CI628" t="n">
        <v>3.165</v>
      </c>
      <c r="CJ628" t="n">
        <v>2.265</v>
      </c>
      <c r="CN628" t="n">
        <v>17</v>
      </c>
      <c r="CO628" t="n">
        <v>17</v>
      </c>
      <c r="CP628" t="n">
        <v>31</v>
      </c>
      <c r="CQ628" t="n">
        <v>3</v>
      </c>
      <c r="CR628" t="n">
        <v>65</v>
      </c>
      <c r="CS628" t="n">
        <v>20</v>
      </c>
      <c r="DE628" t="n">
        <v>6.61</v>
      </c>
      <c r="DH628" t="n">
        <v>15</v>
      </c>
      <c r="DI628" t="n">
        <v>14</v>
      </c>
      <c r="DL628" t="n">
        <v>2</v>
      </c>
      <c r="DM628" t="n">
        <v>5</v>
      </c>
      <c r="EJ628" t="n">
        <v>389</v>
      </c>
      <c r="EK628" t="n">
        <v>145.9</v>
      </c>
      <c r="EL628" t="n">
        <v>145.9</v>
      </c>
      <c r="EM628" t="n">
        <v>5488.3</v>
      </c>
      <c r="EN628" t="n">
        <v>966.5</v>
      </c>
      <c r="EO628" t="n">
        <v>821.7</v>
      </c>
    </row>
    <row r="629">
      <c r="A629" t="inlineStr">
        <is>
          <t>Abu Kamara</t>
        </is>
      </c>
      <c r="B629" t="inlineStr">
        <is>
          <t>HUL</t>
        </is>
      </c>
      <c r="C629" t="inlineStr">
        <is>
          <t>MID</t>
        </is>
      </c>
      <c r="E629" t="n">
        <v>5</v>
      </c>
      <c r="F629" t="b">
        <v>1</v>
      </c>
      <c r="G629" t="b">
        <v>0</v>
      </c>
      <c r="H629" t="n">
        <v>23.1</v>
      </c>
      <c r="I629" t="inlineStr">
        <is>
          <t>u</t>
        </is>
      </c>
      <c r="J629" t="inlineStr">
        <is>
          <t>Has joined Portsmouth permanently</t>
        </is>
      </c>
      <c r="K629" t="n">
        <v>0</v>
      </c>
      <c r="M629" t="n">
        <v>293</v>
      </c>
      <c r="DO629" t="n">
        <v>0</v>
      </c>
      <c r="DW629" t="n">
        <v>75</v>
      </c>
      <c r="DX629" t="n">
        <v>75</v>
      </c>
      <c r="EC629" t="n">
        <v>75</v>
      </c>
      <c r="ED629" t="n">
        <v>75</v>
      </c>
      <c r="EE629" t="n">
        <v>1</v>
      </c>
      <c r="EF629" t="b">
        <v>0</v>
      </c>
      <c r="EG629" t="n">
        <v>0</v>
      </c>
      <c r="EH629" t="n">
        <v>0</v>
      </c>
      <c r="EI629" t="n">
        <v>354</v>
      </c>
    </row>
    <row r="630">
      <c r="A630" t="inlineStr">
        <is>
          <t>Hugo Bueno</t>
        </is>
      </c>
      <c r="D630" t="inlineStr">
        <is>
          <t>DEF</t>
        </is>
      </c>
      <c r="F630" t="b">
        <v>0</v>
      </c>
      <c r="G630" t="b">
        <v>1</v>
      </c>
      <c r="L630" t="inlineStr">
        <is>
          <t>p490721</t>
        </is>
      </c>
      <c r="Q630" t="n">
        <v>2364</v>
      </c>
      <c r="R630" t="n">
        <v>35</v>
      </c>
      <c r="T630" t="n">
        <v>26.267</v>
      </c>
      <c r="U630" t="n">
        <v>67.5</v>
      </c>
      <c r="Z630" t="n">
        <v>2</v>
      </c>
      <c r="AD630" t="n">
        <v>5</v>
      </c>
      <c r="AE630" t="n">
        <v>1</v>
      </c>
      <c r="AG630" t="n">
        <v>303</v>
      </c>
      <c r="AH630" t="n">
        <v>-22</v>
      </c>
      <c r="AI630" t="n">
        <v>84</v>
      </c>
      <c r="AN630" t="n">
        <v>3</v>
      </c>
      <c r="AO630" t="n">
        <v>6</v>
      </c>
      <c r="AP630" t="n">
        <v>0.115</v>
      </c>
      <c r="AQ630" t="n">
        <v>0.115</v>
      </c>
      <c r="AR630" t="n">
        <v>0.077</v>
      </c>
      <c r="AS630" t="n">
        <v>0.6840000000000001</v>
      </c>
      <c r="AT630" t="n">
        <v>0.6860000000000001</v>
      </c>
      <c r="AU630" t="n">
        <v>25</v>
      </c>
      <c r="AV630" t="n">
        <v>1</v>
      </c>
      <c r="AW630" t="n">
        <v>2.58</v>
      </c>
      <c r="AX630" t="n">
        <v>11</v>
      </c>
      <c r="AZ630" t="n">
        <v>0.896</v>
      </c>
      <c r="BA630" t="n">
        <v>0.896</v>
      </c>
      <c r="BB630" t="n">
        <v>0.896</v>
      </c>
      <c r="BD630" t="n">
        <v>0.034</v>
      </c>
      <c r="BE630" t="n">
        <v>0.034</v>
      </c>
      <c r="BF630" t="n">
        <v>1.2</v>
      </c>
      <c r="BG630" t="n">
        <v>0.046</v>
      </c>
      <c r="BH630" t="n">
        <v>0.996</v>
      </c>
      <c r="BI630" t="n">
        <v>1.34</v>
      </c>
      <c r="BJ630" t="n">
        <v>0.856</v>
      </c>
      <c r="BK630" t="n">
        <v>0.033</v>
      </c>
      <c r="BP630" t="n">
        <v>16</v>
      </c>
      <c r="BQ630" t="n">
        <v>6</v>
      </c>
      <c r="BR630" t="n">
        <v>0</v>
      </c>
      <c r="BS630" t="n">
        <v>47</v>
      </c>
      <c r="BT630" t="n">
        <v>1.789</v>
      </c>
      <c r="BX630" t="n">
        <v>3.683</v>
      </c>
      <c r="BY630" t="n">
        <v>3.683</v>
      </c>
      <c r="BZ630" t="n">
        <v>0.14</v>
      </c>
      <c r="CA630" t="n">
        <v>4.58</v>
      </c>
      <c r="CB630" t="n">
        <v>0.174</v>
      </c>
      <c r="CC630" t="n">
        <v>38</v>
      </c>
      <c r="CD630" t="n">
        <v>6</v>
      </c>
      <c r="CE630" t="n">
        <v>38</v>
      </c>
      <c r="CF630" t="n">
        <v>58</v>
      </c>
      <c r="CH630" t="n">
        <v>45</v>
      </c>
      <c r="CI630" t="n">
        <v>5.543</v>
      </c>
      <c r="CJ630" t="n">
        <v>2.929</v>
      </c>
      <c r="CN630" t="n">
        <v>39</v>
      </c>
      <c r="CO630" t="n">
        <v>38</v>
      </c>
      <c r="CP630" t="n">
        <v>67</v>
      </c>
      <c r="CQ630" t="n">
        <v>4</v>
      </c>
      <c r="CR630" t="n">
        <v>141</v>
      </c>
      <c r="CS630" t="n">
        <v>19</v>
      </c>
      <c r="CT630" t="n">
        <v>0.2</v>
      </c>
      <c r="CV630" t="n">
        <v>2</v>
      </c>
      <c r="DE630" t="n">
        <v>6.8</v>
      </c>
      <c r="DH630" t="n">
        <v>18</v>
      </c>
      <c r="DI630" t="n">
        <v>24</v>
      </c>
      <c r="DK630" t="n">
        <v>1</v>
      </c>
      <c r="DL630" t="n">
        <v>31</v>
      </c>
      <c r="DM630" t="n">
        <v>32</v>
      </c>
      <c r="DN630" t="n">
        <v>3</v>
      </c>
      <c r="EJ630" t="n">
        <v>147.8</v>
      </c>
      <c r="EK630" t="n">
        <v>50.3</v>
      </c>
      <c r="EL630" t="n">
        <v>62.2</v>
      </c>
      <c r="EM630" t="n">
        <v>2637.8</v>
      </c>
      <c r="EN630" t="n">
        <v>641.8</v>
      </c>
      <c r="EO630" t="n">
        <v>516.2</v>
      </c>
    </row>
    <row r="631">
      <c r="A631" t="inlineStr">
        <is>
          <t>George Earthy</t>
        </is>
      </c>
      <c r="D631" t="inlineStr">
        <is>
          <t>MID</t>
        </is>
      </c>
      <c r="F631" t="b">
        <v>0</v>
      </c>
      <c r="G631" t="b">
        <v>1</v>
      </c>
      <c r="L631" t="inlineStr">
        <is>
          <t>p490885</t>
        </is>
      </c>
      <c r="Q631" t="n">
        <v>8</v>
      </c>
      <c r="R631" t="n">
        <v>1</v>
      </c>
      <c r="T631" t="n">
        <v>0.089</v>
      </c>
      <c r="U631" t="n">
        <v>8</v>
      </c>
      <c r="AD631" t="n">
        <v>0</v>
      </c>
      <c r="AE631" t="n">
        <v>0</v>
      </c>
      <c r="AG631" t="n">
        <v>3</v>
      </c>
      <c r="AH631" t="n">
        <v>0</v>
      </c>
      <c r="AI631" t="n">
        <v>1</v>
      </c>
      <c r="AN631" t="n">
        <v>0</v>
      </c>
      <c r="AO631" t="n">
        <v>0</v>
      </c>
      <c r="AS631" t="n">
        <v>0</v>
      </c>
      <c r="AT631" t="n">
        <v>0</v>
      </c>
      <c r="AU631" t="n">
        <v>1</v>
      </c>
      <c r="AV631" t="n">
        <v>0</v>
      </c>
      <c r="AW631" t="n">
        <v>0.16</v>
      </c>
      <c r="AX631" t="n">
        <v>1</v>
      </c>
      <c r="AZ631" t="n">
        <v>0</v>
      </c>
      <c r="BA631" t="n">
        <v>0</v>
      </c>
      <c r="BB631" t="n">
        <v>0</v>
      </c>
      <c r="BD631" t="n">
        <v>0</v>
      </c>
      <c r="BE631" t="n">
        <v>0</v>
      </c>
      <c r="BH631" t="n">
        <v>1.054</v>
      </c>
      <c r="BI631" t="n">
        <v>0.35</v>
      </c>
      <c r="BJ631" t="n">
        <v>0</v>
      </c>
      <c r="BK631" t="n">
        <v>0</v>
      </c>
      <c r="BS631" t="n">
        <v>1</v>
      </c>
      <c r="BT631" t="n">
        <v>11.25</v>
      </c>
      <c r="BX631" t="n">
        <v>0</v>
      </c>
      <c r="BY631" t="n">
        <v>0</v>
      </c>
      <c r="BZ631" t="n">
        <v>0</v>
      </c>
      <c r="CA631" t="n">
        <v>0</v>
      </c>
      <c r="CB631" t="n">
        <v>0</v>
      </c>
      <c r="CC631" t="n">
        <v>0</v>
      </c>
      <c r="CI631" t="n">
        <v>0</v>
      </c>
      <c r="CJ631" t="n">
        <v>0</v>
      </c>
      <c r="EK631" t="n">
        <v>8</v>
      </c>
    </row>
    <row r="632">
      <c r="A632" t="inlineStr">
        <is>
          <t>Raphael Borges Rodrigues</t>
        </is>
      </c>
      <c r="B632" t="inlineStr">
        <is>
          <t>COV</t>
        </is>
      </c>
      <c r="C632" t="inlineStr">
        <is>
          <t>MID</t>
        </is>
      </c>
      <c r="E632" t="n">
        <v>4.5</v>
      </c>
      <c r="F632" t="b">
        <v>1</v>
      </c>
      <c r="G632" t="b">
        <v>0</v>
      </c>
      <c r="H632" t="n">
        <v>22.9</v>
      </c>
      <c r="I632" t="inlineStr">
        <is>
          <t>a</t>
        </is>
      </c>
      <c r="M632" t="n">
        <v>191</v>
      </c>
      <c r="DO632" t="n">
        <v>0.2</v>
      </c>
      <c r="DP632" t="n">
        <v>0</v>
      </c>
      <c r="DQ632" t="n">
        <v>0</v>
      </c>
      <c r="DR632" t="n">
        <v>0</v>
      </c>
      <c r="DS632" t="n">
        <v>0</v>
      </c>
      <c r="DT632" t="n">
        <v>0</v>
      </c>
      <c r="DU632" t="n">
        <v>0</v>
      </c>
      <c r="DV632" t="inlineStr">
        <is>
          <t>flat</t>
        </is>
      </c>
      <c r="EF632" t="b">
        <v>0</v>
      </c>
      <c r="EG632" t="n">
        <v>0</v>
      </c>
      <c r="EH632" t="n">
        <v>100</v>
      </c>
      <c r="EI632" t="n">
        <v>484</v>
      </c>
    </row>
    <row r="633">
      <c r="A633" t="inlineStr">
        <is>
          <t>Zeki Amdouni</t>
        </is>
      </c>
      <c r="D633" t="inlineStr">
        <is>
          <t>FWD</t>
        </is>
      </c>
      <c r="F633" t="b">
        <v>0</v>
      </c>
      <c r="G633" t="b">
        <v>1</v>
      </c>
      <c r="L633" t="inlineStr">
        <is>
          <t>p492831</t>
        </is>
      </c>
      <c r="Q633" t="n">
        <v>69</v>
      </c>
      <c r="R633" t="n">
        <v>4</v>
      </c>
      <c r="T633" t="n">
        <v>0.767</v>
      </c>
      <c r="U633" t="n">
        <v>17.2</v>
      </c>
      <c r="AD633" t="n">
        <v>0</v>
      </c>
      <c r="AE633" t="n">
        <v>0</v>
      </c>
      <c r="AG633" t="n">
        <v>10</v>
      </c>
      <c r="AH633" t="n">
        <v>0</v>
      </c>
      <c r="AI633" t="n">
        <v>4</v>
      </c>
      <c r="AN633" t="n">
        <v>0</v>
      </c>
      <c r="AO633" t="n">
        <v>0</v>
      </c>
      <c r="AS633" t="n">
        <v>0</v>
      </c>
      <c r="AT633" t="n">
        <v>0</v>
      </c>
      <c r="AU633" t="n">
        <v>4</v>
      </c>
      <c r="AV633" t="n">
        <v>0</v>
      </c>
      <c r="AW633" t="n">
        <v>0.31</v>
      </c>
      <c r="AX633" t="n">
        <v>1</v>
      </c>
      <c r="AZ633" t="n">
        <v>0.173</v>
      </c>
      <c r="BA633" t="n">
        <v>0.173</v>
      </c>
      <c r="BB633" t="n">
        <v>0.173</v>
      </c>
      <c r="BD633" t="n">
        <v>0.225</v>
      </c>
      <c r="BE633" t="n">
        <v>0.225</v>
      </c>
      <c r="BF633" t="n">
        <v>0</v>
      </c>
      <c r="BG633" t="n">
        <v>0</v>
      </c>
      <c r="BH633" t="n">
        <v>1.022</v>
      </c>
      <c r="BI633" t="n">
        <v>5.79</v>
      </c>
      <c r="BJ633" t="n">
        <v>0.245</v>
      </c>
      <c r="BK633" t="n">
        <v>0.32</v>
      </c>
      <c r="BP633" t="n">
        <v>3</v>
      </c>
      <c r="BQ633" t="n">
        <v>1</v>
      </c>
      <c r="BS633" t="n">
        <v>4</v>
      </c>
      <c r="BT633" t="n">
        <v>5.217</v>
      </c>
      <c r="BX633" t="n">
        <v>0</v>
      </c>
      <c r="BY633" t="n">
        <v>0</v>
      </c>
      <c r="BZ633" t="n">
        <v>0</v>
      </c>
      <c r="CA633" t="n">
        <v>0.173</v>
      </c>
      <c r="CB633" t="n">
        <v>0.225</v>
      </c>
      <c r="CC633" t="n">
        <v>0</v>
      </c>
      <c r="CI633" t="n">
        <v>0.255</v>
      </c>
      <c r="CJ633" t="n">
        <v>0.083</v>
      </c>
      <c r="CR633" t="n">
        <v>3</v>
      </c>
      <c r="CS633" t="n">
        <v>1</v>
      </c>
      <c r="DH633" t="n">
        <v>1</v>
      </c>
      <c r="DI633" t="n">
        <v>1</v>
      </c>
      <c r="DL633" t="n">
        <v>1</v>
      </c>
      <c r="DM633" t="n">
        <v>1</v>
      </c>
      <c r="EJ633" t="n">
        <v>23</v>
      </c>
      <c r="EK633" t="n">
        <v>17.2</v>
      </c>
      <c r="EM633" t="n">
        <v>399.3</v>
      </c>
      <c r="EO633" t="n">
        <v>399.3</v>
      </c>
    </row>
    <row r="634">
      <c r="A634" t="inlineStr">
        <is>
          <t>Radu Dragusin</t>
        </is>
      </c>
      <c r="D634" t="inlineStr">
        <is>
          <t>DEF</t>
        </is>
      </c>
      <c r="F634" t="b">
        <v>0</v>
      </c>
      <c r="G634" t="b">
        <v>1</v>
      </c>
      <c r="L634" t="inlineStr">
        <is>
          <t>p493125</t>
        </is>
      </c>
      <c r="Q634" t="n">
        <v>515</v>
      </c>
      <c r="R634" t="n">
        <v>10</v>
      </c>
      <c r="T634" t="n">
        <v>5.722</v>
      </c>
      <c r="U634" t="n">
        <v>51.5</v>
      </c>
      <c r="AD634" t="n">
        <v>0</v>
      </c>
      <c r="AE634" t="n">
        <v>0</v>
      </c>
      <c r="AG634" t="n">
        <v>21</v>
      </c>
      <c r="AH634" t="n">
        <v>-13</v>
      </c>
      <c r="AI634" t="n">
        <v>17</v>
      </c>
      <c r="AN634" t="n">
        <v>4</v>
      </c>
      <c r="AO634" t="n">
        <v>8</v>
      </c>
      <c r="AP634" t="n">
        <v>0.8</v>
      </c>
      <c r="AQ634" t="n">
        <v>0.8</v>
      </c>
      <c r="AR634" t="n">
        <v>0.8</v>
      </c>
      <c r="AS634" t="n">
        <v>0.132</v>
      </c>
      <c r="AT634" t="n">
        <v>0.5</v>
      </c>
      <c r="AU634" t="n">
        <v>7</v>
      </c>
      <c r="AV634" t="n">
        <v>0</v>
      </c>
      <c r="AW634" t="n">
        <v>0.98</v>
      </c>
      <c r="AX634" t="n">
        <v>4</v>
      </c>
      <c r="AZ634" t="n">
        <v>0.208</v>
      </c>
      <c r="BA634" t="n">
        <v>0.208</v>
      </c>
      <c r="BB634" t="n">
        <v>0.208</v>
      </c>
      <c r="BD634" t="n">
        <v>0.036</v>
      </c>
      <c r="BE634" t="n">
        <v>0.036</v>
      </c>
      <c r="BH634" t="n">
        <v>0.9320000000000001</v>
      </c>
      <c r="BI634" t="n">
        <v>0.58</v>
      </c>
      <c r="BJ634" t="n">
        <v>0.289</v>
      </c>
      <c r="BK634" t="n">
        <v>0.051</v>
      </c>
      <c r="BP634" t="n">
        <v>4</v>
      </c>
      <c r="BQ634" t="n">
        <v>0</v>
      </c>
      <c r="BS634" t="n">
        <v>9</v>
      </c>
      <c r="BT634" t="n">
        <v>1.573</v>
      </c>
      <c r="BX634" t="n">
        <v>0</v>
      </c>
      <c r="BY634" t="n">
        <v>0</v>
      </c>
      <c r="BZ634" t="n">
        <v>0</v>
      </c>
      <c r="CA634" t="n">
        <v>0.208</v>
      </c>
      <c r="CB634" t="n">
        <v>0.036</v>
      </c>
      <c r="CC634" t="n">
        <v>0</v>
      </c>
      <c r="CI634" t="n">
        <v>0.8120000000000001</v>
      </c>
      <c r="CJ634" t="n">
        <v>0.8120000000000001</v>
      </c>
      <c r="CN634" t="n">
        <v>2</v>
      </c>
      <c r="CO634" t="n">
        <v>16</v>
      </c>
      <c r="CP634" t="n">
        <v>46</v>
      </c>
      <c r="CQ634" t="n">
        <v>8</v>
      </c>
      <c r="CR634" t="n">
        <v>26</v>
      </c>
      <c r="CS634" t="n">
        <v>19</v>
      </c>
      <c r="CU634" t="n">
        <v>2</v>
      </c>
      <c r="CV634" t="n">
        <v>1</v>
      </c>
      <c r="DH634" t="n">
        <v>9</v>
      </c>
      <c r="DI634" t="n">
        <v>1</v>
      </c>
      <c r="DL634" t="n">
        <v>1</v>
      </c>
      <c r="DM634" t="n">
        <v>2</v>
      </c>
      <c r="EJ634" t="n">
        <v>128.8</v>
      </c>
      <c r="EK634" t="n">
        <v>57.2</v>
      </c>
      <c r="EM634" t="n">
        <v>2478.8</v>
      </c>
      <c r="EO634" t="n">
        <v>2478.8</v>
      </c>
    </row>
    <row r="635">
      <c r="A635" t="inlineStr">
        <is>
          <t>Juanlu Sánchez</t>
        </is>
      </c>
      <c r="B635" t="inlineStr">
        <is>
          <t>BOU</t>
        </is>
      </c>
      <c r="C635" t="inlineStr">
        <is>
          <t>DEF</t>
        </is>
      </c>
      <c r="E635" t="n">
        <v>4.5</v>
      </c>
      <c r="F635" t="b">
        <v>1</v>
      </c>
      <c r="G635" t="b">
        <v>0</v>
      </c>
      <c r="H635" t="n">
        <v>23</v>
      </c>
      <c r="I635" t="inlineStr">
        <is>
          <t>a</t>
        </is>
      </c>
      <c r="M635" t="n">
        <v>573</v>
      </c>
      <c r="DO635" t="n">
        <v>0.1</v>
      </c>
      <c r="DP635" t="n">
        <v>134</v>
      </c>
      <c r="DQ635" t="n">
        <v>67.04000000000001</v>
      </c>
      <c r="DR635" t="n">
        <v>134.08</v>
      </c>
      <c r="DS635" t="n">
        <v>-0.08</v>
      </c>
      <c r="DT635" t="n">
        <v>3098</v>
      </c>
      <c r="DU635" t="n">
        <v>81.53</v>
      </c>
      <c r="DV635" t="inlineStr">
        <is>
          <t>flat</t>
        </is>
      </c>
      <c r="DW635" t="n">
        <v>93.7</v>
      </c>
      <c r="DX635" t="n">
        <v>94.33</v>
      </c>
      <c r="DY635" t="n">
        <v>99.61</v>
      </c>
      <c r="DZ635" t="n">
        <v>5.91</v>
      </c>
      <c r="EA635" t="n">
        <v>10</v>
      </c>
      <c r="EB635" t="n">
        <v>22.67</v>
      </c>
      <c r="EC635" t="n">
        <v>37</v>
      </c>
      <c r="ED635" t="n">
        <v>118.93</v>
      </c>
      <c r="EE635" t="n">
        <v>13</v>
      </c>
      <c r="EF635" t="b">
        <v>1</v>
      </c>
      <c r="EG635" t="n">
        <v>0.4</v>
      </c>
      <c r="EH635" t="n">
        <v>27.8</v>
      </c>
      <c r="EI635" t="n">
        <v>518</v>
      </c>
    </row>
    <row r="636">
      <c r="A636" t="inlineStr">
        <is>
          <t>Harvey Cartwright</t>
        </is>
      </c>
      <c r="B636" t="inlineStr">
        <is>
          <t>HUL</t>
        </is>
      </c>
      <c r="C636" t="inlineStr">
        <is>
          <t>GKP</t>
        </is>
      </c>
      <c r="E636" t="n">
        <v>4</v>
      </c>
      <c r="F636" t="b">
        <v>1</v>
      </c>
      <c r="G636" t="b">
        <v>0</v>
      </c>
      <c r="H636" t="n">
        <v>24.3</v>
      </c>
      <c r="I636" t="inlineStr">
        <is>
          <t>u</t>
        </is>
      </c>
      <c r="J636" t="inlineStr">
        <is>
          <t>Has joined Grimsby Town on loan for the rest of the season</t>
        </is>
      </c>
      <c r="K636" t="n">
        <v>0</v>
      </c>
      <c r="M636" t="n">
        <v>275</v>
      </c>
      <c r="DO636" t="n">
        <v>0.1</v>
      </c>
    </row>
    <row r="637">
      <c r="A637" t="inlineStr">
        <is>
          <t>Quilindschy Hartman</t>
        </is>
      </c>
      <c r="D637" t="inlineStr">
        <is>
          <t>DEF</t>
        </is>
      </c>
      <c r="F637" t="b">
        <v>0</v>
      </c>
      <c r="G637" t="b">
        <v>1</v>
      </c>
      <c r="L637" t="inlineStr">
        <is>
          <t>p494960</t>
        </is>
      </c>
      <c r="Q637" t="n">
        <v>1830</v>
      </c>
      <c r="R637" t="n">
        <v>21</v>
      </c>
      <c r="T637" t="n">
        <v>20.333</v>
      </c>
      <c r="U637" t="n">
        <v>87.09999999999999</v>
      </c>
      <c r="Z637" t="n">
        <v>5</v>
      </c>
      <c r="AD637" t="n">
        <v>0</v>
      </c>
      <c r="AE637" t="n">
        <v>0</v>
      </c>
      <c r="AG637" t="n">
        <v>210</v>
      </c>
      <c r="AH637" t="n">
        <v>-18</v>
      </c>
      <c r="AI637" t="n">
        <v>63</v>
      </c>
      <c r="AN637" t="n">
        <v>3</v>
      </c>
      <c r="AO637" t="n">
        <v>6</v>
      </c>
      <c r="AP637" t="n">
        <v>0.143</v>
      </c>
      <c r="AQ637" t="n">
        <v>0.143</v>
      </c>
      <c r="AR637" t="n">
        <v>0.143</v>
      </c>
      <c r="AS637" t="n">
        <v>0.553</v>
      </c>
      <c r="AT637" t="n">
        <v>1</v>
      </c>
      <c r="AU637" t="n">
        <v>10</v>
      </c>
      <c r="AV637" t="n">
        <v>0</v>
      </c>
      <c r="AW637" t="n">
        <v>2.1</v>
      </c>
      <c r="AX637" t="n">
        <v>7</v>
      </c>
      <c r="AZ637" t="n">
        <v>0.377</v>
      </c>
      <c r="BA637" t="n">
        <v>0.377</v>
      </c>
      <c r="BB637" t="n">
        <v>0.377</v>
      </c>
      <c r="BD637" t="n">
        <v>0.019</v>
      </c>
      <c r="BE637" t="n">
        <v>0.019</v>
      </c>
      <c r="BF637" t="n">
        <v>0.2</v>
      </c>
      <c r="BG637" t="n">
        <v>0.01</v>
      </c>
      <c r="BH637" t="n">
        <v>0.986</v>
      </c>
      <c r="BI637" t="n">
        <v>0.32</v>
      </c>
      <c r="BJ637" t="n">
        <v>0.315</v>
      </c>
      <c r="BK637" t="n">
        <v>0.015</v>
      </c>
      <c r="BP637" t="n">
        <v>9</v>
      </c>
      <c r="BQ637" t="n">
        <v>3</v>
      </c>
      <c r="BR637" t="n">
        <v>1</v>
      </c>
      <c r="BS637" t="n">
        <v>26</v>
      </c>
      <c r="BT637" t="n">
        <v>1.279</v>
      </c>
      <c r="BX637" t="n">
        <v>2.79</v>
      </c>
      <c r="BY637" t="n">
        <v>2.79</v>
      </c>
      <c r="BZ637" t="n">
        <v>0.137</v>
      </c>
      <c r="CA637" t="n">
        <v>3.168</v>
      </c>
      <c r="CB637" t="n">
        <v>0.156</v>
      </c>
      <c r="CC637" t="n">
        <v>20</v>
      </c>
      <c r="CD637" t="n">
        <v>6</v>
      </c>
      <c r="CE637" t="n">
        <v>20</v>
      </c>
      <c r="CF637" t="n">
        <v>11</v>
      </c>
      <c r="CG637" t="n">
        <v>0</v>
      </c>
      <c r="CH637" t="n">
        <v>21</v>
      </c>
      <c r="CI637" t="n">
        <v>5.235</v>
      </c>
      <c r="CJ637" t="n">
        <v>4.076</v>
      </c>
      <c r="CN637" t="n">
        <v>32</v>
      </c>
      <c r="CO637" t="n">
        <v>31</v>
      </c>
      <c r="CP637" t="n">
        <v>66</v>
      </c>
      <c r="CQ637" t="n">
        <v>4</v>
      </c>
      <c r="CR637" t="n">
        <v>70</v>
      </c>
      <c r="CS637" t="n">
        <v>10</v>
      </c>
      <c r="CU637" t="n">
        <v>1</v>
      </c>
      <c r="CV637" t="n">
        <v>1</v>
      </c>
      <c r="DE637" t="n">
        <v>6.77</v>
      </c>
      <c r="DH637" t="n">
        <v>13</v>
      </c>
      <c r="DI637" t="n">
        <v>3</v>
      </c>
      <c r="DL637" t="n">
        <v>5</v>
      </c>
      <c r="DM637" t="n">
        <v>6</v>
      </c>
      <c r="DN637" t="n">
        <v>1</v>
      </c>
      <c r="EJ637" t="n">
        <v>203.3</v>
      </c>
      <c r="EK637" t="n">
        <v>70.40000000000001</v>
      </c>
      <c r="EL637" t="n">
        <v>91.5</v>
      </c>
      <c r="EM637" t="n">
        <v>4848.1</v>
      </c>
      <c r="EN637" t="n">
        <v>655.9</v>
      </c>
      <c r="EO637" t="n">
        <v>577.7</v>
      </c>
    </row>
    <row r="638">
      <c r="A638" t="inlineStr">
        <is>
          <t>Tawanda Chirewa</t>
        </is>
      </c>
      <c r="D638" t="inlineStr">
        <is>
          <t>MID</t>
        </is>
      </c>
      <c r="F638" t="b">
        <v>0</v>
      </c>
      <c r="G638" t="b">
        <v>1</v>
      </c>
      <c r="L638" t="inlineStr">
        <is>
          <t>p497606</t>
        </is>
      </c>
      <c r="Q638" t="n">
        <v>25</v>
      </c>
      <c r="R638" t="n">
        <v>2</v>
      </c>
      <c r="T638" t="n">
        <v>0.278</v>
      </c>
      <c r="U638" t="n">
        <v>12.5</v>
      </c>
      <c r="AD638" t="n">
        <v>0</v>
      </c>
      <c r="AE638" t="n">
        <v>0</v>
      </c>
      <c r="AG638" t="n">
        <v>4</v>
      </c>
      <c r="AH638" t="n">
        <v>0</v>
      </c>
      <c r="AI638" t="n">
        <v>2</v>
      </c>
      <c r="AN638" t="n">
        <v>0</v>
      </c>
      <c r="AO638" t="n">
        <v>0</v>
      </c>
      <c r="AS638" t="n">
        <v>0</v>
      </c>
      <c r="AT638" t="n">
        <v>0</v>
      </c>
      <c r="AU638" t="n">
        <v>2</v>
      </c>
      <c r="AV638" t="n">
        <v>0</v>
      </c>
      <c r="AW638" t="n">
        <v>0.23</v>
      </c>
      <c r="AX638" t="n">
        <v>1</v>
      </c>
      <c r="AZ638" t="n">
        <v>0</v>
      </c>
      <c r="BA638" t="n">
        <v>0</v>
      </c>
      <c r="BB638" t="n">
        <v>0</v>
      </c>
      <c r="BD638" t="n">
        <v>0</v>
      </c>
      <c r="BE638" t="n">
        <v>0</v>
      </c>
      <c r="BH638" t="n">
        <v>0.993</v>
      </c>
      <c r="BI638" t="n">
        <v>0.16</v>
      </c>
      <c r="BJ638" t="n">
        <v>0</v>
      </c>
      <c r="BK638" t="n">
        <v>0</v>
      </c>
      <c r="BX638" t="n">
        <v>0</v>
      </c>
      <c r="BY638" t="n">
        <v>0</v>
      </c>
      <c r="BZ638" t="n">
        <v>0</v>
      </c>
      <c r="CA638" t="n">
        <v>0</v>
      </c>
      <c r="CB638" t="n">
        <v>0</v>
      </c>
      <c r="CC638" t="n">
        <v>0</v>
      </c>
      <c r="CI638" t="n">
        <v>0</v>
      </c>
      <c r="CJ638" t="n">
        <v>0</v>
      </c>
      <c r="CO638" t="n">
        <v>0</v>
      </c>
      <c r="CP638" t="n">
        <v>1</v>
      </c>
      <c r="CR638" t="n">
        <v>4</v>
      </c>
      <c r="DH638" t="n">
        <v>3</v>
      </c>
      <c r="DI638" t="n">
        <v>1</v>
      </c>
    </row>
    <row r="639">
      <c r="A639" t="inlineStr">
        <is>
          <t>David Møller Wolfe</t>
        </is>
      </c>
      <c r="D639" t="inlineStr">
        <is>
          <t>DEF</t>
        </is>
      </c>
      <c r="F639" t="b">
        <v>0</v>
      </c>
      <c r="G639" t="b">
        <v>1</v>
      </c>
      <c r="L639" t="inlineStr">
        <is>
          <t>p497949</t>
        </is>
      </c>
      <c r="Q639" t="n">
        <v>1049</v>
      </c>
      <c r="R639" t="n">
        <v>22</v>
      </c>
      <c r="T639" t="n">
        <v>11.656</v>
      </c>
      <c r="U639" t="n">
        <v>47.7</v>
      </c>
      <c r="Z639" t="n">
        <v>2</v>
      </c>
      <c r="AD639" t="n">
        <v>0</v>
      </c>
      <c r="AE639" t="n">
        <v>0</v>
      </c>
      <c r="AG639" t="n">
        <v>73</v>
      </c>
      <c r="AH639" t="n">
        <v>-5</v>
      </c>
      <c r="AI639" t="n">
        <v>35</v>
      </c>
      <c r="AN639" t="n">
        <v>0</v>
      </c>
      <c r="AO639" t="n">
        <v>0</v>
      </c>
      <c r="AP639" t="n">
        <v>0</v>
      </c>
      <c r="AQ639" t="n">
        <v>0</v>
      </c>
      <c r="AR639" t="n">
        <v>0</v>
      </c>
      <c r="AS639" t="n">
        <v>0.289</v>
      </c>
      <c r="AT639" t="n">
        <v>0.455</v>
      </c>
      <c r="AU639" t="n">
        <v>19</v>
      </c>
      <c r="AV639" t="n">
        <v>0</v>
      </c>
      <c r="AW639" t="n">
        <v>1.24</v>
      </c>
      <c r="AX639" t="n">
        <v>6</v>
      </c>
      <c r="AZ639" t="n">
        <v>0.083</v>
      </c>
      <c r="BA639" t="n">
        <v>0.083</v>
      </c>
      <c r="BB639" t="n">
        <v>0.083</v>
      </c>
      <c r="BD639" t="n">
        <v>0.007</v>
      </c>
      <c r="BE639" t="n">
        <v>0.007</v>
      </c>
      <c r="BH639" t="n">
        <v>0.984</v>
      </c>
      <c r="BI639" t="n">
        <v>0.13</v>
      </c>
      <c r="BJ639" t="n">
        <v>0.128</v>
      </c>
      <c r="BK639" t="n">
        <v>0.011</v>
      </c>
      <c r="BP639" t="n">
        <v>3</v>
      </c>
      <c r="BS639" t="n">
        <v>19</v>
      </c>
      <c r="BT639" t="n">
        <v>1.63</v>
      </c>
      <c r="BX639" t="n">
        <v>1.305</v>
      </c>
      <c r="BY639" t="n">
        <v>1.305</v>
      </c>
      <c r="BZ639" t="n">
        <v>0.112</v>
      </c>
      <c r="CA639" t="n">
        <v>1.387</v>
      </c>
      <c r="CB639" t="n">
        <v>0.119</v>
      </c>
      <c r="CC639" t="n">
        <v>8</v>
      </c>
      <c r="CD639" t="n">
        <v>3</v>
      </c>
      <c r="CE639" t="n">
        <v>8</v>
      </c>
      <c r="CF639" t="n">
        <v>8</v>
      </c>
      <c r="CH639" t="n">
        <v>3</v>
      </c>
      <c r="CI639" t="n">
        <v>1.79</v>
      </c>
      <c r="CJ639" t="n">
        <v>1.297</v>
      </c>
      <c r="CN639" t="n">
        <v>5</v>
      </c>
      <c r="CO639" t="n">
        <v>7</v>
      </c>
      <c r="CP639" t="n">
        <v>31</v>
      </c>
      <c r="CQ639" t="n">
        <v>2</v>
      </c>
      <c r="CR639" t="n">
        <v>30</v>
      </c>
      <c r="CS639" t="n">
        <v>11</v>
      </c>
      <c r="CT639" t="n">
        <v>0.2</v>
      </c>
      <c r="DH639" t="n">
        <v>10</v>
      </c>
      <c r="DI639" t="n">
        <v>4</v>
      </c>
      <c r="DL639" t="n">
        <v>5</v>
      </c>
      <c r="DM639" t="n">
        <v>2</v>
      </c>
      <c r="EJ639" t="n">
        <v>349.7</v>
      </c>
      <c r="EK639" t="n">
        <v>55.2</v>
      </c>
      <c r="EL639" t="n">
        <v>131.1</v>
      </c>
      <c r="EM639" t="n">
        <v>12706.2</v>
      </c>
      <c r="EN639" t="n">
        <v>804</v>
      </c>
      <c r="EO639" t="n">
        <v>756.2</v>
      </c>
    </row>
    <row r="640">
      <c r="A640" t="inlineStr">
        <is>
          <t>Pep Chavarría</t>
        </is>
      </c>
      <c r="B640" t="inlineStr">
        <is>
          <t>CHE</t>
        </is>
      </c>
      <c r="C640" t="inlineStr">
        <is>
          <t>DEF</t>
        </is>
      </c>
      <c r="E640" t="n">
        <v>5</v>
      </c>
      <c r="F640" t="b">
        <v>1</v>
      </c>
      <c r="G640" t="b">
        <v>0</v>
      </c>
      <c r="H640" t="n">
        <v>28.4</v>
      </c>
      <c r="I640" t="inlineStr">
        <is>
          <t>a</t>
        </is>
      </c>
      <c r="M640" t="n">
        <v>583</v>
      </c>
      <c r="DO640" t="n">
        <v>0.1</v>
      </c>
      <c r="DP640" t="n">
        <v>35.34</v>
      </c>
      <c r="DQ640" t="n">
        <v>17.7</v>
      </c>
      <c r="DR640" t="n">
        <v>35.4</v>
      </c>
      <c r="DS640" t="n">
        <v>-0.06</v>
      </c>
      <c r="DT640" t="n">
        <v>534</v>
      </c>
      <c r="DU640" t="n">
        <v>14.04</v>
      </c>
      <c r="DV640" t="inlineStr">
        <is>
          <t>flat</t>
        </is>
      </c>
      <c r="DW640" t="n">
        <v>90.97</v>
      </c>
      <c r="DX640" t="n">
        <v>98.5</v>
      </c>
      <c r="DY640" t="n">
        <v>90.97</v>
      </c>
      <c r="DZ640" t="n">
        <v>0</v>
      </c>
      <c r="EA640" t="n">
        <v>41</v>
      </c>
      <c r="EB640" t="n">
        <v>21.8</v>
      </c>
      <c r="EC640" t="n">
        <v>22.67</v>
      </c>
      <c r="ED640" t="n">
        <v>117.71</v>
      </c>
      <c r="EE640" t="n">
        <v>41</v>
      </c>
      <c r="EF640" t="b">
        <v>1</v>
      </c>
      <c r="EG640" t="n">
        <v>0.9</v>
      </c>
      <c r="EH640" t="n">
        <v>4.7</v>
      </c>
      <c r="EI640" t="n">
        <v>387</v>
      </c>
    </row>
    <row r="641">
      <c r="A641" t="inlineStr">
        <is>
          <t>Enis Destan</t>
        </is>
      </c>
      <c r="B641" t="inlineStr">
        <is>
          <t>HUL</t>
        </is>
      </c>
      <c r="C641" t="inlineStr">
        <is>
          <t>FWD</t>
        </is>
      </c>
      <c r="E641" t="n">
        <v>4.5</v>
      </c>
      <c r="F641" t="b">
        <v>1</v>
      </c>
      <c r="G641" t="b">
        <v>0</v>
      </c>
      <c r="H641" t="n">
        <v>24.2</v>
      </c>
      <c r="I641" t="inlineStr">
        <is>
          <t>a</t>
        </is>
      </c>
      <c r="M641" t="n">
        <v>298</v>
      </c>
      <c r="DO641" t="n">
        <v>2.3</v>
      </c>
      <c r="DP641" t="n">
        <v>26.3</v>
      </c>
      <c r="DQ641" t="n">
        <v>12.56</v>
      </c>
      <c r="DR641" t="n">
        <v>25.12</v>
      </c>
      <c r="DS641" t="n">
        <v>1.18</v>
      </c>
      <c r="DT641" t="n">
        <v>93</v>
      </c>
      <c r="DU641" t="n">
        <v>2.45</v>
      </c>
      <c r="DV641" t="inlineStr">
        <is>
          <t>flat</t>
        </is>
      </c>
      <c r="DW641" t="n">
        <v>103.07</v>
      </c>
      <c r="DX641" t="n">
        <v>104.38</v>
      </c>
      <c r="DY641" t="n">
        <v>105.75</v>
      </c>
      <c r="DZ641" t="n">
        <v>2.68</v>
      </c>
      <c r="EA641" t="n">
        <v>4</v>
      </c>
      <c r="EB641" t="n">
        <v>11.07</v>
      </c>
      <c r="EC641" t="n">
        <v>76</v>
      </c>
      <c r="ED641" t="n">
        <v>117</v>
      </c>
      <c r="EE641" t="n">
        <v>12</v>
      </c>
      <c r="EF641" t="b">
        <v>1</v>
      </c>
      <c r="EG641" t="n">
        <v>0.3</v>
      </c>
      <c r="EH641" t="n">
        <v>20</v>
      </c>
      <c r="EI641" t="n">
        <v>496</v>
      </c>
    </row>
    <row r="642">
      <c r="A642" t="inlineStr">
        <is>
          <t>Marcelino Núñez</t>
        </is>
      </c>
      <c r="B642" t="inlineStr">
        <is>
          <t>IPS</t>
        </is>
      </c>
      <c r="C642" t="inlineStr">
        <is>
          <t>MID</t>
        </is>
      </c>
      <c r="E642" t="n">
        <v>5</v>
      </c>
      <c r="F642" t="b">
        <v>1</v>
      </c>
      <c r="G642" t="b">
        <v>0</v>
      </c>
      <c r="H642" t="n">
        <v>26.5</v>
      </c>
      <c r="I642" t="inlineStr">
        <is>
          <t>a</t>
        </is>
      </c>
      <c r="M642" t="n">
        <v>309</v>
      </c>
      <c r="O642" t="n">
        <v>1</v>
      </c>
      <c r="P642" t="n">
        <v>1</v>
      </c>
      <c r="DO642" t="n">
        <v>0.2</v>
      </c>
      <c r="DP642" t="n">
        <v>114.84</v>
      </c>
      <c r="DQ642" t="n">
        <v>57.47</v>
      </c>
      <c r="DR642" t="n">
        <v>114.94</v>
      </c>
      <c r="DS642" t="n">
        <v>-0.1</v>
      </c>
      <c r="DT642" t="n">
        <v>2736</v>
      </c>
      <c r="DU642" t="n">
        <v>72</v>
      </c>
      <c r="DV642" t="inlineStr">
        <is>
          <t>flat</t>
        </is>
      </c>
      <c r="DW642" t="n">
        <v>53.35</v>
      </c>
      <c r="DX642" t="n">
        <v>49</v>
      </c>
      <c r="DY642" t="n">
        <v>36.8</v>
      </c>
      <c r="DZ642" t="n">
        <v>-16.55</v>
      </c>
      <c r="EA642" t="n">
        <v>2</v>
      </c>
      <c r="EB642" t="n">
        <v>27.29</v>
      </c>
      <c r="EC642" t="n">
        <v>21.33</v>
      </c>
      <c r="ED642" t="n">
        <v>105.33</v>
      </c>
      <c r="EE642" t="n">
        <v>7</v>
      </c>
      <c r="EF642" t="b">
        <v>0</v>
      </c>
      <c r="EG642" t="n">
        <v>0.2</v>
      </c>
      <c r="EH642" t="n">
        <v>30</v>
      </c>
      <c r="EI642" t="n">
        <v>356</v>
      </c>
    </row>
    <row r="643">
      <c r="A643" t="inlineStr">
        <is>
          <t>Tatsuhiro Sakamoto</t>
        </is>
      </c>
      <c r="B643" t="inlineStr">
        <is>
          <t>COV</t>
        </is>
      </c>
      <c r="C643" t="inlineStr">
        <is>
          <t>MID</t>
        </is>
      </c>
      <c r="E643" t="n">
        <v>5</v>
      </c>
      <c r="F643" t="b">
        <v>1</v>
      </c>
      <c r="G643" t="b">
        <v>0</v>
      </c>
      <c r="H643" t="n">
        <v>29.8</v>
      </c>
      <c r="I643" t="inlineStr">
        <is>
          <t>a</t>
        </is>
      </c>
      <c r="M643" t="n">
        <v>185</v>
      </c>
      <c r="DO643" t="n">
        <v>0.2</v>
      </c>
      <c r="DP643" t="n">
        <v>75.39</v>
      </c>
      <c r="DQ643" t="n">
        <v>37.95</v>
      </c>
      <c r="DR643" t="n">
        <v>75.90000000000001</v>
      </c>
      <c r="DS643" t="n">
        <v>-0.51</v>
      </c>
      <c r="DT643" t="n">
        <v>1927</v>
      </c>
      <c r="DU643" t="n">
        <v>50.7</v>
      </c>
      <c r="DV643" t="inlineStr">
        <is>
          <t>flat</t>
        </is>
      </c>
      <c r="DW643" t="n">
        <v>57.93</v>
      </c>
      <c r="DX643" t="n">
        <v>22.33</v>
      </c>
      <c r="DY643" t="n">
        <v>61.67</v>
      </c>
      <c r="DZ643" t="n">
        <v>3.73</v>
      </c>
      <c r="EA643" t="n">
        <v>8</v>
      </c>
      <c r="EB643" t="n">
        <v>35.33</v>
      </c>
      <c r="EC643" t="n">
        <v>6</v>
      </c>
      <c r="ED643" t="n">
        <v>112</v>
      </c>
      <c r="EE643" t="n">
        <v>10</v>
      </c>
      <c r="EF643" t="b">
        <v>1</v>
      </c>
      <c r="EG643" t="n">
        <v>0.2</v>
      </c>
      <c r="EH643" t="n">
        <v>9.1</v>
      </c>
      <c r="EI643" t="n">
        <v>342</v>
      </c>
    </row>
    <row r="644">
      <c r="A644" t="inlineStr">
        <is>
          <t>Yerson Mosquera</t>
        </is>
      </c>
      <c r="D644" t="inlineStr">
        <is>
          <t>DEF</t>
        </is>
      </c>
      <c r="F644" t="b">
        <v>0</v>
      </c>
      <c r="G644" t="b">
        <v>1</v>
      </c>
      <c r="L644" t="inlineStr">
        <is>
          <t>p501837</t>
        </is>
      </c>
      <c r="Q644" t="n">
        <v>2142</v>
      </c>
      <c r="R644" t="n">
        <v>27</v>
      </c>
      <c r="T644" t="n">
        <v>23.8</v>
      </c>
      <c r="U644" t="n">
        <v>79.3</v>
      </c>
      <c r="AD644" t="n">
        <v>3</v>
      </c>
      <c r="AE644" t="n">
        <v>0</v>
      </c>
      <c r="AG644" t="n">
        <v>179</v>
      </c>
      <c r="AH644" t="n">
        <v>-30</v>
      </c>
      <c r="AI644" t="n">
        <v>61</v>
      </c>
      <c r="AN644" t="n">
        <v>10</v>
      </c>
      <c r="AO644" t="n">
        <v>20</v>
      </c>
      <c r="AP644" t="n">
        <v>0.417</v>
      </c>
      <c r="AQ644" t="n">
        <v>0.417</v>
      </c>
      <c r="AR644" t="n">
        <v>0.208</v>
      </c>
      <c r="AS644" t="n">
        <v>0.632</v>
      </c>
      <c r="AT644" t="n">
        <v>0.889</v>
      </c>
      <c r="AU644" t="n">
        <v>16</v>
      </c>
      <c r="AV644" t="n">
        <v>0</v>
      </c>
      <c r="AW644" t="n">
        <v>2.47</v>
      </c>
      <c r="AX644" t="n">
        <v>9</v>
      </c>
      <c r="AZ644" t="n">
        <v>2.966</v>
      </c>
      <c r="BA644" t="n">
        <v>2.966</v>
      </c>
      <c r="BB644" t="n">
        <v>2.966</v>
      </c>
      <c r="BD644" t="n">
        <v>0.125</v>
      </c>
      <c r="BE644" t="n">
        <v>0.125</v>
      </c>
      <c r="BF644" t="n">
        <v>0.6</v>
      </c>
      <c r="BG644" t="n">
        <v>0.025</v>
      </c>
      <c r="BH644" t="n">
        <v>0.793</v>
      </c>
      <c r="BI644" t="n">
        <v>2.84</v>
      </c>
      <c r="BJ644" t="n">
        <v>1.991</v>
      </c>
      <c r="BK644" t="n">
        <v>0.08400000000000001</v>
      </c>
      <c r="BP644" t="n">
        <v>30</v>
      </c>
      <c r="BQ644" t="n">
        <v>6</v>
      </c>
      <c r="BR644" t="n">
        <v>4</v>
      </c>
      <c r="BS644" t="n">
        <v>54</v>
      </c>
      <c r="BT644" t="n">
        <v>2.269</v>
      </c>
      <c r="BX644" t="n">
        <v>1.203</v>
      </c>
      <c r="BY644" t="n">
        <v>1.203</v>
      </c>
      <c r="BZ644" t="n">
        <v>0.051</v>
      </c>
      <c r="CA644" t="n">
        <v>4.169</v>
      </c>
      <c r="CB644" t="n">
        <v>0.175</v>
      </c>
      <c r="CC644" t="n">
        <v>11</v>
      </c>
      <c r="CD644" t="n">
        <v>1</v>
      </c>
      <c r="CE644" t="n">
        <v>11</v>
      </c>
      <c r="CF644" t="n">
        <v>2</v>
      </c>
      <c r="CI644" t="n">
        <v>5.853</v>
      </c>
      <c r="CJ644" t="n">
        <v>3.759</v>
      </c>
      <c r="CN644" t="n">
        <v>39</v>
      </c>
      <c r="CO644" t="n">
        <v>30</v>
      </c>
      <c r="CP644" t="n">
        <v>114</v>
      </c>
      <c r="CQ644" t="n">
        <v>17</v>
      </c>
      <c r="CR644" t="n">
        <v>160</v>
      </c>
      <c r="CS644" t="n">
        <v>47</v>
      </c>
      <c r="CV644" t="n">
        <v>2</v>
      </c>
      <c r="DE644" t="n">
        <v>6.77</v>
      </c>
      <c r="DH644" t="n">
        <v>34</v>
      </c>
      <c r="DI644" t="n">
        <v>44</v>
      </c>
      <c r="DK644" t="n">
        <v>2</v>
      </c>
      <c r="DL644" t="n">
        <v>9</v>
      </c>
      <c r="DM644" t="n">
        <v>5</v>
      </c>
      <c r="DN644" t="n">
        <v>1</v>
      </c>
      <c r="EJ644" t="n">
        <v>71.40000000000001</v>
      </c>
      <c r="EK644" t="n">
        <v>39.7</v>
      </c>
      <c r="EL644" t="n">
        <v>194.7</v>
      </c>
      <c r="EM644" t="n">
        <v>722.2</v>
      </c>
      <c r="EN644" t="n">
        <v>1780.9</v>
      </c>
      <c r="EO644" t="n">
        <v>513.8</v>
      </c>
    </row>
    <row r="645">
      <c r="A645" t="inlineStr">
        <is>
          <t>Charlie Hughes</t>
        </is>
      </c>
      <c r="B645" t="inlineStr">
        <is>
          <t>HUL</t>
        </is>
      </c>
      <c r="C645" t="inlineStr">
        <is>
          <t>DEF</t>
        </is>
      </c>
      <c r="E645" t="n">
        <v>4</v>
      </c>
      <c r="F645" t="b">
        <v>1</v>
      </c>
      <c r="G645" t="b">
        <v>0</v>
      </c>
      <c r="H645" t="n">
        <v>22.8</v>
      </c>
      <c r="I645" t="inlineStr">
        <is>
          <t>i</t>
        </is>
      </c>
      <c r="J645" t="inlineStr">
        <is>
          <t>Groin injury - Unknown return date</t>
        </is>
      </c>
      <c r="K645" t="n">
        <v>0</v>
      </c>
      <c r="M645" t="n">
        <v>278</v>
      </c>
      <c r="DO645" t="n">
        <v>0.6</v>
      </c>
      <c r="DP645" t="n">
        <v>88.95999999999999</v>
      </c>
      <c r="DQ645" t="n">
        <v>37.47</v>
      </c>
      <c r="DR645" t="n">
        <v>74.94</v>
      </c>
      <c r="DS645" t="n">
        <v>14.02</v>
      </c>
      <c r="DT645" t="n">
        <v>2673</v>
      </c>
      <c r="DU645" t="n">
        <v>70.34999999999999</v>
      </c>
      <c r="DV645" t="inlineStr">
        <is>
          <t>ramp-up (injury / late WC return)</t>
        </is>
      </c>
      <c r="DW645" t="n">
        <v>94.51000000000001</v>
      </c>
      <c r="DX645" t="n">
        <v>79</v>
      </c>
      <c r="DY645" t="n">
        <v>103.11</v>
      </c>
      <c r="DZ645" t="n">
        <v>8.6</v>
      </c>
      <c r="EA645" t="n">
        <v>1</v>
      </c>
      <c r="EB645" t="n">
        <v>14.41</v>
      </c>
      <c r="EC645" t="n">
        <v>76</v>
      </c>
      <c r="ED645" t="n">
        <v>107.43</v>
      </c>
      <c r="EE645" t="n">
        <v>5</v>
      </c>
      <c r="EF645" t="b">
        <v>0</v>
      </c>
      <c r="EG645" t="n">
        <v>0.1</v>
      </c>
      <c r="EH645" t="n">
        <v>16.7</v>
      </c>
      <c r="EI645" t="n">
        <v>555</v>
      </c>
    </row>
    <row r="646">
      <c r="A646" t="inlineStr">
        <is>
          <t>Emmanuel Emegha</t>
        </is>
      </c>
      <c r="B646" t="inlineStr">
        <is>
          <t>CHE</t>
        </is>
      </c>
      <c r="C646" t="inlineStr">
        <is>
          <t>FWD</t>
        </is>
      </c>
      <c r="E646" t="n">
        <v>5</v>
      </c>
      <c r="F646" t="b">
        <v>1</v>
      </c>
      <c r="G646" t="b">
        <v>0</v>
      </c>
      <c r="H646" t="n">
        <v>23.5</v>
      </c>
      <c r="I646" t="inlineStr">
        <is>
          <t>d</t>
        </is>
      </c>
      <c r="J646" t="inlineStr">
        <is>
          <t>Hamstring injury - 75% chance of playing</t>
        </is>
      </c>
      <c r="K646" t="n">
        <v>75</v>
      </c>
      <c r="M646" t="n">
        <v>170</v>
      </c>
      <c r="DO646" t="n">
        <v>0.1</v>
      </c>
      <c r="DP646" t="n">
        <v>0</v>
      </c>
      <c r="DQ646" t="n">
        <v>0</v>
      </c>
      <c r="DR646" t="n">
        <v>0</v>
      </c>
      <c r="DS646" t="n">
        <v>0</v>
      </c>
      <c r="DT646" t="n">
        <v>0</v>
      </c>
      <c r="DU646" t="n">
        <v>0</v>
      </c>
      <c r="DV646" t="inlineStr">
        <is>
          <t>flat</t>
        </is>
      </c>
      <c r="DW646" t="n">
        <v>97.37</v>
      </c>
      <c r="DX646" t="n">
        <v>97</v>
      </c>
      <c r="DY646" t="n">
        <v>96.43000000000001</v>
      </c>
      <c r="DZ646" t="n">
        <v>-0.9399999999999999</v>
      </c>
      <c r="EA646" t="n">
        <v>16</v>
      </c>
      <c r="EB646" t="n">
        <v>20.25</v>
      </c>
      <c r="EC646" t="n">
        <v>40.67</v>
      </c>
      <c r="ED646" t="n">
        <v>120</v>
      </c>
      <c r="EE646" t="n">
        <v>27</v>
      </c>
      <c r="EF646" t="b">
        <v>1</v>
      </c>
      <c r="EG646" t="n">
        <v>0.6</v>
      </c>
      <c r="EH646" t="n">
        <v>12.9</v>
      </c>
      <c r="EI646" t="n">
        <v>339</v>
      </c>
    </row>
    <row r="647">
      <c r="A647" t="inlineStr">
        <is>
          <t>Lesley Ugochukwu</t>
        </is>
      </c>
      <c r="D647" t="inlineStr">
        <is>
          <t>MID</t>
        </is>
      </c>
      <c r="F647" t="b">
        <v>0</v>
      </c>
      <c r="G647" t="b">
        <v>1</v>
      </c>
      <c r="L647" t="inlineStr">
        <is>
          <t>p503714</t>
        </is>
      </c>
      <c r="Q647" t="n">
        <v>2350</v>
      </c>
      <c r="R647" t="n">
        <v>35</v>
      </c>
      <c r="T647" t="n">
        <v>26.111</v>
      </c>
      <c r="U647" t="n">
        <v>67.09999999999999</v>
      </c>
      <c r="Z647" t="n">
        <v>1</v>
      </c>
      <c r="AD647" t="n">
        <v>4</v>
      </c>
      <c r="AE647" t="n">
        <v>-1</v>
      </c>
      <c r="AG647" t="n">
        <v>360</v>
      </c>
      <c r="AH647" t="n">
        <v>-14</v>
      </c>
      <c r="AI647" t="n">
        <v>96</v>
      </c>
      <c r="AN647" t="n">
        <v>4</v>
      </c>
      <c r="AO647" t="n">
        <v>8</v>
      </c>
      <c r="AP647" t="n">
        <v>0.148</v>
      </c>
      <c r="AQ647" t="n">
        <v>0.296</v>
      </c>
      <c r="AR647" t="n">
        <v>0.148</v>
      </c>
      <c r="AS647" t="n">
        <v>0.711</v>
      </c>
      <c r="AT647" t="n">
        <v>0.743</v>
      </c>
      <c r="AU647" t="n">
        <v>24</v>
      </c>
      <c r="AV647" t="n">
        <v>1</v>
      </c>
      <c r="AW647" t="n">
        <v>2.4</v>
      </c>
      <c r="AX647" t="n">
        <v>10</v>
      </c>
      <c r="AZ647" t="n">
        <v>2.622</v>
      </c>
      <c r="BA647" t="n">
        <v>2.622</v>
      </c>
      <c r="BB647" t="n">
        <v>2.622</v>
      </c>
      <c r="BD647" t="n">
        <v>0.1</v>
      </c>
      <c r="BE647" t="n">
        <v>0.1</v>
      </c>
      <c r="BF647" t="n">
        <v>2.5</v>
      </c>
      <c r="BG647" t="n">
        <v>0.096</v>
      </c>
      <c r="BH647" t="n">
        <v>0.978</v>
      </c>
      <c r="BI647" t="n">
        <v>3.35</v>
      </c>
      <c r="BJ647" t="n">
        <v>2.445</v>
      </c>
      <c r="BK647" t="n">
        <v>0.094</v>
      </c>
      <c r="BP647" t="n">
        <v>23</v>
      </c>
      <c r="BQ647" t="n">
        <v>8</v>
      </c>
      <c r="BR647" t="n">
        <v>1</v>
      </c>
      <c r="BS647" t="n">
        <v>40</v>
      </c>
      <c r="BT647" t="n">
        <v>1.532</v>
      </c>
      <c r="BV647" t="n">
        <v>2</v>
      </c>
      <c r="BX647" t="n">
        <v>0.449</v>
      </c>
      <c r="BY647" t="n">
        <v>0.449</v>
      </c>
      <c r="BZ647" t="n">
        <v>0.017</v>
      </c>
      <c r="CA647" t="n">
        <v>3.072</v>
      </c>
      <c r="CB647" t="n">
        <v>0.118</v>
      </c>
      <c r="CC647" t="n">
        <v>10</v>
      </c>
      <c r="CE647" t="n">
        <v>10</v>
      </c>
      <c r="CF647" t="n">
        <v>1</v>
      </c>
      <c r="CI647" t="n">
        <v>7.267</v>
      </c>
      <c r="CJ647" t="n">
        <v>4.909</v>
      </c>
      <c r="CN647" t="n">
        <v>25</v>
      </c>
      <c r="CO647" t="n">
        <v>18</v>
      </c>
      <c r="CP647" t="n">
        <v>24</v>
      </c>
      <c r="CQ647" t="n">
        <v>21</v>
      </c>
      <c r="CR647" t="n">
        <v>122</v>
      </c>
      <c r="CS647" t="n">
        <v>26</v>
      </c>
      <c r="CT647" t="n">
        <v>0.3</v>
      </c>
      <c r="CU647" t="n">
        <v>1</v>
      </c>
      <c r="DE647" t="n">
        <v>6.51</v>
      </c>
      <c r="DH647" t="n">
        <v>28</v>
      </c>
      <c r="DI647" t="n">
        <v>30</v>
      </c>
      <c r="DK647" t="n">
        <v>1</v>
      </c>
      <c r="DL647" t="n">
        <v>16</v>
      </c>
      <c r="DM647" t="n">
        <v>31</v>
      </c>
      <c r="DN647" t="n">
        <v>1</v>
      </c>
      <c r="EJ647" t="n">
        <v>102.2</v>
      </c>
      <c r="EK647" t="n">
        <v>58.8</v>
      </c>
      <c r="EL647" t="n">
        <v>235</v>
      </c>
      <c r="EM647" t="n">
        <v>896.1</v>
      </c>
      <c r="EN647" t="n">
        <v>5229.7</v>
      </c>
      <c r="EO647" t="n">
        <v>765</v>
      </c>
    </row>
    <row r="648">
      <c r="A648" t="inlineStr">
        <is>
          <t>André</t>
        </is>
      </c>
      <c r="D648" t="inlineStr">
        <is>
          <t>MID</t>
        </is>
      </c>
      <c r="F648" t="b">
        <v>0</v>
      </c>
      <c r="G648" t="b">
        <v>1</v>
      </c>
      <c r="L648" t="inlineStr">
        <is>
          <t>p509291</t>
        </is>
      </c>
      <c r="Q648" t="n">
        <v>2766</v>
      </c>
      <c r="R648" t="n">
        <v>35</v>
      </c>
      <c r="T648" t="n">
        <v>30.733</v>
      </c>
      <c r="U648" t="n">
        <v>79</v>
      </c>
      <c r="AD648" t="n">
        <v>4</v>
      </c>
      <c r="AE648" t="n">
        <v>0</v>
      </c>
      <c r="AG648" t="n">
        <v>454</v>
      </c>
      <c r="AH648" t="n">
        <v>-19</v>
      </c>
      <c r="AI648" t="n">
        <v>96</v>
      </c>
      <c r="AN648" t="n">
        <v>16</v>
      </c>
      <c r="AO648" t="n">
        <v>32</v>
      </c>
      <c r="AP648" t="n">
        <v>0.533</v>
      </c>
      <c r="AQ648" t="n">
        <v>0.733</v>
      </c>
      <c r="AR648" t="n">
        <v>0.533</v>
      </c>
      <c r="AS648" t="n">
        <v>0.789</v>
      </c>
      <c r="AT648" t="n">
        <v>0.857</v>
      </c>
      <c r="AU648" t="n">
        <v>19</v>
      </c>
      <c r="AV648" t="n">
        <v>1</v>
      </c>
      <c r="AW648" t="n">
        <v>2.1</v>
      </c>
      <c r="AX648" t="n">
        <v>12</v>
      </c>
      <c r="AZ648" t="n">
        <v>0.516</v>
      </c>
      <c r="BA648" t="n">
        <v>0.516</v>
      </c>
      <c r="BB648" t="n">
        <v>0.516</v>
      </c>
      <c r="BD648" t="n">
        <v>0.017</v>
      </c>
      <c r="BE648" t="n">
        <v>0.017</v>
      </c>
      <c r="BF648" t="n">
        <v>0.1</v>
      </c>
      <c r="BG648" t="n">
        <v>0.003</v>
      </c>
      <c r="BH648" t="n">
        <v>0.907</v>
      </c>
      <c r="BI648" t="n">
        <v>0.93</v>
      </c>
      <c r="BJ648" t="n">
        <v>0.472</v>
      </c>
      <c r="BK648" t="n">
        <v>0.015</v>
      </c>
      <c r="BP648" t="n">
        <v>15</v>
      </c>
      <c r="BQ648" t="n">
        <v>1</v>
      </c>
      <c r="BS648" t="n">
        <v>6</v>
      </c>
      <c r="BT648" t="n">
        <v>0.195</v>
      </c>
      <c r="BX648" t="n">
        <v>1.248</v>
      </c>
      <c r="BY648" t="n">
        <v>1.248</v>
      </c>
      <c r="BZ648" t="n">
        <v>0.041</v>
      </c>
      <c r="CA648" t="n">
        <v>1.763</v>
      </c>
      <c r="CB648" t="n">
        <v>0.057</v>
      </c>
      <c r="CC648" t="n">
        <v>18</v>
      </c>
      <c r="CD648" t="n">
        <v>1</v>
      </c>
      <c r="CE648" t="n">
        <v>18</v>
      </c>
      <c r="CF648" t="n">
        <v>10</v>
      </c>
      <c r="CG648" t="n">
        <v>1</v>
      </c>
      <c r="CH648" t="n">
        <v>19</v>
      </c>
      <c r="CI648" t="n">
        <v>6.22</v>
      </c>
      <c r="CJ648" t="n">
        <v>5.526</v>
      </c>
      <c r="CN648" t="n">
        <v>44</v>
      </c>
      <c r="CO648" t="n">
        <v>30</v>
      </c>
      <c r="CP648" t="n">
        <v>50</v>
      </c>
      <c r="CQ648" t="n">
        <v>13</v>
      </c>
      <c r="CR648" t="n">
        <v>148</v>
      </c>
      <c r="CS648" t="n">
        <v>4</v>
      </c>
      <c r="CT648" t="n">
        <v>0.3</v>
      </c>
      <c r="CU648" t="n">
        <v>2</v>
      </c>
      <c r="CV648" t="n">
        <v>6</v>
      </c>
      <c r="DE648" t="n">
        <v>6.78</v>
      </c>
      <c r="DH648" t="n">
        <v>47</v>
      </c>
      <c r="DI648" t="n">
        <v>43</v>
      </c>
      <c r="DL648" t="n">
        <v>19</v>
      </c>
      <c r="DM648" t="n">
        <v>30</v>
      </c>
      <c r="EJ648" t="n">
        <v>184.4</v>
      </c>
      <c r="EK648" t="n">
        <v>461</v>
      </c>
      <c r="EL648" t="n">
        <v>153.7</v>
      </c>
      <c r="EM648" t="n">
        <v>5364</v>
      </c>
      <c r="EN648" t="n">
        <v>2216.6</v>
      </c>
      <c r="EO648" t="n">
        <v>1568.5</v>
      </c>
    </row>
    <row r="649">
      <c r="A649" t="inlineStr">
        <is>
          <t>Toti Gomes</t>
        </is>
      </c>
      <c r="D649" t="inlineStr">
        <is>
          <t>DEF</t>
        </is>
      </c>
      <c r="F649" t="b">
        <v>0</v>
      </c>
      <c r="G649" t="b">
        <v>1</v>
      </c>
      <c r="L649" t="inlineStr">
        <is>
          <t>p510362</t>
        </is>
      </c>
      <c r="Q649" t="n">
        <v>1427</v>
      </c>
      <c r="R649" t="n">
        <v>19</v>
      </c>
      <c r="T649" t="n">
        <v>15.856</v>
      </c>
      <c r="U649" t="n">
        <v>75.09999999999999</v>
      </c>
      <c r="AD649" t="n">
        <v>0</v>
      </c>
      <c r="AE649" t="n">
        <v>0</v>
      </c>
      <c r="AG649" t="n">
        <v>119</v>
      </c>
      <c r="AH649" t="n">
        <v>-21</v>
      </c>
      <c r="AI649" t="n">
        <v>41</v>
      </c>
      <c r="AN649" t="n">
        <v>8</v>
      </c>
      <c r="AO649" t="n">
        <v>16</v>
      </c>
      <c r="AP649" t="n">
        <v>0.471</v>
      </c>
      <c r="AQ649" t="n">
        <v>0.471</v>
      </c>
      <c r="AR649" t="n">
        <v>0.294</v>
      </c>
      <c r="AS649" t="n">
        <v>0.447</v>
      </c>
      <c r="AT649" t="n">
        <v>0.789</v>
      </c>
      <c r="AU649" t="n">
        <v>11</v>
      </c>
      <c r="AV649" t="n">
        <v>0</v>
      </c>
      <c r="AW649" t="n">
        <v>1.84</v>
      </c>
      <c r="AX649" t="n">
        <v>8</v>
      </c>
      <c r="AZ649" t="n">
        <v>0.95</v>
      </c>
      <c r="BA649" t="n">
        <v>0.95</v>
      </c>
      <c r="BB649" t="n">
        <v>0.95</v>
      </c>
      <c r="BD649" t="n">
        <v>0.06</v>
      </c>
      <c r="BE649" t="n">
        <v>0.06</v>
      </c>
      <c r="BF649" t="n">
        <v>0.3</v>
      </c>
      <c r="BG649" t="n">
        <v>0.019</v>
      </c>
      <c r="BH649" t="n">
        <v>0.917</v>
      </c>
      <c r="BI649" t="n">
        <v>3.23</v>
      </c>
      <c r="BJ649" t="n">
        <v>0.486</v>
      </c>
      <c r="BK649" t="n">
        <v>0.031</v>
      </c>
      <c r="BP649" t="n">
        <v>5</v>
      </c>
      <c r="BQ649" t="n">
        <v>2</v>
      </c>
      <c r="BR649" t="n">
        <v>1</v>
      </c>
      <c r="BS649" t="n">
        <v>9</v>
      </c>
      <c r="BT649" t="n">
        <v>0.5679999999999999</v>
      </c>
      <c r="BX649" t="n">
        <v>0.159</v>
      </c>
      <c r="BY649" t="n">
        <v>0.159</v>
      </c>
      <c r="BZ649" t="n">
        <v>0.01</v>
      </c>
      <c r="CA649" t="n">
        <v>1.109</v>
      </c>
      <c r="CB649" t="n">
        <v>0.07000000000000001</v>
      </c>
      <c r="CC649" t="n">
        <v>6</v>
      </c>
      <c r="CE649" t="n">
        <v>6</v>
      </c>
      <c r="CF649" t="n">
        <v>3</v>
      </c>
      <c r="CI649" t="n">
        <v>2.287</v>
      </c>
      <c r="CJ649" t="n">
        <v>2.101</v>
      </c>
      <c r="CN649" t="n">
        <v>13</v>
      </c>
      <c r="CO649" t="n">
        <v>14</v>
      </c>
      <c r="CP649" t="n">
        <v>95</v>
      </c>
      <c r="CQ649" t="n">
        <v>12</v>
      </c>
      <c r="CR649" t="n">
        <v>68</v>
      </c>
      <c r="CS649" t="n">
        <v>24</v>
      </c>
      <c r="CU649" t="n">
        <v>1</v>
      </c>
      <c r="CV649" t="n">
        <v>1</v>
      </c>
      <c r="DH649" t="n">
        <v>11</v>
      </c>
      <c r="DI649" t="n">
        <v>11</v>
      </c>
      <c r="DL649" t="n">
        <v>10</v>
      </c>
      <c r="DM649" t="n">
        <v>5</v>
      </c>
      <c r="EJ649" t="n">
        <v>285.4</v>
      </c>
      <c r="EK649" t="n">
        <v>158.6</v>
      </c>
      <c r="EL649" t="n">
        <v>237.8</v>
      </c>
      <c r="EM649" t="n">
        <v>1501.9</v>
      </c>
      <c r="EN649" t="n">
        <v>8998.299999999999</v>
      </c>
      <c r="EO649" t="n">
        <v>1287.1</v>
      </c>
    </row>
    <row r="650">
      <c r="A650" t="inlineStr">
        <is>
          <t>Jota Silva</t>
        </is>
      </c>
      <c r="D650" t="inlineStr">
        <is>
          <t>MID</t>
        </is>
      </c>
      <c r="F650" t="b">
        <v>0</v>
      </c>
      <c r="G650" t="b">
        <v>1</v>
      </c>
      <c r="L650" t="inlineStr">
        <is>
          <t>p510500</t>
        </is>
      </c>
      <c r="Q650" t="n">
        <v>11</v>
      </c>
      <c r="R650" t="n">
        <v>1</v>
      </c>
      <c r="T650" t="n">
        <v>0.122</v>
      </c>
      <c r="U650" t="n">
        <v>11</v>
      </c>
      <c r="AD650" t="n">
        <v>0</v>
      </c>
      <c r="AE650" t="n">
        <v>0</v>
      </c>
      <c r="AG650" t="n">
        <v>6</v>
      </c>
      <c r="AH650" t="n">
        <v>0</v>
      </c>
      <c r="AI650" t="n">
        <v>1</v>
      </c>
      <c r="AN650" t="n">
        <v>0</v>
      </c>
      <c r="AO650" t="n">
        <v>0</v>
      </c>
      <c r="AS650" t="n">
        <v>0</v>
      </c>
      <c r="AT650" t="n">
        <v>0</v>
      </c>
      <c r="AU650" t="n">
        <v>1</v>
      </c>
      <c r="AV650" t="n">
        <v>0</v>
      </c>
      <c r="AW650" t="n">
        <v>0.16</v>
      </c>
      <c r="AX650" t="n">
        <v>1</v>
      </c>
      <c r="AZ650" t="n">
        <v>0</v>
      </c>
      <c r="BA650" t="n">
        <v>0</v>
      </c>
      <c r="BB650" t="n">
        <v>0</v>
      </c>
      <c r="BD650" t="n">
        <v>0</v>
      </c>
      <c r="BE650" t="n">
        <v>0</v>
      </c>
      <c r="BH650" t="n">
        <v>0.987</v>
      </c>
      <c r="BI650" t="n">
        <v>2.13</v>
      </c>
      <c r="BJ650" t="n">
        <v>0</v>
      </c>
      <c r="BK650" t="n">
        <v>0</v>
      </c>
      <c r="BS650" t="n">
        <v>2</v>
      </c>
      <c r="BT650" t="n">
        <v>16.364</v>
      </c>
      <c r="BX650" t="n">
        <v>0</v>
      </c>
      <c r="BY650" t="n">
        <v>0</v>
      </c>
      <c r="BZ650" t="n">
        <v>0</v>
      </c>
      <c r="CA650" t="n">
        <v>0</v>
      </c>
      <c r="CB650" t="n">
        <v>0</v>
      </c>
      <c r="CC650" t="n">
        <v>0</v>
      </c>
      <c r="CI650" t="n">
        <v>0</v>
      </c>
      <c r="CJ650" t="n">
        <v>0</v>
      </c>
      <c r="CN650" t="n">
        <v>1</v>
      </c>
      <c r="CP650" t="n">
        <v>1</v>
      </c>
      <c r="CR650" t="n">
        <v>3</v>
      </c>
      <c r="DI650" t="n">
        <v>1</v>
      </c>
      <c r="EK650" t="n">
        <v>5.5</v>
      </c>
    </row>
    <row r="651">
      <c r="A651" t="inlineStr">
        <is>
          <t>Jannik Schuster</t>
        </is>
      </c>
      <c r="B651" t="inlineStr">
        <is>
          <t>BRE</t>
        </is>
      </c>
      <c r="C651" t="inlineStr">
        <is>
          <t>DEF</t>
        </is>
      </c>
      <c r="E651" t="n">
        <v>4.5</v>
      </c>
      <c r="F651" t="b">
        <v>1</v>
      </c>
      <c r="G651" t="b">
        <v>0</v>
      </c>
      <c r="H651" t="n">
        <v>20.3</v>
      </c>
      <c r="I651" t="inlineStr">
        <is>
          <t>a</t>
        </is>
      </c>
      <c r="M651" t="n">
        <v>93</v>
      </c>
      <c r="DO651" t="n">
        <v>0.2</v>
      </c>
      <c r="DP651" t="n">
        <v>11.67</v>
      </c>
      <c r="DQ651" t="n">
        <v>8.68</v>
      </c>
      <c r="DR651" t="n">
        <v>17.36</v>
      </c>
      <c r="DS651" t="n">
        <v>-5.69</v>
      </c>
      <c r="DT651" t="n">
        <v>80</v>
      </c>
      <c r="DU651" t="n">
        <v>2.1</v>
      </c>
      <c r="DV651" t="inlineStr">
        <is>
          <t>flat</t>
        </is>
      </c>
      <c r="DW651" t="n">
        <v>109</v>
      </c>
      <c r="DX651" t="n">
        <v>112</v>
      </c>
      <c r="DY651" t="n">
        <v>106</v>
      </c>
      <c r="DZ651" t="n">
        <v>-3</v>
      </c>
      <c r="EA651" t="n">
        <v>1</v>
      </c>
      <c r="EB651" t="n">
        <v>4.24</v>
      </c>
      <c r="EC651" t="n">
        <v>106</v>
      </c>
      <c r="ED651" t="n">
        <v>112</v>
      </c>
      <c r="EE651" t="n">
        <v>2</v>
      </c>
      <c r="EF651" t="b">
        <v>0</v>
      </c>
      <c r="EG651" t="n">
        <v>0</v>
      </c>
      <c r="EH651" t="n">
        <v>0</v>
      </c>
      <c r="EI651" t="n">
        <v>478</v>
      </c>
    </row>
    <row r="652">
      <c r="A652" t="inlineStr">
        <is>
          <t>Brajan Gruda</t>
        </is>
      </c>
      <c r="D652" t="inlineStr">
        <is>
          <t>MID</t>
        </is>
      </c>
      <c r="F652" t="b">
        <v>0</v>
      </c>
      <c r="G652" t="b">
        <v>1</v>
      </c>
      <c r="L652" t="inlineStr">
        <is>
          <t>p513433</t>
        </is>
      </c>
      <c r="Q652" t="n">
        <v>715</v>
      </c>
      <c r="R652" t="n">
        <v>18</v>
      </c>
      <c r="T652" t="n">
        <v>7.944</v>
      </c>
      <c r="U652" t="n">
        <v>39.7</v>
      </c>
      <c r="Z652" t="n">
        <v>1</v>
      </c>
      <c r="AD652" t="n">
        <v>3</v>
      </c>
      <c r="AE652" t="n">
        <v>1</v>
      </c>
      <c r="AG652" t="n">
        <v>114</v>
      </c>
      <c r="AH652" t="n">
        <v>0</v>
      </c>
      <c r="AI652" t="n">
        <v>36</v>
      </c>
      <c r="AN652" t="n">
        <v>0</v>
      </c>
      <c r="AO652" t="n">
        <v>0</v>
      </c>
      <c r="AP652" t="n">
        <v>0</v>
      </c>
      <c r="AQ652" t="n">
        <v>0</v>
      </c>
      <c r="AR652" t="n">
        <v>0</v>
      </c>
      <c r="AS652" t="n">
        <v>0.211</v>
      </c>
      <c r="AT652" t="n">
        <v>0.389</v>
      </c>
      <c r="AU652" t="n">
        <v>15</v>
      </c>
      <c r="AV652" t="n">
        <v>0</v>
      </c>
      <c r="AW652" t="n">
        <v>1.55</v>
      </c>
      <c r="AX652" t="n">
        <v>8</v>
      </c>
      <c r="AZ652" t="n">
        <v>1.772</v>
      </c>
      <c r="BA652" t="n">
        <v>1.772</v>
      </c>
      <c r="BB652" t="n">
        <v>1.772</v>
      </c>
      <c r="BD652" t="n">
        <v>0.223</v>
      </c>
      <c r="BE652" t="n">
        <v>0.223</v>
      </c>
      <c r="BF652" t="n">
        <v>2</v>
      </c>
      <c r="BG652" t="n">
        <v>0.252</v>
      </c>
      <c r="BH652" t="n">
        <v>1.035</v>
      </c>
      <c r="BI652" t="n">
        <v>3.01</v>
      </c>
      <c r="BJ652" t="n">
        <v>1.926</v>
      </c>
      <c r="BK652" t="n">
        <v>0.242</v>
      </c>
      <c r="BP652" t="n">
        <v>16</v>
      </c>
      <c r="BQ652" t="n">
        <v>6</v>
      </c>
      <c r="BR652" t="n">
        <v>2</v>
      </c>
      <c r="BS652" t="n">
        <v>28</v>
      </c>
      <c r="BT652" t="n">
        <v>3.524</v>
      </c>
      <c r="BX652" t="n">
        <v>1.215</v>
      </c>
      <c r="BY652" t="n">
        <v>1.215</v>
      </c>
      <c r="BZ652" t="n">
        <v>0.153</v>
      </c>
      <c r="CA652" t="n">
        <v>2.988</v>
      </c>
      <c r="CB652" t="n">
        <v>0.376</v>
      </c>
      <c r="CC652" t="n">
        <v>16</v>
      </c>
      <c r="CD652" t="n">
        <v>1</v>
      </c>
      <c r="CE652" t="n">
        <v>16</v>
      </c>
      <c r="CF652" t="n">
        <v>3</v>
      </c>
      <c r="CG652" t="n">
        <v>2</v>
      </c>
      <c r="CH652" t="n">
        <v>7</v>
      </c>
      <c r="CI652" t="n">
        <v>5.48</v>
      </c>
      <c r="CJ652" t="n">
        <v>2.844</v>
      </c>
      <c r="CN652" t="n">
        <v>5</v>
      </c>
      <c r="CO652" t="n">
        <v>2</v>
      </c>
      <c r="CP652" t="n">
        <v>2</v>
      </c>
      <c r="CR652" t="n">
        <v>56</v>
      </c>
      <c r="CS652" t="n">
        <v>8</v>
      </c>
      <c r="CU652" t="n">
        <v>1</v>
      </c>
      <c r="DH652" t="n">
        <v>11</v>
      </c>
      <c r="DI652" t="n">
        <v>14</v>
      </c>
      <c r="DL652" t="n">
        <v>20</v>
      </c>
      <c r="DM652" t="n">
        <v>17</v>
      </c>
      <c r="DN652" t="n">
        <v>2</v>
      </c>
      <c r="EJ652" t="n">
        <v>44.7</v>
      </c>
      <c r="EK652" t="n">
        <v>25.5</v>
      </c>
      <c r="EL652" t="n">
        <v>44.7</v>
      </c>
      <c r="EM652" t="n">
        <v>403.4</v>
      </c>
      <c r="EN652" t="n">
        <v>588.3</v>
      </c>
      <c r="EO652" t="n">
        <v>239.3</v>
      </c>
    </row>
    <row r="653">
      <c r="A653" t="inlineStr">
        <is>
          <t>Mamadou Sangaré</t>
        </is>
      </c>
      <c r="B653" t="inlineStr">
        <is>
          <t>BRE</t>
        </is>
      </c>
      <c r="C653" t="inlineStr">
        <is>
          <t>MID</t>
        </is>
      </c>
      <c r="E653" t="n">
        <v>5.5</v>
      </c>
      <c r="F653" t="b">
        <v>1</v>
      </c>
      <c r="G653" t="b">
        <v>0</v>
      </c>
      <c r="H653" t="n">
        <v>24.2</v>
      </c>
      <c r="I653" t="inlineStr">
        <is>
          <t>a</t>
        </is>
      </c>
      <c r="M653" t="n">
        <v>565</v>
      </c>
      <c r="DO653" t="n">
        <v>1.5</v>
      </c>
      <c r="DP653" t="n">
        <v>141.78</v>
      </c>
      <c r="DQ653" t="n">
        <v>70.90000000000001</v>
      </c>
      <c r="DR653" t="n">
        <v>141.8</v>
      </c>
      <c r="DS653" t="n">
        <v>-0.02</v>
      </c>
      <c r="DT653" t="n">
        <v>3050</v>
      </c>
      <c r="DU653" t="n">
        <v>80.25</v>
      </c>
      <c r="DV653" t="inlineStr">
        <is>
          <t>flat</t>
        </is>
      </c>
      <c r="DW653" t="n">
        <v>85.98</v>
      </c>
      <c r="DX653" t="n">
        <v>86.94</v>
      </c>
      <c r="DY653" t="n">
        <v>85.61</v>
      </c>
      <c r="DZ653" t="n">
        <v>-0.37</v>
      </c>
      <c r="EA653" t="n">
        <v>202</v>
      </c>
      <c r="EB653" t="n">
        <v>21.73</v>
      </c>
      <c r="EC653" t="n">
        <v>19</v>
      </c>
      <c r="ED653" t="n">
        <v>120</v>
      </c>
      <c r="EE653" t="n">
        <v>397</v>
      </c>
      <c r="EF653" t="b">
        <v>1</v>
      </c>
      <c r="EG653" t="n">
        <v>9</v>
      </c>
      <c r="EH653" t="n">
        <v>9.800000000000001</v>
      </c>
      <c r="EI653" t="n">
        <v>214</v>
      </c>
    </row>
    <row r="654">
      <c r="A654" t="inlineStr">
        <is>
          <t>Lewis Koumas</t>
        </is>
      </c>
      <c r="B654" t="inlineStr">
        <is>
          <t>LIV</t>
        </is>
      </c>
      <c r="C654" t="inlineStr">
        <is>
          <t>MID</t>
        </is>
      </c>
      <c r="E654" t="n">
        <v>5</v>
      </c>
      <c r="F654" t="b">
        <v>1</v>
      </c>
      <c r="G654" t="b">
        <v>0</v>
      </c>
      <c r="H654" t="n">
        <v>20.9</v>
      </c>
      <c r="I654" t="inlineStr">
        <is>
          <t>a</t>
        </is>
      </c>
      <c r="M654" t="n">
        <v>381</v>
      </c>
      <c r="DO654" t="n">
        <v>0</v>
      </c>
      <c r="DP654" t="n">
        <v>0</v>
      </c>
      <c r="DQ654" t="n">
        <v>0</v>
      </c>
      <c r="DR654" t="n">
        <v>0</v>
      </c>
      <c r="DS654" t="n">
        <v>0</v>
      </c>
      <c r="DT654" t="n">
        <v>0</v>
      </c>
      <c r="DU654" t="n">
        <v>0</v>
      </c>
      <c r="DV654" t="inlineStr">
        <is>
          <t>flat</t>
        </is>
      </c>
      <c r="DW654" t="n">
        <v>102.34</v>
      </c>
      <c r="DY654" t="n">
        <v>102.34</v>
      </c>
      <c r="DZ654" t="n">
        <v>0</v>
      </c>
      <c r="EA654" t="n">
        <v>2</v>
      </c>
      <c r="EB654" t="n">
        <v>16.89</v>
      </c>
      <c r="EC654" t="n">
        <v>90.40000000000001</v>
      </c>
      <c r="ED654" t="n">
        <v>114.29</v>
      </c>
      <c r="EE654" t="n">
        <v>2</v>
      </c>
      <c r="EF654" t="b">
        <v>0</v>
      </c>
      <c r="EG654" t="n">
        <v>0</v>
      </c>
      <c r="EH654" t="n">
        <v>0</v>
      </c>
      <c r="EI654" t="n">
        <v>370</v>
      </c>
    </row>
    <row r="655">
      <c r="A655" t="inlineStr">
        <is>
          <t>Emmanuel Agbadou</t>
        </is>
      </c>
      <c r="D655" t="inlineStr">
        <is>
          <t>DEF</t>
        </is>
      </c>
      <c r="F655" t="b">
        <v>0</v>
      </c>
      <c r="G655" t="b">
        <v>1</v>
      </c>
      <c r="L655" t="inlineStr">
        <is>
          <t>p516939</t>
        </is>
      </c>
      <c r="Q655" t="n">
        <v>1101</v>
      </c>
      <c r="R655" t="n">
        <v>14</v>
      </c>
      <c r="T655" t="n">
        <v>12.233</v>
      </c>
      <c r="U655" t="n">
        <v>78.59999999999999</v>
      </c>
      <c r="AD655" t="n">
        <v>0</v>
      </c>
      <c r="AE655" t="n">
        <v>0</v>
      </c>
      <c r="AG655" t="n">
        <v>70</v>
      </c>
      <c r="AH655" t="n">
        <v>-16</v>
      </c>
      <c r="AI655" t="n">
        <v>23</v>
      </c>
      <c r="AN655" t="n">
        <v>6</v>
      </c>
      <c r="AO655" t="n">
        <v>12</v>
      </c>
      <c r="AP655" t="n">
        <v>0.5</v>
      </c>
      <c r="AQ655" t="n">
        <v>0.5</v>
      </c>
      <c r="AR655" t="n">
        <v>0.333</v>
      </c>
      <c r="AS655" t="n">
        <v>0.316</v>
      </c>
      <c r="AT655" t="n">
        <v>0.786</v>
      </c>
      <c r="AU655" t="n">
        <v>9</v>
      </c>
      <c r="AV655" t="n">
        <v>0</v>
      </c>
      <c r="AW655" t="n">
        <v>1.37</v>
      </c>
      <c r="AX655" t="n">
        <v>4</v>
      </c>
      <c r="AZ655" t="n">
        <v>0.447</v>
      </c>
      <c r="BA655" t="n">
        <v>0.447</v>
      </c>
      <c r="BB655" t="n">
        <v>0.447</v>
      </c>
      <c r="BD655" t="n">
        <v>0.037</v>
      </c>
      <c r="BE655" t="n">
        <v>0.037</v>
      </c>
      <c r="BF655" t="n">
        <v>0.5</v>
      </c>
      <c r="BG655" t="n">
        <v>0.041</v>
      </c>
      <c r="BH655" t="n">
        <v>1.003</v>
      </c>
      <c r="BI655" t="n">
        <v>1.47</v>
      </c>
      <c r="BJ655" t="n">
        <v>0.572</v>
      </c>
      <c r="BK655" t="n">
        <v>0.047</v>
      </c>
      <c r="BP655" t="n">
        <v>10</v>
      </c>
      <c r="BQ655" t="n">
        <v>3</v>
      </c>
      <c r="BS655" t="n">
        <v>12</v>
      </c>
      <c r="BT655" t="n">
        <v>0.981</v>
      </c>
      <c r="BX655" t="n">
        <v>0.172</v>
      </c>
      <c r="BY655" t="n">
        <v>0.172</v>
      </c>
      <c r="BZ655" t="n">
        <v>0.014</v>
      </c>
      <c r="CA655" t="n">
        <v>0.619</v>
      </c>
      <c r="CB655" t="n">
        <v>0.051</v>
      </c>
      <c r="CC655" t="n">
        <v>4</v>
      </c>
      <c r="CE655" t="n">
        <v>4</v>
      </c>
      <c r="CF655" t="n">
        <v>4</v>
      </c>
      <c r="CG655" t="n">
        <v>1</v>
      </c>
      <c r="CI655" t="n">
        <v>1.655</v>
      </c>
      <c r="CJ655" t="n">
        <v>1.544</v>
      </c>
      <c r="CN655" t="n">
        <v>20</v>
      </c>
      <c r="CO655" t="n">
        <v>13</v>
      </c>
      <c r="CP655" t="n">
        <v>65</v>
      </c>
      <c r="CQ655" t="n">
        <v>15</v>
      </c>
      <c r="CR655" t="n">
        <v>67</v>
      </c>
      <c r="CS655" t="n">
        <v>26</v>
      </c>
      <c r="CU655" t="n">
        <v>2</v>
      </c>
      <c r="CV655" t="n">
        <v>0</v>
      </c>
      <c r="DH655" t="n">
        <v>10</v>
      </c>
      <c r="DI655" t="n">
        <v>5</v>
      </c>
      <c r="DL655" t="n">
        <v>4</v>
      </c>
      <c r="DM655" t="n">
        <v>5</v>
      </c>
      <c r="DN655" t="n">
        <v>0</v>
      </c>
      <c r="EJ655" t="n">
        <v>110.1</v>
      </c>
      <c r="EK655" t="n">
        <v>91.8</v>
      </c>
      <c r="EL655" t="n">
        <v>275.2</v>
      </c>
      <c r="EM655" t="n">
        <v>2464.4</v>
      </c>
      <c r="EN655" t="n">
        <v>6409.9</v>
      </c>
      <c r="EO655" t="n">
        <v>1780</v>
      </c>
    </row>
    <row r="656">
      <c r="A656" t="inlineStr">
        <is>
          <t>Max Weiss</t>
        </is>
      </c>
      <c r="D656" t="inlineStr">
        <is>
          <t>GKP</t>
        </is>
      </c>
      <c r="F656" t="b">
        <v>0</v>
      </c>
      <c r="G656" t="b">
        <v>1</v>
      </c>
      <c r="L656" t="inlineStr">
        <is>
          <t>p518030</t>
        </is>
      </c>
      <c r="Q656" t="n">
        <v>270</v>
      </c>
      <c r="R656" t="n">
        <v>3</v>
      </c>
      <c r="T656" t="n">
        <v>3</v>
      </c>
      <c r="U656" t="n">
        <v>90</v>
      </c>
      <c r="AD656" t="n">
        <v>0</v>
      </c>
      <c r="AE656" t="n">
        <v>0</v>
      </c>
      <c r="AG656" t="n">
        <v>37</v>
      </c>
      <c r="AH656" t="n">
        <v>-2</v>
      </c>
      <c r="AI656" t="n">
        <v>7</v>
      </c>
      <c r="AN656" t="n">
        <v>0</v>
      </c>
      <c r="AO656" t="n">
        <v>0</v>
      </c>
      <c r="AP656" t="n">
        <v>0</v>
      </c>
      <c r="AQ656" t="n">
        <v>0</v>
      </c>
      <c r="AR656" t="n">
        <v>0</v>
      </c>
      <c r="AS656" t="n">
        <v>0.079</v>
      </c>
      <c r="AT656" t="n">
        <v>1</v>
      </c>
      <c r="AU656" t="n">
        <v>2</v>
      </c>
      <c r="AV656" t="n">
        <v>0</v>
      </c>
      <c r="AW656" t="n">
        <v>0.65</v>
      </c>
      <c r="AX656" t="n">
        <v>3</v>
      </c>
      <c r="AZ656" t="n">
        <v>0</v>
      </c>
      <c r="BA656" t="n">
        <v>0</v>
      </c>
      <c r="BB656" t="n">
        <v>0</v>
      </c>
      <c r="BD656" t="n">
        <v>0</v>
      </c>
      <c r="BE656" t="n">
        <v>0</v>
      </c>
      <c r="BH656" t="n">
        <v>1</v>
      </c>
      <c r="BI656" t="n">
        <v>0</v>
      </c>
      <c r="BJ656" t="n">
        <v>0</v>
      </c>
      <c r="BK656" t="n">
        <v>0</v>
      </c>
      <c r="BX656" t="n">
        <v>0.161</v>
      </c>
      <c r="BY656" t="n">
        <v>0.161</v>
      </c>
      <c r="BZ656" t="n">
        <v>0.054</v>
      </c>
      <c r="CA656" t="n">
        <v>0.161</v>
      </c>
      <c r="CB656" t="n">
        <v>0.054</v>
      </c>
      <c r="CC656" t="n">
        <v>1</v>
      </c>
      <c r="CE656" t="n">
        <v>1</v>
      </c>
      <c r="CI656" t="n">
        <v>0.313</v>
      </c>
      <c r="CJ656" t="n">
        <v>0.152</v>
      </c>
      <c r="CP656" t="n">
        <v>4</v>
      </c>
      <c r="CR656" t="n">
        <v>1</v>
      </c>
      <c r="CS656" t="n">
        <v>1</v>
      </c>
      <c r="DC656" t="n">
        <v>4</v>
      </c>
      <c r="DD656" t="n">
        <v>2</v>
      </c>
      <c r="DM656" t="n">
        <v>1</v>
      </c>
      <c r="EL656" t="n">
        <v>270</v>
      </c>
      <c r="EN656" t="n">
        <v>1678.4</v>
      </c>
      <c r="EO656" t="n">
        <v>1678.4</v>
      </c>
    </row>
    <row r="657">
      <c r="A657" t="inlineStr">
        <is>
          <t>Oliver Sonne</t>
        </is>
      </c>
      <c r="D657" t="inlineStr">
        <is>
          <t>DEF</t>
        </is>
      </c>
      <c r="F657" t="b">
        <v>0</v>
      </c>
      <c r="G657" t="b">
        <v>1</v>
      </c>
      <c r="L657" t="inlineStr">
        <is>
          <t>p519895</t>
        </is>
      </c>
      <c r="Q657" t="n">
        <v>165</v>
      </c>
      <c r="R657" t="n">
        <v>7</v>
      </c>
      <c r="T657" t="n">
        <v>1.833</v>
      </c>
      <c r="U657" t="n">
        <v>23.6</v>
      </c>
      <c r="AD657" t="n">
        <v>0</v>
      </c>
      <c r="AE657" t="n">
        <v>0</v>
      </c>
      <c r="AG657" t="n">
        <v>18</v>
      </c>
      <c r="AH657" t="n">
        <v>-2</v>
      </c>
      <c r="AI657" t="n">
        <v>13</v>
      </c>
      <c r="AN657" t="n">
        <v>0</v>
      </c>
      <c r="AO657" t="n">
        <v>0</v>
      </c>
      <c r="AP657" t="n">
        <v>0</v>
      </c>
      <c r="AQ657" t="n">
        <v>0</v>
      </c>
      <c r="AR657" t="n">
        <v>0</v>
      </c>
      <c r="AS657" t="n">
        <v>0.026</v>
      </c>
      <c r="AT657" t="n">
        <v>0.143</v>
      </c>
      <c r="AU657" t="n">
        <v>6</v>
      </c>
      <c r="AV657" t="n">
        <v>0</v>
      </c>
      <c r="AW657" t="n">
        <v>1.17</v>
      </c>
      <c r="AX657" t="n">
        <v>7</v>
      </c>
      <c r="AZ657" t="n">
        <v>0.375</v>
      </c>
      <c r="BA657" t="n">
        <v>0.375</v>
      </c>
      <c r="BB657" t="n">
        <v>0.375</v>
      </c>
      <c r="BD657" t="n">
        <v>0.205</v>
      </c>
      <c r="BE657" t="n">
        <v>0.205</v>
      </c>
      <c r="BF657" t="n">
        <v>0.9</v>
      </c>
      <c r="BG657" t="n">
        <v>0.491</v>
      </c>
      <c r="BH657" t="n">
        <v>1.041</v>
      </c>
      <c r="BI657" t="n">
        <v>0.55</v>
      </c>
      <c r="BJ657" t="n">
        <v>0.573</v>
      </c>
      <c r="BK657" t="n">
        <v>0.313</v>
      </c>
      <c r="BP657" t="n">
        <v>3</v>
      </c>
      <c r="BQ657" t="n">
        <v>1</v>
      </c>
      <c r="BS657" t="n">
        <v>4</v>
      </c>
      <c r="BT657" t="n">
        <v>2.182</v>
      </c>
      <c r="BX657" t="n">
        <v>0.027</v>
      </c>
      <c r="BY657" t="n">
        <v>0.027</v>
      </c>
      <c r="BZ657" t="n">
        <v>0.015</v>
      </c>
      <c r="CA657" t="n">
        <v>0.402</v>
      </c>
      <c r="CB657" t="n">
        <v>0.219</v>
      </c>
      <c r="CC657" t="n">
        <v>1</v>
      </c>
      <c r="CE657" t="n">
        <v>1</v>
      </c>
      <c r="CF657" t="n">
        <v>1</v>
      </c>
      <c r="CI657" t="n">
        <v>0.508</v>
      </c>
      <c r="CJ657" t="n">
        <v>0.197</v>
      </c>
      <c r="CN657" t="n">
        <v>1</v>
      </c>
      <c r="CO657" t="n">
        <v>1</v>
      </c>
      <c r="CP657" t="n">
        <v>4</v>
      </c>
      <c r="CR657" t="n">
        <v>8</v>
      </c>
      <c r="CS657" t="n">
        <v>5</v>
      </c>
      <c r="DH657" t="n">
        <v>4</v>
      </c>
      <c r="DL657" t="n">
        <v>1</v>
      </c>
      <c r="DM657" t="n">
        <v>1</v>
      </c>
      <c r="EJ657" t="n">
        <v>55</v>
      </c>
      <c r="EK657" t="n">
        <v>41.2</v>
      </c>
      <c r="EL657" t="n">
        <v>165</v>
      </c>
      <c r="EM657" t="n">
        <v>439.6</v>
      </c>
      <c r="EN657" t="n">
        <v>6129.7</v>
      </c>
      <c r="EO657" t="n">
        <v>410.2</v>
      </c>
    </row>
    <row r="658">
      <c r="A658" t="inlineStr">
        <is>
          <t>Tarik Muharemović</t>
        </is>
      </c>
      <c r="B658" t="inlineStr">
        <is>
          <t>LEE</t>
        </is>
      </c>
      <c r="C658" t="inlineStr">
        <is>
          <t>DEF</t>
        </is>
      </c>
      <c r="E658" t="n">
        <v>5</v>
      </c>
      <c r="F658" t="b">
        <v>1</v>
      </c>
      <c r="G658" t="b">
        <v>0</v>
      </c>
      <c r="H658" t="n">
        <v>23.5</v>
      </c>
      <c r="I658" t="inlineStr">
        <is>
          <t>a</t>
        </is>
      </c>
      <c r="M658" t="n">
        <v>334</v>
      </c>
      <c r="DO658" t="n">
        <v>1.7</v>
      </c>
      <c r="DP658" t="n">
        <v>142.8</v>
      </c>
      <c r="DQ658" t="n">
        <v>71.40000000000001</v>
      </c>
      <c r="DR658" t="n">
        <v>142.8</v>
      </c>
      <c r="DS658" t="n">
        <v>0</v>
      </c>
      <c r="DT658" t="n">
        <v>3209</v>
      </c>
      <c r="DU658" t="n">
        <v>84.45</v>
      </c>
      <c r="DV658" t="inlineStr">
        <is>
          <t>flat</t>
        </is>
      </c>
      <c r="DW658" t="n">
        <v>90.7</v>
      </c>
      <c r="DX658" t="n">
        <v>91.22</v>
      </c>
      <c r="DY658" t="n">
        <v>91.34</v>
      </c>
      <c r="DZ658" t="n">
        <v>0.65</v>
      </c>
      <c r="EA658" t="n">
        <v>319</v>
      </c>
      <c r="EB658" t="n">
        <v>22.58</v>
      </c>
      <c r="EC658" t="n">
        <v>4.67</v>
      </c>
      <c r="ED658" t="n">
        <v>120</v>
      </c>
      <c r="EE658" t="n">
        <v>600</v>
      </c>
      <c r="EF658" t="b">
        <v>1</v>
      </c>
      <c r="EG658" t="n">
        <v>13.6</v>
      </c>
      <c r="EH658" t="n">
        <v>9.800000000000001</v>
      </c>
      <c r="EI658" t="n">
        <v>365</v>
      </c>
    </row>
    <row r="659">
      <c r="A659" t="inlineStr">
        <is>
          <t>Jackson Tchatchoua</t>
        </is>
      </c>
      <c r="D659" t="inlineStr">
        <is>
          <t>DEF</t>
        </is>
      </c>
      <c r="F659" t="b">
        <v>0</v>
      </c>
      <c r="G659" t="b">
        <v>1</v>
      </c>
      <c r="L659" t="inlineStr">
        <is>
          <t>p523705</t>
        </is>
      </c>
      <c r="Q659" t="n">
        <v>1837</v>
      </c>
      <c r="R659" t="n">
        <v>31</v>
      </c>
      <c r="T659" t="n">
        <v>20.411</v>
      </c>
      <c r="U659" t="n">
        <v>59.3</v>
      </c>
      <c r="Z659" t="n">
        <v>1</v>
      </c>
      <c r="AD659" t="n">
        <v>0</v>
      </c>
      <c r="AE659" t="n">
        <v>0</v>
      </c>
      <c r="AG659" t="n">
        <v>142</v>
      </c>
      <c r="AH659" t="n">
        <v>-14</v>
      </c>
      <c r="AI659" t="n">
        <v>52</v>
      </c>
      <c r="AN659" t="n">
        <v>2</v>
      </c>
      <c r="AO659" t="n">
        <v>4</v>
      </c>
      <c r="AP659" t="n">
        <v>0.105</v>
      </c>
      <c r="AQ659" t="n">
        <v>0.105</v>
      </c>
      <c r="AR659" t="n">
        <v>0</v>
      </c>
      <c r="AS659" t="n">
        <v>0.5</v>
      </c>
      <c r="AT659" t="n">
        <v>0.548</v>
      </c>
      <c r="AU659" t="n">
        <v>25</v>
      </c>
      <c r="AV659" t="n">
        <v>0</v>
      </c>
      <c r="AW659" t="n">
        <v>1.71</v>
      </c>
      <c r="AX659" t="n">
        <v>6</v>
      </c>
      <c r="AZ659" t="n">
        <v>0.106</v>
      </c>
      <c r="BA659" t="n">
        <v>0.106</v>
      </c>
      <c r="BB659" t="n">
        <v>0.106</v>
      </c>
      <c r="BD659" t="n">
        <v>0.005</v>
      </c>
      <c r="BE659" t="n">
        <v>0.005</v>
      </c>
      <c r="BF659" t="n">
        <v>0.2</v>
      </c>
      <c r="BG659" t="n">
        <v>0.01</v>
      </c>
      <c r="BH659" t="n">
        <v>0.984</v>
      </c>
      <c r="BI659" t="n">
        <v>0.33</v>
      </c>
      <c r="BJ659" t="n">
        <v>0.325</v>
      </c>
      <c r="BK659" t="n">
        <v>0.016</v>
      </c>
      <c r="BP659" t="n">
        <v>2</v>
      </c>
      <c r="BQ659" t="n">
        <v>1</v>
      </c>
      <c r="BS659" t="n">
        <v>25</v>
      </c>
      <c r="BT659" t="n">
        <v>1.225</v>
      </c>
      <c r="BX659" t="n">
        <v>2.243</v>
      </c>
      <c r="BY659" t="n">
        <v>2.243</v>
      </c>
      <c r="BZ659" t="n">
        <v>0.11</v>
      </c>
      <c r="CA659" t="n">
        <v>2.348</v>
      </c>
      <c r="CB659" t="n">
        <v>0.115</v>
      </c>
      <c r="CC659" t="n">
        <v>21</v>
      </c>
      <c r="CD659" t="n">
        <v>3</v>
      </c>
      <c r="CE659" t="n">
        <v>21</v>
      </c>
      <c r="CF659" t="n">
        <v>22</v>
      </c>
      <c r="CI659" t="n">
        <v>6.033</v>
      </c>
      <c r="CJ659" t="n">
        <v>4.17</v>
      </c>
      <c r="CN659" t="n">
        <v>15</v>
      </c>
      <c r="CO659" t="n">
        <v>15</v>
      </c>
      <c r="CP659" t="n">
        <v>57</v>
      </c>
      <c r="CQ659" t="n">
        <v>8</v>
      </c>
      <c r="CR659" t="n">
        <v>66</v>
      </c>
      <c r="CS659" t="n">
        <v>23</v>
      </c>
      <c r="CT659" t="n">
        <v>0.2</v>
      </c>
      <c r="CV659" t="n">
        <v>3</v>
      </c>
      <c r="DE659" t="n">
        <v>6.5</v>
      </c>
      <c r="DH659" t="n">
        <v>8</v>
      </c>
      <c r="DI659" t="n">
        <v>9</v>
      </c>
      <c r="DL659" t="n">
        <v>5</v>
      </c>
      <c r="DM659" t="n">
        <v>7</v>
      </c>
      <c r="DN659" t="n">
        <v>2</v>
      </c>
      <c r="EJ659" t="n">
        <v>918.5</v>
      </c>
      <c r="EK659" t="n">
        <v>73.5</v>
      </c>
      <c r="EL659" t="n">
        <v>87.5</v>
      </c>
      <c r="EM659" t="n">
        <v>17411.5</v>
      </c>
      <c r="EN659" t="n">
        <v>819</v>
      </c>
      <c r="EO659" t="n">
        <v>782.2</v>
      </c>
    </row>
    <row r="660">
      <c r="A660" t="inlineStr">
        <is>
          <t>Kaden Rodney</t>
        </is>
      </c>
      <c r="D660" t="inlineStr">
        <is>
          <t>MID</t>
        </is>
      </c>
      <c r="F660" t="b">
        <v>0</v>
      </c>
      <c r="G660" t="b">
        <v>1</v>
      </c>
      <c r="L660" t="inlineStr">
        <is>
          <t>p530318</t>
        </is>
      </c>
      <c r="Q660" t="n">
        <v>3</v>
      </c>
      <c r="R660" t="n">
        <v>1</v>
      </c>
      <c r="T660" t="n">
        <v>0.033</v>
      </c>
      <c r="U660" t="n">
        <v>3</v>
      </c>
      <c r="AD660" t="n">
        <v>0</v>
      </c>
      <c r="AE660" t="n">
        <v>0</v>
      </c>
      <c r="AG660" t="n">
        <v>2</v>
      </c>
      <c r="AH660" t="n">
        <v>0</v>
      </c>
      <c r="AI660" t="n">
        <v>1</v>
      </c>
      <c r="AN660" t="n">
        <v>0</v>
      </c>
      <c r="AO660" t="n">
        <v>0</v>
      </c>
      <c r="AS660" t="n">
        <v>0</v>
      </c>
      <c r="AT660" t="n">
        <v>0</v>
      </c>
      <c r="AU660" t="n">
        <v>1</v>
      </c>
      <c r="AV660" t="n">
        <v>0</v>
      </c>
      <c r="AW660" t="n">
        <v>0.16</v>
      </c>
      <c r="AX660" t="n">
        <v>1</v>
      </c>
      <c r="BH660" t="n">
        <v>1</v>
      </c>
      <c r="BI660" t="n">
        <v>0</v>
      </c>
      <c r="BJ660" t="n">
        <v>0</v>
      </c>
      <c r="BK660" t="n">
        <v>0</v>
      </c>
      <c r="DH660" t="n">
        <v>1</v>
      </c>
    </row>
    <row r="661">
      <c r="A661" t="inlineStr">
        <is>
          <t>Pablo</t>
        </is>
      </c>
      <c r="D661" t="inlineStr">
        <is>
          <t>FWD</t>
        </is>
      </c>
      <c r="F661" t="b">
        <v>0</v>
      </c>
      <c r="G661" t="b">
        <v>1</v>
      </c>
      <c r="L661" t="inlineStr">
        <is>
          <t>p530335</t>
        </is>
      </c>
      <c r="Q661" t="n">
        <v>826</v>
      </c>
      <c r="R661" t="n">
        <v>14</v>
      </c>
      <c r="T661" t="n">
        <v>9.178000000000001</v>
      </c>
      <c r="U661" t="n">
        <v>59</v>
      </c>
      <c r="Z661" t="n">
        <v>1</v>
      </c>
      <c r="AD661" t="n">
        <v>0</v>
      </c>
      <c r="AE661" t="n">
        <v>0</v>
      </c>
      <c r="AG661" t="n">
        <v>98</v>
      </c>
      <c r="AH661" t="n">
        <v>-4</v>
      </c>
      <c r="AI661" t="n">
        <v>26</v>
      </c>
      <c r="AN661" t="n">
        <v>0</v>
      </c>
      <c r="AO661" t="n">
        <v>0</v>
      </c>
      <c r="AP661" t="n">
        <v>0</v>
      </c>
      <c r="AQ661" t="n">
        <v>0.3</v>
      </c>
      <c r="AR661" t="n">
        <v>0</v>
      </c>
      <c r="AS661" t="n">
        <v>0.263</v>
      </c>
      <c r="AT661" t="n">
        <v>0.643</v>
      </c>
      <c r="AU661" t="n">
        <v>13</v>
      </c>
      <c r="AV661" t="n">
        <v>0</v>
      </c>
      <c r="AW661" t="n">
        <v>1.21</v>
      </c>
      <c r="AX661" t="n">
        <v>5</v>
      </c>
      <c r="AZ661" t="n">
        <v>1.423</v>
      </c>
      <c r="BA661" t="n">
        <v>1.423</v>
      </c>
      <c r="BB661" t="n">
        <v>1.423</v>
      </c>
      <c r="BD661" t="n">
        <v>0.155</v>
      </c>
      <c r="BE661" t="n">
        <v>0.155</v>
      </c>
      <c r="BF661" t="n">
        <v>0.5</v>
      </c>
      <c r="BG661" t="n">
        <v>0.054</v>
      </c>
      <c r="BH661" t="n">
        <v>0.9389999999999999</v>
      </c>
      <c r="BI661" t="n">
        <v>1.05</v>
      </c>
      <c r="BJ661" t="n">
        <v>0.986</v>
      </c>
      <c r="BK661" t="n">
        <v>0.107</v>
      </c>
      <c r="BP661" t="n">
        <v>12</v>
      </c>
      <c r="BQ661" t="n">
        <v>3</v>
      </c>
      <c r="BR661" t="n">
        <v>2</v>
      </c>
      <c r="BS661" t="n">
        <v>26</v>
      </c>
      <c r="BT661" t="n">
        <v>2.833</v>
      </c>
      <c r="BX661" t="n">
        <v>1.293</v>
      </c>
      <c r="BY661" t="n">
        <v>1.293</v>
      </c>
      <c r="BZ661" t="n">
        <v>0.141</v>
      </c>
      <c r="CA661" t="n">
        <v>2.716</v>
      </c>
      <c r="CB661" t="n">
        <v>0.296</v>
      </c>
      <c r="CC661" t="n">
        <v>13</v>
      </c>
      <c r="CD661" t="n">
        <v>2</v>
      </c>
      <c r="CE661" t="n">
        <v>14</v>
      </c>
      <c r="CF661" t="n">
        <v>2</v>
      </c>
      <c r="CG661" t="n">
        <v>2</v>
      </c>
      <c r="CI661" t="n">
        <v>3.472</v>
      </c>
      <c r="CJ661" t="n">
        <v>0.8120000000000001</v>
      </c>
      <c r="CN661" t="n">
        <v>14</v>
      </c>
      <c r="CO661" t="n">
        <v>4</v>
      </c>
      <c r="CP661" t="n">
        <v>12</v>
      </c>
      <c r="CQ661" t="n">
        <v>2</v>
      </c>
      <c r="CR661" t="n">
        <v>63</v>
      </c>
      <c r="CS661" t="n">
        <v>21</v>
      </c>
      <c r="CU661" t="n">
        <v>1</v>
      </c>
      <c r="DH661" t="n">
        <v>23</v>
      </c>
      <c r="DI661" t="n">
        <v>8</v>
      </c>
      <c r="DL661" t="n">
        <v>9</v>
      </c>
      <c r="DM661" t="n">
        <v>17</v>
      </c>
      <c r="EJ661" t="n">
        <v>68.8</v>
      </c>
      <c r="EK661" t="n">
        <v>31.8</v>
      </c>
      <c r="EL661" t="n">
        <v>59</v>
      </c>
      <c r="EM661" t="n">
        <v>580.3</v>
      </c>
      <c r="EN661" t="n">
        <v>638.9</v>
      </c>
      <c r="EO661" t="n">
        <v>304.1</v>
      </c>
    </row>
    <row r="662">
      <c r="A662" t="inlineStr">
        <is>
          <t>Abdul Fatawu</t>
        </is>
      </c>
      <c r="B662" t="inlineStr">
        <is>
          <t>IPS</t>
        </is>
      </c>
      <c r="C662" t="inlineStr">
        <is>
          <t>MID</t>
        </is>
      </c>
      <c r="E662" t="n">
        <v>5.5</v>
      </c>
      <c r="F662" t="b">
        <v>1</v>
      </c>
      <c r="G662" t="b">
        <v>0</v>
      </c>
      <c r="H662" t="n">
        <v>22.5</v>
      </c>
      <c r="I662" t="inlineStr">
        <is>
          <t>a</t>
        </is>
      </c>
      <c r="M662" t="n">
        <v>315</v>
      </c>
      <c r="DO662" t="n">
        <v>0.3</v>
      </c>
      <c r="DP662" t="n">
        <v>92.2</v>
      </c>
      <c r="DQ662" t="n">
        <v>46.1</v>
      </c>
      <c r="DR662" t="n">
        <v>92.2</v>
      </c>
      <c r="DS662" t="n">
        <v>0</v>
      </c>
      <c r="DT662" t="n">
        <v>2189</v>
      </c>
      <c r="DU662" t="n">
        <v>57.6</v>
      </c>
      <c r="DV662" t="inlineStr">
        <is>
          <t>flat</t>
        </is>
      </c>
      <c r="DW662" t="n">
        <v>83.77</v>
      </c>
      <c r="DX662" t="n">
        <v>79.25</v>
      </c>
      <c r="DY662" t="n">
        <v>84.41</v>
      </c>
      <c r="DZ662" t="n">
        <v>0.64</v>
      </c>
      <c r="EA662" t="n">
        <v>24</v>
      </c>
      <c r="EB662" t="n">
        <v>24.9</v>
      </c>
      <c r="EC662" t="n">
        <v>23.2</v>
      </c>
      <c r="ED662" t="n">
        <v>118.67</v>
      </c>
      <c r="EE662" t="n">
        <v>36</v>
      </c>
      <c r="EF662" t="b">
        <v>1</v>
      </c>
      <c r="EG662" t="n">
        <v>1</v>
      </c>
      <c r="EH662" t="n">
        <v>26.5</v>
      </c>
      <c r="EI662" t="n">
        <v>211</v>
      </c>
    </row>
    <row r="663">
      <c r="A663" t="inlineStr">
        <is>
          <t>Mason Burstow</t>
        </is>
      </c>
      <c r="B663" t="inlineStr">
        <is>
          <t>HUL</t>
        </is>
      </c>
      <c r="C663" t="inlineStr">
        <is>
          <t>FWD</t>
        </is>
      </c>
      <c r="E663" t="n">
        <v>4.5</v>
      </c>
      <c r="F663" t="b">
        <v>1</v>
      </c>
      <c r="G663" t="b">
        <v>0</v>
      </c>
      <c r="H663" t="n">
        <v>23</v>
      </c>
      <c r="I663" t="inlineStr">
        <is>
          <t>u</t>
        </is>
      </c>
      <c r="J663" t="inlineStr">
        <is>
          <t>Has joined Sheffield Wednesday on loan for the rest of the season</t>
        </is>
      </c>
      <c r="K663" t="n">
        <v>0</v>
      </c>
      <c r="M663" t="n">
        <v>299</v>
      </c>
      <c r="DO663" t="n">
        <v>0.3</v>
      </c>
    </row>
    <row r="664">
      <c r="A664" t="inlineStr">
        <is>
          <t>Ollie Scarles</t>
        </is>
      </c>
      <c r="D664" t="inlineStr">
        <is>
          <t>DEF</t>
        </is>
      </c>
      <c r="F664" t="b">
        <v>0</v>
      </c>
      <c r="G664" t="b">
        <v>1</v>
      </c>
      <c r="L664" t="inlineStr">
        <is>
          <t>p536109</t>
        </is>
      </c>
      <c r="Q664" t="n">
        <v>659</v>
      </c>
      <c r="R664" t="n">
        <v>13</v>
      </c>
      <c r="T664" t="n">
        <v>7.322</v>
      </c>
      <c r="U664" t="n">
        <v>50.7</v>
      </c>
      <c r="AD664" t="n">
        <v>0</v>
      </c>
      <c r="AE664" t="n">
        <v>0</v>
      </c>
      <c r="AG664" t="n">
        <v>78</v>
      </c>
      <c r="AH664" t="n">
        <v>-10</v>
      </c>
      <c r="AI664" t="n">
        <v>21</v>
      </c>
      <c r="AN664" t="n">
        <v>2</v>
      </c>
      <c r="AO664" t="n">
        <v>4</v>
      </c>
      <c r="AP664" t="n">
        <v>0.222</v>
      </c>
      <c r="AQ664" t="n">
        <v>0.222</v>
      </c>
      <c r="AR664" t="n">
        <v>0.222</v>
      </c>
      <c r="AS664" t="n">
        <v>0.237</v>
      </c>
      <c r="AT664" t="n">
        <v>0.538</v>
      </c>
      <c r="AU664" t="n">
        <v>10</v>
      </c>
      <c r="AV664" t="n">
        <v>0</v>
      </c>
      <c r="AW664" t="n">
        <v>1.18</v>
      </c>
      <c r="AX664" t="n">
        <v>5</v>
      </c>
      <c r="AZ664" t="n">
        <v>0.239</v>
      </c>
      <c r="BA664" t="n">
        <v>0.239</v>
      </c>
      <c r="BB664" t="n">
        <v>0.239</v>
      </c>
      <c r="BD664" t="n">
        <v>0.033</v>
      </c>
      <c r="BE664" t="n">
        <v>0.033</v>
      </c>
      <c r="BH664" t="n">
        <v>0.965</v>
      </c>
      <c r="BI664" t="n">
        <v>0.29</v>
      </c>
      <c r="BJ664" t="n">
        <v>0.174</v>
      </c>
      <c r="BK664" t="n">
        <v>0.024</v>
      </c>
      <c r="BP664" t="n">
        <v>3</v>
      </c>
      <c r="BS664" t="n">
        <v>7</v>
      </c>
      <c r="BT664" t="n">
        <v>0.956</v>
      </c>
      <c r="BX664" t="n">
        <v>0.976</v>
      </c>
      <c r="BY664" t="n">
        <v>0.976</v>
      </c>
      <c r="BZ664" t="n">
        <v>0.133</v>
      </c>
      <c r="CA664" t="n">
        <v>1.215</v>
      </c>
      <c r="CB664" t="n">
        <v>0.166</v>
      </c>
      <c r="CC664" t="n">
        <v>5</v>
      </c>
      <c r="CD664" t="n">
        <v>3</v>
      </c>
      <c r="CE664" t="n">
        <v>5</v>
      </c>
      <c r="CF664" t="n">
        <v>3</v>
      </c>
      <c r="CG664" t="n">
        <v>1</v>
      </c>
      <c r="CH664" t="n">
        <v>18</v>
      </c>
      <c r="CI664" t="n">
        <v>1.59</v>
      </c>
      <c r="CJ664" t="n">
        <v>0.679</v>
      </c>
      <c r="CN664" t="n">
        <v>22</v>
      </c>
      <c r="CO664" t="n">
        <v>13</v>
      </c>
      <c r="CP664" t="n">
        <v>30</v>
      </c>
      <c r="CQ664" t="n">
        <v>1</v>
      </c>
      <c r="CR664" t="n">
        <v>46</v>
      </c>
      <c r="CS664" t="n">
        <v>7</v>
      </c>
      <c r="CU664" t="n">
        <v>1</v>
      </c>
      <c r="DH664" t="n">
        <v>7</v>
      </c>
      <c r="DI664" t="n">
        <v>7</v>
      </c>
      <c r="DJ664" t="n">
        <v>1</v>
      </c>
      <c r="DL664" t="n">
        <v>2</v>
      </c>
      <c r="DN664" t="n">
        <v>1</v>
      </c>
      <c r="EJ664" t="n">
        <v>219.7</v>
      </c>
      <c r="EK664" t="n">
        <v>94.09999999999999</v>
      </c>
      <c r="EL664" t="n">
        <v>131.8</v>
      </c>
      <c r="EM664" t="n">
        <v>2760.2</v>
      </c>
      <c r="EN664" t="n">
        <v>675.1</v>
      </c>
      <c r="EO664" t="n">
        <v>542.4</v>
      </c>
    </row>
    <row r="665">
      <c r="A665" t="inlineStr">
        <is>
          <t>Tyler Bindon</t>
        </is>
      </c>
      <c r="B665" t="inlineStr">
        <is>
          <t>NFO</t>
        </is>
      </c>
      <c r="C665" t="inlineStr">
        <is>
          <t>DEF</t>
        </is>
      </c>
      <c r="E665" t="n">
        <v>4</v>
      </c>
      <c r="F665" t="b">
        <v>1</v>
      </c>
      <c r="G665" t="b">
        <v>0</v>
      </c>
      <c r="H665" t="n">
        <v>21.6</v>
      </c>
      <c r="I665" t="inlineStr">
        <is>
          <t>a</t>
        </is>
      </c>
      <c r="M665" t="n">
        <v>479</v>
      </c>
      <c r="DO665" t="n">
        <v>0.2</v>
      </c>
      <c r="DP665" t="n">
        <v>0</v>
      </c>
      <c r="DQ665" t="n">
        <v>0</v>
      </c>
      <c r="DR665" t="n">
        <v>0</v>
      </c>
      <c r="DS665" t="n">
        <v>0</v>
      </c>
      <c r="DT665" t="n">
        <v>0</v>
      </c>
      <c r="DU665" t="n">
        <v>0</v>
      </c>
      <c r="DV665" t="inlineStr">
        <is>
          <t>flat</t>
        </is>
      </c>
      <c r="DW665" t="n">
        <v>96.81</v>
      </c>
      <c r="DX665" t="n">
        <v>61</v>
      </c>
      <c r="DY665" t="n">
        <v>109.45</v>
      </c>
      <c r="DZ665" t="n">
        <v>12.64</v>
      </c>
      <c r="EA665" t="n">
        <v>6</v>
      </c>
      <c r="EB665" t="n">
        <v>33.84</v>
      </c>
      <c r="EC665" t="n">
        <v>21</v>
      </c>
      <c r="ED665" t="n">
        <v>118.22</v>
      </c>
      <c r="EE665" t="n">
        <v>7</v>
      </c>
      <c r="EF665" t="b">
        <v>0</v>
      </c>
      <c r="EG665" t="n">
        <v>0.2</v>
      </c>
      <c r="EH665" t="n">
        <v>22.2</v>
      </c>
      <c r="EI665" t="n">
        <v>582</v>
      </c>
    </row>
    <row r="666">
      <c r="A666" t="inlineStr">
        <is>
          <t>Aurèle Amenda</t>
        </is>
      </c>
      <c r="B666" t="inlineStr">
        <is>
          <t>COV</t>
        </is>
      </c>
      <c r="C666" t="inlineStr">
        <is>
          <t>DEF</t>
        </is>
      </c>
      <c r="E666" t="n">
        <v>4</v>
      </c>
      <c r="F666" t="b">
        <v>1</v>
      </c>
      <c r="G666" t="b">
        <v>0</v>
      </c>
      <c r="H666" t="n">
        <v>23.1</v>
      </c>
      <c r="I666" t="inlineStr">
        <is>
          <t>a</t>
        </is>
      </c>
      <c r="M666" t="n">
        <v>182</v>
      </c>
      <c r="DO666" t="n">
        <v>0.7</v>
      </c>
      <c r="DP666" t="n">
        <v>94.45999999999999</v>
      </c>
      <c r="DQ666" t="n">
        <v>47.23</v>
      </c>
      <c r="DR666" t="n">
        <v>94.45999999999999</v>
      </c>
      <c r="DS666" t="n">
        <v>0</v>
      </c>
      <c r="DT666" t="n">
        <v>2725</v>
      </c>
      <c r="DU666" t="n">
        <v>71.7</v>
      </c>
      <c r="DV666" t="inlineStr">
        <is>
          <t>flat</t>
        </is>
      </c>
      <c r="DW666" t="n">
        <v>87.40000000000001</v>
      </c>
      <c r="DX666" t="n">
        <v>84.5</v>
      </c>
      <c r="DY666" t="n">
        <v>78.06</v>
      </c>
      <c r="DZ666" t="n">
        <v>-9.33</v>
      </c>
      <c r="EA666" t="n">
        <v>10</v>
      </c>
      <c r="EB666" t="n">
        <v>29.81</v>
      </c>
      <c r="EC666" t="n">
        <v>12</v>
      </c>
      <c r="ED666" t="n">
        <v>118.67</v>
      </c>
      <c r="EE666" t="n">
        <v>16</v>
      </c>
      <c r="EF666" t="b">
        <v>1</v>
      </c>
      <c r="EG666" t="n">
        <v>0.4</v>
      </c>
      <c r="EH666" t="n">
        <v>20</v>
      </c>
      <c r="EI666" t="n">
        <v>547</v>
      </c>
    </row>
    <row r="667">
      <c r="A667" t="inlineStr">
        <is>
          <t>Mohamed Belloumi</t>
        </is>
      </c>
      <c r="B667" t="inlineStr">
        <is>
          <t>HUL</t>
        </is>
      </c>
      <c r="C667" t="inlineStr">
        <is>
          <t>MID</t>
        </is>
      </c>
      <c r="E667" t="n">
        <v>5</v>
      </c>
      <c r="F667" t="b">
        <v>1</v>
      </c>
      <c r="G667" t="b">
        <v>0</v>
      </c>
      <c r="H667" t="n">
        <v>24.2</v>
      </c>
      <c r="I667" t="inlineStr">
        <is>
          <t>a</t>
        </is>
      </c>
      <c r="M667" t="n">
        <v>286</v>
      </c>
      <c r="O667" t="n">
        <v>3</v>
      </c>
      <c r="P667" t="n">
        <v>2</v>
      </c>
      <c r="DO667" t="n">
        <v>0.5</v>
      </c>
      <c r="DP667" t="n">
        <v>100.24</v>
      </c>
      <c r="DQ667" t="n">
        <v>50.17</v>
      </c>
      <c r="DR667" t="n">
        <v>100.34</v>
      </c>
      <c r="DS667" t="n">
        <v>-0.1</v>
      </c>
      <c r="DT667" t="n">
        <v>2257</v>
      </c>
      <c r="DU667" t="n">
        <v>59.4</v>
      </c>
      <c r="DV667" t="inlineStr">
        <is>
          <t>flat</t>
        </is>
      </c>
      <c r="DW667" t="n">
        <v>90.27</v>
      </c>
      <c r="DY667" t="n">
        <v>84.65000000000001</v>
      </c>
      <c r="DZ667" t="n">
        <v>-5.62</v>
      </c>
      <c r="EA667" t="n">
        <v>4</v>
      </c>
      <c r="EB667" t="n">
        <v>20.27</v>
      </c>
      <c r="EC667" t="n">
        <v>52.57</v>
      </c>
      <c r="ED667" t="n">
        <v>107.43</v>
      </c>
      <c r="EE667" t="n">
        <v>6</v>
      </c>
      <c r="EF667" t="b">
        <v>0</v>
      </c>
      <c r="EG667" t="n">
        <v>0.1</v>
      </c>
      <c r="EH667" t="n">
        <v>0</v>
      </c>
      <c r="EI667" t="n">
        <v>351</v>
      </c>
    </row>
    <row r="668">
      <c r="A668" t="inlineStr">
        <is>
          <t>Valentín Barco</t>
        </is>
      </c>
      <c r="B668" t="inlineStr">
        <is>
          <t>CHE</t>
        </is>
      </c>
      <c r="C668" t="inlineStr">
        <is>
          <t>MID</t>
        </is>
      </c>
      <c r="E668" t="n">
        <v>5.5</v>
      </c>
      <c r="F668" t="b">
        <v>1</v>
      </c>
      <c r="G668" t="b">
        <v>0</v>
      </c>
      <c r="H668" t="n">
        <v>22.1</v>
      </c>
      <c r="I668" t="inlineStr">
        <is>
          <t>a</t>
        </is>
      </c>
      <c r="M668" t="n">
        <v>568</v>
      </c>
      <c r="DO668" t="n">
        <v>0.1</v>
      </c>
      <c r="DP668" t="n">
        <v>29.57</v>
      </c>
      <c r="DQ668" t="n">
        <v>14.96</v>
      </c>
      <c r="DR668" t="n">
        <v>29.92</v>
      </c>
      <c r="DS668" t="n">
        <v>-0.35</v>
      </c>
      <c r="DT668" t="n">
        <v>315</v>
      </c>
      <c r="DU668" t="n">
        <v>8.300000000000001</v>
      </c>
      <c r="DV668" t="inlineStr">
        <is>
          <t>flat</t>
        </is>
      </c>
      <c r="DW668" t="n">
        <v>71.95999999999999</v>
      </c>
      <c r="DX668" t="n">
        <v>69</v>
      </c>
      <c r="DY668" t="n">
        <v>73.12</v>
      </c>
      <c r="DZ668" t="n">
        <v>1.15</v>
      </c>
      <c r="EA668" t="n">
        <v>7</v>
      </c>
      <c r="EB668" t="n">
        <v>23.87</v>
      </c>
      <c r="EC668" t="n">
        <v>21</v>
      </c>
      <c r="ED668" t="n">
        <v>99</v>
      </c>
      <c r="EE668" t="n">
        <v>13</v>
      </c>
      <c r="EF668" t="b">
        <v>1</v>
      </c>
      <c r="EG668" t="n">
        <v>0.4</v>
      </c>
      <c r="EH668" t="n">
        <v>31.6</v>
      </c>
      <c r="EI668" t="n">
        <v>217</v>
      </c>
    </row>
    <row r="669">
      <c r="A669" t="inlineStr">
        <is>
          <t>Emersonn Correia da Silva</t>
        </is>
      </c>
      <c r="B669" t="inlineStr">
        <is>
          <t>IPS</t>
        </is>
      </c>
      <c r="C669" t="inlineStr">
        <is>
          <t>FWD</t>
        </is>
      </c>
      <c r="E669" t="n">
        <v>5.5</v>
      </c>
      <c r="F669" t="b">
        <v>1</v>
      </c>
      <c r="G669" t="b">
        <v>0</v>
      </c>
      <c r="H669" t="n">
        <v>22.1</v>
      </c>
      <c r="I669" t="inlineStr">
        <is>
          <t>a</t>
        </is>
      </c>
      <c r="M669" t="n">
        <v>316</v>
      </c>
      <c r="N669" t="n">
        <v>2</v>
      </c>
      <c r="DO669" t="n">
        <v>0.3</v>
      </c>
      <c r="DP669" t="n">
        <v>110.14</v>
      </c>
      <c r="DQ669" t="n">
        <v>55.07</v>
      </c>
      <c r="DR669" t="n">
        <v>110.14</v>
      </c>
      <c r="DS669" t="n">
        <v>0</v>
      </c>
      <c r="DT669" t="n">
        <v>2366</v>
      </c>
      <c r="DU669" t="n">
        <v>62.25</v>
      </c>
      <c r="DV669" t="inlineStr">
        <is>
          <t>flat</t>
        </is>
      </c>
      <c r="DW669" t="n">
        <v>93.98</v>
      </c>
      <c r="DX669" t="n">
        <v>99.14</v>
      </c>
      <c r="DY669" t="n">
        <v>93.3</v>
      </c>
      <c r="DZ669" t="n">
        <v>-0.6899999999999999</v>
      </c>
      <c r="EA669" t="n">
        <v>286</v>
      </c>
      <c r="EB669" t="n">
        <v>19.23</v>
      </c>
      <c r="EC669" t="n">
        <v>22.22</v>
      </c>
      <c r="ED669" t="n">
        <v>120</v>
      </c>
      <c r="EE669" t="n">
        <v>375</v>
      </c>
      <c r="EF669" t="b">
        <v>1</v>
      </c>
      <c r="EG669" t="n">
        <v>8.5</v>
      </c>
      <c r="EH669" t="n">
        <v>9</v>
      </c>
      <c r="EI669" t="n">
        <v>212</v>
      </c>
    </row>
    <row r="670">
      <c r="A670" t="inlineStr">
        <is>
          <t>Kayne van Oevelen</t>
        </is>
      </c>
      <c r="B670" t="inlineStr">
        <is>
          <t>IPS</t>
        </is>
      </c>
      <c r="C670" t="inlineStr">
        <is>
          <t>GKP</t>
        </is>
      </c>
      <c r="E670" t="n">
        <v>4.5</v>
      </c>
      <c r="F670" t="b">
        <v>1</v>
      </c>
      <c r="G670" t="b">
        <v>0</v>
      </c>
      <c r="H670" t="n">
        <v>23</v>
      </c>
      <c r="I670" t="inlineStr">
        <is>
          <t>a</t>
        </is>
      </c>
      <c r="M670" t="n">
        <v>554</v>
      </c>
      <c r="DO670" t="n">
        <v>0.1</v>
      </c>
      <c r="DP670" t="n">
        <v>1.38</v>
      </c>
      <c r="DQ670" t="n">
        <v>0.6899999999999999</v>
      </c>
      <c r="DR670" t="n">
        <v>1.38</v>
      </c>
      <c r="DS670" t="n">
        <v>0</v>
      </c>
      <c r="DT670" t="n">
        <v>35</v>
      </c>
      <c r="DU670" t="n">
        <v>0.91</v>
      </c>
      <c r="DV670" t="inlineStr">
        <is>
          <t>flat</t>
        </is>
      </c>
      <c r="DW670" t="n">
        <v>115.85</v>
      </c>
      <c r="DX670" t="n">
        <v>119</v>
      </c>
      <c r="DY670" t="n">
        <v>117.64</v>
      </c>
      <c r="DZ670" t="n">
        <v>1.78</v>
      </c>
      <c r="EA670" t="n">
        <v>6</v>
      </c>
      <c r="EB670" t="n">
        <v>6.79</v>
      </c>
      <c r="EC670" t="n">
        <v>97.33</v>
      </c>
      <c r="ED670" t="n">
        <v>120</v>
      </c>
      <c r="EE670" t="n">
        <v>10</v>
      </c>
      <c r="EF670" t="b">
        <v>1</v>
      </c>
      <c r="EG670" t="n">
        <v>0.2</v>
      </c>
      <c r="EH670" t="n">
        <v>9.1</v>
      </c>
      <c r="EI670" t="n">
        <v>509</v>
      </c>
    </row>
    <row r="671">
      <c r="A671" t="inlineStr">
        <is>
          <t>Lucas Pires</t>
        </is>
      </c>
      <c r="D671" t="inlineStr">
        <is>
          <t>DEF</t>
        </is>
      </c>
      <c r="F671" t="b">
        <v>0</v>
      </c>
      <c r="G671" t="b">
        <v>1</v>
      </c>
      <c r="L671" t="inlineStr">
        <is>
          <t>p549329</t>
        </is>
      </c>
      <c r="Q671" t="n">
        <v>1406</v>
      </c>
      <c r="R671" t="n">
        <v>20</v>
      </c>
      <c r="T671" t="n">
        <v>15.622</v>
      </c>
      <c r="U671" t="n">
        <v>70.3</v>
      </c>
      <c r="AD671" t="n">
        <v>0</v>
      </c>
      <c r="AE671" t="n">
        <v>0</v>
      </c>
      <c r="AG671" t="n">
        <v>114</v>
      </c>
      <c r="AH671" t="n">
        <v>-13</v>
      </c>
      <c r="AI671" t="n">
        <v>25</v>
      </c>
      <c r="AN671" t="n">
        <v>1</v>
      </c>
      <c r="AO671" t="n">
        <v>2</v>
      </c>
      <c r="AP671" t="n">
        <v>0.067</v>
      </c>
      <c r="AQ671" t="n">
        <v>0.067</v>
      </c>
      <c r="AR671" t="n">
        <v>0.067</v>
      </c>
      <c r="AS671" t="n">
        <v>0.395</v>
      </c>
      <c r="AT671" t="n">
        <v>0.7</v>
      </c>
      <c r="AU671" t="n">
        <v>18</v>
      </c>
      <c r="AV671" t="n">
        <v>0</v>
      </c>
      <c r="AW671" t="n">
        <v>1.34</v>
      </c>
      <c r="AX671" t="n">
        <v>6</v>
      </c>
      <c r="AZ671" t="n">
        <v>0.903</v>
      </c>
      <c r="BA671" t="n">
        <v>0.903</v>
      </c>
      <c r="BB671" t="n">
        <v>0.903</v>
      </c>
      <c r="BD671" t="n">
        <v>0.058</v>
      </c>
      <c r="BE671" t="n">
        <v>0.058</v>
      </c>
      <c r="BF671" t="n">
        <v>0.3</v>
      </c>
      <c r="BG671" t="n">
        <v>0.019</v>
      </c>
      <c r="BH671" t="n">
        <v>0.965</v>
      </c>
      <c r="BI671" t="n">
        <v>0.6</v>
      </c>
      <c r="BJ671" t="n">
        <v>0.579</v>
      </c>
      <c r="BK671" t="n">
        <v>0.037</v>
      </c>
      <c r="BP671" t="n">
        <v>16</v>
      </c>
      <c r="BQ671" t="n">
        <v>4</v>
      </c>
      <c r="BR671" t="n">
        <v>1</v>
      </c>
      <c r="BS671" t="n">
        <v>22</v>
      </c>
      <c r="BT671" t="n">
        <v>1.408</v>
      </c>
      <c r="BX671" t="n">
        <v>1.52</v>
      </c>
      <c r="BY671" t="n">
        <v>1.52</v>
      </c>
      <c r="BZ671" t="n">
        <v>0.097</v>
      </c>
      <c r="CA671" t="n">
        <v>2.423</v>
      </c>
      <c r="CB671" t="n">
        <v>0.155</v>
      </c>
      <c r="CC671" t="n">
        <v>20</v>
      </c>
      <c r="CD671" t="n">
        <v>1</v>
      </c>
      <c r="CE671" t="n">
        <v>20</v>
      </c>
      <c r="CF671" t="n">
        <v>9</v>
      </c>
      <c r="CG671" t="n">
        <v>1</v>
      </c>
      <c r="CH671" t="n">
        <v>20</v>
      </c>
      <c r="CI671" t="n">
        <v>3.834</v>
      </c>
      <c r="CJ671" t="n">
        <v>2.355</v>
      </c>
      <c r="CN671" t="n">
        <v>22</v>
      </c>
      <c r="CO671" t="n">
        <v>20</v>
      </c>
      <c r="CP671" t="n">
        <v>39</v>
      </c>
      <c r="CQ671" t="n">
        <v>6</v>
      </c>
      <c r="CR671" t="n">
        <v>54</v>
      </c>
      <c r="CS671" t="n">
        <v>3</v>
      </c>
      <c r="CT671" t="n">
        <v>0.4</v>
      </c>
      <c r="DH671" t="n">
        <v>15</v>
      </c>
      <c r="DI671" t="n">
        <v>4</v>
      </c>
      <c r="DL671" t="n">
        <v>18</v>
      </c>
      <c r="DM671" t="n">
        <v>12</v>
      </c>
      <c r="DN671" t="n">
        <v>6</v>
      </c>
      <c r="EJ671" t="n">
        <v>87.90000000000001</v>
      </c>
      <c r="EK671" t="n">
        <v>63.9</v>
      </c>
      <c r="EL671" t="n">
        <v>70.3</v>
      </c>
      <c r="EM671" t="n">
        <v>1557.6</v>
      </c>
      <c r="EN671" t="n">
        <v>925</v>
      </c>
      <c r="EO671" t="n">
        <v>580.4</v>
      </c>
    </row>
    <row r="672">
      <c r="A672" t="inlineStr">
        <is>
          <t>Norman Bassette</t>
        </is>
      </c>
      <c r="B672" t="inlineStr">
        <is>
          <t>COV</t>
        </is>
      </c>
      <c r="C672" t="inlineStr">
        <is>
          <t>FWD</t>
        </is>
      </c>
      <c r="E672" t="n">
        <v>4.5</v>
      </c>
      <c r="F672" t="b">
        <v>1</v>
      </c>
      <c r="G672" t="b">
        <v>0</v>
      </c>
      <c r="I672" t="inlineStr">
        <is>
          <t>u</t>
        </is>
      </c>
      <c r="J672" t="inlineStr">
        <is>
          <t>Has joined KVC Westerlo on loan for the rest of the season</t>
        </is>
      </c>
      <c r="K672" t="n">
        <v>0</v>
      </c>
      <c r="M672" t="n">
        <v>197</v>
      </c>
      <c r="DO672" t="n">
        <v>0.2</v>
      </c>
    </row>
    <row r="673">
      <c r="A673" t="inlineStr">
        <is>
          <t>Jaydon Banel</t>
        </is>
      </c>
      <c r="D673" t="inlineStr">
        <is>
          <t>MID</t>
        </is>
      </c>
      <c r="F673" t="b">
        <v>0</v>
      </c>
      <c r="G673" t="b">
        <v>1</v>
      </c>
      <c r="L673" t="inlineStr">
        <is>
          <t>p551206</t>
        </is>
      </c>
      <c r="Q673" t="n">
        <v>9</v>
      </c>
      <c r="R673" t="n">
        <v>1</v>
      </c>
      <c r="T673" t="n">
        <v>0.1</v>
      </c>
      <c r="U673" t="n">
        <v>9</v>
      </c>
      <c r="AD673" t="n">
        <v>0</v>
      </c>
      <c r="AE673" t="n">
        <v>0</v>
      </c>
      <c r="AG673" t="n">
        <v>2</v>
      </c>
      <c r="AH673" t="n">
        <v>0</v>
      </c>
      <c r="AI673" t="n">
        <v>1</v>
      </c>
      <c r="AN673" t="n">
        <v>0</v>
      </c>
      <c r="AO673" t="n">
        <v>0</v>
      </c>
      <c r="AS673" t="n">
        <v>0</v>
      </c>
      <c r="AT673" t="n">
        <v>0</v>
      </c>
      <c r="AU673" t="n">
        <v>1</v>
      </c>
      <c r="AV673" t="n">
        <v>0</v>
      </c>
      <c r="AW673" t="n">
        <v>0.16</v>
      </c>
      <c r="AX673" t="n">
        <v>1</v>
      </c>
      <c r="AZ673" t="n">
        <v>0</v>
      </c>
      <c r="BA673" t="n">
        <v>0</v>
      </c>
      <c r="BB673" t="n">
        <v>0</v>
      </c>
      <c r="BD673" t="n">
        <v>0</v>
      </c>
      <c r="BE673" t="n">
        <v>0</v>
      </c>
      <c r="BH673" t="n">
        <v>1</v>
      </c>
      <c r="BI673" t="n">
        <v>0</v>
      </c>
      <c r="BJ673" t="n">
        <v>0</v>
      </c>
      <c r="BK673" t="n">
        <v>0</v>
      </c>
      <c r="BX673" t="n">
        <v>0</v>
      </c>
      <c r="BY673" t="n">
        <v>0</v>
      </c>
      <c r="BZ673" t="n">
        <v>0</v>
      </c>
      <c r="CA673" t="n">
        <v>0</v>
      </c>
      <c r="CB673" t="n">
        <v>0</v>
      </c>
      <c r="CC673" t="n">
        <v>0</v>
      </c>
      <c r="CI673" t="n">
        <v>0</v>
      </c>
      <c r="CJ673" t="n">
        <v>0</v>
      </c>
      <c r="CR673" t="n">
        <v>1</v>
      </c>
      <c r="DH673" t="n">
        <v>1</v>
      </c>
      <c r="DI673" t="n">
        <v>1</v>
      </c>
    </row>
    <row r="674">
      <c r="A674" t="inlineStr">
        <is>
          <t>Jahnoah Markelo</t>
        </is>
      </c>
      <c r="B674" t="inlineStr">
        <is>
          <t>COV</t>
        </is>
      </c>
      <c r="C674" t="inlineStr">
        <is>
          <t>FWD</t>
        </is>
      </c>
      <c r="E674" t="n">
        <v>5</v>
      </c>
      <c r="F674" t="b">
        <v>1</v>
      </c>
      <c r="G674" t="b">
        <v>0</v>
      </c>
      <c r="H674" t="n">
        <v>23.6</v>
      </c>
      <c r="I674" t="inlineStr">
        <is>
          <t>a</t>
        </is>
      </c>
      <c r="M674" t="n">
        <v>196</v>
      </c>
      <c r="DO674" t="n">
        <v>0.1</v>
      </c>
      <c r="DP674" t="n">
        <v>0</v>
      </c>
      <c r="DQ674" t="n">
        <v>0</v>
      </c>
      <c r="DR674" t="n">
        <v>0</v>
      </c>
      <c r="DS674" t="n">
        <v>0</v>
      </c>
      <c r="DT674" t="n">
        <v>0</v>
      </c>
      <c r="DU674" t="n">
        <v>0</v>
      </c>
      <c r="DV674" t="inlineStr">
        <is>
          <t>flat</t>
        </is>
      </c>
      <c r="DW674" t="n">
        <v>99.8</v>
      </c>
      <c r="DX674" t="n">
        <v>90</v>
      </c>
      <c r="DY674" t="n">
        <v>97.11</v>
      </c>
      <c r="DZ674" t="n">
        <v>-2.69</v>
      </c>
      <c r="EA674" t="n">
        <v>3</v>
      </c>
      <c r="EB674" t="n">
        <v>12.52</v>
      </c>
      <c r="EC674" t="n">
        <v>90</v>
      </c>
      <c r="ED674" t="n">
        <v>117</v>
      </c>
      <c r="EE674" t="n">
        <v>5</v>
      </c>
      <c r="EF674" t="b">
        <v>0</v>
      </c>
      <c r="EG674" t="n">
        <v>0.1</v>
      </c>
      <c r="EH674" t="n">
        <v>0</v>
      </c>
      <c r="EI674" t="n">
        <v>346</v>
      </c>
    </row>
    <row r="675">
      <c r="A675" t="inlineStr">
        <is>
          <t>Gonzalo García</t>
        </is>
      </c>
      <c r="B675" t="inlineStr">
        <is>
          <t>FUL</t>
        </is>
      </c>
      <c r="C675" t="inlineStr">
        <is>
          <t>FWD</t>
        </is>
      </c>
      <c r="E675" t="n">
        <v>6</v>
      </c>
      <c r="F675" t="b">
        <v>1</v>
      </c>
      <c r="G675" t="b">
        <v>0</v>
      </c>
      <c r="H675" t="n">
        <v>22.4</v>
      </c>
      <c r="I675" t="inlineStr">
        <is>
          <t>a</t>
        </is>
      </c>
      <c r="M675" t="n">
        <v>569</v>
      </c>
      <c r="N675" t="n">
        <v>1</v>
      </c>
      <c r="DO675" t="n">
        <v>1.8</v>
      </c>
      <c r="DP675" t="n">
        <v>146.34</v>
      </c>
      <c r="DQ675" t="n">
        <v>73.17</v>
      </c>
      <c r="DR675" t="n">
        <v>146.34</v>
      </c>
      <c r="DS675" t="n">
        <v>0</v>
      </c>
      <c r="DT675" t="n">
        <v>2696</v>
      </c>
      <c r="DU675" t="n">
        <v>70.95</v>
      </c>
      <c r="DV675" t="inlineStr">
        <is>
          <t>flat</t>
        </is>
      </c>
      <c r="DW675" t="n">
        <v>70.83</v>
      </c>
      <c r="DX675" t="n">
        <v>79.2</v>
      </c>
      <c r="DY675" t="n">
        <v>67.42</v>
      </c>
      <c r="DZ675" t="n">
        <v>-3.41</v>
      </c>
      <c r="EA675" t="n">
        <v>1132</v>
      </c>
      <c r="EB675" t="n">
        <v>27.7</v>
      </c>
      <c r="EC675" t="n">
        <v>3.2</v>
      </c>
      <c r="ED675" t="n">
        <v>120</v>
      </c>
      <c r="EE675" t="n">
        <v>1868</v>
      </c>
      <c r="EF675" t="b">
        <v>1</v>
      </c>
      <c r="EG675" t="n">
        <v>41.9</v>
      </c>
      <c r="EH675" t="n">
        <v>8.5</v>
      </c>
      <c r="EI675" t="n">
        <v>110</v>
      </c>
    </row>
    <row r="676">
      <c r="A676" t="inlineStr">
        <is>
          <t>Álex Jiménez</t>
        </is>
      </c>
      <c r="D676" t="inlineStr">
        <is>
          <t>DEF</t>
        </is>
      </c>
      <c r="F676" t="b">
        <v>0</v>
      </c>
      <c r="G676" t="b">
        <v>1</v>
      </c>
      <c r="L676" t="inlineStr">
        <is>
          <t>p551483</t>
        </is>
      </c>
      <c r="Q676" t="n">
        <v>2323</v>
      </c>
      <c r="R676" t="n">
        <v>31</v>
      </c>
      <c r="T676" t="n">
        <v>25.811</v>
      </c>
      <c r="U676" t="n">
        <v>74.90000000000001</v>
      </c>
      <c r="AD676" t="n">
        <v>3</v>
      </c>
      <c r="AE676" t="n">
        <v>1</v>
      </c>
      <c r="AG676" t="n">
        <v>285</v>
      </c>
      <c r="AH676" t="n">
        <v>-12</v>
      </c>
      <c r="AI676" t="n">
        <v>75</v>
      </c>
      <c r="AN676" t="n">
        <v>2</v>
      </c>
      <c r="AO676" t="n">
        <v>4</v>
      </c>
      <c r="AP676" t="n">
        <v>0.077</v>
      </c>
      <c r="AQ676" t="n">
        <v>0.077</v>
      </c>
      <c r="AR676" t="n">
        <v>0.038</v>
      </c>
      <c r="AS676" t="n">
        <v>0.6840000000000001</v>
      </c>
      <c r="AT676" t="n">
        <v>0.806</v>
      </c>
      <c r="AU676" t="n">
        <v>20</v>
      </c>
      <c r="AV676" t="n">
        <v>0</v>
      </c>
      <c r="AW676" t="n">
        <v>2.41</v>
      </c>
      <c r="AX676" t="n">
        <v>8</v>
      </c>
      <c r="AZ676" t="n">
        <v>1.21</v>
      </c>
      <c r="BA676" t="n">
        <v>1.21</v>
      </c>
      <c r="BB676" t="n">
        <v>1.21</v>
      </c>
      <c r="BD676" t="n">
        <v>0.047</v>
      </c>
      <c r="BE676" t="n">
        <v>0.047</v>
      </c>
      <c r="BF676" t="n">
        <v>1.1</v>
      </c>
      <c r="BG676" t="n">
        <v>0.043</v>
      </c>
      <c r="BH676" t="n">
        <v>1.001</v>
      </c>
      <c r="BI676" t="n">
        <v>1.09</v>
      </c>
      <c r="BJ676" t="n">
        <v>1.091</v>
      </c>
      <c r="BK676" t="n">
        <v>0.042</v>
      </c>
      <c r="BP676" t="n">
        <v>21</v>
      </c>
      <c r="BQ676" t="n">
        <v>4</v>
      </c>
      <c r="BS676" t="n">
        <v>41</v>
      </c>
      <c r="BT676" t="n">
        <v>1.588</v>
      </c>
      <c r="BX676" t="n">
        <v>1.703</v>
      </c>
      <c r="BY676" t="n">
        <v>1.703</v>
      </c>
      <c r="BZ676" t="n">
        <v>0.066</v>
      </c>
      <c r="CA676" t="n">
        <v>2.913</v>
      </c>
      <c r="CB676" t="n">
        <v>0.113</v>
      </c>
      <c r="CC676" t="n">
        <v>15</v>
      </c>
      <c r="CD676" t="n">
        <v>2</v>
      </c>
      <c r="CE676" t="n">
        <v>14</v>
      </c>
      <c r="CF676" t="n">
        <v>11</v>
      </c>
      <c r="CG676" t="n">
        <v>1</v>
      </c>
      <c r="CI676" t="n">
        <v>7.322</v>
      </c>
      <c r="CJ676" t="n">
        <v>4.87</v>
      </c>
      <c r="CN676" t="n">
        <v>48</v>
      </c>
      <c r="CO676" t="n">
        <v>27</v>
      </c>
      <c r="CP676" t="n">
        <v>41</v>
      </c>
      <c r="CQ676" t="n">
        <v>11</v>
      </c>
      <c r="CR676" t="n">
        <v>141</v>
      </c>
      <c r="CS676" t="n">
        <v>13</v>
      </c>
      <c r="CT676" t="n">
        <v>0.4</v>
      </c>
      <c r="DE676" t="n">
        <v>6.99</v>
      </c>
      <c r="DH676" t="n">
        <v>35</v>
      </c>
      <c r="DI676" t="n">
        <v>20</v>
      </c>
      <c r="DK676" t="n">
        <v>1</v>
      </c>
      <c r="DL676" t="n">
        <v>39</v>
      </c>
      <c r="DM676" t="n">
        <v>20</v>
      </c>
      <c r="EJ676" t="n">
        <v>110.6</v>
      </c>
      <c r="EK676" t="n">
        <v>56.7</v>
      </c>
      <c r="EL676" t="n">
        <v>165.9</v>
      </c>
      <c r="EM676" t="n">
        <v>1919.2</v>
      </c>
      <c r="EN676" t="n">
        <v>1364.2</v>
      </c>
      <c r="EO676" t="n">
        <v>797.4</v>
      </c>
    </row>
    <row r="677">
      <c r="A677" t="inlineStr">
        <is>
          <t>Victor Munoz</t>
        </is>
      </c>
      <c r="B677" t="inlineStr">
        <is>
          <t>LIV</t>
        </is>
      </c>
      <c r="C677" t="inlineStr">
        <is>
          <t>MID</t>
        </is>
      </c>
      <c r="E677" t="n">
        <v>6.5</v>
      </c>
      <c r="F677" t="b">
        <v>1</v>
      </c>
      <c r="G677" t="b">
        <v>0</v>
      </c>
      <c r="H677" t="n">
        <v>23.1</v>
      </c>
      <c r="I677" t="inlineStr">
        <is>
          <t>a</t>
        </is>
      </c>
      <c r="M677" t="n">
        <v>377</v>
      </c>
      <c r="DO677" t="n">
        <v>0.8</v>
      </c>
      <c r="DP677" t="n">
        <v>50.85</v>
      </c>
      <c r="DQ677" t="n">
        <v>25.69</v>
      </c>
      <c r="DR677" t="n">
        <v>51.38</v>
      </c>
      <c r="DS677" t="n">
        <v>-0.53</v>
      </c>
      <c r="DT677" t="n">
        <v>796</v>
      </c>
      <c r="DU677" t="n">
        <v>20.94</v>
      </c>
      <c r="DV677" t="inlineStr">
        <is>
          <t>flat</t>
        </is>
      </c>
      <c r="DW677" t="n">
        <v>69.19</v>
      </c>
      <c r="DX677" t="n">
        <v>73.09</v>
      </c>
      <c r="DY677" t="n">
        <v>68.20999999999999</v>
      </c>
      <c r="DZ677" t="n">
        <v>-0.98</v>
      </c>
      <c r="EA677" t="n">
        <v>570</v>
      </c>
      <c r="EB677" t="n">
        <v>24.43</v>
      </c>
      <c r="EC677" t="n">
        <v>9.140000000000001</v>
      </c>
      <c r="ED677" t="n">
        <v>120</v>
      </c>
      <c r="EE677" t="n">
        <v>1078</v>
      </c>
      <c r="EF677" t="b">
        <v>1</v>
      </c>
      <c r="EG677" t="n">
        <v>29.8</v>
      </c>
      <c r="EH677" t="n">
        <v>25.9</v>
      </c>
      <c r="EI677" t="n">
        <v>53</v>
      </c>
    </row>
    <row r="678">
      <c r="A678" t="inlineStr">
        <is>
          <t>Jens Hjertø-Dahl</t>
        </is>
      </c>
      <c r="B678" t="inlineStr">
        <is>
          <t>HUL</t>
        </is>
      </c>
      <c r="C678" t="inlineStr">
        <is>
          <t>MID</t>
        </is>
      </c>
      <c r="E678" t="n">
        <v>5</v>
      </c>
      <c r="F678" t="b">
        <v>1</v>
      </c>
      <c r="G678" t="b">
        <v>0</v>
      </c>
      <c r="H678" t="n">
        <v>20.8</v>
      </c>
      <c r="I678" t="inlineStr">
        <is>
          <t>a</t>
        </is>
      </c>
      <c r="M678" t="n">
        <v>574</v>
      </c>
      <c r="DO678" t="n">
        <v>0</v>
      </c>
      <c r="DP678" t="n">
        <v>65.20999999999999</v>
      </c>
      <c r="DQ678" t="n">
        <v>33.12</v>
      </c>
      <c r="DR678" t="n">
        <v>66.23999999999999</v>
      </c>
      <c r="DS678" t="n">
        <v>-1.03</v>
      </c>
      <c r="DT678" t="n">
        <v>1750</v>
      </c>
      <c r="DU678" t="n">
        <v>46.05</v>
      </c>
      <c r="DV678" t="inlineStr">
        <is>
          <t>flat</t>
        </is>
      </c>
      <c r="DW678" t="n">
        <v>114.33</v>
      </c>
      <c r="DY678" t="n">
        <v>114.33</v>
      </c>
      <c r="DZ678" t="n">
        <v>0</v>
      </c>
      <c r="EA678" t="n">
        <v>2</v>
      </c>
      <c r="EB678" t="n">
        <v>3.3</v>
      </c>
      <c r="EC678" t="n">
        <v>112</v>
      </c>
      <c r="ED678" t="n">
        <v>116.67</v>
      </c>
      <c r="EE678" t="n">
        <v>2</v>
      </c>
      <c r="EF678" t="b">
        <v>0</v>
      </c>
      <c r="EG678" t="n">
        <v>0</v>
      </c>
      <c r="EH678" t="n">
        <v>0</v>
      </c>
      <c r="EI678" t="n">
        <v>385</v>
      </c>
    </row>
    <row r="679">
      <c r="A679" t="inlineStr">
        <is>
          <t>Óscar Zambrano</t>
        </is>
      </c>
      <c r="B679" t="inlineStr">
        <is>
          <t>HUL</t>
        </is>
      </c>
      <c r="C679" t="inlineStr">
        <is>
          <t>MID</t>
        </is>
      </c>
      <c r="E679" t="n">
        <v>4.5</v>
      </c>
      <c r="F679" t="b">
        <v>1</v>
      </c>
      <c r="G679" t="b">
        <v>0</v>
      </c>
      <c r="H679" t="n">
        <v>22.3</v>
      </c>
      <c r="I679" t="inlineStr">
        <is>
          <t>i</t>
        </is>
      </c>
      <c r="J679" t="inlineStr">
        <is>
          <t>Thigh injury - Unknown return date</t>
        </is>
      </c>
      <c r="K679" t="n">
        <v>0</v>
      </c>
      <c r="M679" t="n">
        <v>294</v>
      </c>
      <c r="DO679" t="n">
        <v>0.3</v>
      </c>
      <c r="DP679" t="n">
        <v>12.33</v>
      </c>
      <c r="DQ679" t="n">
        <v>6.21</v>
      </c>
      <c r="DR679" t="n">
        <v>12.42</v>
      </c>
      <c r="DS679" t="n">
        <v>-0.09</v>
      </c>
      <c r="DT679" t="n">
        <v>88</v>
      </c>
      <c r="DU679" t="n">
        <v>2.31</v>
      </c>
      <c r="DV679" t="inlineStr">
        <is>
          <t>flat</t>
        </is>
      </c>
    </row>
    <row r="680">
      <c r="A680" t="inlineStr">
        <is>
          <t>Ewen Jaouen</t>
        </is>
      </c>
      <c r="B680" t="inlineStr">
        <is>
          <t>NEW</t>
        </is>
      </c>
      <c r="C680" t="inlineStr">
        <is>
          <t>GKP</t>
        </is>
      </c>
      <c r="E680" t="n">
        <v>4.5</v>
      </c>
      <c r="F680" t="b">
        <v>1</v>
      </c>
      <c r="G680" t="b">
        <v>0</v>
      </c>
      <c r="H680" t="n">
        <v>20.6</v>
      </c>
      <c r="I680" t="inlineStr">
        <is>
          <t>a</t>
        </is>
      </c>
      <c r="M680" t="n">
        <v>444</v>
      </c>
      <c r="DO680" t="n">
        <v>0.1</v>
      </c>
      <c r="DP680" t="n">
        <v>1.12</v>
      </c>
      <c r="DQ680" t="n">
        <v>0.5600000000000001</v>
      </c>
      <c r="DR680" t="n">
        <v>1.12</v>
      </c>
      <c r="DS680" t="n">
        <v>0</v>
      </c>
      <c r="DT680" t="n">
        <v>34</v>
      </c>
      <c r="DU680" t="n">
        <v>0.9</v>
      </c>
      <c r="DV680" t="inlineStr">
        <is>
          <t>flat</t>
        </is>
      </c>
      <c r="DW680" t="n">
        <v>108.02</v>
      </c>
      <c r="DX680" t="n">
        <v>118</v>
      </c>
      <c r="DY680" t="n">
        <v>102.26</v>
      </c>
      <c r="DZ680" t="n">
        <v>-5.76</v>
      </c>
      <c r="EA680" t="n">
        <v>5</v>
      </c>
      <c r="EB680" t="n">
        <v>22.12</v>
      </c>
      <c r="EC680" t="n">
        <v>53.6</v>
      </c>
      <c r="ED680" t="n">
        <v>118.29</v>
      </c>
      <c r="EE680" t="n">
        <v>8</v>
      </c>
      <c r="EF680" t="b">
        <v>0</v>
      </c>
      <c r="EG680" t="n">
        <v>0.2</v>
      </c>
      <c r="EH680" t="n">
        <v>20</v>
      </c>
      <c r="EI680" t="n">
        <v>513</v>
      </c>
    </row>
    <row r="681">
      <c r="A681" t="inlineStr">
        <is>
          <t>Sindre Walle Egeli</t>
        </is>
      </c>
      <c r="B681" t="inlineStr">
        <is>
          <t>IPS</t>
        </is>
      </c>
      <c r="C681" t="inlineStr">
        <is>
          <t>FWD</t>
        </is>
      </c>
      <c r="E681" t="n">
        <v>4.5</v>
      </c>
      <c r="F681" t="b">
        <v>1</v>
      </c>
      <c r="G681" t="b">
        <v>0</v>
      </c>
      <c r="H681" t="n">
        <v>20.2</v>
      </c>
      <c r="I681" t="inlineStr">
        <is>
          <t>a</t>
        </is>
      </c>
      <c r="M681" t="n">
        <v>321</v>
      </c>
      <c r="DO681" t="n">
        <v>2</v>
      </c>
      <c r="DP681" t="n">
        <v>27.27</v>
      </c>
      <c r="DQ681" t="n">
        <v>13.64</v>
      </c>
      <c r="DR681" t="n">
        <v>27.28</v>
      </c>
      <c r="DS681" t="n">
        <v>-0.01</v>
      </c>
      <c r="DT681" t="n">
        <v>616</v>
      </c>
      <c r="DU681" t="n">
        <v>16.21</v>
      </c>
      <c r="DV681" t="inlineStr">
        <is>
          <t>flat</t>
        </is>
      </c>
      <c r="DW681" t="n">
        <v>103.13</v>
      </c>
      <c r="DX681" t="n">
        <v>104.25</v>
      </c>
      <c r="DY681" t="n">
        <v>101.57</v>
      </c>
      <c r="DZ681" t="n">
        <v>-1.56</v>
      </c>
      <c r="EA681" t="n">
        <v>15</v>
      </c>
      <c r="EB681" t="n">
        <v>16.1</v>
      </c>
      <c r="EC681" t="n">
        <v>51.56</v>
      </c>
      <c r="ED681" t="n">
        <v>119.2</v>
      </c>
      <c r="EE681" t="n">
        <v>25</v>
      </c>
      <c r="EF681" t="b">
        <v>1</v>
      </c>
      <c r="EG681" t="n">
        <v>0.7</v>
      </c>
      <c r="EH681" t="n">
        <v>26.5</v>
      </c>
      <c r="EI681" t="n">
        <v>500</v>
      </c>
    </row>
    <row r="682">
      <c r="A682" t="inlineStr">
        <is>
          <t>Jamaldeen Jimoh-Aloba</t>
        </is>
      </c>
      <c r="D682" t="inlineStr">
        <is>
          <t>MID</t>
        </is>
      </c>
      <c r="F682" t="b">
        <v>0</v>
      </c>
      <c r="G682" t="b">
        <v>1</v>
      </c>
      <c r="L682" t="inlineStr">
        <is>
          <t>p559962</t>
        </is>
      </c>
      <c r="Q682" t="n">
        <v>8</v>
      </c>
      <c r="R682" t="n">
        <v>1</v>
      </c>
      <c r="T682" t="n">
        <v>0.089</v>
      </c>
      <c r="U682" t="n">
        <v>8</v>
      </c>
      <c r="AD682" t="n">
        <v>0</v>
      </c>
      <c r="AE682" t="n">
        <v>0</v>
      </c>
      <c r="AG682" t="n">
        <v>3</v>
      </c>
      <c r="AH682" t="n">
        <v>0</v>
      </c>
      <c r="AI682" t="n">
        <v>1</v>
      </c>
      <c r="AN682" t="n">
        <v>0</v>
      </c>
      <c r="AO682" t="n">
        <v>0</v>
      </c>
      <c r="AS682" t="n">
        <v>0</v>
      </c>
      <c r="AT682" t="n">
        <v>0</v>
      </c>
      <c r="AU682" t="n">
        <v>1</v>
      </c>
      <c r="AV682" t="n">
        <v>0</v>
      </c>
      <c r="AW682" t="n">
        <v>0.16</v>
      </c>
      <c r="AX682" t="n">
        <v>1</v>
      </c>
      <c r="BH682" t="n">
        <v>1</v>
      </c>
      <c r="BI682" t="n">
        <v>0</v>
      </c>
      <c r="BJ682" t="n">
        <v>0</v>
      </c>
      <c r="BK682" t="n">
        <v>0</v>
      </c>
      <c r="CR682" t="n">
        <v>1</v>
      </c>
      <c r="DI682" t="n">
        <v>1</v>
      </c>
    </row>
    <row r="683">
      <c r="A683" t="inlineStr">
        <is>
          <t>Álvaro Rodríguez</t>
        </is>
      </c>
      <c r="B683" t="inlineStr">
        <is>
          <t>BOU</t>
        </is>
      </c>
      <c r="C683" t="inlineStr">
        <is>
          <t>FWD</t>
        </is>
      </c>
      <c r="E683" t="n">
        <v>6</v>
      </c>
      <c r="F683" t="b">
        <v>1</v>
      </c>
      <c r="G683" t="b">
        <v>0</v>
      </c>
      <c r="H683" t="n">
        <v>22.1</v>
      </c>
      <c r="I683" t="inlineStr">
        <is>
          <t>a</t>
        </is>
      </c>
      <c r="M683" t="n">
        <v>81</v>
      </c>
      <c r="DO683" t="n">
        <v>0.3</v>
      </c>
      <c r="DP683" t="n">
        <v>45.36</v>
      </c>
      <c r="DQ683" t="n">
        <v>23.57</v>
      </c>
      <c r="DR683" t="n">
        <v>47.14</v>
      </c>
      <c r="DS683" t="n">
        <v>-1.78</v>
      </c>
      <c r="DT683" t="n">
        <v>719</v>
      </c>
      <c r="DU683" t="n">
        <v>18.91</v>
      </c>
      <c r="DV683" t="inlineStr">
        <is>
          <t>flat</t>
        </is>
      </c>
      <c r="DW683" t="n">
        <v>87.89</v>
      </c>
      <c r="DX683" t="n">
        <v>91.87</v>
      </c>
      <c r="DY683" t="n">
        <v>86.90000000000001</v>
      </c>
      <c r="DZ683" t="n">
        <v>-1</v>
      </c>
      <c r="EA683" t="n">
        <v>392</v>
      </c>
      <c r="EB683" t="n">
        <v>21.9</v>
      </c>
      <c r="EC683" t="n">
        <v>7</v>
      </c>
      <c r="ED683" t="n">
        <v>120</v>
      </c>
      <c r="EE683" t="n">
        <v>656</v>
      </c>
      <c r="EF683" t="b">
        <v>1</v>
      </c>
      <c r="EG683" t="n">
        <v>16.9</v>
      </c>
      <c r="EH683" t="n">
        <v>20.3</v>
      </c>
      <c r="EI683" t="n">
        <v>107</v>
      </c>
    </row>
    <row r="684">
      <c r="A684" t="inlineStr">
        <is>
          <t>Eliezer Mayenda</t>
        </is>
      </c>
      <c r="D684" t="inlineStr">
        <is>
          <t>FWD</t>
        </is>
      </c>
      <c r="F684" t="b">
        <v>0</v>
      </c>
      <c r="G684" t="b">
        <v>1</v>
      </c>
      <c r="L684" t="inlineStr">
        <is>
          <t>p564406</t>
        </is>
      </c>
      <c r="Q684" t="n">
        <v>756</v>
      </c>
      <c r="R684" t="n">
        <v>20</v>
      </c>
      <c r="T684" t="n">
        <v>8.4</v>
      </c>
      <c r="U684" t="n">
        <v>37.8</v>
      </c>
      <c r="AD684" t="n">
        <v>5</v>
      </c>
      <c r="AE684" t="n">
        <v>0</v>
      </c>
      <c r="AG684" t="n">
        <v>123</v>
      </c>
      <c r="AH684" t="n">
        <v>-1</v>
      </c>
      <c r="AI684" t="n">
        <v>40</v>
      </c>
      <c r="AN684" t="n">
        <v>0</v>
      </c>
      <c r="AO684" t="n">
        <v>0</v>
      </c>
      <c r="AP684" t="n">
        <v>0</v>
      </c>
      <c r="AQ684" t="n">
        <v>0</v>
      </c>
      <c r="AR684" t="n">
        <v>0</v>
      </c>
      <c r="AS684" t="n">
        <v>0.211</v>
      </c>
      <c r="AT684" t="n">
        <v>0.35</v>
      </c>
      <c r="AU684" t="n">
        <v>18</v>
      </c>
      <c r="AV684" t="n">
        <v>0</v>
      </c>
      <c r="AW684" t="n">
        <v>1.92</v>
      </c>
      <c r="AX684" t="n">
        <v>9</v>
      </c>
      <c r="AZ684" t="n">
        <v>2.011</v>
      </c>
      <c r="BA684" t="n">
        <v>2.011</v>
      </c>
      <c r="BB684" t="n">
        <v>2.011</v>
      </c>
      <c r="BD684" t="n">
        <v>0.239</v>
      </c>
      <c r="BE684" t="n">
        <v>0.239</v>
      </c>
      <c r="BF684" t="n">
        <v>3.8</v>
      </c>
      <c r="BG684" t="n">
        <v>0.452</v>
      </c>
      <c r="BH684" t="n">
        <v>1.165</v>
      </c>
      <c r="BI684" t="n">
        <v>2.13</v>
      </c>
      <c r="BJ684" t="n">
        <v>2.481</v>
      </c>
      <c r="BK684" t="n">
        <v>0.295</v>
      </c>
      <c r="BP684" t="n">
        <v>13</v>
      </c>
      <c r="BQ684" t="n">
        <v>6</v>
      </c>
      <c r="BR684" t="n">
        <v>1</v>
      </c>
      <c r="BS684" t="n">
        <v>31</v>
      </c>
      <c r="BT684" t="n">
        <v>3.69</v>
      </c>
      <c r="BV684" t="n">
        <v>1</v>
      </c>
      <c r="BX684" t="n">
        <v>0.743</v>
      </c>
      <c r="BY684" t="n">
        <v>0.743</v>
      </c>
      <c r="BZ684" t="n">
        <v>0.08799999999999999</v>
      </c>
      <c r="CA684" t="n">
        <v>2.753</v>
      </c>
      <c r="CB684" t="n">
        <v>0.328</v>
      </c>
      <c r="CC684" t="n">
        <v>4</v>
      </c>
      <c r="CD684" t="n">
        <v>2</v>
      </c>
      <c r="CE684" t="n">
        <v>4</v>
      </c>
      <c r="CI684" t="n">
        <v>2.484</v>
      </c>
      <c r="CJ684" t="n">
        <v>0.488</v>
      </c>
      <c r="CN684" t="n">
        <v>1</v>
      </c>
      <c r="CO684" t="n">
        <v>1</v>
      </c>
      <c r="CP684" t="n">
        <v>5</v>
      </c>
      <c r="CQ684" t="n">
        <v>1</v>
      </c>
      <c r="CR684" t="n">
        <v>42</v>
      </c>
      <c r="CS684" t="n">
        <v>15</v>
      </c>
      <c r="CT684" t="n">
        <v>0.2</v>
      </c>
      <c r="DH684" t="n">
        <v>6</v>
      </c>
      <c r="DI684" t="n">
        <v>11</v>
      </c>
      <c r="DL684" t="n">
        <v>11</v>
      </c>
      <c r="DM684" t="n">
        <v>21</v>
      </c>
      <c r="DN684" t="n">
        <v>3</v>
      </c>
      <c r="EJ684" t="n">
        <v>58.2</v>
      </c>
      <c r="EK684" t="n">
        <v>24.4</v>
      </c>
      <c r="EL684" t="n">
        <v>189</v>
      </c>
      <c r="EM684" t="n">
        <v>376</v>
      </c>
      <c r="EN684" t="n">
        <v>1018.1</v>
      </c>
      <c r="EO684" t="n">
        <v>274.6</v>
      </c>
    </row>
    <row r="685">
      <c r="A685" t="inlineStr">
        <is>
          <t>Soungoutou Magassa</t>
        </is>
      </c>
      <c r="D685" t="inlineStr">
        <is>
          <t>MID</t>
        </is>
      </c>
      <c r="F685" t="b">
        <v>0</v>
      </c>
      <c r="G685" t="b">
        <v>1</v>
      </c>
      <c r="L685" t="inlineStr">
        <is>
          <t>p564940</t>
        </is>
      </c>
      <c r="Q685" t="n">
        <v>979</v>
      </c>
      <c r="R685" t="n">
        <v>22</v>
      </c>
      <c r="T685" t="n">
        <v>10.878</v>
      </c>
      <c r="U685" t="n">
        <v>44.5</v>
      </c>
      <c r="AD685" t="n">
        <v>2</v>
      </c>
      <c r="AE685" t="n">
        <v>0</v>
      </c>
      <c r="AG685" t="n">
        <v>180</v>
      </c>
      <c r="AH685" t="n">
        <v>-5</v>
      </c>
      <c r="AI685" t="n">
        <v>42</v>
      </c>
      <c r="AN685" t="n">
        <v>3</v>
      </c>
      <c r="AO685" t="n">
        <v>6</v>
      </c>
      <c r="AP685" t="n">
        <v>0.273</v>
      </c>
      <c r="AQ685" t="n">
        <v>0.364</v>
      </c>
      <c r="AR685" t="n">
        <v>0.273</v>
      </c>
      <c r="AS685" t="n">
        <v>0.289</v>
      </c>
      <c r="AT685" t="n">
        <v>0.409</v>
      </c>
      <c r="AU685" t="n">
        <v>18</v>
      </c>
      <c r="AV685" t="n">
        <v>1</v>
      </c>
      <c r="AW685" t="n">
        <v>2.07</v>
      </c>
      <c r="AX685" t="n">
        <v>11</v>
      </c>
      <c r="AZ685" t="n">
        <v>0.619</v>
      </c>
      <c r="BA685" t="n">
        <v>0.619</v>
      </c>
      <c r="BB685" t="n">
        <v>0.619</v>
      </c>
      <c r="BD685" t="n">
        <v>0.057</v>
      </c>
      <c r="BE685" t="n">
        <v>0.057</v>
      </c>
      <c r="BF685" t="n">
        <v>1</v>
      </c>
      <c r="BG685" t="n">
        <v>0.092</v>
      </c>
      <c r="BH685" t="n">
        <v>1.066</v>
      </c>
      <c r="BI685" t="n">
        <v>0.44</v>
      </c>
      <c r="BJ685" t="n">
        <v>0.469</v>
      </c>
      <c r="BK685" t="n">
        <v>0.043</v>
      </c>
      <c r="BP685" t="n">
        <v>7</v>
      </c>
      <c r="BQ685" t="n">
        <v>2</v>
      </c>
      <c r="BS685" t="n">
        <v>7</v>
      </c>
      <c r="BT685" t="n">
        <v>0.644</v>
      </c>
      <c r="BX685" t="n">
        <v>0.746</v>
      </c>
      <c r="BY685" t="n">
        <v>0.746</v>
      </c>
      <c r="BZ685" t="n">
        <v>0.06900000000000001</v>
      </c>
      <c r="CA685" t="n">
        <v>1.366</v>
      </c>
      <c r="CB685" t="n">
        <v>0.126</v>
      </c>
      <c r="CC685" t="n">
        <v>5</v>
      </c>
      <c r="CD685" t="n">
        <v>1</v>
      </c>
      <c r="CE685" t="n">
        <v>5</v>
      </c>
      <c r="CF685" t="n">
        <v>1</v>
      </c>
      <c r="CI685" t="n">
        <v>2.419</v>
      </c>
      <c r="CJ685" t="n">
        <v>1.532</v>
      </c>
      <c r="CN685" t="n">
        <v>21</v>
      </c>
      <c r="CO685" t="n">
        <v>16</v>
      </c>
      <c r="CP685" t="n">
        <v>14</v>
      </c>
      <c r="CQ685" t="n">
        <v>4</v>
      </c>
      <c r="CR685" t="n">
        <v>73</v>
      </c>
      <c r="CS685" t="n">
        <v>11</v>
      </c>
      <c r="CT685" t="n">
        <v>0.4</v>
      </c>
      <c r="DH685" t="n">
        <v>17</v>
      </c>
      <c r="DI685" t="n">
        <v>17</v>
      </c>
      <c r="DK685" t="n">
        <v>1</v>
      </c>
      <c r="DL685" t="n">
        <v>5</v>
      </c>
      <c r="DM685" t="n">
        <v>6</v>
      </c>
      <c r="EJ685" t="n">
        <v>139.9</v>
      </c>
      <c r="EK685" t="n">
        <v>139.9</v>
      </c>
      <c r="EL685" t="n">
        <v>195.8</v>
      </c>
      <c r="EM685" t="n">
        <v>1580.8</v>
      </c>
      <c r="EN685" t="n">
        <v>1311.7</v>
      </c>
      <c r="EO685" t="n">
        <v>716.9</v>
      </c>
    </row>
    <row r="686">
      <c r="A686" t="inlineStr">
        <is>
          <t>Callum Marshall</t>
        </is>
      </c>
      <c r="D686" t="inlineStr">
        <is>
          <t>FWD</t>
        </is>
      </c>
      <c r="F686" t="b">
        <v>0</v>
      </c>
      <c r="G686" t="b">
        <v>1</v>
      </c>
      <c r="L686" t="inlineStr">
        <is>
          <t>p565431</t>
        </is>
      </c>
      <c r="Q686" t="n">
        <v>58</v>
      </c>
      <c r="R686" t="n">
        <v>2</v>
      </c>
      <c r="T686" t="n">
        <v>0.644</v>
      </c>
      <c r="U686" t="n">
        <v>29</v>
      </c>
      <c r="AD686" t="n">
        <v>0</v>
      </c>
      <c r="AE686" t="n">
        <v>0</v>
      </c>
      <c r="AG686" t="n">
        <v>-1</v>
      </c>
      <c r="AH686" t="n">
        <v>-1</v>
      </c>
      <c r="AI686" t="n">
        <v>2</v>
      </c>
      <c r="AN686" t="n">
        <v>0</v>
      </c>
      <c r="AO686" t="n">
        <v>0</v>
      </c>
      <c r="AS686" t="n">
        <v>0</v>
      </c>
      <c r="AT686" t="n">
        <v>0</v>
      </c>
      <c r="AU686" t="n">
        <v>2</v>
      </c>
      <c r="AV686" t="n">
        <v>0</v>
      </c>
      <c r="AW686" t="n">
        <v>0.23</v>
      </c>
      <c r="AX686" t="n">
        <v>1</v>
      </c>
      <c r="AZ686" t="n">
        <v>0.229</v>
      </c>
      <c r="BA686" t="n">
        <v>0.229</v>
      </c>
      <c r="BB686" t="n">
        <v>0.229</v>
      </c>
      <c r="BD686" t="n">
        <v>0.355</v>
      </c>
      <c r="BE686" t="n">
        <v>0.355</v>
      </c>
      <c r="BH686" t="n">
        <v>0.984</v>
      </c>
      <c r="BI686" t="n">
        <v>0.13</v>
      </c>
      <c r="BJ686" t="n">
        <v>0.128</v>
      </c>
      <c r="BK686" t="n">
        <v>0.199</v>
      </c>
      <c r="BP686" t="n">
        <v>1</v>
      </c>
      <c r="BR686" t="n">
        <v>1</v>
      </c>
      <c r="BS686" t="n">
        <v>1</v>
      </c>
      <c r="BT686" t="n">
        <v>1.552</v>
      </c>
      <c r="BX686" t="n">
        <v>0</v>
      </c>
      <c r="BY686" t="n">
        <v>0</v>
      </c>
      <c r="BZ686" t="n">
        <v>0</v>
      </c>
      <c r="CA686" t="n">
        <v>0.229</v>
      </c>
      <c r="CB686" t="n">
        <v>0.355</v>
      </c>
      <c r="CC686" t="n">
        <v>0</v>
      </c>
      <c r="CI686" t="n">
        <v>0</v>
      </c>
      <c r="CJ686" t="n">
        <v>0</v>
      </c>
      <c r="CO686" t="n">
        <v>2</v>
      </c>
      <c r="CR686" t="n">
        <v>2</v>
      </c>
      <c r="CS686" t="n">
        <v>1</v>
      </c>
      <c r="DI686" t="n">
        <v>0</v>
      </c>
      <c r="DL686" t="n">
        <v>1</v>
      </c>
      <c r="DM686" t="n">
        <v>2</v>
      </c>
      <c r="DN686" t="n">
        <v>1</v>
      </c>
      <c r="EJ686" t="n">
        <v>58</v>
      </c>
      <c r="EK686" t="n">
        <v>58</v>
      </c>
      <c r="EM686" t="n">
        <v>253.3</v>
      </c>
      <c r="EO686" t="n">
        <v>253.3</v>
      </c>
    </row>
    <row r="687">
      <c r="A687" t="inlineStr">
        <is>
          <t>Joe Knight</t>
        </is>
      </c>
      <c r="D687" t="inlineStr">
        <is>
          <t>MID</t>
        </is>
      </c>
      <c r="F687" t="b">
        <v>0</v>
      </c>
      <c r="G687" t="b">
        <v>1</v>
      </c>
      <c r="L687" t="inlineStr">
        <is>
          <t>p567121</t>
        </is>
      </c>
      <c r="Q687" t="n">
        <v>1</v>
      </c>
      <c r="R687" t="n">
        <v>1</v>
      </c>
      <c r="T687" t="n">
        <v>0.011</v>
      </c>
      <c r="U687" t="n">
        <v>1</v>
      </c>
      <c r="AD687" t="n">
        <v>0</v>
      </c>
      <c r="AE687" t="n">
        <v>0</v>
      </c>
      <c r="AG687" t="n">
        <v>3</v>
      </c>
      <c r="AH687" t="n">
        <v>0</v>
      </c>
      <c r="AI687" t="n">
        <v>1</v>
      </c>
      <c r="AN687" t="n">
        <v>0</v>
      </c>
      <c r="AO687" t="n">
        <v>0</v>
      </c>
      <c r="AS687" t="n">
        <v>0</v>
      </c>
      <c r="AT687" t="n">
        <v>0</v>
      </c>
      <c r="AU687" t="n">
        <v>1</v>
      </c>
      <c r="AV687" t="n">
        <v>0</v>
      </c>
      <c r="AW687" t="n">
        <v>0.16</v>
      </c>
      <c r="AX687" t="n">
        <v>1</v>
      </c>
      <c r="AZ687" t="n">
        <v>0</v>
      </c>
      <c r="BA687" t="n">
        <v>0</v>
      </c>
      <c r="BB687" t="n">
        <v>0</v>
      </c>
      <c r="BD687" t="n">
        <v>0</v>
      </c>
      <c r="BE687" t="n">
        <v>0</v>
      </c>
      <c r="BH687" t="n">
        <v>1</v>
      </c>
      <c r="BI687" t="n">
        <v>0</v>
      </c>
      <c r="BJ687" t="n">
        <v>0</v>
      </c>
      <c r="BK687" t="n">
        <v>0</v>
      </c>
      <c r="BX687" t="n">
        <v>0</v>
      </c>
      <c r="BY687" t="n">
        <v>0</v>
      </c>
      <c r="BZ687" t="n">
        <v>0</v>
      </c>
      <c r="CA687" t="n">
        <v>0</v>
      </c>
      <c r="CB687" t="n">
        <v>0</v>
      </c>
      <c r="CC687" t="n">
        <v>0</v>
      </c>
      <c r="CI687" t="n">
        <v>0</v>
      </c>
      <c r="CJ687" t="n">
        <v>0</v>
      </c>
    </row>
    <row r="688">
      <c r="A688" t="inlineStr">
        <is>
          <t>Ousmane Diomande</t>
        </is>
      </c>
      <c r="B688" t="inlineStr">
        <is>
          <t>NFO</t>
        </is>
      </c>
      <c r="C688" t="inlineStr">
        <is>
          <t>DEF</t>
        </is>
      </c>
      <c r="E688" t="n">
        <v>5.5</v>
      </c>
      <c r="F688" t="b">
        <v>1</v>
      </c>
      <c r="G688" t="b">
        <v>0</v>
      </c>
      <c r="H688" t="n">
        <v>22.7</v>
      </c>
      <c r="I688" t="inlineStr">
        <is>
          <t>a</t>
        </is>
      </c>
      <c r="M688" t="n">
        <v>581</v>
      </c>
      <c r="DO688" t="n">
        <v>0.2</v>
      </c>
      <c r="DP688" t="n">
        <v>116.54</v>
      </c>
      <c r="DQ688" t="n">
        <v>58.27</v>
      </c>
      <c r="DR688" t="n">
        <v>116.54</v>
      </c>
      <c r="DS688" t="n">
        <v>0</v>
      </c>
      <c r="DT688" t="n">
        <v>2861</v>
      </c>
      <c r="DU688" t="n">
        <v>75.3</v>
      </c>
      <c r="DV688" t="inlineStr">
        <is>
          <t>flat</t>
        </is>
      </c>
      <c r="DW688" t="n">
        <v>89.41</v>
      </c>
      <c r="DX688" t="n">
        <v>94.73999999999999</v>
      </c>
      <c r="DY688" t="n">
        <v>89.41</v>
      </c>
      <c r="DZ688" t="n">
        <v>0</v>
      </c>
      <c r="EA688" t="n">
        <v>265</v>
      </c>
      <c r="EB688" t="n">
        <v>18.22</v>
      </c>
      <c r="EC688" t="n">
        <v>25.6</v>
      </c>
      <c r="ED688" t="n">
        <v>120</v>
      </c>
      <c r="EE688" t="n">
        <v>265</v>
      </c>
      <c r="EF688" t="b">
        <v>1</v>
      </c>
      <c r="EG688" t="n">
        <v>7.4</v>
      </c>
      <c r="EH688" t="n">
        <v>26.4</v>
      </c>
      <c r="EI688" t="n">
        <v>218</v>
      </c>
    </row>
    <row r="689">
      <c r="A689" t="inlineStr">
        <is>
          <t>César Palacios</t>
        </is>
      </c>
      <c r="B689" t="inlineStr">
        <is>
          <t>FUL</t>
        </is>
      </c>
      <c r="C689" t="inlineStr">
        <is>
          <t>MID</t>
        </is>
      </c>
      <c r="E689" t="n">
        <v>5.5</v>
      </c>
      <c r="F689" t="b">
        <v>1</v>
      </c>
      <c r="G689" t="b">
        <v>0</v>
      </c>
      <c r="H689" t="n">
        <v>21.8</v>
      </c>
      <c r="I689" t="inlineStr">
        <is>
          <t>a</t>
        </is>
      </c>
      <c r="M689" t="n">
        <v>570</v>
      </c>
      <c r="DO689" t="n">
        <v>0.1</v>
      </c>
      <c r="DP689" t="n">
        <v>48.58</v>
      </c>
      <c r="DQ689" t="n">
        <v>24.31</v>
      </c>
      <c r="DR689" t="n">
        <v>48.62</v>
      </c>
      <c r="DS689" t="n">
        <v>-0.04</v>
      </c>
      <c r="DT689" t="n">
        <v>1072</v>
      </c>
      <c r="DU689" t="n">
        <v>28.2</v>
      </c>
      <c r="DV689" t="inlineStr">
        <is>
          <t>flat</t>
        </is>
      </c>
      <c r="DW689" t="n">
        <v>79.45</v>
      </c>
      <c r="DX689" t="n">
        <v>96</v>
      </c>
      <c r="DY689" t="n">
        <v>85.34</v>
      </c>
      <c r="DZ689" t="n">
        <v>5.89</v>
      </c>
      <c r="EA689" t="n">
        <v>7</v>
      </c>
      <c r="EB689" t="n">
        <v>27.25</v>
      </c>
      <c r="EC689" t="n">
        <v>26.67</v>
      </c>
      <c r="ED689" t="n">
        <v>117.33</v>
      </c>
      <c r="EE689" t="n">
        <v>12</v>
      </c>
      <c r="EF689" t="b">
        <v>1</v>
      </c>
      <c r="EG689" t="n">
        <v>0.3</v>
      </c>
      <c r="EH689" t="n">
        <v>25</v>
      </c>
      <c r="EI689" t="n">
        <v>215</v>
      </c>
    </row>
    <row r="690">
      <c r="A690" t="inlineStr">
        <is>
          <t>Luis Guilherme</t>
        </is>
      </c>
      <c r="D690" t="inlineStr">
        <is>
          <t>MID</t>
        </is>
      </c>
      <c r="F690" t="b">
        <v>0</v>
      </c>
      <c r="G690" t="b">
        <v>1</v>
      </c>
      <c r="L690" t="inlineStr">
        <is>
          <t>p577114</t>
        </is>
      </c>
      <c r="Q690" t="n">
        <v>121</v>
      </c>
      <c r="R690" t="n">
        <v>5</v>
      </c>
      <c r="T690" t="n">
        <v>1.344</v>
      </c>
      <c r="U690" t="n">
        <v>24.2</v>
      </c>
      <c r="AD690" t="n">
        <v>0</v>
      </c>
      <c r="AE690" t="n">
        <v>0</v>
      </c>
      <c r="AG690" t="n">
        <v>11</v>
      </c>
      <c r="AH690" t="n">
        <v>0</v>
      </c>
      <c r="AI690" t="n">
        <v>5</v>
      </c>
      <c r="AN690" t="n">
        <v>0</v>
      </c>
      <c r="AO690" t="n">
        <v>0</v>
      </c>
      <c r="AP690" t="n">
        <v>0</v>
      </c>
      <c r="AQ690" t="n">
        <v>0</v>
      </c>
      <c r="AR690" t="n">
        <v>0</v>
      </c>
      <c r="AS690" t="n">
        <v>0.026</v>
      </c>
      <c r="AT690" t="n">
        <v>0</v>
      </c>
      <c r="AU690" t="n">
        <v>5</v>
      </c>
      <c r="AV690" t="n">
        <v>0</v>
      </c>
      <c r="AW690" t="n">
        <v>0.34</v>
      </c>
      <c r="AX690" t="n">
        <v>1</v>
      </c>
      <c r="AZ690" t="n">
        <v>0.039</v>
      </c>
      <c r="BA690" t="n">
        <v>0.039</v>
      </c>
      <c r="BB690" t="n">
        <v>0.039</v>
      </c>
      <c r="BD690" t="n">
        <v>0.029</v>
      </c>
      <c r="BE690" t="n">
        <v>0.029</v>
      </c>
      <c r="BH690" t="n">
        <v>0.954</v>
      </c>
      <c r="BI690" t="n">
        <v>0.49</v>
      </c>
      <c r="BJ690" t="n">
        <v>0.067</v>
      </c>
      <c r="BK690" t="n">
        <v>0.05</v>
      </c>
      <c r="BP690" t="n">
        <v>1</v>
      </c>
      <c r="BS690" t="n">
        <v>2</v>
      </c>
      <c r="BT690" t="n">
        <v>1.488</v>
      </c>
      <c r="BX690" t="n">
        <v>0.052</v>
      </c>
      <c r="BY690" t="n">
        <v>0.052</v>
      </c>
      <c r="BZ690" t="n">
        <v>0.039</v>
      </c>
      <c r="CA690" t="n">
        <v>0.091</v>
      </c>
      <c r="CB690" t="n">
        <v>0.068</v>
      </c>
      <c r="CC690" t="n">
        <v>1</v>
      </c>
      <c r="CE690" t="n">
        <v>1</v>
      </c>
      <c r="CI690" t="n">
        <v>0.091</v>
      </c>
      <c r="CJ690" t="n">
        <v>0</v>
      </c>
      <c r="CN690" t="n">
        <v>1</v>
      </c>
      <c r="CP690" t="n">
        <v>2</v>
      </c>
      <c r="CR690" t="n">
        <v>3</v>
      </c>
      <c r="DL690" t="n">
        <v>2</v>
      </c>
      <c r="DM690" t="n">
        <v>5</v>
      </c>
      <c r="EJ690" t="n">
        <v>121</v>
      </c>
      <c r="EK690" t="n">
        <v>60.5</v>
      </c>
      <c r="EL690" t="n">
        <v>121</v>
      </c>
      <c r="EM690" t="n">
        <v>3075</v>
      </c>
      <c r="EN690" t="n">
        <v>2336</v>
      </c>
      <c r="EO690" t="n">
        <v>1327.5</v>
      </c>
    </row>
    <row r="691">
      <c r="A691" t="inlineStr">
        <is>
          <t>Miguel Brau</t>
        </is>
      </c>
      <c r="B691" t="inlineStr">
        <is>
          <t>COV</t>
        </is>
      </c>
      <c r="C691" t="inlineStr">
        <is>
          <t>DEF</t>
        </is>
      </c>
      <c r="E691" t="n">
        <v>4</v>
      </c>
      <c r="F691" t="b">
        <v>1</v>
      </c>
      <c r="G691" t="b">
        <v>0</v>
      </c>
      <c r="H691" t="n">
        <v>24.6</v>
      </c>
      <c r="I691" t="inlineStr">
        <is>
          <t>a</t>
        </is>
      </c>
      <c r="M691" t="n">
        <v>181</v>
      </c>
      <c r="DO691" t="n">
        <v>0.1</v>
      </c>
      <c r="DP691" t="n">
        <v>0</v>
      </c>
      <c r="DQ691" t="n">
        <v>0</v>
      </c>
      <c r="DR691" t="n">
        <v>0</v>
      </c>
      <c r="DS691" t="n">
        <v>0</v>
      </c>
      <c r="DT691" t="n">
        <v>0</v>
      </c>
      <c r="DU691" t="n">
        <v>0</v>
      </c>
      <c r="DV691" t="inlineStr">
        <is>
          <t>flat</t>
        </is>
      </c>
    </row>
    <row r="692">
      <c r="A692" t="inlineStr">
        <is>
          <t>Kosta Nedeljkovic</t>
        </is>
      </c>
      <c r="B692" t="inlineStr">
        <is>
          <t>AVL</t>
        </is>
      </c>
      <c r="C692" t="inlineStr">
        <is>
          <t>DEF</t>
        </is>
      </c>
      <c r="E692" t="n">
        <v>4</v>
      </c>
      <c r="F692" t="b">
        <v>1</v>
      </c>
      <c r="G692" t="b">
        <v>0</v>
      </c>
      <c r="H692" t="n">
        <v>20.7</v>
      </c>
      <c r="I692" t="inlineStr">
        <is>
          <t>a</t>
        </is>
      </c>
      <c r="M692" t="n">
        <v>39</v>
      </c>
      <c r="DO692" t="n">
        <v>0.7</v>
      </c>
      <c r="DP692" t="n">
        <v>0</v>
      </c>
      <c r="DQ692" t="n">
        <v>0</v>
      </c>
      <c r="DR692" t="n">
        <v>0</v>
      </c>
      <c r="DS692" t="n">
        <v>0</v>
      </c>
      <c r="DT692" t="n">
        <v>0</v>
      </c>
      <c r="DU692" t="n">
        <v>0</v>
      </c>
      <c r="DV692" t="inlineStr">
        <is>
          <t>flat</t>
        </is>
      </c>
      <c r="DW692" t="n">
        <v>80.67</v>
      </c>
      <c r="DX692" t="n">
        <v>80.67</v>
      </c>
      <c r="EB692" t="n">
        <v>34.44</v>
      </c>
      <c r="EC692" t="n">
        <v>41</v>
      </c>
      <c r="ED692" t="n">
        <v>103</v>
      </c>
      <c r="EE692" t="n">
        <v>3</v>
      </c>
      <c r="EF692" t="b">
        <v>0</v>
      </c>
      <c r="EG692" t="n">
        <v>0.1</v>
      </c>
      <c r="EH692" t="n">
        <v>25</v>
      </c>
      <c r="EI692" t="n">
        <v>533</v>
      </c>
    </row>
    <row r="693">
      <c r="A693" t="inlineStr">
        <is>
          <t>Geovany Quenda</t>
        </is>
      </c>
      <c r="B693" t="inlineStr">
        <is>
          <t>CHE</t>
        </is>
      </c>
      <c r="C693" t="inlineStr">
        <is>
          <t>MID</t>
        </is>
      </c>
      <c r="E693" t="n">
        <v>5.5</v>
      </c>
      <c r="F693" t="b">
        <v>1</v>
      </c>
      <c r="G693" t="b">
        <v>0</v>
      </c>
      <c r="H693" t="n">
        <v>19.3</v>
      </c>
      <c r="I693" t="inlineStr">
        <is>
          <t>a</t>
        </is>
      </c>
      <c r="K693" t="n">
        <v>100</v>
      </c>
      <c r="M693" t="n">
        <v>164</v>
      </c>
      <c r="DO693" t="n">
        <v>0.1</v>
      </c>
      <c r="DP693" t="n">
        <v>43.33</v>
      </c>
      <c r="DQ693" t="n">
        <v>21.72</v>
      </c>
      <c r="DR693" t="n">
        <v>43.44</v>
      </c>
      <c r="DS693" t="n">
        <v>-0.11</v>
      </c>
      <c r="DT693" t="n">
        <v>866</v>
      </c>
      <c r="DU693" t="n">
        <v>22.79</v>
      </c>
      <c r="DV693" t="inlineStr">
        <is>
          <t>flat</t>
        </is>
      </c>
      <c r="DW693" t="n">
        <v>81.8</v>
      </c>
      <c r="DX693" t="n">
        <v>87.67</v>
      </c>
      <c r="DY693" t="n">
        <v>81.55</v>
      </c>
      <c r="DZ693" t="n">
        <v>-0.25</v>
      </c>
      <c r="EA693" t="n">
        <v>18</v>
      </c>
      <c r="EB693" t="n">
        <v>27.05</v>
      </c>
      <c r="EC693" t="n">
        <v>20.8</v>
      </c>
      <c r="ED693" t="n">
        <v>114.5</v>
      </c>
      <c r="EE693" t="n">
        <v>30</v>
      </c>
      <c r="EF693" t="b">
        <v>1</v>
      </c>
      <c r="EG693" t="n">
        <v>0.8</v>
      </c>
      <c r="EH693" t="n">
        <v>21.1</v>
      </c>
      <c r="EI693" t="n">
        <v>203</v>
      </c>
    </row>
    <row r="694">
      <c r="A694" t="inlineStr">
        <is>
          <t>Tom Edozie</t>
        </is>
      </c>
      <c r="D694" t="inlineStr">
        <is>
          <t>MID</t>
        </is>
      </c>
      <c r="F694" t="b">
        <v>0</v>
      </c>
      <c r="G694" t="b">
        <v>1</v>
      </c>
      <c r="L694" t="inlineStr">
        <is>
          <t>p596054</t>
        </is>
      </c>
      <c r="Q694" t="n">
        <v>12</v>
      </c>
      <c r="R694" t="n">
        <v>3</v>
      </c>
      <c r="T694" t="n">
        <v>0.133</v>
      </c>
      <c r="U694" t="n">
        <v>4</v>
      </c>
      <c r="AD694" t="n">
        <v>0</v>
      </c>
      <c r="AE694" t="n">
        <v>0</v>
      </c>
      <c r="AG694" t="n">
        <v>27</v>
      </c>
      <c r="AH694" t="n">
        <v>0</v>
      </c>
      <c r="AI694" t="n">
        <v>8</v>
      </c>
      <c r="AN694" t="n">
        <v>0</v>
      </c>
      <c r="AO694" t="n">
        <v>0</v>
      </c>
      <c r="AS694" t="n">
        <v>0</v>
      </c>
      <c r="AT694" t="n">
        <v>0</v>
      </c>
      <c r="AU694" t="n">
        <v>2</v>
      </c>
      <c r="AV694" t="n">
        <v>0</v>
      </c>
      <c r="AW694" t="n">
        <v>0.99</v>
      </c>
      <c r="AX694" t="n">
        <v>6</v>
      </c>
      <c r="BF694" t="n">
        <v>0.8</v>
      </c>
      <c r="BG694" t="n">
        <v>6</v>
      </c>
      <c r="BH694" t="n">
        <v>1.069</v>
      </c>
      <c r="BI694" t="n">
        <v>0.23</v>
      </c>
      <c r="BJ694" t="n">
        <v>0.246</v>
      </c>
      <c r="BK694" t="n">
        <v>1.845</v>
      </c>
      <c r="BP694" t="n">
        <v>2</v>
      </c>
      <c r="BQ694" t="n">
        <v>1</v>
      </c>
      <c r="BR694" t="n">
        <v>0</v>
      </c>
      <c r="BS694" t="n">
        <v>3</v>
      </c>
      <c r="BT694" t="n">
        <v>22.5</v>
      </c>
      <c r="CR694" t="n">
        <v>3</v>
      </c>
      <c r="DL694" t="n">
        <v>2</v>
      </c>
      <c r="DM694" t="n">
        <v>2</v>
      </c>
      <c r="EJ694" t="n">
        <v>6</v>
      </c>
      <c r="EK694" t="n">
        <v>4</v>
      </c>
    </row>
    <row r="695">
      <c r="A695" t="inlineStr">
        <is>
          <t>Lucas Herrington</t>
        </is>
      </c>
      <c r="B695" t="inlineStr">
        <is>
          <t>HUL</t>
        </is>
      </c>
      <c r="C695" t="inlineStr">
        <is>
          <t>DEF</t>
        </is>
      </c>
      <c r="E695" t="n">
        <v>4</v>
      </c>
      <c r="F695" t="b">
        <v>1</v>
      </c>
      <c r="G695" t="b">
        <v>0</v>
      </c>
      <c r="H695" t="n">
        <v>19</v>
      </c>
      <c r="I695" t="inlineStr">
        <is>
          <t>a</t>
        </is>
      </c>
      <c r="M695" t="n">
        <v>585</v>
      </c>
      <c r="DO695" t="n">
        <v>0</v>
      </c>
      <c r="DP695" t="n">
        <v>0</v>
      </c>
      <c r="DQ695" t="n">
        <v>0</v>
      </c>
      <c r="DR695" t="n">
        <v>0</v>
      </c>
      <c r="DS695" t="n">
        <v>0</v>
      </c>
      <c r="DT695" t="n">
        <v>0</v>
      </c>
      <c r="DU695" t="n">
        <v>0</v>
      </c>
      <c r="DV695" t="inlineStr">
        <is>
          <t>flat</t>
        </is>
      </c>
    </row>
    <row r="696">
      <c r="A696" t="inlineStr">
        <is>
          <t>Ezra Mayers</t>
        </is>
      </c>
      <c r="D696" t="inlineStr">
        <is>
          <t>DEF</t>
        </is>
      </c>
      <c r="F696" t="b">
        <v>0</v>
      </c>
      <c r="G696" t="b">
        <v>1</v>
      </c>
      <c r="L696" t="inlineStr">
        <is>
          <t>p602903</t>
        </is>
      </c>
      <c r="Q696" t="n">
        <v>113</v>
      </c>
      <c r="R696" t="n">
        <v>6</v>
      </c>
      <c r="T696" t="n">
        <v>1.256</v>
      </c>
      <c r="U696" t="n">
        <v>18.8</v>
      </c>
      <c r="AD696" t="n">
        <v>0</v>
      </c>
      <c r="AE696" t="n">
        <v>0</v>
      </c>
      <c r="AG696" t="n">
        <v>17</v>
      </c>
      <c r="AH696" t="n">
        <v>-1</v>
      </c>
      <c r="AI696" t="n">
        <v>6</v>
      </c>
      <c r="AN696" t="n">
        <v>0</v>
      </c>
      <c r="AO696" t="n">
        <v>0</v>
      </c>
      <c r="AS696" t="n">
        <v>0</v>
      </c>
      <c r="AT696" t="n">
        <v>0</v>
      </c>
      <c r="AU696" t="n">
        <v>6</v>
      </c>
      <c r="AV696" t="n">
        <v>0</v>
      </c>
      <c r="AW696" t="n">
        <v>0.41</v>
      </c>
      <c r="AX696" t="n">
        <v>1</v>
      </c>
      <c r="AZ696" t="n">
        <v>0.11</v>
      </c>
      <c r="BA696" t="n">
        <v>0.11</v>
      </c>
      <c r="BB696" t="n">
        <v>0.11</v>
      </c>
      <c r="BD696" t="n">
        <v>0.08799999999999999</v>
      </c>
      <c r="BE696" t="n">
        <v>0.08799999999999999</v>
      </c>
      <c r="BH696" t="n">
        <v>0.985</v>
      </c>
      <c r="BI696" t="n">
        <v>0.12</v>
      </c>
      <c r="BJ696" t="n">
        <v>0.118</v>
      </c>
      <c r="BK696" t="n">
        <v>0.094</v>
      </c>
      <c r="BP696" t="n">
        <v>1</v>
      </c>
      <c r="BS696" t="n">
        <v>3</v>
      </c>
      <c r="BT696" t="n">
        <v>2.389</v>
      </c>
      <c r="BX696" t="n">
        <v>0.116</v>
      </c>
      <c r="BY696" t="n">
        <v>0.116</v>
      </c>
      <c r="BZ696" t="n">
        <v>0.093</v>
      </c>
      <c r="CA696" t="n">
        <v>0.226</v>
      </c>
      <c r="CB696" t="n">
        <v>0.18</v>
      </c>
      <c r="CC696" t="n">
        <v>2</v>
      </c>
      <c r="CE696" t="n">
        <v>2</v>
      </c>
      <c r="CF696" t="n">
        <v>2</v>
      </c>
      <c r="CI696" t="n">
        <v>0.391</v>
      </c>
      <c r="CJ696" t="n">
        <v>0.165</v>
      </c>
      <c r="CO696" t="n">
        <v>1</v>
      </c>
      <c r="CP696" t="n">
        <v>4</v>
      </c>
      <c r="CR696" t="n">
        <v>4</v>
      </c>
      <c r="CS696" t="n">
        <v>3</v>
      </c>
      <c r="DL696" t="n">
        <v>1</v>
      </c>
      <c r="DM696" t="n">
        <v>1</v>
      </c>
      <c r="EJ696" t="n">
        <v>113</v>
      </c>
      <c r="EK696" t="n">
        <v>37.7</v>
      </c>
      <c r="EL696" t="n">
        <v>56.5</v>
      </c>
      <c r="EM696" t="n">
        <v>1028.3</v>
      </c>
      <c r="EN696" t="n">
        <v>971.3</v>
      </c>
      <c r="EO696" t="n">
        <v>499.5</v>
      </c>
    </row>
    <row r="697">
      <c r="A697" t="inlineStr">
        <is>
          <t>Romelle Donovan</t>
        </is>
      </c>
      <c r="D697" t="inlineStr">
        <is>
          <t>MID</t>
        </is>
      </c>
      <c r="F697" t="b">
        <v>0</v>
      </c>
      <c r="G697" t="b">
        <v>1</v>
      </c>
      <c r="L697" t="inlineStr">
        <is>
          <t>p606689</t>
        </is>
      </c>
      <c r="Q697" t="n">
        <v>38</v>
      </c>
      <c r="R697" t="n">
        <v>4</v>
      </c>
      <c r="T697" t="n">
        <v>0.422</v>
      </c>
      <c r="U697" t="n">
        <v>9.5</v>
      </c>
      <c r="AD697" t="n">
        <v>0</v>
      </c>
      <c r="AE697" t="n">
        <v>0</v>
      </c>
      <c r="AG697" t="n">
        <v>19</v>
      </c>
      <c r="AH697" t="n">
        <v>0</v>
      </c>
      <c r="AI697" t="n">
        <v>4</v>
      </c>
      <c r="AN697" t="n">
        <v>0</v>
      </c>
      <c r="AO697" t="n">
        <v>0</v>
      </c>
      <c r="AS697" t="n">
        <v>0</v>
      </c>
      <c r="AT697" t="n">
        <v>0</v>
      </c>
      <c r="AU697" t="n">
        <v>4</v>
      </c>
      <c r="AV697" t="n">
        <v>0</v>
      </c>
      <c r="AW697" t="n">
        <v>0.31</v>
      </c>
      <c r="AX697" t="n">
        <v>1</v>
      </c>
      <c r="AZ697" t="n">
        <v>0.105</v>
      </c>
      <c r="BA697" t="n">
        <v>0.105</v>
      </c>
      <c r="BB697" t="n">
        <v>0.105</v>
      </c>
      <c r="BD697" t="n">
        <v>0.248</v>
      </c>
      <c r="BE697" t="n">
        <v>0.248</v>
      </c>
      <c r="BF697" t="n">
        <v>0</v>
      </c>
      <c r="BG697" t="n">
        <v>0</v>
      </c>
      <c r="BH697" t="n">
        <v>0.989</v>
      </c>
      <c r="BI697" t="n">
        <v>0.09</v>
      </c>
      <c r="BJ697" t="n">
        <v>0.089</v>
      </c>
      <c r="BK697" t="n">
        <v>0.211</v>
      </c>
      <c r="BP697" t="n">
        <v>3</v>
      </c>
      <c r="BQ697" t="n">
        <v>1</v>
      </c>
      <c r="BS697" t="n">
        <v>5</v>
      </c>
      <c r="BT697" t="n">
        <v>11.842</v>
      </c>
      <c r="BX697" t="n">
        <v>0.032</v>
      </c>
      <c r="BY697" t="n">
        <v>0.032</v>
      </c>
      <c r="BZ697" t="n">
        <v>0.076</v>
      </c>
      <c r="CA697" t="n">
        <v>0.137</v>
      </c>
      <c r="CB697" t="n">
        <v>0.324</v>
      </c>
      <c r="CC697" t="n">
        <v>1</v>
      </c>
      <c r="CE697" t="n">
        <v>1</v>
      </c>
      <c r="CI697" t="n">
        <v>0.105</v>
      </c>
      <c r="CJ697" t="n">
        <v>0</v>
      </c>
      <c r="CR697" t="n">
        <v>8</v>
      </c>
      <c r="DH697" t="n">
        <v>2</v>
      </c>
      <c r="DI697" t="n">
        <v>3</v>
      </c>
      <c r="DL697" t="n">
        <v>5</v>
      </c>
      <c r="DM697" t="n">
        <v>2</v>
      </c>
      <c r="EJ697" t="n">
        <v>12.7</v>
      </c>
      <c r="EK697" t="n">
        <v>7.6</v>
      </c>
      <c r="EL697" t="n">
        <v>38</v>
      </c>
      <c r="EM697" t="n">
        <v>362.9</v>
      </c>
      <c r="EN697" t="n">
        <v>1186.2</v>
      </c>
      <c r="EO697" t="n">
        <v>277.9</v>
      </c>
    </row>
    <row r="698">
      <c r="A698" t="inlineStr">
        <is>
          <t>Jeremy Jacquet</t>
        </is>
      </c>
      <c r="B698" t="inlineStr">
        <is>
          <t>LIV</t>
        </is>
      </c>
      <c r="C698" t="inlineStr">
        <is>
          <t>DEF</t>
        </is>
      </c>
      <c r="E698" t="n">
        <v>5</v>
      </c>
      <c r="F698" t="b">
        <v>1</v>
      </c>
      <c r="G698" t="b">
        <v>0</v>
      </c>
      <c r="H698" t="n">
        <v>21.1</v>
      </c>
      <c r="I698" t="inlineStr">
        <is>
          <t>a</t>
        </is>
      </c>
      <c r="K698" t="n">
        <v>100</v>
      </c>
      <c r="M698" t="n">
        <v>362</v>
      </c>
      <c r="DO698" t="n">
        <v>1.1</v>
      </c>
      <c r="DP698" t="n">
        <v>63.89</v>
      </c>
      <c r="DQ698" t="n">
        <v>31.56</v>
      </c>
      <c r="DR698" t="n">
        <v>63.12</v>
      </c>
      <c r="DS698" t="n">
        <v>0.77</v>
      </c>
      <c r="DT698" t="n">
        <v>1442</v>
      </c>
      <c r="DU698" t="n">
        <v>37.95</v>
      </c>
      <c r="DV698" t="inlineStr">
        <is>
          <t>flat</t>
        </is>
      </c>
      <c r="DW698" t="n">
        <v>93.28</v>
      </c>
      <c r="DX698" t="n">
        <v>96.67</v>
      </c>
      <c r="DY698" t="n">
        <v>92.48</v>
      </c>
      <c r="DZ698" t="n">
        <v>-0.8</v>
      </c>
      <c r="EA698" t="n">
        <v>406</v>
      </c>
      <c r="EB698" t="n">
        <v>18.98</v>
      </c>
      <c r="EC698" t="n">
        <v>8.800000000000001</v>
      </c>
      <c r="ED698" t="n">
        <v>120</v>
      </c>
      <c r="EE698" t="n">
        <v>903</v>
      </c>
      <c r="EF698" t="b">
        <v>1</v>
      </c>
      <c r="EG698" t="n">
        <v>20.8</v>
      </c>
      <c r="EH698" t="n">
        <v>10.8</v>
      </c>
      <c r="EI698" t="n">
        <v>367</v>
      </c>
    </row>
    <row r="699">
      <c r="A699" t="inlineStr">
        <is>
          <t>Ben Winterburn</t>
        </is>
      </c>
      <c r="D699" t="inlineStr">
        <is>
          <t>MID</t>
        </is>
      </c>
      <c r="F699" t="b">
        <v>0</v>
      </c>
      <c r="G699" t="b">
        <v>1</v>
      </c>
      <c r="L699" t="inlineStr">
        <is>
          <t>p606775</t>
        </is>
      </c>
      <c r="Q699" t="n">
        <v>6</v>
      </c>
      <c r="R699" t="n">
        <v>1</v>
      </c>
      <c r="T699" t="n">
        <v>0.067</v>
      </c>
      <c r="U699" t="n">
        <v>6</v>
      </c>
      <c r="AD699" t="n">
        <v>0</v>
      </c>
      <c r="AE699" t="n">
        <v>0</v>
      </c>
      <c r="AG699" t="n">
        <v>3</v>
      </c>
      <c r="AH699" t="n">
        <v>0</v>
      </c>
      <c r="AI699" t="n">
        <v>1</v>
      </c>
      <c r="AN699" t="n">
        <v>0</v>
      </c>
      <c r="AO699" t="n">
        <v>0</v>
      </c>
      <c r="AS699" t="n">
        <v>0</v>
      </c>
      <c r="AT699" t="n">
        <v>0</v>
      </c>
      <c r="AU699" t="n">
        <v>1</v>
      </c>
      <c r="AV699" t="n">
        <v>0</v>
      </c>
      <c r="AW699" t="n">
        <v>0.16</v>
      </c>
      <c r="AX699" t="n">
        <v>1</v>
      </c>
      <c r="BH699" t="n">
        <v>1</v>
      </c>
      <c r="BI699" t="n">
        <v>0</v>
      </c>
      <c r="BJ699" t="n">
        <v>0</v>
      </c>
      <c r="BK699" t="n">
        <v>0</v>
      </c>
      <c r="CP699" t="n">
        <v>0</v>
      </c>
    </row>
    <row r="700">
      <c r="A700" t="inlineStr">
        <is>
          <t>Nobel Mendy</t>
        </is>
      </c>
      <c r="B700" t="inlineStr">
        <is>
          <t>HUL</t>
        </is>
      </c>
      <c r="C700" t="inlineStr">
        <is>
          <t>DEF</t>
        </is>
      </c>
      <c r="E700" t="n">
        <v>4</v>
      </c>
      <c r="F700" t="b">
        <v>1</v>
      </c>
      <c r="G700" t="b">
        <v>0</v>
      </c>
      <c r="H700" t="n">
        <v>22</v>
      </c>
      <c r="I700" t="inlineStr">
        <is>
          <t>a</t>
        </is>
      </c>
      <c r="M700" t="n">
        <v>586</v>
      </c>
      <c r="DO700" t="n">
        <v>0.1</v>
      </c>
      <c r="DP700" t="n">
        <v>0</v>
      </c>
      <c r="DQ700" t="n">
        <v>0</v>
      </c>
      <c r="DR700" t="n">
        <v>0</v>
      </c>
      <c r="DS700" t="n">
        <v>0</v>
      </c>
      <c r="DT700" t="n">
        <v>0</v>
      </c>
      <c r="DU700" t="n">
        <v>0</v>
      </c>
      <c r="DV700" t="inlineStr">
        <is>
          <t>flat</t>
        </is>
      </c>
    </row>
    <row r="701">
      <c r="A701" t="inlineStr">
        <is>
          <t>Elliot Stroud</t>
        </is>
      </c>
      <c r="B701" t="inlineStr">
        <is>
          <t>HUL</t>
        </is>
      </c>
      <c r="C701" t="inlineStr">
        <is>
          <t>MID</t>
        </is>
      </c>
      <c r="E701" t="n">
        <v>5</v>
      </c>
      <c r="F701" t="b">
        <v>1</v>
      </c>
      <c r="G701" t="b">
        <v>0</v>
      </c>
      <c r="H701" t="n">
        <v>24.2</v>
      </c>
      <c r="I701" t="inlineStr">
        <is>
          <t>a</t>
        </is>
      </c>
      <c r="M701" t="n">
        <v>576</v>
      </c>
      <c r="DO701" t="n">
        <v>0</v>
      </c>
      <c r="DP701" t="n">
        <v>96.95</v>
      </c>
      <c r="DQ701" t="n">
        <v>48.5</v>
      </c>
      <c r="DR701" t="n">
        <v>97</v>
      </c>
      <c r="DS701" t="n">
        <v>-0.05</v>
      </c>
      <c r="DT701" t="n">
        <v>2554</v>
      </c>
      <c r="DU701" t="n">
        <v>67.2</v>
      </c>
      <c r="DV701" t="inlineStr">
        <is>
          <t>flat</t>
        </is>
      </c>
      <c r="DW701" t="n">
        <v>116</v>
      </c>
      <c r="DY701" t="n">
        <v>116</v>
      </c>
      <c r="DZ701" t="n">
        <v>0</v>
      </c>
      <c r="EA701" t="n">
        <v>1</v>
      </c>
      <c r="EC701" t="n">
        <v>116</v>
      </c>
      <c r="ED701" t="n">
        <v>116</v>
      </c>
      <c r="EE701" t="n">
        <v>1</v>
      </c>
      <c r="EF701" t="b">
        <v>0</v>
      </c>
      <c r="EG701" t="n">
        <v>0</v>
      </c>
      <c r="EH701" t="n">
        <v>0</v>
      </c>
      <c r="EI701" t="n">
        <v>384</v>
      </c>
    </row>
    <row r="702">
      <c r="A702" t="inlineStr">
        <is>
          <t>Bazoumana Touré</t>
        </is>
      </c>
      <c r="B702" t="inlineStr">
        <is>
          <t>NEW</t>
        </is>
      </c>
      <c r="C702" t="inlineStr">
        <is>
          <t>MID</t>
        </is>
      </c>
      <c r="E702" t="n">
        <v>6</v>
      </c>
      <c r="F702" t="b">
        <v>1</v>
      </c>
      <c r="G702" t="b">
        <v>0</v>
      </c>
      <c r="H702" t="n">
        <v>20.5</v>
      </c>
      <c r="I702" t="inlineStr">
        <is>
          <t>a</t>
        </is>
      </c>
      <c r="M702" t="n">
        <v>461</v>
      </c>
      <c r="DO702" t="n">
        <v>0.3</v>
      </c>
      <c r="DP702" t="n">
        <v>59.4</v>
      </c>
      <c r="DQ702" t="n">
        <v>29.7</v>
      </c>
      <c r="DR702" t="n">
        <v>59.4</v>
      </c>
      <c r="DS702" t="n">
        <v>0</v>
      </c>
      <c r="DT702" t="n">
        <v>1197</v>
      </c>
      <c r="DU702" t="n">
        <v>31.5</v>
      </c>
      <c r="DV702" t="inlineStr">
        <is>
          <t>flat</t>
        </is>
      </c>
      <c r="DW702" t="n">
        <v>85.3</v>
      </c>
      <c r="DX702" t="n">
        <v>86.44</v>
      </c>
      <c r="DY702" t="n">
        <v>86.61</v>
      </c>
      <c r="DZ702" t="n">
        <v>1.3</v>
      </c>
      <c r="EA702" t="n">
        <v>154</v>
      </c>
      <c r="EB702" t="n">
        <v>21.65</v>
      </c>
      <c r="EC702" t="n">
        <v>17.33</v>
      </c>
      <c r="ED702" t="n">
        <v>119.33</v>
      </c>
      <c r="EE702" t="n">
        <v>206</v>
      </c>
      <c r="EF702" t="b">
        <v>1</v>
      </c>
      <c r="EG702" t="n">
        <v>4.8</v>
      </c>
      <c r="EH702" t="n">
        <v>11.2</v>
      </c>
      <c r="EI702" t="n">
        <v>109</v>
      </c>
    </row>
    <row r="703">
      <c r="A703" t="inlineStr">
        <is>
          <t>El Hadji Malick Diouf</t>
        </is>
      </c>
      <c r="D703" t="inlineStr">
        <is>
          <t>DEF</t>
        </is>
      </c>
      <c r="F703" t="b">
        <v>0</v>
      </c>
      <c r="G703" t="b">
        <v>1</v>
      </c>
      <c r="L703" t="inlineStr">
        <is>
          <t>p613804</t>
        </is>
      </c>
      <c r="Q703" t="n">
        <v>2711</v>
      </c>
      <c r="R703" t="n">
        <v>32</v>
      </c>
      <c r="T703" t="n">
        <v>30.122</v>
      </c>
      <c r="U703" t="n">
        <v>84.7</v>
      </c>
      <c r="Z703" t="n">
        <v>5</v>
      </c>
      <c r="AD703" t="n">
        <v>3</v>
      </c>
      <c r="AE703" t="n">
        <v>0</v>
      </c>
      <c r="AG703" t="n">
        <v>353</v>
      </c>
      <c r="AH703" t="n">
        <v>-28</v>
      </c>
      <c r="AI703" t="n">
        <v>104</v>
      </c>
      <c r="AN703" t="n">
        <v>4</v>
      </c>
      <c r="AO703" t="n">
        <v>8</v>
      </c>
      <c r="AP703" t="n">
        <v>0.133</v>
      </c>
      <c r="AQ703" t="n">
        <v>0.133</v>
      </c>
      <c r="AR703" t="n">
        <v>0.033</v>
      </c>
      <c r="AS703" t="n">
        <v>0.789</v>
      </c>
      <c r="AT703" t="n">
        <v>0.9379999999999999</v>
      </c>
      <c r="AU703" t="n">
        <v>16</v>
      </c>
      <c r="AV703" t="n">
        <v>1</v>
      </c>
      <c r="AW703" t="n">
        <v>2.79</v>
      </c>
      <c r="AX703" t="n">
        <v>10</v>
      </c>
      <c r="AZ703" t="n">
        <v>0.5590000000000001</v>
      </c>
      <c r="BA703" t="n">
        <v>0.5590000000000001</v>
      </c>
      <c r="BB703" t="n">
        <v>0.5590000000000001</v>
      </c>
      <c r="BD703" t="n">
        <v>0.019</v>
      </c>
      <c r="BE703" t="n">
        <v>0.019</v>
      </c>
      <c r="BF703" t="n">
        <v>0.1</v>
      </c>
      <c r="BG703" t="n">
        <v>0.003</v>
      </c>
      <c r="BH703" t="n">
        <v>0.945</v>
      </c>
      <c r="BI703" t="n">
        <v>0.57</v>
      </c>
      <c r="BJ703" t="n">
        <v>0.539</v>
      </c>
      <c r="BK703" t="n">
        <v>0.018</v>
      </c>
      <c r="BP703" t="n">
        <v>18</v>
      </c>
      <c r="BQ703" t="n">
        <v>4</v>
      </c>
      <c r="BS703" t="n">
        <v>30</v>
      </c>
      <c r="BT703" t="n">
        <v>0.996</v>
      </c>
      <c r="BX703" t="n">
        <v>3.254</v>
      </c>
      <c r="BY703" t="n">
        <v>3.254</v>
      </c>
      <c r="BZ703" t="n">
        <v>0.108</v>
      </c>
      <c r="CA703" t="n">
        <v>3.813</v>
      </c>
      <c r="CB703" t="n">
        <v>0.127</v>
      </c>
      <c r="CC703" t="n">
        <v>29</v>
      </c>
      <c r="CD703" t="n">
        <v>5</v>
      </c>
      <c r="CE703" t="n">
        <v>29</v>
      </c>
      <c r="CF703" t="n">
        <v>29</v>
      </c>
      <c r="CG703" t="n">
        <v>1</v>
      </c>
      <c r="CH703" t="n">
        <v>7</v>
      </c>
      <c r="CI703" t="n">
        <v>6.94</v>
      </c>
      <c r="CJ703" t="n">
        <v>5.089</v>
      </c>
      <c r="CN703" t="n">
        <v>20</v>
      </c>
      <c r="CO703" t="n">
        <v>33</v>
      </c>
      <c r="CP703" t="n">
        <v>116</v>
      </c>
      <c r="CQ703" t="n">
        <v>13</v>
      </c>
      <c r="CR703" t="n">
        <v>137</v>
      </c>
      <c r="CS703" t="n">
        <v>45</v>
      </c>
      <c r="CT703" t="n">
        <v>0.1</v>
      </c>
      <c r="CV703" t="n">
        <v>2</v>
      </c>
      <c r="DE703" t="n">
        <v>6.91</v>
      </c>
      <c r="DH703" t="n">
        <v>28</v>
      </c>
      <c r="DI703" t="n">
        <v>25</v>
      </c>
      <c r="DK703" t="n">
        <v>2</v>
      </c>
      <c r="DL703" t="n">
        <v>23</v>
      </c>
      <c r="DM703" t="n">
        <v>19</v>
      </c>
      <c r="DN703" t="n">
        <v>2</v>
      </c>
      <c r="EJ703" t="n">
        <v>150.6</v>
      </c>
      <c r="EK703" t="n">
        <v>90.40000000000001</v>
      </c>
      <c r="EL703" t="n">
        <v>93.5</v>
      </c>
      <c r="EM703" t="n">
        <v>4847.6</v>
      </c>
      <c r="EN703" t="n">
        <v>833.2</v>
      </c>
      <c r="EO703" t="n">
        <v>711</v>
      </c>
    </row>
    <row r="704">
      <c r="A704" t="inlineStr">
        <is>
          <t>Johan Manzambi</t>
        </is>
      </c>
      <c r="B704" t="inlineStr">
        <is>
          <t>AVL</t>
        </is>
      </c>
      <c r="C704" t="inlineStr">
        <is>
          <t>MID</t>
        </is>
      </c>
      <c r="E704" t="n">
        <v>6</v>
      </c>
      <c r="F704" t="b">
        <v>1</v>
      </c>
      <c r="G704" t="b">
        <v>0</v>
      </c>
      <c r="H704" t="n">
        <v>20.9</v>
      </c>
      <c r="I704" t="inlineStr">
        <is>
          <t>a</t>
        </is>
      </c>
      <c r="M704" t="n">
        <v>53</v>
      </c>
      <c r="DO704" t="n">
        <v>1.8</v>
      </c>
      <c r="DP704" t="n">
        <v>102.87</v>
      </c>
      <c r="DQ704" t="n">
        <v>50.91</v>
      </c>
      <c r="DR704" t="n">
        <v>101.82</v>
      </c>
      <c r="DS704" t="n">
        <v>1.05</v>
      </c>
      <c r="DT704" t="n">
        <v>2069</v>
      </c>
      <c r="DU704" t="n">
        <v>54.45</v>
      </c>
      <c r="DV704" t="inlineStr">
        <is>
          <t>flat</t>
        </is>
      </c>
      <c r="DW704" t="n">
        <v>74.86</v>
      </c>
      <c r="DX704" t="n">
        <v>79.48999999999999</v>
      </c>
      <c r="DY704" t="n">
        <v>72.48999999999999</v>
      </c>
      <c r="DZ704" t="n">
        <v>-2.37</v>
      </c>
      <c r="EA704" t="n">
        <v>648</v>
      </c>
      <c r="EB704" t="n">
        <v>22.8</v>
      </c>
      <c r="EC704" t="n">
        <v>2.67</v>
      </c>
      <c r="ED704" t="n">
        <v>120</v>
      </c>
      <c r="EE704" t="n">
        <v>1326</v>
      </c>
      <c r="EF704" t="b">
        <v>1</v>
      </c>
      <c r="EG704" t="n">
        <v>29.6</v>
      </c>
      <c r="EH704" t="n">
        <v>8</v>
      </c>
      <c r="EI704" t="n">
        <v>106</v>
      </c>
    </row>
    <row r="705">
      <c r="A705" t="inlineStr">
        <is>
          <t>Jesse Derry</t>
        </is>
      </c>
      <c r="D705" t="inlineStr">
        <is>
          <t>MID</t>
        </is>
      </c>
      <c r="F705" t="b">
        <v>0</v>
      </c>
      <c r="G705" t="b">
        <v>1</v>
      </c>
      <c r="L705" t="inlineStr">
        <is>
          <t>p619734</t>
        </is>
      </c>
      <c r="Q705" t="n">
        <v>44</v>
      </c>
      <c r="R705" t="n">
        <v>1</v>
      </c>
      <c r="T705" t="n">
        <v>0.489</v>
      </c>
      <c r="U705" t="n">
        <v>44</v>
      </c>
      <c r="AD705" t="n">
        <v>0</v>
      </c>
      <c r="AE705" t="n">
        <v>0</v>
      </c>
      <c r="AG705" t="n">
        <v>5</v>
      </c>
      <c r="AH705" t="n">
        <v>0</v>
      </c>
      <c r="AI705" t="n">
        <v>1</v>
      </c>
      <c r="AN705" t="n">
        <v>0</v>
      </c>
      <c r="AO705" t="n">
        <v>0</v>
      </c>
      <c r="AP705" t="n">
        <v>0</v>
      </c>
      <c r="AQ705" t="n">
        <v>0</v>
      </c>
      <c r="AR705" t="n">
        <v>0</v>
      </c>
      <c r="AS705" t="n">
        <v>0.026</v>
      </c>
      <c r="AT705" t="n">
        <v>0</v>
      </c>
      <c r="AU705" t="n">
        <v>1</v>
      </c>
      <c r="AV705" t="n">
        <v>0</v>
      </c>
      <c r="AW705" t="n">
        <v>0.41</v>
      </c>
      <c r="AX705" t="n">
        <v>1</v>
      </c>
      <c r="AZ705" t="n">
        <v>0.1</v>
      </c>
      <c r="BA705" t="n">
        <v>0.1</v>
      </c>
      <c r="BB705" t="n">
        <v>0.1</v>
      </c>
      <c r="BD705" t="n">
        <v>0.205</v>
      </c>
      <c r="BE705" t="n">
        <v>0.205</v>
      </c>
      <c r="BF705" t="n">
        <v>0.1</v>
      </c>
      <c r="BG705" t="n">
        <v>0.205</v>
      </c>
      <c r="BH705" t="n">
        <v>1</v>
      </c>
      <c r="BI705" t="n">
        <v>0.1</v>
      </c>
      <c r="BJ705" t="n">
        <v>0.1</v>
      </c>
      <c r="BK705" t="n">
        <v>0.205</v>
      </c>
      <c r="BP705" t="n">
        <v>2</v>
      </c>
      <c r="BQ705" t="n">
        <v>1</v>
      </c>
      <c r="BS705" t="n">
        <v>4</v>
      </c>
      <c r="BT705" t="n">
        <v>8.182</v>
      </c>
      <c r="BX705" t="n">
        <v>0</v>
      </c>
      <c r="BY705" t="n">
        <v>0</v>
      </c>
      <c r="BZ705" t="n">
        <v>0</v>
      </c>
      <c r="CA705" t="n">
        <v>0.1</v>
      </c>
      <c r="CB705" t="n">
        <v>0.205</v>
      </c>
      <c r="CC705" t="n">
        <v>0</v>
      </c>
      <c r="CF705" t="n">
        <v>1</v>
      </c>
      <c r="CI705" t="n">
        <v>0.197</v>
      </c>
      <c r="CJ705" t="n">
        <v>0.097</v>
      </c>
      <c r="CN705" t="n">
        <v>1</v>
      </c>
      <c r="CR705" t="n">
        <v>2</v>
      </c>
      <c r="CS705" t="n">
        <v>1</v>
      </c>
      <c r="DI705" t="n">
        <v>1</v>
      </c>
      <c r="DJ705" t="n">
        <v>1</v>
      </c>
      <c r="DM705" t="n">
        <v>1</v>
      </c>
      <c r="EJ705" t="n">
        <v>22</v>
      </c>
      <c r="EK705" t="n">
        <v>11</v>
      </c>
      <c r="EM705" t="n">
        <v>439.4</v>
      </c>
      <c r="EO705" t="n">
        <v>439.4</v>
      </c>
    </row>
    <row r="706">
      <c r="A706" t="inlineStr">
        <is>
          <t>Marco Palestra</t>
        </is>
      </c>
      <c r="B706" t="inlineStr">
        <is>
          <t>CHE</t>
        </is>
      </c>
      <c r="C706" t="inlineStr">
        <is>
          <t>DEF</t>
        </is>
      </c>
      <c r="E706" t="n">
        <v>5.5</v>
      </c>
      <c r="F706" t="b">
        <v>1</v>
      </c>
      <c r="G706" t="b">
        <v>0</v>
      </c>
      <c r="H706" t="n">
        <v>21.5</v>
      </c>
      <c r="I706" t="inlineStr">
        <is>
          <t>a</t>
        </is>
      </c>
      <c r="M706" t="n">
        <v>152</v>
      </c>
      <c r="DO706" t="n">
        <v>2.4</v>
      </c>
      <c r="DP706" t="n">
        <v>127.29</v>
      </c>
      <c r="DQ706" t="n">
        <v>63.79</v>
      </c>
      <c r="DR706" t="n">
        <v>127.58</v>
      </c>
      <c r="DS706" t="n">
        <v>-0.29</v>
      </c>
      <c r="DT706" t="n">
        <v>2588</v>
      </c>
      <c r="DU706" t="n">
        <v>68.09999999999999</v>
      </c>
      <c r="DV706" t="inlineStr">
        <is>
          <t>flat</t>
        </is>
      </c>
      <c r="DW706" t="n">
        <v>82.68000000000001</v>
      </c>
      <c r="DX706" t="n">
        <v>86.78</v>
      </c>
      <c r="DY706" t="n">
        <v>79.02</v>
      </c>
      <c r="DZ706" t="n">
        <v>-3.66</v>
      </c>
      <c r="EA706" t="n">
        <v>1044</v>
      </c>
      <c r="EB706" t="n">
        <v>22.31</v>
      </c>
      <c r="EC706" t="n">
        <v>8</v>
      </c>
      <c r="ED706" t="n">
        <v>120</v>
      </c>
      <c r="EE706" t="n">
        <v>1891</v>
      </c>
      <c r="EF706" t="b">
        <v>1</v>
      </c>
      <c r="EG706" t="n">
        <v>69.09999999999999</v>
      </c>
      <c r="EH706" t="n">
        <v>43.8</v>
      </c>
      <c r="EI706" t="n">
        <v>202</v>
      </c>
    </row>
    <row r="707">
      <c r="A707" t="inlineStr">
        <is>
          <t>Kaine Andrews</t>
        </is>
      </c>
      <c r="B707" t="inlineStr">
        <is>
          <t>COV</t>
        </is>
      </c>
      <c r="C707" t="inlineStr">
        <is>
          <t>MID</t>
        </is>
      </c>
      <c r="E707" t="n">
        <v>4.5</v>
      </c>
      <c r="F707" t="b">
        <v>1</v>
      </c>
      <c r="G707" t="b">
        <v>0</v>
      </c>
      <c r="H707" t="n">
        <v>20</v>
      </c>
      <c r="I707" t="inlineStr">
        <is>
          <t>a</t>
        </is>
      </c>
      <c r="M707" t="n">
        <v>192</v>
      </c>
      <c r="DO707" t="n">
        <v>0.7</v>
      </c>
      <c r="DP707" t="n">
        <v>0</v>
      </c>
      <c r="DQ707" t="n">
        <v>0</v>
      </c>
      <c r="DR707" t="n">
        <v>0</v>
      </c>
      <c r="DS707" t="n">
        <v>0</v>
      </c>
      <c r="DT707" t="n">
        <v>0</v>
      </c>
      <c r="DU707" t="n">
        <v>0</v>
      </c>
      <c r="DV707" t="inlineStr">
        <is>
          <t>flat</t>
        </is>
      </c>
    </row>
    <row r="708">
      <c r="A708" t="inlineStr">
        <is>
          <t>Mohamadou Kanté</t>
        </is>
      </c>
      <c r="D708" t="inlineStr">
        <is>
          <t>MID</t>
        </is>
      </c>
      <c r="F708" t="b">
        <v>0</v>
      </c>
      <c r="G708" t="b">
        <v>1</v>
      </c>
      <c r="L708" t="inlineStr">
        <is>
          <t>p630699</t>
        </is>
      </c>
      <c r="Q708" t="n">
        <v>67</v>
      </c>
      <c r="R708" t="n">
        <v>11</v>
      </c>
      <c r="T708" t="n">
        <v>0.744</v>
      </c>
      <c r="U708" t="n">
        <v>6.1</v>
      </c>
      <c r="AD708" t="n">
        <v>0</v>
      </c>
      <c r="AE708" t="n">
        <v>0</v>
      </c>
      <c r="AG708" t="n">
        <v>29</v>
      </c>
      <c r="AH708" t="n">
        <v>0</v>
      </c>
      <c r="AI708" t="n">
        <v>9</v>
      </c>
      <c r="AN708" t="n">
        <v>0</v>
      </c>
      <c r="AO708" t="n">
        <v>0</v>
      </c>
      <c r="AS708" t="n">
        <v>0</v>
      </c>
      <c r="AT708" t="n">
        <v>0</v>
      </c>
      <c r="AU708" t="n">
        <v>11</v>
      </c>
      <c r="AV708" t="n">
        <v>0</v>
      </c>
      <c r="AW708" t="n">
        <v>0.49</v>
      </c>
      <c r="AX708" t="n">
        <v>1</v>
      </c>
      <c r="AZ708" t="n">
        <v>0.103</v>
      </c>
      <c r="BA708" t="n">
        <v>0.103</v>
      </c>
      <c r="BB708" t="n">
        <v>0.103</v>
      </c>
      <c r="BD708" t="n">
        <v>0.138</v>
      </c>
      <c r="BE708" t="n">
        <v>0.138</v>
      </c>
      <c r="BH708" t="n">
        <v>0.991</v>
      </c>
      <c r="BI708" t="n">
        <v>0.07000000000000001</v>
      </c>
      <c r="BJ708" t="n">
        <v>0.06900000000000001</v>
      </c>
      <c r="BK708" t="n">
        <v>0.093</v>
      </c>
      <c r="BP708" t="n">
        <v>2</v>
      </c>
      <c r="BS708" t="n">
        <v>4</v>
      </c>
      <c r="BT708" t="n">
        <v>5.373</v>
      </c>
      <c r="BX708" t="n">
        <v>0.11</v>
      </c>
      <c r="BY708" t="n">
        <v>0.11</v>
      </c>
      <c r="BZ708" t="n">
        <v>0.148</v>
      </c>
      <c r="CA708" t="n">
        <v>0.213</v>
      </c>
      <c r="CB708" t="n">
        <v>0.286</v>
      </c>
      <c r="CC708" t="n">
        <v>1</v>
      </c>
      <c r="CE708" t="n">
        <v>1</v>
      </c>
      <c r="CI708" t="n">
        <v>0.337</v>
      </c>
      <c r="CJ708" t="n">
        <v>0.124</v>
      </c>
      <c r="CN708" t="n">
        <v>4</v>
      </c>
      <c r="CP708" t="n">
        <v>2</v>
      </c>
      <c r="CQ708" t="n">
        <v>1</v>
      </c>
      <c r="CR708" t="n">
        <v>10</v>
      </c>
      <c r="CS708" t="n">
        <v>2</v>
      </c>
      <c r="DH708" t="n">
        <v>4</v>
      </c>
      <c r="DI708" t="n">
        <v>1</v>
      </c>
      <c r="DL708" t="n">
        <v>1</v>
      </c>
      <c r="DM708" t="n">
        <v>4</v>
      </c>
      <c r="EJ708" t="n">
        <v>33.5</v>
      </c>
      <c r="EK708" t="n">
        <v>16.8</v>
      </c>
      <c r="EL708" t="n">
        <v>67</v>
      </c>
      <c r="EM708" t="n">
        <v>650</v>
      </c>
      <c r="EN708" t="n">
        <v>609.7</v>
      </c>
      <c r="EO708" t="n">
        <v>314.6</v>
      </c>
    </row>
    <row r="709">
      <c r="A709" t="inlineStr">
        <is>
          <t>Aladji Bamba</t>
        </is>
      </c>
      <c r="B709" t="inlineStr">
        <is>
          <t>NEW</t>
        </is>
      </c>
      <c r="C709" t="inlineStr">
        <is>
          <t>MID</t>
        </is>
      </c>
      <c r="E709" t="n">
        <v>5</v>
      </c>
      <c r="F709" t="b">
        <v>1</v>
      </c>
      <c r="G709" t="b">
        <v>0</v>
      </c>
      <c r="H709" t="n">
        <v>20.1</v>
      </c>
      <c r="I709" t="inlineStr">
        <is>
          <t>a</t>
        </is>
      </c>
      <c r="M709" t="n">
        <v>559</v>
      </c>
      <c r="DO709" t="n">
        <v>0.1</v>
      </c>
      <c r="DP709" t="n">
        <v>78.37</v>
      </c>
      <c r="DQ709" t="n">
        <v>39.23</v>
      </c>
      <c r="DR709" t="n">
        <v>78.45999999999999</v>
      </c>
      <c r="DS709" t="n">
        <v>-0.09</v>
      </c>
      <c r="DT709" t="n">
        <v>2018</v>
      </c>
      <c r="DU709" t="n">
        <v>53.1</v>
      </c>
      <c r="DV709" t="inlineStr">
        <is>
          <t>flat</t>
        </is>
      </c>
      <c r="DW709" t="n">
        <v>62.14</v>
      </c>
      <c r="DX709" t="n">
        <v>48.25</v>
      </c>
      <c r="DY709" t="n">
        <v>76.44</v>
      </c>
      <c r="DZ709" t="n">
        <v>14.31</v>
      </c>
      <c r="EA709" t="n">
        <v>3</v>
      </c>
      <c r="EB709" t="n">
        <v>30.24</v>
      </c>
      <c r="EC709" t="n">
        <v>17</v>
      </c>
      <c r="ED709" t="n">
        <v>110.67</v>
      </c>
      <c r="EE709" t="n">
        <v>11</v>
      </c>
      <c r="EF709" t="b">
        <v>1</v>
      </c>
      <c r="EG709" t="n">
        <v>0.3</v>
      </c>
      <c r="EH709" t="n">
        <v>15.4</v>
      </c>
      <c r="EI709" t="n">
        <v>377</v>
      </c>
    </row>
    <row r="710">
      <c r="A710" t="inlineStr">
        <is>
          <t>Sean Steur</t>
        </is>
      </c>
      <c r="B710" t="inlineStr">
        <is>
          <t>NEW</t>
        </is>
      </c>
      <c r="C710" t="inlineStr">
        <is>
          <t>MID</t>
        </is>
      </c>
      <c r="E710" t="n">
        <v>5</v>
      </c>
      <c r="F710" t="b">
        <v>1</v>
      </c>
      <c r="G710" t="b">
        <v>0</v>
      </c>
      <c r="H710" t="n">
        <v>18.6</v>
      </c>
      <c r="I710" t="inlineStr">
        <is>
          <t>a</t>
        </is>
      </c>
      <c r="M710" t="n">
        <v>462</v>
      </c>
      <c r="DO710" t="n">
        <v>0.1</v>
      </c>
      <c r="DP710" t="n">
        <v>53.46</v>
      </c>
      <c r="DQ710" t="n">
        <v>26.77</v>
      </c>
      <c r="DR710" t="n">
        <v>53.54</v>
      </c>
      <c r="DS710" t="n">
        <v>-0.08</v>
      </c>
      <c r="DT710" t="n">
        <v>1379</v>
      </c>
      <c r="DU710" t="n">
        <v>36.3</v>
      </c>
      <c r="DV710" t="inlineStr">
        <is>
          <t>flat</t>
        </is>
      </c>
      <c r="DW710" t="n">
        <v>77.3</v>
      </c>
      <c r="DX710" t="n">
        <v>89</v>
      </c>
      <c r="DY710" t="n">
        <v>67.66</v>
      </c>
      <c r="DZ710" t="n">
        <v>-9.640000000000001</v>
      </c>
      <c r="EA710" t="n">
        <v>7</v>
      </c>
      <c r="EB710" t="n">
        <v>32.63</v>
      </c>
      <c r="EC710" t="n">
        <v>7.2</v>
      </c>
      <c r="ED710" t="n">
        <v>116.8</v>
      </c>
      <c r="EE710" t="n">
        <v>12</v>
      </c>
      <c r="EF710" t="b">
        <v>1</v>
      </c>
      <c r="EG710" t="n">
        <v>0.3</v>
      </c>
      <c r="EH710" t="n">
        <v>20</v>
      </c>
      <c r="EI710" t="n">
        <v>378</v>
      </c>
    </row>
    <row r="711">
      <c r="A711" t="inlineStr">
        <is>
          <t>Pedro Lima</t>
        </is>
      </c>
      <c r="D711" t="inlineStr">
        <is>
          <t>DEF</t>
        </is>
      </c>
      <c r="F711" t="b">
        <v>0</v>
      </c>
      <c r="G711" t="b">
        <v>1</v>
      </c>
      <c r="L711" t="inlineStr">
        <is>
          <t>p641221</t>
        </is>
      </c>
      <c r="Q711" t="n">
        <v>259</v>
      </c>
      <c r="R711" t="n">
        <v>9</v>
      </c>
      <c r="T711" t="n">
        <v>2.878</v>
      </c>
      <c r="U711" t="n">
        <v>28.8</v>
      </c>
      <c r="AD711" t="n">
        <v>0</v>
      </c>
      <c r="AE711" t="n">
        <v>0</v>
      </c>
      <c r="AG711" t="n">
        <v>18</v>
      </c>
      <c r="AH711" t="n">
        <v>0</v>
      </c>
      <c r="AI711" t="n">
        <v>10</v>
      </c>
      <c r="AN711" t="n">
        <v>0</v>
      </c>
      <c r="AO711" t="n">
        <v>0</v>
      </c>
      <c r="AP711" t="n">
        <v>0</v>
      </c>
      <c r="AQ711" t="n">
        <v>0</v>
      </c>
      <c r="AR711" t="n">
        <v>0</v>
      </c>
      <c r="AS711" t="n">
        <v>0.079</v>
      </c>
      <c r="AT711" t="n">
        <v>0.222</v>
      </c>
      <c r="AU711" t="n">
        <v>9</v>
      </c>
      <c r="AV711" t="n">
        <v>0</v>
      </c>
      <c r="AW711" t="n">
        <v>0.5</v>
      </c>
      <c r="AX711" t="n">
        <v>2</v>
      </c>
      <c r="AZ711" t="n">
        <v>0.5</v>
      </c>
      <c r="BA711" t="n">
        <v>0.5</v>
      </c>
      <c r="BB711" t="n">
        <v>0.5</v>
      </c>
      <c r="BD711" t="n">
        <v>0.174</v>
      </c>
      <c r="BE711" t="n">
        <v>0.174</v>
      </c>
      <c r="BF711" t="n">
        <v>0.3</v>
      </c>
      <c r="BG711" t="n">
        <v>0.104</v>
      </c>
      <c r="BH711" t="n">
        <v>0.999</v>
      </c>
      <c r="BI711" t="n">
        <v>0.41</v>
      </c>
      <c r="BJ711" t="n">
        <v>0.35</v>
      </c>
      <c r="BK711" t="n">
        <v>0.122</v>
      </c>
      <c r="BP711" t="n">
        <v>4</v>
      </c>
      <c r="BQ711" t="n">
        <v>1</v>
      </c>
      <c r="BR711" t="n">
        <v>1</v>
      </c>
      <c r="BS711" t="n">
        <v>9</v>
      </c>
      <c r="BT711" t="n">
        <v>3.127</v>
      </c>
      <c r="BX711" t="n">
        <v>0.217</v>
      </c>
      <c r="BY711" t="n">
        <v>0.217</v>
      </c>
      <c r="BZ711" t="n">
        <v>0.075</v>
      </c>
      <c r="CA711" t="n">
        <v>0.716</v>
      </c>
      <c r="CB711" t="n">
        <v>0.249</v>
      </c>
      <c r="CC711" t="n">
        <v>3</v>
      </c>
      <c r="CE711" t="n">
        <v>3</v>
      </c>
      <c r="CF711" t="n">
        <v>4</v>
      </c>
      <c r="CI711" t="n">
        <v>0.833</v>
      </c>
      <c r="CJ711" t="n">
        <v>0.204</v>
      </c>
      <c r="CN711" t="n">
        <v>6</v>
      </c>
      <c r="CO711" t="n">
        <v>5</v>
      </c>
      <c r="CP711" t="n">
        <v>6</v>
      </c>
      <c r="CR711" t="n">
        <v>12</v>
      </c>
      <c r="CS711" t="n">
        <v>2</v>
      </c>
      <c r="CV711" t="n">
        <v>2</v>
      </c>
      <c r="DH711" t="n">
        <v>5</v>
      </c>
      <c r="DI711" t="n">
        <v>1</v>
      </c>
      <c r="DL711" t="n">
        <v>1</v>
      </c>
      <c r="DM711" t="n">
        <v>4</v>
      </c>
      <c r="EJ711" t="n">
        <v>64.8</v>
      </c>
      <c r="EK711" t="n">
        <v>28.8</v>
      </c>
      <c r="EL711" t="n">
        <v>86.3</v>
      </c>
      <c r="EM711" t="n">
        <v>518.3</v>
      </c>
      <c r="EN711" t="n">
        <v>1195.6</v>
      </c>
      <c r="EO711" t="n">
        <v>361.6</v>
      </c>
    </row>
    <row r="712">
      <c r="A712" t="inlineStr">
        <is>
          <t>Fer López</t>
        </is>
      </c>
      <c r="D712" t="inlineStr">
        <is>
          <t>MID</t>
        </is>
      </c>
      <c r="F712" t="b">
        <v>0</v>
      </c>
      <c r="G712" t="b">
        <v>1</v>
      </c>
      <c r="L712" t="inlineStr">
        <is>
          <t>p643135</t>
        </is>
      </c>
      <c r="Q712" t="n">
        <v>229</v>
      </c>
      <c r="R712" t="n">
        <v>9</v>
      </c>
      <c r="T712" t="n">
        <v>2.544</v>
      </c>
      <c r="U712" t="n">
        <v>25.4</v>
      </c>
      <c r="Z712" t="n">
        <v>1</v>
      </c>
      <c r="AD712" t="n">
        <v>0</v>
      </c>
      <c r="AE712" t="n">
        <v>0</v>
      </c>
      <c r="AG712" t="n">
        <v>38</v>
      </c>
      <c r="AH712" t="n">
        <v>0</v>
      </c>
      <c r="AI712" t="n">
        <v>12</v>
      </c>
      <c r="AN712" t="n">
        <v>0</v>
      </c>
      <c r="AO712" t="n">
        <v>0</v>
      </c>
      <c r="AP712" t="n">
        <v>0</v>
      </c>
      <c r="AQ712" t="n">
        <v>0</v>
      </c>
      <c r="AR712" t="n">
        <v>0</v>
      </c>
      <c r="AS712" t="n">
        <v>0.053</v>
      </c>
      <c r="AT712" t="n">
        <v>0.111</v>
      </c>
      <c r="AU712" t="n">
        <v>8</v>
      </c>
      <c r="AV712" t="n">
        <v>0</v>
      </c>
      <c r="AW712" t="n">
        <v>0.66</v>
      </c>
      <c r="AX712" t="n">
        <v>3</v>
      </c>
      <c r="AZ712" t="n">
        <v>0.218</v>
      </c>
      <c r="BA712" t="n">
        <v>0.218</v>
      </c>
      <c r="BB712" t="n">
        <v>0.218</v>
      </c>
      <c r="BD712" t="n">
        <v>0.08599999999999999</v>
      </c>
      <c r="BE712" t="n">
        <v>0.08599999999999999</v>
      </c>
      <c r="BF712" t="n">
        <v>0.2</v>
      </c>
      <c r="BG712" t="n">
        <v>0.079</v>
      </c>
      <c r="BH712" t="n">
        <v>1.005</v>
      </c>
      <c r="BI712" t="n">
        <v>0.16</v>
      </c>
      <c r="BJ712" t="n">
        <v>0.161</v>
      </c>
      <c r="BK712" t="n">
        <v>0.063</v>
      </c>
      <c r="BP712" t="n">
        <v>5</v>
      </c>
      <c r="BQ712" t="n">
        <v>1</v>
      </c>
      <c r="BS712" t="n">
        <v>7</v>
      </c>
      <c r="BT712" t="n">
        <v>2.751</v>
      </c>
      <c r="BX712" t="n">
        <v>0.512</v>
      </c>
      <c r="BY712" t="n">
        <v>0.512</v>
      </c>
      <c r="BZ712" t="n">
        <v>0.201</v>
      </c>
      <c r="CA712" t="n">
        <v>0.73</v>
      </c>
      <c r="CB712" t="n">
        <v>0.287</v>
      </c>
      <c r="CC712" t="n">
        <v>3</v>
      </c>
      <c r="CD712" t="n">
        <v>1</v>
      </c>
      <c r="CE712" t="n">
        <v>3</v>
      </c>
      <c r="CF712" t="n">
        <v>1</v>
      </c>
      <c r="CG712" t="n">
        <v>1</v>
      </c>
      <c r="CH712" t="n">
        <v>3</v>
      </c>
      <c r="CI712" t="n">
        <v>0.844</v>
      </c>
      <c r="CJ712" t="n">
        <v>0.229</v>
      </c>
      <c r="CN712" t="n">
        <v>1</v>
      </c>
      <c r="CP712" t="n">
        <v>1</v>
      </c>
      <c r="CR712" t="n">
        <v>10</v>
      </c>
      <c r="CS712" t="n">
        <v>2</v>
      </c>
      <c r="DH712" t="n">
        <v>6</v>
      </c>
      <c r="DI712" t="n">
        <v>4</v>
      </c>
      <c r="DL712" t="n">
        <v>3</v>
      </c>
      <c r="DM712" t="n">
        <v>6</v>
      </c>
      <c r="EJ712" t="n">
        <v>45.8</v>
      </c>
      <c r="EK712" t="n">
        <v>32.7</v>
      </c>
      <c r="EL712" t="n">
        <v>76.3</v>
      </c>
      <c r="EM712" t="n">
        <v>1049.7</v>
      </c>
      <c r="EN712" t="n">
        <v>447.3</v>
      </c>
      <c r="EO712" t="n">
        <v>313.6</v>
      </c>
    </row>
    <row r="713">
      <c r="A713" t="inlineStr">
        <is>
          <t>Mateus Mané</t>
        </is>
      </c>
      <c r="D713" t="inlineStr">
        <is>
          <t>FWD</t>
        </is>
      </c>
      <c r="F713" t="b">
        <v>0</v>
      </c>
      <c r="G713" t="b">
        <v>1</v>
      </c>
      <c r="L713" t="inlineStr">
        <is>
          <t>p647671</t>
        </is>
      </c>
      <c r="Q713" t="n">
        <v>1790</v>
      </c>
      <c r="R713" t="n">
        <v>27</v>
      </c>
      <c r="T713" t="n">
        <v>19.889</v>
      </c>
      <c r="U713" t="n">
        <v>66.3</v>
      </c>
      <c r="Z713" t="n">
        <v>1</v>
      </c>
      <c r="AD713" t="n">
        <v>9</v>
      </c>
      <c r="AE713" t="n">
        <v>0</v>
      </c>
      <c r="AG713" t="n">
        <v>307</v>
      </c>
      <c r="AH713" t="n">
        <v>-7</v>
      </c>
      <c r="AI713" t="n">
        <v>74</v>
      </c>
      <c r="AN713" t="n">
        <v>1</v>
      </c>
      <c r="AO713" t="n">
        <v>2</v>
      </c>
      <c r="AP713" t="n">
        <v>0.053</v>
      </c>
      <c r="AQ713" t="n">
        <v>0.263</v>
      </c>
      <c r="AR713" t="n">
        <v>0.053</v>
      </c>
      <c r="AS713" t="n">
        <v>0.5</v>
      </c>
      <c r="AT713" t="n">
        <v>0.667</v>
      </c>
      <c r="AU713" t="n">
        <v>23</v>
      </c>
      <c r="AV713" t="n">
        <v>2</v>
      </c>
      <c r="AW713" t="n">
        <v>2.95</v>
      </c>
      <c r="AX713" t="n">
        <v>12</v>
      </c>
      <c r="AZ713" t="n">
        <v>1.972</v>
      </c>
      <c r="BA713" t="n">
        <v>1.972</v>
      </c>
      <c r="BB713" t="n">
        <v>1.972</v>
      </c>
      <c r="BD713" t="n">
        <v>0.099</v>
      </c>
      <c r="BE713" t="n">
        <v>0.099</v>
      </c>
      <c r="BF713" t="n">
        <v>3.4</v>
      </c>
      <c r="BG713" t="n">
        <v>0.171</v>
      </c>
      <c r="BH713" t="n">
        <v>1.139</v>
      </c>
      <c r="BI713" t="n">
        <v>2.01</v>
      </c>
      <c r="BJ713" t="n">
        <v>2.289</v>
      </c>
      <c r="BK713" t="n">
        <v>0.115</v>
      </c>
      <c r="BP713" t="n">
        <v>42</v>
      </c>
      <c r="BQ713" t="n">
        <v>17</v>
      </c>
      <c r="BS713" t="n">
        <v>43</v>
      </c>
      <c r="BT713" t="n">
        <v>2.162</v>
      </c>
      <c r="BX713" t="n">
        <v>3.282</v>
      </c>
      <c r="BY713" t="n">
        <v>3.282</v>
      </c>
      <c r="BZ713" t="n">
        <v>0.165</v>
      </c>
      <c r="CA713" t="n">
        <v>5.254</v>
      </c>
      <c r="CB713" t="n">
        <v>0.264</v>
      </c>
      <c r="CC713" t="n">
        <v>30</v>
      </c>
      <c r="CD713" t="n">
        <v>7</v>
      </c>
      <c r="CE713" t="n">
        <v>30</v>
      </c>
      <c r="CF713" t="n">
        <v>34</v>
      </c>
      <c r="CG713" t="n">
        <v>1</v>
      </c>
      <c r="CH713" t="n">
        <v>29</v>
      </c>
      <c r="CI713" t="n">
        <v>5.257</v>
      </c>
      <c r="CJ713" t="n">
        <v>2.483</v>
      </c>
      <c r="CN713" t="n">
        <v>13</v>
      </c>
      <c r="CO713" t="n">
        <v>5</v>
      </c>
      <c r="CP713" t="n">
        <v>26</v>
      </c>
      <c r="CQ713" t="n">
        <v>1</v>
      </c>
      <c r="CR713" t="n">
        <v>114</v>
      </c>
      <c r="CS713" t="n">
        <v>8</v>
      </c>
      <c r="CT713" t="n">
        <v>0.7</v>
      </c>
      <c r="CU713" t="n">
        <v>1</v>
      </c>
      <c r="CV713" t="n">
        <v>1</v>
      </c>
      <c r="DE713" t="n">
        <v>6.64</v>
      </c>
      <c r="DH713" t="n">
        <v>25</v>
      </c>
      <c r="DI713" t="n">
        <v>47</v>
      </c>
      <c r="DJ713" t="n">
        <v>2</v>
      </c>
      <c r="DK713" t="n">
        <v>1</v>
      </c>
      <c r="DL713" t="n">
        <v>31</v>
      </c>
      <c r="DM713" t="n">
        <v>41</v>
      </c>
      <c r="DN713" t="n">
        <v>2</v>
      </c>
      <c r="EJ713" t="n">
        <v>42.6</v>
      </c>
      <c r="EK713" t="n">
        <v>41.6</v>
      </c>
      <c r="EL713" t="n">
        <v>59.7</v>
      </c>
      <c r="EM713" t="n">
        <v>907.5</v>
      </c>
      <c r="EN713" t="n">
        <v>545.4</v>
      </c>
      <c r="EO713" t="n">
        <v>340.7</v>
      </c>
    </row>
    <row r="714">
      <c r="A714" t="inlineStr">
        <is>
          <t>Jeremy Monga</t>
        </is>
      </c>
      <c r="B714" t="inlineStr">
        <is>
          <t>MCI</t>
        </is>
      </c>
      <c r="C714" t="inlineStr">
        <is>
          <t>MID</t>
        </is>
      </c>
      <c r="E714" t="n">
        <v>5</v>
      </c>
      <c r="F714" t="b">
        <v>1</v>
      </c>
      <c r="G714" t="b">
        <v>0</v>
      </c>
      <c r="H714" t="n">
        <v>17.1</v>
      </c>
      <c r="I714" t="inlineStr">
        <is>
          <t>a</t>
        </is>
      </c>
      <c r="M714" t="n">
        <v>410</v>
      </c>
      <c r="DO714" t="n">
        <v>0</v>
      </c>
      <c r="DP714" t="n">
        <v>0</v>
      </c>
      <c r="DQ714" t="n">
        <v>0</v>
      </c>
      <c r="DR714" t="n">
        <v>0</v>
      </c>
      <c r="DS714" t="n">
        <v>0</v>
      </c>
      <c r="DT714" t="n">
        <v>0</v>
      </c>
      <c r="DU714" t="n">
        <v>0</v>
      </c>
      <c r="DV714" t="inlineStr">
        <is>
          <t>flat</t>
        </is>
      </c>
      <c r="DW714" t="n">
        <v>54</v>
      </c>
      <c r="DY714" t="n">
        <v>54</v>
      </c>
      <c r="DZ714" t="n">
        <v>0</v>
      </c>
      <c r="EA714" t="n">
        <v>1</v>
      </c>
      <c r="EC714" t="n">
        <v>54</v>
      </c>
      <c r="ED714" t="n">
        <v>54</v>
      </c>
      <c r="EE714" t="n">
        <v>1</v>
      </c>
      <c r="EF714" t="b">
        <v>0</v>
      </c>
      <c r="EG714" t="n">
        <v>0</v>
      </c>
      <c r="EH714" t="n">
        <v>50</v>
      </c>
      <c r="EI714" t="n">
        <v>373</v>
      </c>
    </row>
    <row r="715">
      <c r="A715" t="inlineStr">
        <is>
          <t>Cathal McCarthy</t>
        </is>
      </c>
      <c r="B715" t="inlineStr">
        <is>
          <t>HUL</t>
        </is>
      </c>
      <c r="C715" t="inlineStr">
        <is>
          <t>DEF</t>
        </is>
      </c>
      <c r="E715" t="n">
        <v>4</v>
      </c>
      <c r="F715" t="b">
        <v>1</v>
      </c>
      <c r="G715" t="b">
        <v>0</v>
      </c>
      <c r="I715" t="inlineStr">
        <is>
          <t>a</t>
        </is>
      </c>
      <c r="M715" t="n">
        <v>284</v>
      </c>
      <c r="DO715" t="n">
        <v>0.1</v>
      </c>
      <c r="DP715" t="n">
        <v>1.81</v>
      </c>
      <c r="DQ715" t="n">
        <v>1.48</v>
      </c>
      <c r="DR715" t="n">
        <v>2.96</v>
      </c>
      <c r="DS715" t="n">
        <v>-1.15</v>
      </c>
      <c r="DT715" t="n">
        <v>10</v>
      </c>
      <c r="DU715" t="n">
        <v>0.25</v>
      </c>
      <c r="DV715" t="inlineStr">
        <is>
          <t>flat</t>
        </is>
      </c>
      <c r="DW715" t="n">
        <v>72.93000000000001</v>
      </c>
      <c r="DX715" t="n">
        <v>44</v>
      </c>
      <c r="DY715" t="n">
        <v>101.87</v>
      </c>
      <c r="DZ715" t="n">
        <v>28.93</v>
      </c>
      <c r="EA715" t="n">
        <v>1</v>
      </c>
      <c r="EB715" t="n">
        <v>40.92</v>
      </c>
      <c r="EC715" t="n">
        <v>44</v>
      </c>
      <c r="ED715" t="n">
        <v>101.87</v>
      </c>
      <c r="EE715" t="n">
        <v>2</v>
      </c>
      <c r="EF715" t="b">
        <v>0</v>
      </c>
      <c r="EG715" t="n">
        <v>0</v>
      </c>
      <c r="EH715" t="n">
        <v>0</v>
      </c>
      <c r="EI715" t="n">
        <v>561</v>
      </c>
    </row>
    <row r="716">
      <c r="A716" t="inlineStr">
        <is>
          <t>Caleb Yirenkyi</t>
        </is>
      </c>
      <c r="B716" t="inlineStr">
        <is>
          <t>COV</t>
        </is>
      </c>
      <c r="C716" t="inlineStr">
        <is>
          <t>MID</t>
        </is>
      </c>
      <c r="E716" t="n">
        <v>5</v>
      </c>
      <c r="F716" t="b">
        <v>1</v>
      </c>
      <c r="G716" t="b">
        <v>0</v>
      </c>
      <c r="H716" t="n">
        <v>20.6</v>
      </c>
      <c r="I716" t="inlineStr">
        <is>
          <t>a</t>
        </is>
      </c>
      <c r="M716" t="n">
        <v>575</v>
      </c>
      <c r="DO716" t="n">
        <v>0.1</v>
      </c>
      <c r="DP716" t="n">
        <v>98.64</v>
      </c>
      <c r="DQ716" t="n">
        <v>49.33</v>
      </c>
      <c r="DR716" t="n">
        <v>98.66</v>
      </c>
      <c r="DS716" t="n">
        <v>-0.02</v>
      </c>
      <c r="DT716" t="n">
        <v>2696</v>
      </c>
      <c r="DU716" t="n">
        <v>70.95</v>
      </c>
      <c r="DV716" t="inlineStr">
        <is>
          <t>flat</t>
        </is>
      </c>
      <c r="DW716" t="n">
        <v>97.56</v>
      </c>
      <c r="DX716" t="n">
        <v>92.67</v>
      </c>
      <c r="DY716" t="n">
        <v>97.56</v>
      </c>
      <c r="DZ716" t="n">
        <v>0</v>
      </c>
      <c r="EA716" t="n">
        <v>13</v>
      </c>
      <c r="EB716" t="n">
        <v>12.81</v>
      </c>
      <c r="EC716" t="n">
        <v>73.33</v>
      </c>
      <c r="ED716" t="n">
        <v>118.4</v>
      </c>
      <c r="EE716" t="n">
        <v>13</v>
      </c>
      <c r="EF716" t="b">
        <v>1</v>
      </c>
      <c r="EG716" t="n">
        <v>0.3</v>
      </c>
      <c r="EH716" t="n">
        <v>0</v>
      </c>
      <c r="EI716" t="n">
        <v>388</v>
      </c>
    </row>
    <row r="717">
      <c r="A717" t="inlineStr">
        <is>
          <t>George Shepherd</t>
        </is>
      </c>
      <c r="B717" t="inlineStr">
        <is>
          <t>COV</t>
        </is>
      </c>
      <c r="C717" t="inlineStr">
        <is>
          <t>MID</t>
        </is>
      </c>
      <c r="E717" t="n">
        <v>4.5</v>
      </c>
      <c r="F717" t="b">
        <v>1</v>
      </c>
      <c r="G717" t="b">
        <v>0</v>
      </c>
      <c r="I717" t="inlineStr">
        <is>
          <t>a</t>
        </is>
      </c>
      <c r="M717" t="n">
        <v>189</v>
      </c>
      <c r="DO717" t="n">
        <v>0.3</v>
      </c>
      <c r="DP717" t="n">
        <v>0</v>
      </c>
      <c r="DQ717" t="n">
        <v>0</v>
      </c>
      <c r="DR717" t="n">
        <v>0</v>
      </c>
      <c r="DS717" t="n">
        <v>0</v>
      </c>
      <c r="DT717" t="n">
        <v>0</v>
      </c>
      <c r="DU717" t="n">
        <v>0</v>
      </c>
      <c r="DV717" t="inlineStr">
        <is>
          <t>flat</t>
        </is>
      </c>
      <c r="EF717" t="b">
        <v>0</v>
      </c>
      <c r="EG717" t="n">
        <v>0</v>
      </c>
      <c r="EH717" t="n">
        <v>100</v>
      </c>
      <c r="EI717" t="n">
        <v>483</v>
      </c>
    </row>
    <row r="718">
      <c r="A718" t="inlineStr">
        <is>
          <t>Jerome Abbey</t>
        </is>
      </c>
      <c r="D718" t="inlineStr">
        <is>
          <t>MID</t>
        </is>
      </c>
      <c r="F718" t="b">
        <v>0</v>
      </c>
      <c r="G718" t="b">
        <v>1</v>
      </c>
      <c r="L718" t="inlineStr">
        <is>
          <t>p685628</t>
        </is>
      </c>
      <c r="Q718" t="n">
        <v>16</v>
      </c>
      <c r="R718" t="n">
        <v>1</v>
      </c>
      <c r="T718" t="n">
        <v>0.178</v>
      </c>
      <c r="U718" t="n">
        <v>16</v>
      </c>
      <c r="AD718" t="n">
        <v>0</v>
      </c>
      <c r="AE718" t="n">
        <v>0</v>
      </c>
      <c r="AG718" t="n">
        <v>2</v>
      </c>
      <c r="AH718" t="n">
        <v>0</v>
      </c>
      <c r="AI718" t="n">
        <v>1</v>
      </c>
      <c r="AN718" t="n">
        <v>0</v>
      </c>
      <c r="AO718" t="n">
        <v>0</v>
      </c>
      <c r="AS718" t="n">
        <v>0</v>
      </c>
      <c r="AT718" t="n">
        <v>0</v>
      </c>
      <c r="AU718" t="n">
        <v>1</v>
      </c>
      <c r="AV718" t="n">
        <v>0</v>
      </c>
      <c r="AW718" t="n">
        <v>0.26</v>
      </c>
      <c r="AX718" t="n">
        <v>1</v>
      </c>
      <c r="BH718" t="n">
        <v>1</v>
      </c>
      <c r="BI718" t="n">
        <v>0</v>
      </c>
      <c r="BJ718" t="n">
        <v>0</v>
      </c>
      <c r="BK718" t="n">
        <v>0</v>
      </c>
      <c r="CO718" t="n">
        <v>1</v>
      </c>
      <c r="CR718" t="n">
        <v>3</v>
      </c>
      <c r="CS718" t="n">
        <v>2</v>
      </c>
      <c r="DN718" t="n">
        <v>1</v>
      </c>
    </row>
    <row r="719">
      <c r="A719" t="inlineStr">
        <is>
          <t>Brian Madjo</t>
        </is>
      </c>
      <c r="B719" t="inlineStr">
        <is>
          <t>AVL</t>
        </is>
      </c>
      <c r="C719" t="inlineStr">
        <is>
          <t>FWD</t>
        </is>
      </c>
      <c r="E719" t="n">
        <v>5.5</v>
      </c>
      <c r="F719" t="b">
        <v>1</v>
      </c>
      <c r="G719" t="b">
        <v>0</v>
      </c>
      <c r="H719" t="n">
        <v>17.6</v>
      </c>
      <c r="I719" t="inlineStr">
        <is>
          <t>a</t>
        </is>
      </c>
      <c r="M719" t="n">
        <v>582</v>
      </c>
      <c r="DO719" t="n">
        <v>1.4</v>
      </c>
      <c r="DP719" t="n">
        <v>30.78</v>
      </c>
      <c r="DQ719" t="n">
        <v>15.47</v>
      </c>
      <c r="DR719" t="n">
        <v>30.94</v>
      </c>
      <c r="DS719" t="n">
        <v>-0.16</v>
      </c>
      <c r="DT719" t="n">
        <v>247</v>
      </c>
      <c r="DU719" t="n">
        <v>6.51</v>
      </c>
      <c r="DV719" t="inlineStr">
        <is>
          <t>flat</t>
        </is>
      </c>
      <c r="DW719" t="n">
        <v>77.56999999999999</v>
      </c>
      <c r="DX719" t="n">
        <v>72.92</v>
      </c>
      <c r="DY719" t="n">
        <v>77.56999999999999</v>
      </c>
      <c r="DZ719" t="n">
        <v>0</v>
      </c>
      <c r="EA719" t="n">
        <v>142</v>
      </c>
      <c r="EB719" t="n">
        <v>27.15</v>
      </c>
      <c r="EC719" t="n">
        <v>8.800000000000001</v>
      </c>
      <c r="ED719" t="n">
        <v>119.33</v>
      </c>
      <c r="EE719" t="n">
        <v>142</v>
      </c>
      <c r="EF719" t="b">
        <v>1</v>
      </c>
      <c r="EG719" t="n">
        <v>3</v>
      </c>
      <c r="EH719" t="n">
        <v>4.1</v>
      </c>
      <c r="EI719" t="n">
        <v>222</v>
      </c>
    </row>
    <row r="720">
      <c r="A720" t="inlineStr">
        <is>
          <t>Zadok Yohanna</t>
        </is>
      </c>
      <c r="B720" t="inlineStr">
        <is>
          <t>BHA</t>
        </is>
      </c>
      <c r="C720" t="inlineStr">
        <is>
          <t>MID</t>
        </is>
      </c>
      <c r="E720" t="n">
        <v>5</v>
      </c>
      <c r="F720" t="b">
        <v>1</v>
      </c>
      <c r="G720" t="b">
        <v>0</v>
      </c>
      <c r="H720" t="n">
        <v>19.1</v>
      </c>
      <c r="I720" t="inlineStr">
        <is>
          <t>a</t>
        </is>
      </c>
      <c r="M720" t="n">
        <v>135</v>
      </c>
      <c r="DO720" t="n">
        <v>0.1</v>
      </c>
      <c r="DP720" t="n">
        <v>11.61</v>
      </c>
      <c r="DQ720" t="n">
        <v>7.53</v>
      </c>
      <c r="DR720" t="n">
        <v>15.06</v>
      </c>
      <c r="DS720" t="n">
        <v>-3.45</v>
      </c>
      <c r="DT720" t="n">
        <v>162</v>
      </c>
      <c r="DU720" t="n">
        <v>4.26</v>
      </c>
      <c r="DV720" t="inlineStr">
        <is>
          <t>flat</t>
        </is>
      </c>
      <c r="DW720" t="n">
        <v>85.84999999999999</v>
      </c>
      <c r="DX720" t="n">
        <v>89</v>
      </c>
      <c r="DY720" t="n">
        <v>86.8</v>
      </c>
      <c r="DZ720" t="n">
        <v>0.95</v>
      </c>
      <c r="EA720" t="n">
        <v>3</v>
      </c>
      <c r="EB720" t="n">
        <v>20.84</v>
      </c>
      <c r="EC720" t="n">
        <v>49.33</v>
      </c>
      <c r="ED720" t="n">
        <v>116.67</v>
      </c>
      <c r="EE720" t="n">
        <v>11</v>
      </c>
      <c r="EF720" t="b">
        <v>1</v>
      </c>
      <c r="EG720" t="n">
        <v>0.2</v>
      </c>
      <c r="EH720" t="n">
        <v>8.300000000000001</v>
      </c>
      <c r="EI720" t="n">
        <v>337</v>
      </c>
    </row>
  </sheetData>
  <autoFilter ref="A1:EP7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7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30"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4" customWidth="1" min="26" max="26"/>
    <col width="11" customWidth="1" min="27" max="27"/>
    <col width="11" customWidth="1" min="28" max="28"/>
    <col width="12"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hidden="1" width="11" customWidth="1" min="55" max="55"/>
    <col hidden="1" width="11" customWidth="1" min="56" max="56"/>
    <col hidden="1" width="11" customWidth="1" min="57" max="57"/>
    <col hidden="1" width="11" customWidth="1" min="58" max="58"/>
    <col hidden="1" width="11" customWidth="1" min="59" max="59"/>
    <col hidden="1" width="11" customWidth="1" min="60" max="60"/>
    <col hidden="1" width="11" customWidth="1" min="61" max="61"/>
    <col hidden="1" width="11" customWidth="1" min="62" max="62"/>
  </cols>
  <sheetData>
    <row r="1">
      <c r="A1" s="1" t="inlineStr">
        <is>
          <t>Player</t>
        </is>
      </c>
      <c r="B1" s="1" t="inlineStr">
        <is>
          <t>Team 26/27</t>
        </is>
      </c>
      <c r="C1" s="1" t="inlineStr">
        <is>
          <t>Club 25/26</t>
        </is>
      </c>
      <c r="D1" s="1" t="inlineStr">
        <is>
          <t>Moved club</t>
        </is>
      </c>
      <c r="E1" s="1" t="inlineStr">
        <is>
          <t>Pos</t>
        </is>
      </c>
      <c r="F1" s="1" t="inlineStr">
        <is>
          <t>Pos 25/26</t>
        </is>
      </c>
      <c r="G1" s="1" t="inlineStr">
        <is>
          <t>Draftable</t>
        </is>
      </c>
      <c r="H1" s="1" t="inlineStr">
        <is>
          <t>Price</t>
        </is>
      </c>
      <c r="I1" s="1" t="inlineStr">
        <is>
          <t>Status</t>
        </is>
      </c>
      <c r="J1" s="1" t="inlineStr">
        <is>
          <t>News</t>
        </is>
      </c>
      <c r="K1" s="1" t="inlineStr">
        <is>
          <t>Mins 25/26</t>
        </is>
      </c>
      <c r="L1" s="1" t="inlineStr">
        <is>
          <t>Pts 25/26</t>
        </is>
      </c>
      <c r="M1" s="1" t="inlineStr">
        <is>
          <t>xMins Solio</t>
        </is>
      </c>
      <c r="N1" s="1" t="inlineStr">
        <is>
          <t>xMins Solio adjusted</t>
        </is>
      </c>
      <c r="O1" s="1" t="inlineStr">
        <is>
          <t>Research delta</t>
        </is>
      </c>
      <c r="P1" s="1" t="inlineStr">
        <is>
          <t>Research confidence</t>
        </is>
      </c>
      <c r="Q1" s="1" t="inlineStr">
        <is>
          <t>xMins pattern</t>
        </is>
      </c>
      <c r="R1" s="1" t="inlineStr">
        <is>
          <t>xMins 26/27</t>
        </is>
      </c>
      <c r="S1" s="1" t="inlineStr">
        <is>
          <t>xMins source</t>
        </is>
      </c>
      <c r="T1" s="1" t="inlineStr">
        <is>
          <t>Research reason</t>
        </is>
      </c>
      <c r="U1" s="1" t="inlineStr">
        <is>
          <t>Mins per start</t>
        </is>
      </c>
      <c r="V1" s="1" t="inlineStr">
        <is>
          <t>Mins/start starts</t>
        </is>
      </c>
      <c r="W1" s="1" t="inlineStr">
        <is>
          <t>Matches</t>
        </is>
      </c>
      <c r="X1" s="1" t="inlineStr">
        <is>
          <t>P(CS)</t>
        </is>
      </c>
      <c r="Y1" s="1" t="inlineStr">
        <is>
          <t>xG/90</t>
        </is>
      </c>
      <c r="Z1" s="1" t="inlineStr">
        <is>
          <t>xG basis</t>
        </is>
      </c>
      <c r="AA1" s="1" t="inlineStr">
        <is>
          <t>Non-pen share</t>
        </is>
      </c>
      <c r="AB1" s="1" t="inlineStr">
        <is>
          <t>Placement ratio</t>
        </is>
      </c>
      <c r="AC1" s="1" t="inlineStr">
        <is>
          <t>Placement sample xG</t>
        </is>
      </c>
      <c r="AD1" s="1" t="inlineStr">
        <is>
          <t>xA/90</t>
        </is>
      </c>
      <c r="AE1" s="1" t="inlineStr">
        <is>
          <t>DefCon actions/90</t>
        </is>
      </c>
      <c r="AF1" s="1" t="inlineStr">
        <is>
          <t>DefCon hit %</t>
        </is>
      </c>
      <c r="AG1" s="1" t="inlineStr">
        <is>
          <t>Bonus/90</t>
        </is>
      </c>
      <c r="AH1" s="1" t="inlineStr">
        <is>
          <t>App pts 25/26</t>
        </is>
      </c>
      <c r="AI1" s="1" t="inlineStr">
        <is>
          <t>Saves/match</t>
        </is>
      </c>
      <c r="AJ1" s="1" t="inlineStr">
        <is>
          <t>Goals against/match</t>
        </is>
      </c>
      <c r="AK1" s="1" t="inlineStr">
        <is>
          <t>Card rate/90</t>
        </is>
      </c>
      <c r="AL1" s="1" t="inlineStr">
        <is>
          <t>Pens/season</t>
        </is>
      </c>
      <c r="AM1" s="1" t="inlineStr">
        <is>
          <t>Pen save pts</t>
        </is>
      </c>
      <c r="AN1" s="1" t="inlineStr">
        <is>
          <t>xG pts/90</t>
        </is>
      </c>
      <c r="AO1" s="1" t="inlineStr">
        <is>
          <t>xA pts/90</t>
        </is>
      </c>
      <c r="AP1" s="1" t="inlineStr">
        <is>
          <t>CS pts/90</t>
        </is>
      </c>
      <c r="AQ1" s="1" t="inlineStr">
        <is>
          <t>Bonus pts/90</t>
        </is>
      </c>
      <c r="AR1" s="1" t="inlineStr">
        <is>
          <t>Save pts/90</t>
        </is>
      </c>
      <c r="AS1" s="1" t="inlineStr">
        <is>
          <t>GC pts/90</t>
        </is>
      </c>
      <c r="AT1" s="1" t="inlineStr">
        <is>
          <t>Cards pts/90</t>
        </is>
      </c>
      <c r="AU1" s="1" t="inlineStr">
        <is>
          <t>Rate pts/90</t>
        </is>
      </c>
      <c r="AV1" s="1" t="inlineStr">
        <is>
          <t>App pts season</t>
        </is>
      </c>
      <c r="AW1" s="1" t="inlineStr">
        <is>
          <t>DC pts season</t>
        </is>
      </c>
      <c r="AX1" s="1" t="inlineStr">
        <is>
          <t>Pen pts season</t>
        </is>
      </c>
      <c r="AY1" s="1" t="inlineStr">
        <is>
          <t>xPts season</t>
        </is>
      </c>
      <c r="AZ1" s="1" t="inlineStr">
        <is>
          <t>xPts/90</t>
        </is>
      </c>
      <c r="BA1" s="1" t="inlineStr">
        <is>
          <t>VORP</t>
        </is>
      </c>
      <c r="BB1" s="1" t="inlineStr">
        <is>
          <t>VORP per £m</t>
        </is>
      </c>
      <c r="BC1" s="1" t="inlineStr">
        <is>
          <t>_pool GKP</t>
        </is>
      </c>
      <c r="BD1" s="1" t="inlineStr">
        <is>
          <t>_pool DEF</t>
        </is>
      </c>
      <c r="BE1" s="1" t="inlineStr">
        <is>
          <t>_pool MID</t>
        </is>
      </c>
      <c r="BF1" s="1" t="inlineStr">
        <is>
          <t>_pool FWD</t>
        </is>
      </c>
      <c r="BG1" s="1" t="inlineStr">
        <is>
          <t>_app 60+</t>
        </is>
      </c>
      <c r="BH1" s="1" t="inlineStr">
        <is>
          <t>_dc pts</t>
        </is>
      </c>
      <c r="BI1" s="1" t="inlineStr">
        <is>
          <t>_cs pts</t>
        </is>
      </c>
      <c r="BJ1" s="1" t="inlineStr">
        <is>
          <t>_goal pts</t>
        </is>
      </c>
    </row>
    <row r="2">
      <c r="A2" t="inlineStr">
        <is>
          <t>Erling Haaland</t>
        </is>
      </c>
      <c r="B2" t="inlineStr">
        <is>
          <t>MCI</t>
        </is>
      </c>
      <c r="C2" t="inlineStr">
        <is>
          <t>MCI</t>
        </is>
      </c>
      <c r="D2" t="b">
        <v>0</v>
      </c>
      <c r="E2" t="inlineStr">
        <is>
          <t>FWD</t>
        </is>
      </c>
      <c r="F2" t="inlineStr">
        <is>
          <t>FWD</t>
        </is>
      </c>
      <c r="G2" t="b">
        <v>1</v>
      </c>
      <c r="H2" s="2" t="n">
        <v>15.5</v>
      </c>
      <c r="I2" t="inlineStr">
        <is>
          <t>a</t>
        </is>
      </c>
      <c r="K2" s="2" t="n">
        <v>2953</v>
      </c>
      <c r="L2" t="n">
        <v>239</v>
      </c>
      <c r="M2" s="3" t="n">
        <v>3204</v>
      </c>
      <c r="N2" s="4" t="n">
        <v>3000</v>
      </c>
      <c r="O2" s="4" t="n">
        <v>-204</v>
      </c>
      <c r="P2" s="5" t="inlineStr">
        <is>
          <t>medium</t>
        </is>
      </c>
      <c r="Q2" t="inlineStr">
        <is>
          <t>flat</t>
        </is>
      </c>
      <c r="R2" s="6" t="n">
        <v>3000</v>
      </c>
      <c r="S2" t="inlineStr">
        <is>
          <t>research</t>
        </is>
      </c>
      <c r="T2" s="5" t="inlineStr">
        <is>
          <t>Not a doubt about his place — a doubt about the first month. He played no part in pre-season after a deep World Cup run, only returned to training in the week of the Community Shield, and was expected to start that match on the bench. 3,204 would also be a career high; his best in a City shirt is 2,953 last season. Trimming to roughly last season's level rather than above it.</t>
        </is>
      </c>
      <c r="U2" s="6" t="n">
        <v>84.59999999999999</v>
      </c>
      <c r="V2" s="2" t="n">
        <v>34</v>
      </c>
      <c r="W2" s="7">
        <f>IF(N(U2)&lt;=0,0,MIN(Assumptions!$B$15,N(R2)/N(U2)))</f>
        <v/>
      </c>
      <c r="X2" s="6" t="n">
        <v>0.371</v>
      </c>
      <c r="Y2" s="3" t="n">
        <v>0.6655</v>
      </c>
      <c r="Z2" t="inlineStr">
        <is>
          <t>adjusted xGOT</t>
        </is>
      </c>
      <c r="AA2" s="3" t="n">
        <v>0.894</v>
      </c>
      <c r="AB2" s="3" t="n">
        <v>0.958</v>
      </c>
      <c r="AC2" s="3" t="n">
        <v>105.5</v>
      </c>
      <c r="AD2" s="3" t="n">
        <v>0.1246</v>
      </c>
      <c r="AE2" s="3" t="n">
        <v>3.488</v>
      </c>
      <c r="AF2" s="3" t="n">
        <v>0.0001611404032986208</v>
      </c>
      <c r="AG2" s="3" t="n">
        <v>1.3105</v>
      </c>
      <c r="AH2" s="3" t="n">
        <v>68</v>
      </c>
      <c r="AI2" s="3" t="n">
        <v>1.9737</v>
      </c>
      <c r="AJ2" s="3" t="n">
        <v>1.0365</v>
      </c>
      <c r="AK2" s="3" t="n">
        <v>-0.0908254123424939</v>
      </c>
      <c r="AL2" s="6" t="n">
        <v>6.02600782414642</v>
      </c>
      <c r="AM2" s="3" t="n">
        <v>0</v>
      </c>
      <c r="AN2" s="3" t="n">
        <v>2.662</v>
      </c>
      <c r="AO2" s="3" t="n">
        <v>0.4934160000000001</v>
      </c>
      <c r="AP2" s="3">
        <f>N(X2)*N(BI2)</f>
        <v/>
      </c>
      <c r="AQ2" s="3" t="n">
        <v>1.3105</v>
      </c>
      <c r="AR2" s="3" t="n">
        <v>0</v>
      </c>
      <c r="AS2" s="3" t="n">
        <v>-0</v>
      </c>
      <c r="AT2" s="3" t="n">
        <v>-0.0908254123424939</v>
      </c>
      <c r="AU2" s="3">
        <f>SUM(AN2:AT2)</f>
        <v/>
      </c>
      <c r="AV2" s="7">
        <f>IF(OR(N(W2)&lt;=0,N(BG2)=0),0,N(W2)*IF(N(R2)/N(W2)&gt;=60,N(BG2),1))</f>
        <v/>
      </c>
      <c r="AW2" s="7">
        <f>N(W2)*N(AF2)*N(BH2)</f>
        <v/>
      </c>
      <c r="AX2" s="7">
        <f>N(AL2)*(Assumptions!$B$13*N(BJ2)-(1-Assumptions!$B$13)*Assumptions!$B$14)+N(AM2)</f>
        <v/>
      </c>
      <c r="AY2" s="7">
        <f>N(AU2)*N(R2)/90+N(AV2)+N(AW2)+N(AX2)</f>
        <v/>
      </c>
      <c r="AZ2" s="3">
        <f>IF(N(R2)&lt;=0,0,(N(AY2)-N(AX2))*90/N(R2))</f>
        <v/>
      </c>
      <c r="BA2" s="7">
        <f>IFERROR(AY2-VLOOKUP($E2,Assumptions!$A$40:$C$43,3,FALSE),"")</f>
        <v/>
      </c>
      <c r="BB2" s="3">
        <f>IFERROR(BA2/H2,"")</f>
        <v/>
      </c>
      <c r="BC2">
        <f>IF(AND($G2=TRUE,$E2="GKP"),AY2,"")</f>
        <v/>
      </c>
      <c r="BD2">
        <f>IF(AND($G2=TRUE,$E2="DEF"),AY2,"")</f>
        <v/>
      </c>
      <c r="BE2">
        <f>IF(AND($G2=TRUE,$E2="MID"),AY2,"")</f>
        <v/>
      </c>
      <c r="BF2">
        <f>IF(AND($G2=TRUE,$E2="FWD"),AY2,"")</f>
        <v/>
      </c>
      <c r="BG2" t="n">
        <v>2</v>
      </c>
      <c r="BH2" t="n">
        <v>2</v>
      </c>
      <c r="BI2" t="n">
        <v>0</v>
      </c>
      <c r="BJ2" t="n">
        <v>4</v>
      </c>
    </row>
    <row r="3">
      <c r="A3" t="inlineStr">
        <is>
          <t>Bruno Fernandes</t>
        </is>
      </c>
      <c r="B3" t="inlineStr">
        <is>
          <t>MUN</t>
        </is>
      </c>
      <c r="C3" t="inlineStr">
        <is>
          <t>MUN</t>
        </is>
      </c>
      <c r="D3" t="b">
        <v>0</v>
      </c>
      <c r="E3" t="inlineStr">
        <is>
          <t>MID</t>
        </is>
      </c>
      <c r="F3" t="inlineStr">
        <is>
          <t>MID</t>
        </is>
      </c>
      <c r="G3" t="b">
        <v>1</v>
      </c>
      <c r="H3" s="2" t="n">
        <v>12</v>
      </c>
      <c r="I3" t="inlineStr">
        <is>
          <t>a</t>
        </is>
      </c>
      <c r="K3" s="2" t="n">
        <v>3065</v>
      </c>
      <c r="L3" t="n">
        <v>235</v>
      </c>
      <c r="M3" s="3" t="n">
        <v>3342</v>
      </c>
      <c r="N3" s="8" t="n">
        <v>3342</v>
      </c>
      <c r="O3" s="8" t="n">
        <v>0</v>
      </c>
      <c r="Q3" t="inlineStr">
        <is>
          <t>flat</t>
        </is>
      </c>
      <c r="R3" s="6" t="n">
        <v>3342</v>
      </c>
      <c r="S3" t="inlineStr">
        <is>
          <t>Solio</t>
        </is>
      </c>
      <c r="U3" s="6" t="n">
        <v>85.90000000000001</v>
      </c>
      <c r="V3" s="2" t="n">
        <v>35</v>
      </c>
      <c r="W3" s="7">
        <f>IF(N(U3)&lt;=0,0,MIN(Assumptions!$B$15,N(R3)/N(U3)))</f>
        <v/>
      </c>
      <c r="X3" s="6" t="n">
        <v>0.334</v>
      </c>
      <c r="Y3" s="3" t="n">
        <v>0.1866</v>
      </c>
      <c r="Z3" t="inlineStr">
        <is>
          <t>adjusted xGOT</t>
        </is>
      </c>
      <c r="AA3" s="3" t="n">
        <v>0.617</v>
      </c>
      <c r="AB3" s="3" t="n">
        <v>0.954</v>
      </c>
      <c r="AC3" s="3" t="n">
        <v>39.8</v>
      </c>
      <c r="AD3" s="3" t="n">
        <v>0.441</v>
      </c>
      <c r="AE3" s="3" t="n">
        <v>8.456</v>
      </c>
      <c r="AF3" s="3" t="n">
        <v>0.1171014588947341</v>
      </c>
      <c r="AG3" s="3" t="n">
        <v>1.2626</v>
      </c>
      <c r="AH3" s="3" t="n">
        <v>69</v>
      </c>
      <c r="AI3" s="3" t="n">
        <v>2.2165</v>
      </c>
      <c r="AJ3" s="3" t="n">
        <v>1.1467</v>
      </c>
      <c r="AK3" s="3" t="n">
        <v>-0.1783755058227372</v>
      </c>
      <c r="AL3" s="6" t="n">
        <v>5.864353249388292</v>
      </c>
      <c r="AM3" s="3" t="n">
        <v>0</v>
      </c>
      <c r="AN3" s="3" t="n">
        <v>0.9329999999999999</v>
      </c>
      <c r="AO3" s="3" t="n">
        <v>1.74636</v>
      </c>
      <c r="AP3" s="3">
        <f>N(X3)*N(BI3)</f>
        <v/>
      </c>
      <c r="AQ3" s="3" t="n">
        <v>1.2626</v>
      </c>
      <c r="AR3" s="3" t="n">
        <v>0</v>
      </c>
      <c r="AS3" s="3" t="n">
        <v>-0</v>
      </c>
      <c r="AT3" s="3" t="n">
        <v>-0.1783755058227372</v>
      </c>
      <c r="AU3" s="3">
        <f>SUM(AN3:AT3)</f>
        <v/>
      </c>
      <c r="AV3" s="7">
        <f>IF(OR(N(W3)&lt;=0,N(BG3)=0),0,N(W3)*IF(N(R3)/N(W3)&gt;=60,N(BG3),1))</f>
        <v/>
      </c>
      <c r="AW3" s="7">
        <f>N(W3)*N(AF3)*N(BH3)</f>
        <v/>
      </c>
      <c r="AX3" s="7">
        <f>N(AL3)*(Assumptions!$B$13*N(BJ3)-(1-Assumptions!$B$13)*Assumptions!$B$14)+N(AM3)</f>
        <v/>
      </c>
      <c r="AY3" s="7">
        <f>N(AU3)*N(R3)/90+N(AV3)+N(AW3)+N(AX3)</f>
        <v/>
      </c>
      <c r="AZ3" s="3">
        <f>IF(N(R3)&lt;=0,0,(N(AY3)-N(AX3))*90/N(R3))</f>
        <v/>
      </c>
      <c r="BA3" s="7">
        <f>IFERROR(AY3-VLOOKUP($E3,Assumptions!$A$40:$C$43,3,FALSE),"")</f>
        <v/>
      </c>
      <c r="BB3" s="3">
        <f>IFERROR(BA3/H3,"")</f>
        <v/>
      </c>
      <c r="BC3">
        <f>IF(AND($G3=TRUE,$E3="GKP"),AY3,"")</f>
        <v/>
      </c>
      <c r="BD3">
        <f>IF(AND($G3=TRUE,$E3="DEF"),AY3,"")</f>
        <v/>
      </c>
      <c r="BE3">
        <f>IF(AND($G3=TRUE,$E3="MID"),AY3,"")</f>
        <v/>
      </c>
      <c r="BF3">
        <f>IF(AND($G3=TRUE,$E3="FWD"),AY3,"")</f>
        <v/>
      </c>
      <c r="BG3" t="n">
        <v>2</v>
      </c>
      <c r="BH3" t="n">
        <v>2</v>
      </c>
      <c r="BI3" t="n">
        <v>1</v>
      </c>
      <c r="BJ3" t="n">
        <v>5</v>
      </c>
    </row>
    <row r="4">
      <c r="A4" t="inlineStr">
        <is>
          <t>Gabriel Magalhães</t>
        </is>
      </c>
      <c r="B4" t="inlineStr">
        <is>
          <t>ARS</t>
        </is>
      </c>
      <c r="C4" t="inlineStr">
        <is>
          <t>ARS</t>
        </is>
      </c>
      <c r="D4" t="b">
        <v>0</v>
      </c>
      <c r="E4" t="inlineStr">
        <is>
          <t>DEF</t>
        </is>
      </c>
      <c r="F4" t="inlineStr">
        <is>
          <t>DEF</t>
        </is>
      </c>
      <c r="G4" t="b">
        <v>1</v>
      </c>
      <c r="H4" s="2" t="n">
        <v>8</v>
      </c>
      <c r="I4" t="inlineStr">
        <is>
          <t>a</t>
        </is>
      </c>
      <c r="K4" s="2" t="n">
        <v>2750</v>
      </c>
      <c r="L4" t="n">
        <v>209</v>
      </c>
      <c r="M4" s="3" t="n">
        <v>3283</v>
      </c>
      <c r="N4" s="8" t="n">
        <v>3283</v>
      </c>
      <c r="O4" s="8" t="n">
        <v>0</v>
      </c>
      <c r="Q4" t="inlineStr">
        <is>
          <t>flat</t>
        </is>
      </c>
      <c r="R4" s="6" t="n">
        <v>3283</v>
      </c>
      <c r="S4" t="inlineStr">
        <is>
          <t>Solio</t>
        </is>
      </c>
      <c r="U4" s="6" t="n">
        <v>88.5</v>
      </c>
      <c r="V4" s="2" t="n">
        <v>30</v>
      </c>
      <c r="W4" s="7">
        <f>IF(N(U4)&lt;=0,0,MIN(Assumptions!$B$15,N(R4)/N(U4)))</f>
        <v/>
      </c>
      <c r="X4" s="6" t="n">
        <v>0.391</v>
      </c>
      <c r="Y4" s="3" t="n">
        <v>0.0785</v>
      </c>
      <c r="Z4" t="inlineStr">
        <is>
          <t>adjusted xGOT</t>
        </is>
      </c>
      <c r="AA4" s="3" t="n">
        <v>1</v>
      </c>
      <c r="AB4" s="3" t="n">
        <v>0.8159999999999999</v>
      </c>
      <c r="AC4" s="3" t="n">
        <v>15.2</v>
      </c>
      <c r="AD4" s="3" t="n">
        <v>0.0732</v>
      </c>
      <c r="AE4" s="3" t="n">
        <v>8.779</v>
      </c>
      <c r="AF4" s="3" t="n">
        <v>0.3643188784078821</v>
      </c>
      <c r="AG4" s="3" t="n">
        <v>0.7855</v>
      </c>
      <c r="AH4" s="3" t="n">
        <v>62</v>
      </c>
      <c r="AI4" s="3" t="n">
        <v>2.067</v>
      </c>
      <c r="AJ4" s="3" t="n">
        <v>0.9838</v>
      </c>
      <c r="AK4" s="3" t="n">
        <v>-0.1653812682758228</v>
      </c>
      <c r="AL4" s="6" t="n">
        <v>0</v>
      </c>
      <c r="AM4" s="3" t="n">
        <v>0</v>
      </c>
      <c r="AN4" s="3" t="n">
        <v>0.471</v>
      </c>
      <c r="AO4" s="3" t="n">
        <v>0.289872</v>
      </c>
      <c r="AP4" s="3">
        <f>N(X4)*N(BI4)</f>
        <v/>
      </c>
      <c r="AQ4" s="3" t="n">
        <v>0.7855</v>
      </c>
      <c r="AR4" s="3" t="n">
        <v>0</v>
      </c>
      <c r="AS4" s="3" t="n">
        <v>-0.2768479886568037</v>
      </c>
      <c r="AT4" s="3" t="n">
        <v>-0.1653812682758228</v>
      </c>
      <c r="AU4" s="3">
        <f>SUM(AN4:AT4)</f>
        <v/>
      </c>
      <c r="AV4" s="7">
        <f>IF(OR(N(W4)&lt;=0,N(BG4)=0),0,N(W4)*IF(N(R4)/N(W4)&gt;=60,N(BG4),1))</f>
        <v/>
      </c>
      <c r="AW4" s="7">
        <f>N(W4)*N(AF4)*N(BH4)</f>
        <v/>
      </c>
      <c r="AX4" s="7">
        <f>N(AL4)*(Assumptions!$B$13*N(BJ4)-(1-Assumptions!$B$13)*Assumptions!$B$14)+N(AM4)</f>
        <v/>
      </c>
      <c r="AY4" s="7">
        <f>N(AU4)*N(R4)/90+N(AV4)+N(AW4)+N(AX4)</f>
        <v/>
      </c>
      <c r="AZ4" s="3">
        <f>IF(N(R4)&lt;=0,0,(N(AY4)-N(AX4))*90/N(R4))</f>
        <v/>
      </c>
      <c r="BA4" s="7">
        <f>IFERROR(AY4-VLOOKUP($E4,Assumptions!$A$40:$C$43,3,FALSE),"")</f>
        <v/>
      </c>
      <c r="BB4" s="3">
        <f>IFERROR(BA4/H4,"")</f>
        <v/>
      </c>
      <c r="BC4">
        <f>IF(AND($G4=TRUE,$E4="GKP"),AY4,"")</f>
        <v/>
      </c>
      <c r="BD4">
        <f>IF(AND($G4=TRUE,$E4="DEF"),AY4,"")</f>
        <v/>
      </c>
      <c r="BE4">
        <f>IF(AND($G4=TRUE,$E4="MID"),AY4,"")</f>
        <v/>
      </c>
      <c r="BF4">
        <f>IF(AND($G4=TRUE,$E4="FWD"),AY4,"")</f>
        <v/>
      </c>
      <c r="BG4" t="n">
        <v>2</v>
      </c>
      <c r="BH4" t="n">
        <v>2</v>
      </c>
      <c r="BI4" t="n">
        <v>4</v>
      </c>
      <c r="BJ4" t="n">
        <v>6</v>
      </c>
    </row>
    <row r="5">
      <c r="A5" t="inlineStr">
        <is>
          <t>Antoine Semenyo</t>
        </is>
      </c>
      <c r="B5" t="inlineStr">
        <is>
          <t>MCI</t>
        </is>
      </c>
      <c r="C5" t="inlineStr">
        <is>
          <t>MCI</t>
        </is>
      </c>
      <c r="D5" t="b">
        <v>0</v>
      </c>
      <c r="E5" t="inlineStr">
        <is>
          <t>MID</t>
        </is>
      </c>
      <c r="F5" t="inlineStr">
        <is>
          <t>MID</t>
        </is>
      </c>
      <c r="G5" t="b">
        <v>1</v>
      </c>
      <c r="H5" s="2" t="n">
        <v>8.5</v>
      </c>
      <c r="I5" t="inlineStr">
        <is>
          <t>a</t>
        </is>
      </c>
      <c r="K5" s="2" t="n">
        <v>3200</v>
      </c>
      <c r="L5" t="n">
        <v>202</v>
      </c>
      <c r="M5" s="3" t="n">
        <v>3106</v>
      </c>
      <c r="N5" s="4" t="n">
        <v>2900</v>
      </c>
      <c r="O5" s="4" t="n">
        <v>-206</v>
      </c>
      <c r="P5" s="5" t="inlineStr">
        <is>
          <t>low</t>
        </is>
      </c>
      <c r="Q5" t="inlineStr">
        <is>
          <t>flat</t>
        </is>
      </c>
      <c r="R5" s="6" t="n">
        <v>2900</v>
      </c>
      <c r="S5" t="inlineStr">
        <is>
          <t>research</t>
        </is>
      </c>
      <c r="T5" s="5" t="inlineStr">
        <is>
          <t>Lowest-confidence delta in this file, and included partly to keep the budget honest. 3,106 minutes is 34.5 full matches, which would make him the most-used City winger of the Guardiola-to-Maresca era. His 3,200 minutes last season were largely banked at Bournemouth before January, where he was genuinely nailed; at City he is in a rotation with Doku, Cherki, Savinho, Foden and Monga that Opta lists as one of the club's deepest areas. Small trim only — he was outstanding in pre-season and nothing suggests he loses his place.</t>
        </is>
      </c>
      <c r="U5" s="6" t="n">
        <v>85.09999999999999</v>
      </c>
      <c r="V5" s="2" t="n">
        <v>37</v>
      </c>
      <c r="W5" s="7">
        <f>IF(N(U5)&lt;=0,0,MIN(Assumptions!$B$15,N(R5)/N(U5)))</f>
        <v/>
      </c>
      <c r="X5" s="6" t="n">
        <v>0.371</v>
      </c>
      <c r="Y5" s="3" t="n">
        <v>0.3139</v>
      </c>
      <c r="Z5" t="inlineStr">
        <is>
          <t>adjusted xGOT</t>
        </is>
      </c>
      <c r="AA5" s="3" t="n">
        <v>0.881</v>
      </c>
      <c r="AB5" s="3" t="n">
        <v>1.141</v>
      </c>
      <c r="AC5" s="3" t="n">
        <v>25.7</v>
      </c>
      <c r="AD5" s="3" t="n">
        <v>0.102</v>
      </c>
      <c r="AE5" s="3" t="n">
        <v>6.994</v>
      </c>
      <c r="AF5" s="3" t="n">
        <v>0.03775900965641876</v>
      </c>
      <c r="AG5" s="3" t="n">
        <v>0.5344</v>
      </c>
      <c r="AH5" s="3" t="n">
        <v>72</v>
      </c>
      <c r="AI5" s="3" t="n">
        <v>1.9737</v>
      </c>
      <c r="AJ5" s="3" t="n">
        <v>1.0365</v>
      </c>
      <c r="AK5" s="3" t="n">
        <v>-0.2354149219812201</v>
      </c>
      <c r="AL5" s="6" t="n">
        <v>0.331298897539341</v>
      </c>
      <c r="AM5" s="3" t="n">
        <v>0</v>
      </c>
      <c r="AN5" s="3" t="n">
        <v>1.5695</v>
      </c>
      <c r="AO5" s="3" t="n">
        <v>0.40392</v>
      </c>
      <c r="AP5" s="3">
        <f>N(X5)*N(BI5)</f>
        <v/>
      </c>
      <c r="AQ5" s="3" t="n">
        <v>0.5344</v>
      </c>
      <c r="AR5" s="3" t="n">
        <v>0</v>
      </c>
      <c r="AS5" s="3" t="n">
        <v>-0</v>
      </c>
      <c r="AT5" s="3" t="n">
        <v>-0.2354149219812201</v>
      </c>
      <c r="AU5" s="3">
        <f>SUM(AN5:AT5)</f>
        <v/>
      </c>
      <c r="AV5" s="7">
        <f>IF(OR(N(W5)&lt;=0,N(BG5)=0),0,N(W5)*IF(N(R5)/N(W5)&gt;=60,N(BG5),1))</f>
        <v/>
      </c>
      <c r="AW5" s="7">
        <f>N(W5)*N(AF5)*N(BH5)</f>
        <v/>
      </c>
      <c r="AX5" s="7">
        <f>N(AL5)*(Assumptions!$B$13*N(BJ5)-(1-Assumptions!$B$13)*Assumptions!$B$14)+N(AM5)</f>
        <v/>
      </c>
      <c r="AY5" s="7">
        <f>N(AU5)*N(R5)/90+N(AV5)+N(AW5)+N(AX5)</f>
        <v/>
      </c>
      <c r="AZ5" s="3">
        <f>IF(N(R5)&lt;=0,0,(N(AY5)-N(AX5))*90/N(R5))</f>
        <v/>
      </c>
      <c r="BA5" s="7">
        <f>IFERROR(AY5-VLOOKUP($E5,Assumptions!$A$40:$C$43,3,FALSE),"")</f>
        <v/>
      </c>
      <c r="BB5" s="3">
        <f>IFERROR(BA5/H5,"")</f>
        <v/>
      </c>
      <c r="BC5">
        <f>IF(AND($G5=TRUE,$E5="GKP"),AY5,"")</f>
        <v/>
      </c>
      <c r="BD5">
        <f>IF(AND($G5=TRUE,$E5="DEF"),AY5,"")</f>
        <v/>
      </c>
      <c r="BE5">
        <f>IF(AND($G5=TRUE,$E5="MID"),AY5,"")</f>
        <v/>
      </c>
      <c r="BF5">
        <f>IF(AND($G5=TRUE,$E5="FWD"),AY5,"")</f>
        <v/>
      </c>
      <c r="BG5" t="n">
        <v>2</v>
      </c>
      <c r="BH5" t="n">
        <v>2</v>
      </c>
      <c r="BI5" t="n">
        <v>1</v>
      </c>
      <c r="BJ5" t="n">
        <v>5</v>
      </c>
    </row>
    <row r="6">
      <c r="A6" t="inlineStr">
        <is>
          <t>Morgan Gibbs-White</t>
        </is>
      </c>
      <c r="B6" t="inlineStr">
        <is>
          <t>NFO</t>
        </is>
      </c>
      <c r="C6" t="inlineStr">
        <is>
          <t>NFO</t>
        </is>
      </c>
      <c r="D6" t="b">
        <v>0</v>
      </c>
      <c r="E6" t="inlineStr">
        <is>
          <t>MID</t>
        </is>
      </c>
      <c r="F6" t="inlineStr">
        <is>
          <t>MID</t>
        </is>
      </c>
      <c r="G6" t="b">
        <v>1</v>
      </c>
      <c r="H6" s="2" t="n">
        <v>8</v>
      </c>
      <c r="I6" t="inlineStr">
        <is>
          <t>a</t>
        </is>
      </c>
      <c r="K6" s="2" t="n">
        <v>3101</v>
      </c>
      <c r="L6" t="n">
        <v>188</v>
      </c>
      <c r="M6" s="3" t="n">
        <v>3301</v>
      </c>
      <c r="N6" s="4" t="n">
        <v>3150</v>
      </c>
      <c r="O6" s="4" t="n">
        <v>-151</v>
      </c>
      <c r="P6" s="5" t="inlineStr">
        <is>
          <t>medium</t>
        </is>
      </c>
      <c r="Q6" t="inlineStr">
        <is>
          <t>flat</t>
        </is>
      </c>
      <c r="R6" s="6" t="n">
        <v>3150</v>
      </c>
      <c r="S6" t="inlineStr">
        <is>
          <t>research</t>
        </is>
      </c>
      <c r="T6" s="5" t="inlineStr">
        <is>
          <t>Staying at Forest and central to Glasner's plans, so the headline number is broadly right. Trimmed because Solio projects 200 minutes above his own 2025-26 total of 3,101, and an attacking midfielder in a two-ten system is the profile most often substituted late.</t>
        </is>
      </c>
      <c r="U6" s="6" t="n">
        <v>85.3</v>
      </c>
      <c r="V6" s="2" t="n">
        <v>35</v>
      </c>
      <c r="W6" s="7">
        <f>IF(N(U6)&lt;=0,0,MIN(Assumptions!$B$15,N(R6)/N(U6)))</f>
        <v/>
      </c>
      <c r="X6" s="6" t="n">
        <v>0.224</v>
      </c>
      <c r="Y6" s="3" t="n">
        <v>0.2899</v>
      </c>
      <c r="Z6" t="inlineStr">
        <is>
          <t>adjusted xGOT</t>
        </is>
      </c>
      <c r="AA6" s="3" t="n">
        <v>0.9350000000000001</v>
      </c>
      <c r="AB6" s="3" t="n">
        <v>0.989</v>
      </c>
      <c r="AC6" s="3" t="n">
        <v>30.5</v>
      </c>
      <c r="AD6" s="3" t="n">
        <v>0.1076</v>
      </c>
      <c r="AE6" s="3" t="n">
        <v>5.809</v>
      </c>
      <c r="AF6" s="3" t="n">
        <v>0.0110688280569039</v>
      </c>
      <c r="AG6" s="3" t="n">
        <v>0.5224</v>
      </c>
      <c r="AH6" s="3" t="n">
        <v>72</v>
      </c>
      <c r="AI6" s="3" t="n">
        <v>3.1134</v>
      </c>
      <c r="AJ6" s="3" t="n">
        <v>1.5588</v>
      </c>
      <c r="AK6" s="3" t="n">
        <v>-0.1751960287699131</v>
      </c>
      <c r="AL6" s="6" t="n">
        <v>3.588896383734543</v>
      </c>
      <c r="AM6" s="3" t="n">
        <v>0</v>
      </c>
      <c r="AN6" s="3" t="n">
        <v>1.4495</v>
      </c>
      <c r="AO6" s="3" t="n">
        <v>0.426096</v>
      </c>
      <c r="AP6" s="3">
        <f>N(X6)*N(BI6)</f>
        <v/>
      </c>
      <c r="AQ6" s="3" t="n">
        <v>0.5224</v>
      </c>
      <c r="AR6" s="3" t="n">
        <v>0</v>
      </c>
      <c r="AS6" s="3" t="n">
        <v>-0</v>
      </c>
      <c r="AT6" s="3" t="n">
        <v>-0.1751960287699131</v>
      </c>
      <c r="AU6" s="3">
        <f>SUM(AN6:AT6)</f>
        <v/>
      </c>
      <c r="AV6" s="7">
        <f>IF(OR(N(W6)&lt;=0,N(BG6)=0),0,N(W6)*IF(N(R6)/N(W6)&gt;=60,N(BG6),1))</f>
        <v/>
      </c>
      <c r="AW6" s="7">
        <f>N(W6)*N(AF6)*N(BH6)</f>
        <v/>
      </c>
      <c r="AX6" s="7">
        <f>N(AL6)*(Assumptions!$B$13*N(BJ6)-(1-Assumptions!$B$13)*Assumptions!$B$14)+N(AM6)</f>
        <v/>
      </c>
      <c r="AY6" s="7">
        <f>N(AU6)*N(R6)/90+N(AV6)+N(AW6)+N(AX6)</f>
        <v/>
      </c>
      <c r="AZ6" s="3">
        <f>IF(N(R6)&lt;=0,0,(N(AY6)-N(AX6))*90/N(R6))</f>
        <v/>
      </c>
      <c r="BA6" s="7">
        <f>IFERROR(AY6-VLOOKUP($E6,Assumptions!$A$40:$C$43,3,FALSE),"")</f>
        <v/>
      </c>
      <c r="BB6" s="3">
        <f>IFERROR(BA6/H6,"")</f>
        <v/>
      </c>
      <c r="BC6">
        <f>IF(AND($G6=TRUE,$E6="GKP"),AY6,"")</f>
        <v/>
      </c>
      <c r="BD6">
        <f>IF(AND($G6=TRUE,$E6="DEF"),AY6,"")</f>
        <v/>
      </c>
      <c r="BE6">
        <f>IF(AND($G6=TRUE,$E6="MID"),AY6,"")</f>
        <v/>
      </c>
      <c r="BF6">
        <f>IF(AND($G6=TRUE,$E6="FWD"),AY6,"")</f>
        <v/>
      </c>
      <c r="BG6" t="n">
        <v>2</v>
      </c>
      <c r="BH6" t="n">
        <v>2</v>
      </c>
      <c r="BI6" t="n">
        <v>1</v>
      </c>
      <c r="BJ6" t="n">
        <v>5</v>
      </c>
    </row>
    <row r="7">
      <c r="A7" t="inlineStr">
        <is>
          <t>Declan Rice</t>
        </is>
      </c>
      <c r="B7" t="inlineStr">
        <is>
          <t>ARS</t>
        </is>
      </c>
      <c r="C7" t="inlineStr">
        <is>
          <t>ARS</t>
        </is>
      </c>
      <c r="D7" t="b">
        <v>0</v>
      </c>
      <c r="E7" t="inlineStr">
        <is>
          <t>MID</t>
        </is>
      </c>
      <c r="F7" t="inlineStr">
        <is>
          <t>MID</t>
        </is>
      </c>
      <c r="G7" t="b">
        <v>1</v>
      </c>
      <c r="H7" s="2" t="n">
        <v>7.5</v>
      </c>
      <c r="I7" t="inlineStr">
        <is>
          <t>a</t>
        </is>
      </c>
      <c r="K7" s="2" t="n">
        <v>3093</v>
      </c>
      <c r="L7" t="n">
        <v>184</v>
      </c>
      <c r="M7" s="3" t="n">
        <v>3106</v>
      </c>
      <c r="N7" s="4" t="n">
        <v>2950</v>
      </c>
      <c r="O7" s="4" t="n">
        <v>-156</v>
      </c>
      <c r="P7" s="5" t="inlineStr">
        <is>
          <t>low</t>
        </is>
      </c>
      <c r="Q7" t="inlineStr">
        <is>
          <t>flat</t>
        </is>
      </c>
      <c r="R7" s="6" t="n">
        <v>2950</v>
      </c>
      <c r="S7" t="inlineStr">
        <is>
          <t>research</t>
        </is>
      </c>
      <c r="T7" s="5" t="inlineStr">
        <is>
          <t>Rice is fit and available, so no large cut is warranted - but Solio's 3106 would be his heaviest league season yet on the back of hamstring nerve pain he has been managing since December, a knee problem, and a World Cup that ran to the third-place play-off. Fantasy Football Scout's 14 August guide flags that Rice has 'only just returned to training after the World Cup' and that early minutes may be managed. A 5% trim for load management, no more.</t>
        </is>
      </c>
      <c r="U7" s="6" t="n">
        <v>86</v>
      </c>
      <c r="V7" s="2" t="n">
        <v>35</v>
      </c>
      <c r="W7" s="7">
        <f>IF(N(U7)&lt;=0,0,MIN(Assumptions!$B$15,N(R7)/N(U7)))</f>
        <v/>
      </c>
      <c r="X7" s="6" t="n">
        <v>0.391</v>
      </c>
      <c r="Y7" s="3" t="n">
        <v>0.1037</v>
      </c>
      <c r="Z7" t="inlineStr">
        <is>
          <t>adjusted xGOT</t>
        </is>
      </c>
      <c r="AA7" s="3" t="n">
        <v>1</v>
      </c>
      <c r="AB7" s="3" t="n">
        <v>1.132</v>
      </c>
      <c r="AC7" s="3" t="n">
        <v>12.6</v>
      </c>
      <c r="AD7" s="3" t="n">
        <v>0.2252</v>
      </c>
      <c r="AE7" s="3" t="n">
        <v>10.494</v>
      </c>
      <c r="AF7" s="3" t="n">
        <v>0.3063672703400486</v>
      </c>
      <c r="AG7" s="3" t="n">
        <v>0.6984</v>
      </c>
      <c r="AH7" s="3" t="n">
        <v>71</v>
      </c>
      <c r="AI7" s="3" t="n">
        <v>2.067</v>
      </c>
      <c r="AJ7" s="3" t="n">
        <v>0.9838</v>
      </c>
      <c r="AK7" s="3" t="n">
        <v>-0.1506210597641032</v>
      </c>
      <c r="AL7" s="6" t="n">
        <v>0</v>
      </c>
      <c r="AM7" s="3" t="n">
        <v>0</v>
      </c>
      <c r="AN7" s="3" t="n">
        <v>0.5185</v>
      </c>
      <c r="AO7" s="3" t="n">
        <v>0.891792</v>
      </c>
      <c r="AP7" s="3">
        <f>N(X7)*N(BI7)</f>
        <v/>
      </c>
      <c r="AQ7" s="3" t="n">
        <v>0.6984</v>
      </c>
      <c r="AR7" s="3" t="n">
        <v>0</v>
      </c>
      <c r="AS7" s="3" t="n">
        <v>-0</v>
      </c>
      <c r="AT7" s="3" t="n">
        <v>-0.1506210597641032</v>
      </c>
      <c r="AU7" s="3">
        <f>SUM(AN7:AT7)</f>
        <v/>
      </c>
      <c r="AV7" s="7">
        <f>IF(OR(N(W7)&lt;=0,N(BG7)=0),0,N(W7)*IF(N(R7)/N(W7)&gt;=60,N(BG7),1))</f>
        <v/>
      </c>
      <c r="AW7" s="7">
        <f>N(W7)*N(AF7)*N(BH7)</f>
        <v/>
      </c>
      <c r="AX7" s="7">
        <f>N(AL7)*(Assumptions!$B$13*N(BJ7)-(1-Assumptions!$B$13)*Assumptions!$B$14)+N(AM7)</f>
        <v/>
      </c>
      <c r="AY7" s="7">
        <f>N(AU7)*N(R7)/90+N(AV7)+N(AW7)+N(AX7)</f>
        <v/>
      </c>
      <c r="AZ7" s="3">
        <f>IF(N(R7)&lt;=0,0,(N(AY7)-N(AX7))*90/N(R7))</f>
        <v/>
      </c>
      <c r="BA7" s="7">
        <f>IFERROR(AY7-VLOOKUP($E7,Assumptions!$A$40:$C$43,3,FALSE),"")</f>
        <v/>
      </c>
      <c r="BB7" s="3">
        <f>IFERROR(BA7/H7,"")</f>
        <v/>
      </c>
      <c r="BC7">
        <f>IF(AND($G7=TRUE,$E7="GKP"),AY7,"")</f>
        <v/>
      </c>
      <c r="BD7">
        <f>IF(AND($G7=TRUE,$E7="DEF"),AY7,"")</f>
        <v/>
      </c>
      <c r="BE7">
        <f>IF(AND($G7=TRUE,$E7="MID"),AY7,"")</f>
        <v/>
      </c>
      <c r="BF7">
        <f>IF(AND($G7=TRUE,$E7="FWD"),AY7,"")</f>
        <v/>
      </c>
      <c r="BG7" t="n">
        <v>2</v>
      </c>
      <c r="BH7" t="n">
        <v>2</v>
      </c>
      <c r="BI7" t="n">
        <v>1</v>
      </c>
      <c r="BJ7" t="n">
        <v>5</v>
      </c>
    </row>
    <row r="8">
      <c r="A8" t="inlineStr">
        <is>
          <t>Igor Thiago</t>
        </is>
      </c>
      <c r="B8" t="inlineStr">
        <is>
          <t>BRE</t>
        </is>
      </c>
      <c r="C8" t="inlineStr">
        <is>
          <t>BRE</t>
        </is>
      </c>
      <c r="D8" t="b">
        <v>0</v>
      </c>
      <c r="E8" t="inlineStr">
        <is>
          <t>FWD</t>
        </is>
      </c>
      <c r="F8" t="inlineStr">
        <is>
          <t>FWD</t>
        </is>
      </c>
      <c r="G8" t="b">
        <v>1</v>
      </c>
      <c r="H8" s="2" t="n">
        <v>8</v>
      </c>
      <c r="I8" t="inlineStr">
        <is>
          <t>a</t>
        </is>
      </c>
      <c r="K8" s="2" t="n">
        <v>3282</v>
      </c>
      <c r="L8" t="n">
        <v>181</v>
      </c>
      <c r="M8" s="3" t="n">
        <v>3209</v>
      </c>
      <c r="N8" s="4" t="n">
        <v>3050</v>
      </c>
      <c r="O8" s="4" t="n">
        <v>-159</v>
      </c>
      <c r="P8" s="5" t="inlineStr">
        <is>
          <t>low</t>
        </is>
      </c>
      <c r="Q8" t="inlineStr">
        <is>
          <t>flat</t>
        </is>
      </c>
      <c r="R8" s="6" t="n">
        <v>3050</v>
      </c>
      <c r="S8" t="inlineStr">
        <is>
          <t>research</t>
        </is>
      </c>
      <c r="T8" s="5" t="inlineStr">
        <is>
          <t>Small trim only. Brentford signed Callum Wilson on a free on 9 July, and he replaced Thiago at half-time against Rennes and registered two assists. Solio's 3209 assumes essentially no in-game rotation at centre-forward; a dedicated deputy with 95 Premier League goals makes a modest number of early substitutions and rested matches likelier. Thiago remains the undisputed starter.</t>
        </is>
      </c>
      <c r="U8" s="6" t="n">
        <v>85.90000000000001</v>
      </c>
      <c r="V8" s="2" t="n">
        <v>37</v>
      </c>
      <c r="W8" s="7">
        <f>IF(N(U8)&lt;=0,0,MIN(Assumptions!$B$15,N(R8)/N(U8)))</f>
        <v/>
      </c>
      <c r="X8" s="6" t="n">
        <v>0.228</v>
      </c>
      <c r="Y8" s="3" t="n">
        <v>0.3992</v>
      </c>
      <c r="Z8" t="inlineStr">
        <is>
          <t>adjusted xGOT</t>
        </is>
      </c>
      <c r="AA8" s="3" t="n">
        <v>0.723</v>
      </c>
      <c r="AB8" s="3" t="n">
        <v>0.978</v>
      </c>
      <c r="AC8" s="3" t="n">
        <v>20.7</v>
      </c>
      <c r="AD8" s="3" t="n">
        <v>0.07240000000000001</v>
      </c>
      <c r="AE8" s="3" t="n">
        <v>5.675</v>
      </c>
      <c r="AF8" s="3" t="n">
        <v>0.009845651064124272</v>
      </c>
      <c r="AG8" s="3" t="n">
        <v>0.6032999999999999</v>
      </c>
      <c r="AH8" s="3" t="n">
        <v>75</v>
      </c>
      <c r="AI8" s="3" t="n">
        <v>3.2371</v>
      </c>
      <c r="AJ8" s="3" t="n">
        <v>1.5396</v>
      </c>
      <c r="AK8" s="3" t="n">
        <v>-0.1909662885404408</v>
      </c>
      <c r="AL8" s="6" t="n">
        <v>4.189117494674605</v>
      </c>
      <c r="AM8" s="3" t="n">
        <v>0</v>
      </c>
      <c r="AN8" s="3" t="n">
        <v>1.5968</v>
      </c>
      <c r="AO8" s="3" t="n">
        <v>0.286704</v>
      </c>
      <c r="AP8" s="3">
        <f>N(X8)*N(BI8)</f>
        <v/>
      </c>
      <c r="AQ8" s="3" t="n">
        <v>0.6032999999999999</v>
      </c>
      <c r="AR8" s="3" t="n">
        <v>0</v>
      </c>
      <c r="AS8" s="3" t="n">
        <v>-0</v>
      </c>
      <c r="AT8" s="3" t="n">
        <v>-0.1909662885404408</v>
      </c>
      <c r="AU8" s="3">
        <f>SUM(AN8:AT8)</f>
        <v/>
      </c>
      <c r="AV8" s="7">
        <f>IF(OR(N(W8)&lt;=0,N(BG8)=0),0,N(W8)*IF(N(R8)/N(W8)&gt;=60,N(BG8),1))</f>
        <v/>
      </c>
      <c r="AW8" s="7">
        <f>N(W8)*N(AF8)*N(BH8)</f>
        <v/>
      </c>
      <c r="AX8" s="7">
        <f>N(AL8)*(Assumptions!$B$13*N(BJ8)-(1-Assumptions!$B$13)*Assumptions!$B$14)+N(AM8)</f>
        <v/>
      </c>
      <c r="AY8" s="7">
        <f>N(AU8)*N(R8)/90+N(AV8)+N(AW8)+N(AX8)</f>
        <v/>
      </c>
      <c r="AZ8" s="3">
        <f>IF(N(R8)&lt;=0,0,(N(AY8)-N(AX8))*90/N(R8))</f>
        <v/>
      </c>
      <c r="BA8" s="7">
        <f>IFERROR(AY8-VLOOKUP($E8,Assumptions!$A$40:$C$43,3,FALSE),"")</f>
        <v/>
      </c>
      <c r="BB8" s="3">
        <f>IFERROR(BA8/H8,"")</f>
        <v/>
      </c>
      <c r="BC8">
        <f>IF(AND($G8=TRUE,$E8="GKP"),AY8,"")</f>
        <v/>
      </c>
      <c r="BD8">
        <f>IF(AND($G8=TRUE,$E8="DEF"),AY8,"")</f>
        <v/>
      </c>
      <c r="BE8">
        <f>IF(AND($G8=TRUE,$E8="MID"),AY8,"")</f>
        <v/>
      </c>
      <c r="BF8">
        <f>IF(AND($G8=TRUE,$E8="FWD"),AY8,"")</f>
        <v/>
      </c>
      <c r="BG8" t="n">
        <v>2</v>
      </c>
      <c r="BH8" t="n">
        <v>2</v>
      </c>
      <c r="BI8" t="n">
        <v>0</v>
      </c>
      <c r="BJ8" t="n">
        <v>4</v>
      </c>
    </row>
    <row r="9">
      <c r="A9" s="9" t="inlineStr">
        <is>
          <t>Elliot Anderson</t>
        </is>
      </c>
      <c r="B9" t="inlineStr">
        <is>
          <t>MCI</t>
        </is>
      </c>
      <c r="C9" s="9" t="inlineStr">
        <is>
          <t>NFO</t>
        </is>
      </c>
      <c r="D9" t="b">
        <v>1</v>
      </c>
      <c r="E9" t="inlineStr">
        <is>
          <t>MID</t>
        </is>
      </c>
      <c r="F9" t="inlineStr">
        <is>
          <t>MID</t>
        </is>
      </c>
      <c r="G9" t="b">
        <v>1</v>
      </c>
      <c r="H9" s="2" t="n">
        <v>6.5</v>
      </c>
      <c r="I9" t="inlineStr">
        <is>
          <t>a</t>
        </is>
      </c>
      <c r="K9" s="2" t="n">
        <v>3332</v>
      </c>
      <c r="L9" t="n">
        <v>180</v>
      </c>
      <c r="M9" s="3" t="n">
        <v>2096</v>
      </c>
      <c r="N9" s="4" t="n">
        <v>2700</v>
      </c>
      <c r="O9" s="4" t="n">
        <v>604</v>
      </c>
      <c r="P9" s="5" t="inlineStr">
        <is>
          <t>high</t>
        </is>
      </c>
      <c r="Q9" t="inlineStr">
        <is>
          <t>flat</t>
        </is>
      </c>
      <c r="R9" s="6" t="n">
        <v>2700</v>
      </c>
      <c r="S9" t="inlineStr">
        <is>
          <t>research</t>
        </is>
      </c>
      <c r="T9" s="5" t="inlineStr">
        <is>
          <t>Resolves the flagged question. The 'more likely to start on the bench' read is real but it is about one match, not the season: he had only four days' training with the squad before the Community Shield, which is why one preview made Nico Gonzalez the safer bet for that game. Everything longer-range points the other way — British-record £116m fee for an English player, reported as central to Maresca's midfield plans from the restart, Maresca himself mapping him as both a six and an eight, Reijnders sold and Rodri unavailable. Bench for one match, starter for the season.</t>
        </is>
      </c>
      <c r="U9" s="6" t="n">
        <v>87</v>
      </c>
      <c r="V9" s="2" t="n">
        <v>37</v>
      </c>
      <c r="W9" s="7">
        <f>IF(N(U9)&lt;=0,0,MIN(Assumptions!$B$15,N(R9)/N(U9)))</f>
        <v/>
      </c>
      <c r="X9" s="6" t="n">
        <v>0.371</v>
      </c>
      <c r="Y9" s="10" t="n">
        <v>0.0558</v>
      </c>
      <c r="Z9" t="inlineStr">
        <is>
          <t>adjusted xGOT</t>
        </is>
      </c>
      <c r="AA9" s="3" t="n">
        <v>0.779</v>
      </c>
      <c r="AB9" s="3" t="n">
        <v>0.902</v>
      </c>
      <c r="AC9" s="3" t="n">
        <v>7.8</v>
      </c>
      <c r="AD9" s="10" t="n">
        <v>0.1301</v>
      </c>
      <c r="AE9" s="3" t="n">
        <v>12.963</v>
      </c>
      <c r="AF9" s="3" t="n">
        <v>0.5975914507580702</v>
      </c>
      <c r="AG9" s="3" t="n">
        <v>0.4862</v>
      </c>
      <c r="AH9" s="3" t="n">
        <v>75</v>
      </c>
      <c r="AI9" s="3" t="n">
        <v>1.9737</v>
      </c>
      <c r="AJ9" s="3" t="n">
        <v>1.0365</v>
      </c>
      <c r="AK9" s="3" t="n">
        <v>-0.2595103024449674</v>
      </c>
      <c r="AL9" s="6" t="n">
        <v>0</v>
      </c>
      <c r="AM9" s="3" t="n">
        <v>0</v>
      </c>
      <c r="AN9" s="10" t="n">
        <v>0.279</v>
      </c>
      <c r="AO9" s="10" t="n">
        <v>0.515196</v>
      </c>
      <c r="AP9" s="3">
        <f>N(X9)*N(BI9)</f>
        <v/>
      </c>
      <c r="AQ9" s="3" t="n">
        <v>0.4862</v>
      </c>
      <c r="AR9" s="3" t="n">
        <v>0</v>
      </c>
      <c r="AS9" s="3" t="n">
        <v>-0</v>
      </c>
      <c r="AT9" s="3" t="n">
        <v>-0.2595103024449674</v>
      </c>
      <c r="AU9" s="3">
        <f>SUM(AN9:AT9)</f>
        <v/>
      </c>
      <c r="AV9" s="7">
        <f>IF(OR(N(W9)&lt;=0,N(BG9)=0),0,N(W9)*IF(N(R9)/N(W9)&gt;=60,N(BG9),1))</f>
        <v/>
      </c>
      <c r="AW9" s="7">
        <f>N(W9)*N(AF9)*N(BH9)</f>
        <v/>
      </c>
      <c r="AX9" s="7">
        <f>N(AL9)*(Assumptions!$B$13*N(BJ9)-(1-Assumptions!$B$13)*Assumptions!$B$14)+N(AM9)</f>
        <v/>
      </c>
      <c r="AY9" s="7">
        <f>N(AU9)*N(R9)/90+N(AV9)+N(AW9)+N(AX9)</f>
        <v/>
      </c>
      <c r="AZ9" s="3">
        <f>IF(N(R9)&lt;=0,0,(N(AY9)-N(AX9))*90/N(R9))</f>
        <v/>
      </c>
      <c r="BA9" s="7">
        <f>IFERROR(AY9-VLOOKUP($E9,Assumptions!$A$40:$C$43,3,FALSE),"")</f>
        <v/>
      </c>
      <c r="BB9" s="3">
        <f>IFERROR(BA9/H9,"")</f>
        <v/>
      </c>
      <c r="BC9">
        <f>IF(AND($G9=TRUE,$E9="GKP"),AY9,"")</f>
        <v/>
      </c>
      <c r="BD9">
        <f>IF(AND($G9=TRUE,$E9="DEF"),AY9,"")</f>
        <v/>
      </c>
      <c r="BE9">
        <f>IF(AND($G9=TRUE,$E9="MID"),AY9,"")</f>
        <v/>
      </c>
      <c r="BF9">
        <f>IF(AND($G9=TRUE,$E9="FWD"),AY9,"")</f>
        <v/>
      </c>
      <c r="BG9" t="n">
        <v>2</v>
      </c>
      <c r="BH9" t="n">
        <v>2</v>
      </c>
      <c r="BI9" t="n">
        <v>1</v>
      </c>
      <c r="BJ9" t="n">
        <v>5</v>
      </c>
    </row>
    <row r="10">
      <c r="A10" t="inlineStr">
        <is>
          <t>Marc Guéhi</t>
        </is>
      </c>
      <c r="B10" t="inlineStr">
        <is>
          <t>MCI</t>
        </is>
      </c>
      <c r="C10" t="inlineStr">
        <is>
          <t>MCI</t>
        </is>
      </c>
      <c r="D10" t="b">
        <v>0</v>
      </c>
      <c r="E10" t="inlineStr">
        <is>
          <t>DEF</t>
        </is>
      </c>
      <c r="F10" t="inlineStr">
        <is>
          <t>DEF</t>
        </is>
      </c>
      <c r="G10" t="b">
        <v>1</v>
      </c>
      <c r="H10" s="2" t="n">
        <v>6</v>
      </c>
      <c r="I10" t="inlineStr">
        <is>
          <t>a</t>
        </is>
      </c>
      <c r="K10" s="2" t="n">
        <v>3150</v>
      </c>
      <c r="L10" t="n">
        <v>179</v>
      </c>
      <c r="M10" s="3" t="n">
        <v>2611</v>
      </c>
      <c r="N10" s="8" t="n">
        <v>2611</v>
      </c>
      <c r="O10" s="8" t="n">
        <v>0</v>
      </c>
      <c r="Q10" t="inlineStr">
        <is>
          <t>flat</t>
        </is>
      </c>
      <c r="R10" s="6" t="n">
        <v>2611</v>
      </c>
      <c r="S10" t="inlineStr">
        <is>
          <t>Solio</t>
        </is>
      </c>
      <c r="U10" s="6" t="n">
        <v>89</v>
      </c>
      <c r="V10" s="2" t="n">
        <v>35</v>
      </c>
      <c r="W10" s="7">
        <f>IF(N(U10)&lt;=0,0,MIN(Assumptions!$B$15,N(R10)/N(U10)))</f>
        <v/>
      </c>
      <c r="X10" s="6" t="n">
        <v>0.371</v>
      </c>
      <c r="Y10" s="3" t="n">
        <v>0.1254</v>
      </c>
      <c r="Z10" t="inlineStr">
        <is>
          <t>adjusted xGOT</t>
        </is>
      </c>
      <c r="AA10" s="3" t="n">
        <v>1</v>
      </c>
      <c r="AB10" s="3" t="n">
        <v>1.084</v>
      </c>
      <c r="AC10" s="3" t="n">
        <v>8</v>
      </c>
      <c r="AD10" s="3" t="n">
        <v>0.0728</v>
      </c>
      <c r="AE10" s="3" t="n">
        <v>7.895</v>
      </c>
      <c r="AF10" s="3" t="n">
        <v>0.2597697676143359</v>
      </c>
      <c r="AG10" s="3" t="n">
        <v>0.3429</v>
      </c>
      <c r="AH10" s="3" t="n">
        <v>70</v>
      </c>
      <c r="AI10" s="3" t="n">
        <v>1.9737</v>
      </c>
      <c r="AJ10" s="3" t="n">
        <v>1.0365</v>
      </c>
      <c r="AK10" s="3" t="n">
        <v>-0.1945595673769788</v>
      </c>
      <c r="AL10" s="6" t="n">
        <v>0</v>
      </c>
      <c r="AM10" s="3" t="n">
        <v>0</v>
      </c>
      <c r="AN10" s="3" t="n">
        <v>0.7524000000000001</v>
      </c>
      <c r="AO10" s="3" t="n">
        <v>0.288288</v>
      </c>
      <c r="AP10" s="3">
        <f>N(X10)*N(BI10)</f>
        <v/>
      </c>
      <c r="AQ10" s="3" t="n">
        <v>0.3429</v>
      </c>
      <c r="AR10" s="3" t="n">
        <v>0</v>
      </c>
      <c r="AS10" s="3" t="n">
        <v>-0.2997019479071323</v>
      </c>
      <c r="AT10" s="3" t="n">
        <v>-0.1945595673769788</v>
      </c>
      <c r="AU10" s="3">
        <f>SUM(AN10:AT10)</f>
        <v/>
      </c>
      <c r="AV10" s="7">
        <f>IF(OR(N(W10)&lt;=0,N(BG10)=0),0,N(W10)*IF(N(R10)/N(W10)&gt;=60,N(BG10),1))</f>
        <v/>
      </c>
      <c r="AW10" s="7">
        <f>N(W10)*N(AF10)*N(BH10)</f>
        <v/>
      </c>
      <c r="AX10" s="7">
        <f>N(AL10)*(Assumptions!$B$13*N(BJ10)-(1-Assumptions!$B$13)*Assumptions!$B$14)+N(AM10)</f>
        <v/>
      </c>
      <c r="AY10" s="7">
        <f>N(AU10)*N(R10)/90+N(AV10)+N(AW10)+N(AX10)</f>
        <v/>
      </c>
      <c r="AZ10" s="3">
        <f>IF(N(R10)&lt;=0,0,(N(AY10)-N(AX10))*90/N(R10))</f>
        <v/>
      </c>
      <c r="BA10" s="7">
        <f>IFERROR(AY10-VLOOKUP($E10,Assumptions!$A$40:$C$43,3,FALSE),"")</f>
        <v/>
      </c>
      <c r="BB10" s="3">
        <f>IFERROR(BA10/H10,"")</f>
        <v/>
      </c>
      <c r="BC10">
        <f>IF(AND($G10=TRUE,$E10="GKP"),AY10,"")</f>
        <v/>
      </c>
      <c r="BD10">
        <f>IF(AND($G10=TRUE,$E10="DEF"),AY10,"")</f>
        <v/>
      </c>
      <c r="BE10">
        <f>IF(AND($G10=TRUE,$E10="MID"),AY10,"")</f>
        <v/>
      </c>
      <c r="BF10">
        <f>IF(AND($G10=TRUE,$E10="FWD"),AY10,"")</f>
        <v/>
      </c>
      <c r="BG10" t="n">
        <v>2</v>
      </c>
      <c r="BH10" t="n">
        <v>2</v>
      </c>
      <c r="BI10" t="n">
        <v>4</v>
      </c>
      <c r="BJ10" t="n">
        <v>6</v>
      </c>
    </row>
    <row r="11">
      <c r="A11" t="inlineStr">
        <is>
          <t>João Pedro</t>
        </is>
      </c>
      <c r="B11" t="inlineStr">
        <is>
          <t>CHE</t>
        </is>
      </c>
      <c r="C11" t="inlineStr">
        <is>
          <t>CHE</t>
        </is>
      </c>
      <c r="D11" t="b">
        <v>0</v>
      </c>
      <c r="E11" t="inlineStr">
        <is>
          <t>FWD</t>
        </is>
      </c>
      <c r="F11" t="inlineStr">
        <is>
          <t>FWD</t>
        </is>
      </c>
      <c r="G11" t="b">
        <v>1</v>
      </c>
      <c r="H11" s="2" t="n">
        <v>7.5</v>
      </c>
      <c r="I11" t="inlineStr">
        <is>
          <t>a</t>
        </is>
      </c>
      <c r="K11" s="2" t="n">
        <v>2658</v>
      </c>
      <c r="L11" t="n">
        <v>177</v>
      </c>
      <c r="M11" s="3" t="n">
        <v>2890</v>
      </c>
      <c r="N11" s="8" t="n">
        <v>2890</v>
      </c>
      <c r="O11" s="8" t="n">
        <v>0</v>
      </c>
      <c r="Q11" t="inlineStr">
        <is>
          <t>flat</t>
        </is>
      </c>
      <c r="R11" s="6" t="n">
        <v>2890</v>
      </c>
      <c r="S11" t="inlineStr">
        <is>
          <t>Solio</t>
        </is>
      </c>
      <c r="U11" s="6" t="n">
        <v>81.09999999999999</v>
      </c>
      <c r="V11" s="2" t="n">
        <v>31</v>
      </c>
      <c r="W11" s="7">
        <f>IF(N(U11)&lt;=0,0,MIN(Assumptions!$B$15,N(R11)/N(U11)))</f>
        <v/>
      </c>
      <c r="X11" s="6" t="n">
        <v>0.322</v>
      </c>
      <c r="Y11" s="3" t="n">
        <v>0.5062</v>
      </c>
      <c r="Z11" t="inlineStr">
        <is>
          <t>adjusted xGOT</t>
        </is>
      </c>
      <c r="AA11" s="3" t="n">
        <v>1</v>
      </c>
      <c r="AB11" s="3" t="n">
        <v>1.003</v>
      </c>
      <c r="AC11" s="3" t="n">
        <v>35.9</v>
      </c>
      <c r="AD11" s="3" t="n">
        <v>0.1006</v>
      </c>
      <c r="AE11" s="3" t="n">
        <v>4.698</v>
      </c>
      <c r="AF11" s="3" t="n">
        <v>0.001466394974463547</v>
      </c>
      <c r="AG11" s="3" t="n">
        <v>1.0158</v>
      </c>
      <c r="AH11" s="3" t="n">
        <v>65</v>
      </c>
      <c r="AI11" s="3" t="n">
        <v>2.4232</v>
      </c>
      <c r="AJ11" s="3" t="n">
        <v>1.1851</v>
      </c>
      <c r="AK11" s="3" t="n">
        <v>-0.1716179423924405</v>
      </c>
      <c r="AL11" s="6" t="n">
        <v>0</v>
      </c>
      <c r="AM11" s="3" t="n">
        <v>0</v>
      </c>
      <c r="AN11" s="3" t="n">
        <v>2.0248</v>
      </c>
      <c r="AO11" s="3" t="n">
        <v>0.398376</v>
      </c>
      <c r="AP11" s="3">
        <f>N(X11)*N(BI11)</f>
        <v/>
      </c>
      <c r="AQ11" s="3" t="n">
        <v>1.0158</v>
      </c>
      <c r="AR11" s="3" t="n">
        <v>0</v>
      </c>
      <c r="AS11" s="3" t="n">
        <v>-0</v>
      </c>
      <c r="AT11" s="3" t="n">
        <v>-0.1716179423924405</v>
      </c>
      <c r="AU11" s="3">
        <f>SUM(AN11:AT11)</f>
        <v/>
      </c>
      <c r="AV11" s="7">
        <f>IF(OR(N(W11)&lt;=0,N(BG11)=0),0,N(W11)*IF(N(R11)/N(W11)&gt;=60,N(BG11),1))</f>
        <v/>
      </c>
      <c r="AW11" s="7">
        <f>N(W11)*N(AF11)*N(BH11)</f>
        <v/>
      </c>
      <c r="AX11" s="7">
        <f>N(AL11)*(Assumptions!$B$13*N(BJ11)-(1-Assumptions!$B$13)*Assumptions!$B$14)+N(AM11)</f>
        <v/>
      </c>
      <c r="AY11" s="7">
        <f>N(AU11)*N(R11)/90+N(AV11)+N(AW11)+N(AX11)</f>
        <v/>
      </c>
      <c r="AZ11" s="3">
        <f>IF(N(R11)&lt;=0,0,(N(AY11)-N(AX11))*90/N(R11))</f>
        <v/>
      </c>
      <c r="BA11" s="7">
        <f>IFERROR(AY11-VLOOKUP($E11,Assumptions!$A$40:$C$43,3,FALSE),"")</f>
        <v/>
      </c>
      <c r="BB11" s="3">
        <f>IFERROR(BA11/H11,"")</f>
        <v/>
      </c>
      <c r="BC11">
        <f>IF(AND($G11=TRUE,$E11="GKP"),AY11,"")</f>
        <v/>
      </c>
      <c r="BD11">
        <f>IF(AND($G11=TRUE,$E11="DEF"),AY11,"")</f>
        <v/>
      </c>
      <c r="BE11">
        <f>IF(AND($G11=TRUE,$E11="MID"),AY11,"")</f>
        <v/>
      </c>
      <c r="BF11">
        <f>IF(AND($G11=TRUE,$E11="FWD"),AY11,"")</f>
        <v/>
      </c>
      <c r="BG11" t="n">
        <v>2</v>
      </c>
      <c r="BH11" t="n">
        <v>2</v>
      </c>
      <c r="BI11" t="n">
        <v>0</v>
      </c>
      <c r="BJ11" t="n">
        <v>4</v>
      </c>
    </row>
    <row r="12">
      <c r="A12" t="inlineStr">
        <is>
          <t>Virgil van Dijk</t>
        </is>
      </c>
      <c r="B12" t="inlineStr">
        <is>
          <t>LIV</t>
        </is>
      </c>
      <c r="C12" t="inlineStr">
        <is>
          <t>LIV</t>
        </is>
      </c>
      <c r="D12" t="b">
        <v>0</v>
      </c>
      <c r="E12" t="inlineStr">
        <is>
          <t>DEF</t>
        </is>
      </c>
      <c r="F12" t="inlineStr">
        <is>
          <t>DEF</t>
        </is>
      </c>
      <c r="G12" t="b">
        <v>1</v>
      </c>
      <c r="H12" s="2" t="n">
        <v>6.5</v>
      </c>
      <c r="I12" t="inlineStr">
        <is>
          <t>a</t>
        </is>
      </c>
      <c r="K12" s="2" t="n">
        <v>3420</v>
      </c>
      <c r="L12" t="n">
        <v>175</v>
      </c>
      <c r="M12" s="3" t="n">
        <v>3340</v>
      </c>
      <c r="N12" s="8" t="n">
        <v>3340</v>
      </c>
      <c r="O12" s="8" t="n">
        <v>0</v>
      </c>
      <c r="Q12" t="inlineStr">
        <is>
          <t>flat</t>
        </is>
      </c>
      <c r="R12" s="6" t="n">
        <v>3340</v>
      </c>
      <c r="S12" t="inlineStr">
        <is>
          <t>Solio</t>
        </is>
      </c>
      <c r="U12" s="6" t="n">
        <v>89.09999999999999</v>
      </c>
      <c r="V12" s="2" t="n">
        <v>38</v>
      </c>
      <c r="W12" s="7">
        <f>IF(N(U12)&lt;=0,0,MIN(Assumptions!$B$15,N(R12)/N(U12)))</f>
        <v/>
      </c>
      <c r="X12" s="6" t="n">
        <v>0.342</v>
      </c>
      <c r="Y12" s="3" t="n">
        <v>0.0983</v>
      </c>
      <c r="Z12" t="inlineStr">
        <is>
          <t>adjusted xGOT</t>
        </is>
      </c>
      <c r="AA12" s="3" t="n">
        <v>1</v>
      </c>
      <c r="AB12" s="3" t="n">
        <v>0.991</v>
      </c>
      <c r="AC12" s="3" t="n">
        <v>11.4</v>
      </c>
      <c r="AD12" s="3" t="n">
        <v>0.0233</v>
      </c>
      <c r="AE12" s="3" t="n">
        <v>8.989000000000001</v>
      </c>
      <c r="AF12" s="3" t="n">
        <v>0.3993014485030754</v>
      </c>
      <c r="AG12" s="3" t="n">
        <v>0.2368</v>
      </c>
      <c r="AH12" s="3" t="n">
        <v>76</v>
      </c>
      <c r="AI12" s="3" t="n">
        <v>2.409</v>
      </c>
      <c r="AJ12" s="3" t="n">
        <v>1.1228</v>
      </c>
      <c r="AK12" s="3" t="n">
        <v>-0.1444627501042969</v>
      </c>
      <c r="AL12" s="6" t="n">
        <v>0</v>
      </c>
      <c r="AM12" s="3" t="n">
        <v>0</v>
      </c>
      <c r="AN12" s="3" t="n">
        <v>0.5898</v>
      </c>
      <c r="AO12" s="3" t="n">
        <v>0.092268</v>
      </c>
      <c r="AP12" s="3">
        <f>N(X12)*N(BI12)</f>
        <v/>
      </c>
      <c r="AQ12" s="3" t="n">
        <v>0.2368</v>
      </c>
      <c r="AR12" s="3" t="n">
        <v>0</v>
      </c>
      <c r="AS12" s="3" t="n">
        <v>-0.3378660007281162</v>
      </c>
      <c r="AT12" s="3" t="n">
        <v>-0.1444627501042969</v>
      </c>
      <c r="AU12" s="3">
        <f>SUM(AN12:AT12)</f>
        <v/>
      </c>
      <c r="AV12" s="7">
        <f>IF(OR(N(W12)&lt;=0,N(BG12)=0),0,N(W12)*IF(N(R12)/N(W12)&gt;=60,N(BG12),1))</f>
        <v/>
      </c>
      <c r="AW12" s="7">
        <f>N(W12)*N(AF12)*N(BH12)</f>
        <v/>
      </c>
      <c r="AX12" s="7">
        <f>N(AL12)*(Assumptions!$B$13*N(BJ12)-(1-Assumptions!$B$13)*Assumptions!$B$14)+N(AM12)</f>
        <v/>
      </c>
      <c r="AY12" s="7">
        <f>N(AU12)*N(R12)/90+N(AV12)+N(AW12)+N(AX12)</f>
        <v/>
      </c>
      <c r="AZ12" s="3">
        <f>IF(N(R12)&lt;=0,0,(N(AY12)-N(AX12))*90/N(R12))</f>
        <v/>
      </c>
      <c r="BA12" s="7">
        <f>IFERROR(AY12-VLOOKUP($E12,Assumptions!$A$40:$C$43,3,FALSE),"")</f>
        <v/>
      </c>
      <c r="BB12" s="3">
        <f>IFERROR(BA12/H12,"")</f>
        <v/>
      </c>
      <c r="BC12">
        <f>IF(AND($G12=TRUE,$E12="GKP"),AY12,"")</f>
        <v/>
      </c>
      <c r="BD12">
        <f>IF(AND($G12=TRUE,$E12="DEF"),AY12,"")</f>
        <v/>
      </c>
      <c r="BE12">
        <f>IF(AND($G12=TRUE,$E12="MID"),AY12,"")</f>
        <v/>
      </c>
      <c r="BF12">
        <f>IF(AND($G12=TRUE,$E12="FWD"),AY12,"")</f>
        <v/>
      </c>
      <c r="BG12" t="n">
        <v>2</v>
      </c>
      <c r="BH12" t="n">
        <v>2</v>
      </c>
      <c r="BI12" t="n">
        <v>4</v>
      </c>
      <c r="BJ12" t="n">
        <v>6</v>
      </c>
    </row>
    <row r="13">
      <c r="A13" s="9" t="inlineStr">
        <is>
          <t>Marcos Senesi</t>
        </is>
      </c>
      <c r="B13" t="inlineStr">
        <is>
          <t>TOT</t>
        </is>
      </c>
      <c r="C13" s="9" t="inlineStr">
        <is>
          <t>BOU</t>
        </is>
      </c>
      <c r="D13" t="b">
        <v>1</v>
      </c>
      <c r="E13" t="inlineStr">
        <is>
          <t>DEF</t>
        </is>
      </c>
      <c r="F13" t="inlineStr">
        <is>
          <t>DEF</t>
        </is>
      </c>
      <c r="G13" t="b">
        <v>1</v>
      </c>
      <c r="H13" s="2" t="n">
        <v>6</v>
      </c>
      <c r="I13" t="inlineStr">
        <is>
          <t>a</t>
        </is>
      </c>
      <c r="K13" s="2" t="n">
        <v>3288</v>
      </c>
      <c r="L13" t="n">
        <v>175</v>
      </c>
      <c r="M13" s="3" t="n">
        <v>1573</v>
      </c>
      <c r="N13" s="4" t="n">
        <v>1950</v>
      </c>
      <c r="O13" s="4" t="n">
        <v>377</v>
      </c>
      <c r="P13" s="5" t="inlineStr">
        <is>
          <t>medium</t>
        </is>
      </c>
      <c r="Q13" t="inlineStr">
        <is>
          <t>flat</t>
        </is>
      </c>
      <c r="R13" s="6" t="n">
        <v>1950</v>
      </c>
      <c r="S13" t="inlineStr">
        <is>
          <t>research</t>
        </is>
      </c>
      <c r="T13" s="5" t="inlineStr">
        <is>
          <t>Solio's 1,573 reads Senesi as a squad centre-back. He is a rotation option behind the intended van Hecke-van de Ven pairing, but he started alongside van Hecke against Hoffenheim and is in line to start the opening fixtures while van de Ven builds fitness. With Romero sold, Vuskovic and Phillips sold and Dragusin loaned out, Senesi is the third of only four senior centre-backs.</t>
        </is>
      </c>
      <c r="U13" s="6" t="n">
        <v>88.09999999999999</v>
      </c>
      <c r="V13" s="2" t="n">
        <v>37</v>
      </c>
      <c r="W13" s="7">
        <f>IF(N(U13)&lt;=0,0,MIN(Assumptions!$B$15,N(R13)/N(U13)))</f>
        <v/>
      </c>
      <c r="X13" s="6" t="n">
        <v>0.286</v>
      </c>
      <c r="Y13" s="10" t="n">
        <v>0.0335</v>
      </c>
      <c r="Z13" t="inlineStr">
        <is>
          <t>adjusted xGOT</t>
        </is>
      </c>
      <c r="AA13" s="3" t="n">
        <v>1</v>
      </c>
      <c r="AB13" s="3" t="n">
        <v>0.799</v>
      </c>
      <c r="AC13" s="3" t="n">
        <v>6</v>
      </c>
      <c r="AD13" s="10" t="n">
        <v>0.1197</v>
      </c>
      <c r="AE13" s="3" t="n">
        <v>10.789</v>
      </c>
      <c r="AF13" s="3" t="n">
        <v>0.6100438310350587</v>
      </c>
      <c r="AG13" s="3" t="n">
        <v>0.3285</v>
      </c>
      <c r="AH13" s="3" t="n">
        <v>74</v>
      </c>
      <c r="AI13" s="3" t="n">
        <v>2.5739</v>
      </c>
      <c r="AJ13" s="3" t="n">
        <v>1.3096</v>
      </c>
      <c r="AK13" s="3" t="n">
        <v>-0.2951650613022939</v>
      </c>
      <c r="AL13" s="6" t="n">
        <v>0</v>
      </c>
      <c r="AM13" s="3" t="n">
        <v>0</v>
      </c>
      <c r="AN13" s="10" t="n">
        <v>0.201</v>
      </c>
      <c r="AO13" s="10" t="n">
        <v>0.474012</v>
      </c>
      <c r="AP13" s="3">
        <f>N(X13)*N(BI13)</f>
        <v/>
      </c>
      <c r="AQ13" s="3" t="n">
        <v>0.3285</v>
      </c>
      <c r="AR13" s="3" t="n">
        <v>0</v>
      </c>
      <c r="AS13" s="3" t="n">
        <v>-0.4230152821052008</v>
      </c>
      <c r="AT13" s="3" t="n">
        <v>-0.2951650613022939</v>
      </c>
      <c r="AU13" s="3">
        <f>SUM(AN13:AT13)</f>
        <v/>
      </c>
      <c r="AV13" s="7">
        <f>IF(OR(N(W13)&lt;=0,N(BG13)=0),0,N(W13)*IF(N(R13)/N(W13)&gt;=60,N(BG13),1))</f>
        <v/>
      </c>
      <c r="AW13" s="7">
        <f>N(W13)*N(AF13)*N(BH13)</f>
        <v/>
      </c>
      <c r="AX13" s="7">
        <f>N(AL13)*(Assumptions!$B$13*N(BJ13)-(1-Assumptions!$B$13)*Assumptions!$B$14)+N(AM13)</f>
        <v/>
      </c>
      <c r="AY13" s="7">
        <f>N(AU13)*N(R13)/90+N(AV13)+N(AW13)+N(AX13)</f>
        <v/>
      </c>
      <c r="AZ13" s="3">
        <f>IF(N(R13)&lt;=0,0,(N(AY13)-N(AX13))*90/N(R13))</f>
        <v/>
      </c>
      <c r="BA13" s="7">
        <f>IFERROR(AY13-VLOOKUP($E13,Assumptions!$A$40:$C$43,3,FALSE),"")</f>
        <v/>
      </c>
      <c r="BB13" s="3">
        <f>IFERROR(BA13/H13,"")</f>
        <v/>
      </c>
      <c r="BC13">
        <f>IF(AND($G13=TRUE,$E13="GKP"),AY13,"")</f>
        <v/>
      </c>
      <c r="BD13">
        <f>IF(AND($G13=TRUE,$E13="DEF"),AY13,"")</f>
        <v/>
      </c>
      <c r="BE13">
        <f>IF(AND($G13=TRUE,$E13="MID"),AY13,"")</f>
        <v/>
      </c>
      <c r="BF13">
        <f>IF(AND($G13=TRUE,$E13="FWD"),AY13,"")</f>
        <v/>
      </c>
      <c r="BG13" t="n">
        <v>2</v>
      </c>
      <c r="BH13" t="n">
        <v>2</v>
      </c>
      <c r="BI13" t="n">
        <v>4</v>
      </c>
      <c r="BJ13" t="n">
        <v>6</v>
      </c>
    </row>
    <row r="14">
      <c r="A14" t="inlineStr">
        <is>
          <t>James Tarkowski</t>
        </is>
      </c>
      <c r="B14" t="inlineStr">
        <is>
          <t>EVE</t>
        </is>
      </c>
      <c r="C14" t="inlineStr">
        <is>
          <t>EVE</t>
        </is>
      </c>
      <c r="D14" t="b">
        <v>0</v>
      </c>
      <c r="E14" t="inlineStr">
        <is>
          <t>DEF</t>
        </is>
      </c>
      <c r="F14" t="inlineStr">
        <is>
          <t>DEF</t>
        </is>
      </c>
      <c r="G14" t="b">
        <v>1</v>
      </c>
      <c r="H14" s="2" t="n">
        <v>6</v>
      </c>
      <c r="I14" t="inlineStr">
        <is>
          <t>a</t>
        </is>
      </c>
      <c r="K14" s="2" t="n">
        <v>3330</v>
      </c>
      <c r="L14" t="n">
        <v>170</v>
      </c>
      <c r="M14" s="3" t="n">
        <v>3266</v>
      </c>
      <c r="N14" s="8" t="n">
        <v>3266</v>
      </c>
      <c r="O14" s="8" t="n">
        <v>0</v>
      </c>
      <c r="Q14" t="inlineStr">
        <is>
          <t>flat</t>
        </is>
      </c>
      <c r="R14" s="6" t="n">
        <v>3266</v>
      </c>
      <c r="S14" t="inlineStr">
        <is>
          <t>Solio</t>
        </is>
      </c>
      <c r="U14" s="6" t="n">
        <v>89</v>
      </c>
      <c r="V14" s="2" t="n">
        <v>37</v>
      </c>
      <c r="W14" s="7">
        <f>IF(N(U14)&lt;=0,0,MIN(Assumptions!$B$15,N(R14)/N(U14)))</f>
        <v/>
      </c>
      <c r="X14" s="6" t="n">
        <v>0.231</v>
      </c>
      <c r="Y14" s="3" t="n">
        <v>0.0555</v>
      </c>
      <c r="Z14" t="inlineStr">
        <is>
          <t>adjusted xGOT</t>
        </is>
      </c>
      <c r="AA14" s="3" t="n">
        <v>1</v>
      </c>
      <c r="AB14" s="3" t="n">
        <v>0.8120000000000001</v>
      </c>
      <c r="AC14" s="3" t="n">
        <v>9.4</v>
      </c>
      <c r="AD14" s="3" t="n">
        <v>0.0562</v>
      </c>
      <c r="AE14" s="3" t="n">
        <v>9.722</v>
      </c>
      <c r="AF14" s="3" t="n">
        <v>0.4929438581653922</v>
      </c>
      <c r="AG14" s="3" t="n">
        <v>0.3243</v>
      </c>
      <c r="AH14" s="3" t="n">
        <v>74</v>
      </c>
      <c r="AI14" s="3" t="n">
        <v>3.0311</v>
      </c>
      <c r="AJ14" s="3" t="n">
        <v>1.5252</v>
      </c>
      <c r="AK14" s="3" t="n">
        <v>-0.2371340111807672</v>
      </c>
      <c r="AL14" s="6" t="n">
        <v>0</v>
      </c>
      <c r="AM14" s="3" t="n">
        <v>0</v>
      </c>
      <c r="AN14" s="3" t="n">
        <v>0.333</v>
      </c>
      <c r="AO14" s="3" t="n">
        <v>0.222552</v>
      </c>
      <c r="AP14" s="3">
        <f>N(X14)*N(BI14)</f>
        <v/>
      </c>
      <c r="AQ14" s="3" t="n">
        <v>0.3243</v>
      </c>
      <c r="AR14" s="3" t="n">
        <v>0</v>
      </c>
      <c r="AS14" s="3" t="n">
        <v>-0.524434996152324</v>
      </c>
      <c r="AT14" s="3" t="n">
        <v>-0.2371340111807672</v>
      </c>
      <c r="AU14" s="3">
        <f>SUM(AN14:AT14)</f>
        <v/>
      </c>
      <c r="AV14" s="7">
        <f>IF(OR(N(W14)&lt;=0,N(BG14)=0),0,N(W14)*IF(N(R14)/N(W14)&gt;=60,N(BG14),1))</f>
        <v/>
      </c>
      <c r="AW14" s="7">
        <f>N(W14)*N(AF14)*N(BH14)</f>
        <v/>
      </c>
      <c r="AX14" s="7">
        <f>N(AL14)*(Assumptions!$B$13*N(BJ14)-(1-Assumptions!$B$13)*Assumptions!$B$14)+N(AM14)</f>
        <v/>
      </c>
      <c r="AY14" s="7">
        <f>N(AU14)*N(R14)/90+N(AV14)+N(AW14)+N(AX14)</f>
        <v/>
      </c>
      <c r="AZ14" s="3">
        <f>IF(N(R14)&lt;=0,0,(N(AY14)-N(AX14))*90/N(R14))</f>
        <v/>
      </c>
      <c r="BA14" s="7">
        <f>IFERROR(AY14-VLOOKUP($E14,Assumptions!$A$40:$C$43,3,FALSE),"")</f>
        <v/>
      </c>
      <c r="BB14" s="3">
        <f>IFERROR(BA14/H14,"")</f>
        <v/>
      </c>
      <c r="BC14">
        <f>IF(AND($G14=TRUE,$E14="GKP"),AY14,"")</f>
        <v/>
      </c>
      <c r="BD14">
        <f>IF(AND($G14=TRUE,$E14="DEF"),AY14,"")</f>
        <v/>
      </c>
      <c r="BE14">
        <f>IF(AND($G14=TRUE,$E14="MID"),AY14,"")</f>
        <v/>
      </c>
      <c r="BF14">
        <f>IF(AND($G14=TRUE,$E14="FWD"),AY14,"")</f>
        <v/>
      </c>
      <c r="BG14" t="n">
        <v>2</v>
      </c>
      <c r="BH14" t="n">
        <v>2</v>
      </c>
      <c r="BI14" t="n">
        <v>4</v>
      </c>
      <c r="BJ14" t="n">
        <v>6</v>
      </c>
    </row>
    <row r="15">
      <c r="A15" s="9" t="inlineStr">
        <is>
          <t>Morgan Rogers</t>
        </is>
      </c>
      <c r="B15" t="inlineStr">
        <is>
          <t>CHE</t>
        </is>
      </c>
      <c r="C15" s="9" t="inlineStr">
        <is>
          <t>AVL</t>
        </is>
      </c>
      <c r="D15" t="b">
        <v>1</v>
      </c>
      <c r="E15" t="inlineStr">
        <is>
          <t>MID</t>
        </is>
      </c>
      <c r="F15" t="inlineStr">
        <is>
          <t>MID</t>
        </is>
      </c>
      <c r="G15" t="b">
        <v>1</v>
      </c>
      <c r="H15" s="2" t="n">
        <v>7.5</v>
      </c>
      <c r="I15" t="inlineStr">
        <is>
          <t>a</t>
        </is>
      </c>
      <c r="K15" s="2" t="n">
        <v>3280</v>
      </c>
      <c r="L15" t="n">
        <v>169</v>
      </c>
      <c r="M15" s="3" t="n">
        <v>2890</v>
      </c>
      <c r="N15" s="8" t="n">
        <v>2890</v>
      </c>
      <c r="O15" s="8" t="n">
        <v>0</v>
      </c>
      <c r="Q15" t="inlineStr">
        <is>
          <t>flat</t>
        </is>
      </c>
      <c r="R15" s="6" t="n">
        <v>2890</v>
      </c>
      <c r="S15" t="inlineStr">
        <is>
          <t>Solio</t>
        </is>
      </c>
      <c r="U15" s="6" t="n">
        <v>86.8</v>
      </c>
      <c r="V15" s="2" t="n">
        <v>37</v>
      </c>
      <c r="W15" s="7">
        <f>IF(N(U15)&lt;=0,0,MIN(Assumptions!$B$15,N(R15)/N(U15)))</f>
        <v/>
      </c>
      <c r="X15" s="6" t="n">
        <v>0.322</v>
      </c>
      <c r="Y15" s="10" t="n">
        <v>0.2094</v>
      </c>
      <c r="Z15" t="inlineStr">
        <is>
          <t>adjusted xGOT</t>
        </is>
      </c>
      <c r="AA15" s="3" t="n">
        <v>1</v>
      </c>
      <c r="AB15" s="3" t="n">
        <v>1.116</v>
      </c>
      <c r="AC15" s="3" t="n">
        <v>14.7</v>
      </c>
      <c r="AD15" s="10" t="n">
        <v>0.1618</v>
      </c>
      <c r="AE15" s="3" t="n">
        <v>6.719</v>
      </c>
      <c r="AF15" s="3" t="n">
        <v>0.03322825115749717</v>
      </c>
      <c r="AG15" s="3" t="n">
        <v>0.4665</v>
      </c>
      <c r="AH15" s="3" t="n">
        <v>74</v>
      </c>
      <c r="AI15" s="3" t="n">
        <v>2.4232</v>
      </c>
      <c r="AJ15" s="3" t="n">
        <v>1.1851</v>
      </c>
      <c r="AK15" s="3" t="n">
        <v>-0.2453439170694833</v>
      </c>
      <c r="AL15" s="6" t="n">
        <v>0</v>
      </c>
      <c r="AM15" s="3" t="n">
        <v>0</v>
      </c>
      <c r="AN15" s="10" t="n">
        <v>1.047</v>
      </c>
      <c r="AO15" s="10" t="n">
        <v>0.6407280000000001</v>
      </c>
      <c r="AP15" s="3">
        <f>N(X15)*N(BI15)</f>
        <v/>
      </c>
      <c r="AQ15" s="3" t="n">
        <v>0.4665</v>
      </c>
      <c r="AR15" s="3" t="n">
        <v>0</v>
      </c>
      <c r="AS15" s="3" t="n">
        <v>-0</v>
      </c>
      <c r="AT15" s="3" t="n">
        <v>-0.2453439170694833</v>
      </c>
      <c r="AU15" s="3">
        <f>SUM(AN15:AT15)</f>
        <v/>
      </c>
      <c r="AV15" s="7">
        <f>IF(OR(N(W15)&lt;=0,N(BG15)=0),0,N(W15)*IF(N(R15)/N(W15)&gt;=60,N(BG15),1))</f>
        <v/>
      </c>
      <c r="AW15" s="7">
        <f>N(W15)*N(AF15)*N(BH15)</f>
        <v/>
      </c>
      <c r="AX15" s="7">
        <f>N(AL15)*(Assumptions!$B$13*N(BJ15)-(1-Assumptions!$B$13)*Assumptions!$B$14)+N(AM15)</f>
        <v/>
      </c>
      <c r="AY15" s="7">
        <f>N(AU15)*N(R15)/90+N(AV15)+N(AW15)+N(AX15)</f>
        <v/>
      </c>
      <c r="AZ15" s="3">
        <f>IF(N(R15)&lt;=0,0,(N(AY15)-N(AX15))*90/N(R15))</f>
        <v/>
      </c>
      <c r="BA15" s="7">
        <f>IFERROR(AY15-VLOOKUP($E15,Assumptions!$A$40:$C$43,3,FALSE),"")</f>
        <v/>
      </c>
      <c r="BB15" s="3">
        <f>IFERROR(BA15/H15,"")</f>
        <v/>
      </c>
      <c r="BC15">
        <f>IF(AND($G15=TRUE,$E15="GKP"),AY15,"")</f>
        <v/>
      </c>
      <c r="BD15">
        <f>IF(AND($G15=TRUE,$E15="DEF"),AY15,"")</f>
        <v/>
      </c>
      <c r="BE15">
        <f>IF(AND($G15=TRUE,$E15="MID"),AY15,"")</f>
        <v/>
      </c>
      <c r="BF15">
        <f>IF(AND($G15=TRUE,$E15="FWD"),AY15,"")</f>
        <v/>
      </c>
      <c r="BG15" t="n">
        <v>2</v>
      </c>
      <c r="BH15" t="n">
        <v>2</v>
      </c>
      <c r="BI15" t="n">
        <v>1</v>
      </c>
      <c r="BJ15" t="n">
        <v>5</v>
      </c>
    </row>
    <row r="16">
      <c r="A16" s="9" t="inlineStr">
        <is>
          <t>Harry Wilson</t>
        </is>
      </c>
      <c r="B16" t="inlineStr">
        <is>
          <t>LEE</t>
        </is>
      </c>
      <c r="C16" s="9" t="inlineStr">
        <is>
          <t>FUL</t>
        </is>
      </c>
      <c r="D16" t="b">
        <v>1</v>
      </c>
      <c r="E16" t="inlineStr">
        <is>
          <t>MID</t>
        </is>
      </c>
      <c r="F16" t="inlineStr">
        <is>
          <t>MID</t>
        </is>
      </c>
      <c r="G16" t="b">
        <v>1</v>
      </c>
      <c r="H16" s="2" t="n">
        <v>6.5</v>
      </c>
      <c r="I16" t="inlineStr">
        <is>
          <t>a</t>
        </is>
      </c>
      <c r="K16" s="2" t="n">
        <v>2674</v>
      </c>
      <c r="L16" t="n">
        <v>168</v>
      </c>
      <c r="M16" s="3" t="n">
        <v>2810</v>
      </c>
      <c r="N16" s="8" t="n">
        <v>2810</v>
      </c>
      <c r="O16" s="8" t="n">
        <v>0</v>
      </c>
      <c r="Q16" t="inlineStr">
        <is>
          <t>flat</t>
        </is>
      </c>
      <c r="R16" s="6" t="n">
        <v>2810</v>
      </c>
      <c r="S16" t="inlineStr">
        <is>
          <t>Solio</t>
        </is>
      </c>
      <c r="U16" s="6" t="n">
        <v>80.7</v>
      </c>
      <c r="V16" s="2" t="n">
        <v>32</v>
      </c>
      <c r="W16" s="7">
        <f>IF(N(U16)&lt;=0,0,MIN(Assumptions!$B$15,N(R16)/N(U16)))</f>
        <v/>
      </c>
      <c r="X16" s="6" t="n">
        <v>0.218</v>
      </c>
      <c r="Y16" s="10" t="n">
        <v>0.2446</v>
      </c>
      <c r="Z16" t="inlineStr">
        <is>
          <t>adjusted xGOT</t>
        </is>
      </c>
      <c r="AA16" s="3" t="n">
        <v>1</v>
      </c>
      <c r="AB16" s="3" t="n">
        <v>1.236</v>
      </c>
      <c r="AC16" s="3" t="n">
        <v>15.6</v>
      </c>
      <c r="AD16" s="10" t="n">
        <v>0.1729</v>
      </c>
      <c r="AE16" s="3" t="n">
        <v>6.513</v>
      </c>
      <c r="AF16" s="3" t="n">
        <v>0.01672141455125842</v>
      </c>
      <c r="AG16" s="3" t="n">
        <v>0.7068</v>
      </c>
      <c r="AH16" s="3" t="n">
        <v>66</v>
      </c>
      <c r="AI16" s="3" t="n">
        <v>3.0611</v>
      </c>
      <c r="AJ16" s="3" t="n">
        <v>1.5875</v>
      </c>
      <c r="AK16" s="3" t="n">
        <v>-0.2446193857303975</v>
      </c>
      <c r="AL16" s="6" t="n">
        <v>0</v>
      </c>
      <c r="AM16" s="3" t="n">
        <v>0</v>
      </c>
      <c r="AN16" s="10" t="n">
        <v>1.223</v>
      </c>
      <c r="AO16" s="10" t="n">
        <v>0.684684</v>
      </c>
      <c r="AP16" s="3">
        <f>N(X16)*N(BI16)</f>
        <v/>
      </c>
      <c r="AQ16" s="3" t="n">
        <v>0.7068</v>
      </c>
      <c r="AR16" s="3" t="n">
        <v>0</v>
      </c>
      <c r="AS16" s="3" t="n">
        <v>-0</v>
      </c>
      <c r="AT16" s="3" t="n">
        <v>-0.2446193857303975</v>
      </c>
      <c r="AU16" s="3">
        <f>SUM(AN16:AT16)</f>
        <v/>
      </c>
      <c r="AV16" s="7">
        <f>IF(OR(N(W16)&lt;=0,N(BG16)=0),0,N(W16)*IF(N(R16)/N(W16)&gt;=60,N(BG16),1))</f>
        <v/>
      </c>
      <c r="AW16" s="7">
        <f>N(W16)*N(AF16)*N(BH16)</f>
        <v/>
      </c>
      <c r="AX16" s="7">
        <f>N(AL16)*(Assumptions!$B$13*N(BJ16)-(1-Assumptions!$B$13)*Assumptions!$B$14)+N(AM16)</f>
        <v/>
      </c>
      <c r="AY16" s="7">
        <f>N(AU16)*N(R16)/90+N(AV16)+N(AW16)+N(AX16)</f>
        <v/>
      </c>
      <c r="AZ16" s="3">
        <f>IF(N(R16)&lt;=0,0,(N(AY16)-N(AX16))*90/N(R16))</f>
        <v/>
      </c>
      <c r="BA16" s="7">
        <f>IFERROR(AY16-VLOOKUP($E16,Assumptions!$A$40:$C$43,3,FALSE),"")</f>
        <v/>
      </c>
      <c r="BB16" s="3">
        <f>IFERROR(BA16/H16,"")</f>
        <v/>
      </c>
      <c r="BC16">
        <f>IF(AND($G16=TRUE,$E16="GKP"),AY16,"")</f>
        <v/>
      </c>
      <c r="BD16">
        <f>IF(AND($G16=TRUE,$E16="DEF"),AY16,"")</f>
        <v/>
      </c>
      <c r="BE16">
        <f>IF(AND($G16=TRUE,$E16="MID"),AY16,"")</f>
        <v/>
      </c>
      <c r="BF16">
        <f>IF(AND($G16=TRUE,$E16="FWD"),AY16,"")</f>
        <v/>
      </c>
      <c r="BG16" t="n">
        <v>2</v>
      </c>
      <c r="BH16" t="n">
        <v>2</v>
      </c>
      <c r="BI16" t="n">
        <v>1</v>
      </c>
      <c r="BJ16" t="n">
        <v>5</v>
      </c>
    </row>
    <row r="17">
      <c r="A17" t="inlineStr">
        <is>
          <t>Ollie Watkins</t>
        </is>
      </c>
      <c r="B17" t="inlineStr">
        <is>
          <t>AVL</t>
        </is>
      </c>
      <c r="C17" t="inlineStr">
        <is>
          <t>AVL</t>
        </is>
      </c>
      <c r="D17" t="b">
        <v>0</v>
      </c>
      <c r="E17" t="inlineStr">
        <is>
          <t>FWD</t>
        </is>
      </c>
      <c r="F17" t="inlineStr">
        <is>
          <t>FWD</t>
        </is>
      </c>
      <c r="G17" t="b">
        <v>1</v>
      </c>
      <c r="H17" s="2" t="n">
        <v>8</v>
      </c>
      <c r="I17" t="inlineStr">
        <is>
          <t>a</t>
        </is>
      </c>
      <c r="K17" s="2" t="n">
        <v>2833</v>
      </c>
      <c r="L17" t="n">
        <v>167</v>
      </c>
      <c r="M17" s="3" t="n">
        <v>2679</v>
      </c>
      <c r="N17" s="8" t="n">
        <v>2679</v>
      </c>
      <c r="O17" s="8" t="n">
        <v>0</v>
      </c>
      <c r="Q17" t="inlineStr">
        <is>
          <t>flat</t>
        </is>
      </c>
      <c r="R17" s="6" t="n">
        <v>2679</v>
      </c>
      <c r="S17" t="inlineStr">
        <is>
          <t>Solio</t>
        </is>
      </c>
      <c r="U17" s="6" t="n">
        <v>81.2</v>
      </c>
      <c r="V17" s="2" t="n">
        <v>33</v>
      </c>
      <c r="W17" s="7">
        <f>IF(N(U17)&lt;=0,0,MIN(Assumptions!$B$15,N(R17)/N(U17)))</f>
        <v/>
      </c>
      <c r="X17" s="6" t="n">
        <v>0.273</v>
      </c>
      <c r="Y17" s="3" t="n">
        <v>0.5014999999999999</v>
      </c>
      <c r="Z17" t="inlineStr">
        <is>
          <t>adjusted xGOT</t>
        </is>
      </c>
      <c r="AA17" s="3" t="n">
        <v>1</v>
      </c>
      <c r="AB17" s="3" t="n">
        <v>1.025</v>
      </c>
      <c r="AC17" s="3" t="n">
        <v>63.4</v>
      </c>
      <c r="AD17" s="3" t="n">
        <v>0.0635</v>
      </c>
      <c r="AE17" s="3" t="n">
        <v>3.352</v>
      </c>
      <c r="AF17" s="3" t="n">
        <v>7.692078045240525e-05</v>
      </c>
      <c r="AG17" s="3" t="n">
        <v>0.826</v>
      </c>
      <c r="AH17" s="3" t="n">
        <v>69</v>
      </c>
      <c r="AI17" s="3" t="n">
        <v>2.7451</v>
      </c>
      <c r="AJ17" s="3" t="n">
        <v>1.3575</v>
      </c>
      <c r="AK17" s="3" t="n">
        <v>-0.1306008267290482</v>
      </c>
      <c r="AL17" s="6" t="n">
        <v>0.7635839833842955</v>
      </c>
      <c r="AM17" s="3" t="n">
        <v>0</v>
      </c>
      <c r="AN17" s="3" t="n">
        <v>2.006</v>
      </c>
      <c r="AO17" s="3" t="n">
        <v>0.25146</v>
      </c>
      <c r="AP17" s="3">
        <f>N(X17)*N(BI17)</f>
        <v/>
      </c>
      <c r="AQ17" s="3" t="n">
        <v>0.826</v>
      </c>
      <c r="AR17" s="3" t="n">
        <v>0</v>
      </c>
      <c r="AS17" s="3" t="n">
        <v>-0</v>
      </c>
      <c r="AT17" s="3" t="n">
        <v>-0.1306008267290482</v>
      </c>
      <c r="AU17" s="3">
        <f>SUM(AN17:AT17)</f>
        <v/>
      </c>
      <c r="AV17" s="7">
        <f>IF(OR(N(W17)&lt;=0,N(BG17)=0),0,N(W17)*IF(N(R17)/N(W17)&gt;=60,N(BG17),1))</f>
        <v/>
      </c>
      <c r="AW17" s="7">
        <f>N(W17)*N(AF17)*N(BH17)</f>
        <v/>
      </c>
      <c r="AX17" s="7">
        <f>N(AL17)*(Assumptions!$B$13*N(BJ17)-(1-Assumptions!$B$13)*Assumptions!$B$14)+N(AM17)</f>
        <v/>
      </c>
      <c r="AY17" s="7">
        <f>N(AU17)*N(R17)/90+N(AV17)+N(AW17)+N(AX17)</f>
        <v/>
      </c>
      <c r="AZ17" s="3">
        <f>IF(N(R17)&lt;=0,0,(N(AY17)-N(AX17))*90/N(R17))</f>
        <v/>
      </c>
      <c r="BA17" s="7">
        <f>IFERROR(AY17-VLOOKUP($E17,Assumptions!$A$40:$C$43,3,FALSE),"")</f>
        <v/>
      </c>
      <c r="BB17" s="3">
        <f>IFERROR(BA17/H17,"")</f>
        <v/>
      </c>
      <c r="BC17">
        <f>IF(AND($G17=TRUE,$E17="GKP"),AY17,"")</f>
        <v/>
      </c>
      <c r="BD17">
        <f>IF(AND($G17=TRUE,$E17="DEF"),AY17,"")</f>
        <v/>
      </c>
      <c r="BE17">
        <f>IF(AND($G17=TRUE,$E17="MID"),AY17,"")</f>
        <v/>
      </c>
      <c r="BF17">
        <f>IF(AND($G17=TRUE,$E17="FWD"),AY17,"")</f>
        <v/>
      </c>
      <c r="BG17" t="n">
        <v>2</v>
      </c>
      <c r="BH17" t="n">
        <v>2</v>
      </c>
      <c r="BI17" t="n">
        <v>0</v>
      </c>
      <c r="BJ17" t="n">
        <v>4</v>
      </c>
    </row>
    <row r="18">
      <c r="A18" t="inlineStr">
        <is>
          <t>Adrien Truffert</t>
        </is>
      </c>
      <c r="B18" t="inlineStr">
        <is>
          <t>BOU</t>
        </is>
      </c>
      <c r="C18" t="inlineStr">
        <is>
          <t>BOU</t>
        </is>
      </c>
      <c r="D18" t="b">
        <v>0</v>
      </c>
      <c r="E18" t="inlineStr">
        <is>
          <t>DEF</t>
        </is>
      </c>
      <c r="F18" t="inlineStr">
        <is>
          <t>DEF</t>
        </is>
      </c>
      <c r="G18" t="b">
        <v>1</v>
      </c>
      <c r="H18" s="2" t="n">
        <v>5.5</v>
      </c>
      <c r="I18" t="inlineStr">
        <is>
          <t>a</t>
        </is>
      </c>
      <c r="K18" s="2" t="n">
        <v>3378</v>
      </c>
      <c r="L18" t="n">
        <v>165</v>
      </c>
      <c r="M18" s="3" t="n">
        <v>3266</v>
      </c>
      <c r="N18" s="8" t="n">
        <v>3266</v>
      </c>
      <c r="O18" s="8" t="n">
        <v>0</v>
      </c>
      <c r="Q18" t="inlineStr">
        <is>
          <t>flat</t>
        </is>
      </c>
      <c r="R18" s="6" t="n">
        <v>3266</v>
      </c>
      <c r="S18" t="inlineStr">
        <is>
          <t>Solio</t>
        </is>
      </c>
      <c r="U18" s="6" t="n">
        <v>88.2</v>
      </c>
      <c r="V18" s="2" t="n">
        <v>38</v>
      </c>
      <c r="W18" s="7">
        <f>IF(N(U18)&lt;=0,0,MIN(Assumptions!$B$15,N(R18)/N(U18)))</f>
        <v/>
      </c>
      <c r="X18" s="6" t="n">
        <v>0.23</v>
      </c>
      <c r="Y18" s="3" t="n">
        <v>0.0369</v>
      </c>
      <c r="Z18" t="inlineStr">
        <is>
          <t>adjusted xGOT</t>
        </is>
      </c>
      <c r="AA18" s="3" t="n">
        <v>1</v>
      </c>
      <c r="AB18" s="3" t="n">
        <v>1.027</v>
      </c>
      <c r="AC18" s="3" t="n">
        <v>1.4</v>
      </c>
      <c r="AD18" s="3" t="n">
        <v>0.09959999999999999</v>
      </c>
      <c r="AE18" s="3" t="n">
        <v>7.961</v>
      </c>
      <c r="AF18" s="3" t="n">
        <v>0.259105901528311</v>
      </c>
      <c r="AG18" s="3" t="n">
        <v>0.5062</v>
      </c>
      <c r="AH18" s="3" t="n">
        <v>76</v>
      </c>
      <c r="AI18" s="3" t="n">
        <v>3.0957</v>
      </c>
      <c r="AJ18" s="3" t="n">
        <v>1.53</v>
      </c>
      <c r="AK18" s="3" t="n">
        <v>-0.1693904092894715</v>
      </c>
      <c r="AL18" s="6" t="n">
        <v>0</v>
      </c>
      <c r="AM18" s="3" t="n">
        <v>0</v>
      </c>
      <c r="AN18" s="3" t="n">
        <v>0.2214</v>
      </c>
      <c r="AO18" s="3" t="n">
        <v>0.3944159999999999</v>
      </c>
      <c r="AP18" s="3">
        <f>N(X18)*N(BI18)</f>
        <v/>
      </c>
      <c r="AQ18" s="3" t="n">
        <v>0.5062</v>
      </c>
      <c r="AR18" s="3" t="n">
        <v>0</v>
      </c>
      <c r="AS18" s="3" t="n">
        <v>-0.5267219238049191</v>
      </c>
      <c r="AT18" s="3" t="n">
        <v>-0.1693904092894715</v>
      </c>
      <c r="AU18" s="3">
        <f>SUM(AN18:AT18)</f>
        <v/>
      </c>
      <c r="AV18" s="7">
        <f>IF(OR(N(W18)&lt;=0,N(BG18)=0),0,N(W18)*IF(N(R18)/N(W18)&gt;=60,N(BG18),1))</f>
        <v/>
      </c>
      <c r="AW18" s="7">
        <f>N(W18)*N(AF18)*N(BH18)</f>
        <v/>
      </c>
      <c r="AX18" s="7">
        <f>N(AL18)*(Assumptions!$B$13*N(BJ18)-(1-Assumptions!$B$13)*Assumptions!$B$14)+N(AM18)</f>
        <v/>
      </c>
      <c r="AY18" s="7">
        <f>N(AU18)*N(R18)/90+N(AV18)+N(AW18)+N(AX18)</f>
        <v/>
      </c>
      <c r="AZ18" s="3">
        <f>IF(N(R18)&lt;=0,0,(N(AY18)-N(AX18))*90/N(R18))</f>
        <v/>
      </c>
      <c r="BA18" s="7">
        <f>IFERROR(AY18-VLOOKUP($E18,Assumptions!$A$40:$C$43,3,FALSE),"")</f>
        <v/>
      </c>
      <c r="BB18" s="3">
        <f>IFERROR(BA18/H18,"")</f>
        <v/>
      </c>
      <c r="BC18">
        <f>IF(AND($G18=TRUE,$E18="GKP"),AY18,"")</f>
        <v/>
      </c>
      <c r="BD18">
        <f>IF(AND($G18=TRUE,$E18="DEF"),AY18,"")</f>
        <v/>
      </c>
      <c r="BE18">
        <f>IF(AND($G18=TRUE,$E18="MID"),AY18,"")</f>
        <v/>
      </c>
      <c r="BF18">
        <f>IF(AND($G18=TRUE,$E18="FWD"),AY18,"")</f>
        <v/>
      </c>
      <c r="BG18" t="n">
        <v>2</v>
      </c>
      <c r="BH18" t="n">
        <v>2</v>
      </c>
      <c r="BI18" t="n">
        <v>4</v>
      </c>
      <c r="BJ18" t="n">
        <v>6</v>
      </c>
    </row>
    <row r="19">
      <c r="A19" t="inlineStr">
        <is>
          <t>David Raya</t>
        </is>
      </c>
      <c r="B19" t="inlineStr">
        <is>
          <t>ARS</t>
        </is>
      </c>
      <c r="C19" t="inlineStr">
        <is>
          <t>ARS</t>
        </is>
      </c>
      <c r="D19" t="b">
        <v>0</v>
      </c>
      <c r="E19" t="inlineStr">
        <is>
          <t>GKP</t>
        </is>
      </c>
      <c r="F19" t="inlineStr">
        <is>
          <t>GKP</t>
        </is>
      </c>
      <c r="G19" t="b">
        <v>1</v>
      </c>
      <c r="H19" s="2" t="n">
        <v>6</v>
      </c>
      <c r="I19" t="inlineStr">
        <is>
          <t>a</t>
        </is>
      </c>
      <c r="K19" s="2" t="n">
        <v>3330</v>
      </c>
      <c r="L19" t="n">
        <v>162</v>
      </c>
      <c r="M19" s="3" t="n">
        <v>3385</v>
      </c>
      <c r="N19" s="8" t="n">
        <v>3385</v>
      </c>
      <c r="O19" s="8" t="n">
        <v>0</v>
      </c>
      <c r="Q19" t="inlineStr">
        <is>
          <t>flat</t>
        </is>
      </c>
      <c r="R19" s="6" t="n">
        <v>3385</v>
      </c>
      <c r="S19" t="inlineStr">
        <is>
          <t>Solio</t>
        </is>
      </c>
      <c r="U19" s="6" t="n">
        <v>90</v>
      </c>
      <c r="V19" s="2" t="n">
        <v>37</v>
      </c>
      <c r="W19" s="7">
        <f>IF(N(U19)&lt;=0,0,MIN(Assumptions!$B$15,N(R19)/N(U19)))</f>
        <v/>
      </c>
      <c r="X19" s="6" t="n">
        <v>0.391</v>
      </c>
      <c r="Y19" s="3" t="n">
        <v>0</v>
      </c>
      <c r="Z19" t="inlineStr">
        <is>
          <t>adjusted xGOT</t>
        </is>
      </c>
      <c r="AA19" s="3" t="n">
        <v>1</v>
      </c>
      <c r="AB19" s="3" t="n">
        <v>0.986</v>
      </c>
      <c r="AC19" s="3" t="n">
        <v>0.1</v>
      </c>
      <c r="AD19" s="3" t="n">
        <v>0.003</v>
      </c>
      <c r="AE19" s="3" t="n">
        <v>0</v>
      </c>
      <c r="AF19" s="3" t="n">
        <v>0</v>
      </c>
      <c r="AG19" s="3" t="n">
        <v>0.2973</v>
      </c>
      <c r="AH19" s="3" t="n">
        <v>74</v>
      </c>
      <c r="AI19" s="3" t="n">
        <v>2.067</v>
      </c>
      <c r="AJ19" s="3" t="n">
        <v>0.9838</v>
      </c>
      <c r="AK19" s="3" t="n">
        <v>-0.056840824704898</v>
      </c>
      <c r="AL19" s="6" t="n">
        <v>0</v>
      </c>
      <c r="AM19" s="3" t="n">
        <v>2.07881333697145</v>
      </c>
      <c r="AN19" s="3" t="n">
        <v>0</v>
      </c>
      <c r="AO19" s="3" t="n">
        <v>0.01188</v>
      </c>
      <c r="AP19" s="3">
        <f>N(X19)*N(BI19)</f>
        <v/>
      </c>
      <c r="AQ19" s="3" t="n">
        <v>0.2973</v>
      </c>
      <c r="AR19" s="3" t="n">
        <v>0.3608597487600056</v>
      </c>
      <c r="AS19" s="3" t="n">
        <v>-0.2768479886568037</v>
      </c>
      <c r="AT19" s="3" t="n">
        <v>-0.056840824704898</v>
      </c>
      <c r="AU19" s="3">
        <f>SUM(AN19:AT19)</f>
        <v/>
      </c>
      <c r="AV19" s="7">
        <f>IF(OR(N(W19)&lt;=0,N(BG19)=0),0,N(W19)*IF(N(R19)/N(W19)&gt;=60,N(BG19),1))</f>
        <v/>
      </c>
      <c r="AW19" s="7">
        <f>N(W19)*N(AF19)*N(BH19)</f>
        <v/>
      </c>
      <c r="AX19" s="7">
        <f>N(AL19)*(Assumptions!$B$13*N(BJ19)-(1-Assumptions!$B$13)*Assumptions!$B$14)+N(AM19)</f>
        <v/>
      </c>
      <c r="AY19" s="7">
        <f>N(AU19)*N(R19)/90+N(AV19)+N(AW19)+N(AX19)</f>
        <v/>
      </c>
      <c r="AZ19" s="3">
        <f>IF(N(R19)&lt;=0,0,(N(AY19)-N(AX19))*90/N(R19))</f>
        <v/>
      </c>
      <c r="BA19" s="7">
        <f>IFERROR(AY19-VLOOKUP($E19,Assumptions!$A$40:$C$43,3,FALSE),"")</f>
        <v/>
      </c>
      <c r="BB19" s="3">
        <f>IFERROR(BA19/H19,"")</f>
        <v/>
      </c>
      <c r="BC19">
        <f>IF(AND($G19=TRUE,$E19="GKP"),AY19,"")</f>
        <v/>
      </c>
      <c r="BD19">
        <f>IF(AND($G19=TRUE,$E19="DEF"),AY19,"")</f>
        <v/>
      </c>
      <c r="BE19">
        <f>IF(AND($G19=TRUE,$E19="MID"),AY19,"")</f>
        <v/>
      </c>
      <c r="BF19">
        <f>IF(AND($G19=TRUE,$E19="FWD"),AY19,"")</f>
        <v/>
      </c>
      <c r="BG19" t="n">
        <v>2</v>
      </c>
      <c r="BH19" t="n">
        <v>0</v>
      </c>
      <c r="BI19" t="n">
        <v>4</v>
      </c>
      <c r="BJ19" t="n">
        <v>10</v>
      </c>
    </row>
    <row r="20">
      <c r="A20" t="inlineStr">
        <is>
          <t>Dominik Szoboszlai</t>
        </is>
      </c>
      <c r="B20" t="inlineStr">
        <is>
          <t>LIV</t>
        </is>
      </c>
      <c r="C20" t="inlineStr">
        <is>
          <t>LIV</t>
        </is>
      </c>
      <c r="D20" t="b">
        <v>0</v>
      </c>
      <c r="E20" t="inlineStr">
        <is>
          <t>MID</t>
        </is>
      </c>
      <c r="F20" t="inlineStr">
        <is>
          <t>MID</t>
        </is>
      </c>
      <c r="G20" t="b">
        <v>1</v>
      </c>
      <c r="H20" s="2" t="n">
        <v>7</v>
      </c>
      <c r="I20" t="inlineStr">
        <is>
          <t>a</t>
        </is>
      </c>
      <c r="K20" s="2" t="n">
        <v>3232</v>
      </c>
      <c r="L20" t="n">
        <v>160</v>
      </c>
      <c r="M20" s="3" t="n">
        <v>3344</v>
      </c>
      <c r="N20" s="8" t="n">
        <v>3344</v>
      </c>
      <c r="O20" s="8" t="n">
        <v>0</v>
      </c>
      <c r="Q20" t="inlineStr">
        <is>
          <t>flat</t>
        </is>
      </c>
      <c r="R20" s="6" t="n">
        <v>3344</v>
      </c>
      <c r="S20" t="inlineStr">
        <is>
          <t>Solio</t>
        </is>
      </c>
      <c r="U20" s="6" t="n">
        <v>87.59999999999999</v>
      </c>
      <c r="V20" s="2" t="n">
        <v>35</v>
      </c>
      <c r="W20" s="7">
        <f>IF(N(U20)&lt;=0,0,MIN(Assumptions!$B$15,N(R20)/N(U20)))</f>
        <v/>
      </c>
      <c r="X20" s="6" t="n">
        <v>0.342</v>
      </c>
      <c r="Y20" s="3" t="n">
        <v>0.0886</v>
      </c>
      <c r="Z20" t="inlineStr">
        <is>
          <t>adjusted xGOT</t>
        </is>
      </c>
      <c r="AA20" s="3" t="n">
        <v>0.839</v>
      </c>
      <c r="AB20" s="3" t="n">
        <v>0.797</v>
      </c>
      <c r="AC20" s="3" t="n">
        <v>15.3</v>
      </c>
      <c r="AD20" s="3" t="n">
        <v>0.2181</v>
      </c>
      <c r="AE20" s="3" t="n">
        <v>9.26</v>
      </c>
      <c r="AF20" s="3" t="n">
        <v>0.1982611837142924</v>
      </c>
      <c r="AG20" s="3" t="n">
        <v>0.5848</v>
      </c>
      <c r="AH20" s="3" t="n">
        <v>72</v>
      </c>
      <c r="AI20" s="3" t="n">
        <v>2.409</v>
      </c>
      <c r="AJ20" s="3" t="n">
        <v>1.1228</v>
      </c>
      <c r="AK20" s="3" t="n">
        <v>-0.2118356850631689</v>
      </c>
      <c r="AL20" s="6" t="n">
        <v>2.165971915184847</v>
      </c>
      <c r="AM20" s="3" t="n">
        <v>0</v>
      </c>
      <c r="AN20" s="3" t="n">
        <v>0.443</v>
      </c>
      <c r="AO20" s="3" t="n">
        <v>0.863676</v>
      </c>
      <c r="AP20" s="3">
        <f>N(X20)*N(BI20)</f>
        <v/>
      </c>
      <c r="AQ20" s="3" t="n">
        <v>0.5848</v>
      </c>
      <c r="AR20" s="3" t="n">
        <v>0</v>
      </c>
      <c r="AS20" s="3" t="n">
        <v>-0</v>
      </c>
      <c r="AT20" s="3" t="n">
        <v>-0.2118356850631689</v>
      </c>
      <c r="AU20" s="3">
        <f>SUM(AN20:AT20)</f>
        <v/>
      </c>
      <c r="AV20" s="7">
        <f>IF(OR(N(W20)&lt;=0,N(BG20)=0),0,N(W20)*IF(N(R20)/N(W20)&gt;=60,N(BG20),1))</f>
        <v/>
      </c>
      <c r="AW20" s="7">
        <f>N(W20)*N(AF20)*N(BH20)</f>
        <v/>
      </c>
      <c r="AX20" s="7">
        <f>N(AL20)*(Assumptions!$B$13*N(BJ20)-(1-Assumptions!$B$13)*Assumptions!$B$14)+N(AM20)</f>
        <v/>
      </c>
      <c r="AY20" s="7">
        <f>N(AU20)*N(R20)/90+N(AV20)+N(AW20)+N(AX20)</f>
        <v/>
      </c>
      <c r="AZ20" s="3">
        <f>IF(N(R20)&lt;=0,0,(N(AY20)-N(AX20))*90/N(R20))</f>
        <v/>
      </c>
      <c r="BA20" s="7">
        <f>IFERROR(AY20-VLOOKUP($E20,Assumptions!$A$40:$C$43,3,FALSE),"")</f>
        <v/>
      </c>
      <c r="BB20" s="3">
        <f>IFERROR(BA20/H20,"")</f>
        <v/>
      </c>
      <c r="BC20">
        <f>IF(AND($G20=TRUE,$E20="GKP"),AY20,"")</f>
        <v/>
      </c>
      <c r="BD20">
        <f>IF(AND($G20=TRUE,$E20="DEF"),AY20,"")</f>
        <v/>
      </c>
      <c r="BE20">
        <f>IF(AND($G20=TRUE,$E20="MID"),AY20,"")</f>
        <v/>
      </c>
      <c r="BF20">
        <f>IF(AND($G20=TRUE,$E20="FWD"),AY20,"")</f>
        <v/>
      </c>
      <c r="BG20" t="n">
        <v>2</v>
      </c>
      <c r="BH20" t="n">
        <v>2</v>
      </c>
      <c r="BI20" t="n">
        <v>1</v>
      </c>
      <c r="BJ20" t="n">
        <v>5</v>
      </c>
    </row>
    <row r="21">
      <c r="A21" t="inlineStr">
        <is>
          <t>Nico O'Reilly</t>
        </is>
      </c>
      <c r="B21" t="inlineStr">
        <is>
          <t>MCI</t>
        </is>
      </c>
      <c r="C21" t="inlineStr">
        <is>
          <t>MCI</t>
        </is>
      </c>
      <c r="D21" t="b">
        <v>0</v>
      </c>
      <c r="E21" t="inlineStr">
        <is>
          <t>DEF</t>
        </is>
      </c>
      <c r="F21" t="inlineStr">
        <is>
          <t>DEF</t>
        </is>
      </c>
      <c r="G21" t="b">
        <v>1</v>
      </c>
      <c r="H21" s="2" t="n">
        <v>6.5</v>
      </c>
      <c r="I21" t="inlineStr">
        <is>
          <t>a</t>
        </is>
      </c>
      <c r="K21" s="2" t="n">
        <v>2643</v>
      </c>
      <c r="L21" t="n">
        <v>160</v>
      </c>
      <c r="M21" s="3" t="n">
        <v>2753</v>
      </c>
      <c r="N21" s="8" t="n">
        <v>2753</v>
      </c>
      <c r="O21" s="8" t="n">
        <v>0</v>
      </c>
      <c r="Q21" t="inlineStr">
        <is>
          <t>flat</t>
        </is>
      </c>
      <c r="R21" s="6" t="n">
        <v>2753</v>
      </c>
      <c r="S21" t="inlineStr">
        <is>
          <t>Solio</t>
        </is>
      </c>
      <c r="U21" s="6" t="n">
        <v>86.3</v>
      </c>
      <c r="V21" s="2" t="n">
        <v>29</v>
      </c>
      <c r="W21" s="7">
        <f>IF(N(U21)&lt;=0,0,MIN(Assumptions!$B$15,N(R21)/N(U21)))</f>
        <v/>
      </c>
      <c r="X21" s="6" t="n">
        <v>0.371</v>
      </c>
      <c r="Y21" s="3" t="n">
        <v>0.2165</v>
      </c>
      <c r="Z21" t="inlineStr">
        <is>
          <t>adjusted xGOT</t>
        </is>
      </c>
      <c r="AA21" s="3" t="n">
        <v>1</v>
      </c>
      <c r="AB21" s="3" t="n">
        <v>1.039</v>
      </c>
      <c r="AC21" s="3" t="n">
        <v>7.4</v>
      </c>
      <c r="AD21" s="3" t="n">
        <v>0.111</v>
      </c>
      <c r="AE21" s="3" t="n">
        <v>6.248</v>
      </c>
      <c r="AF21" s="3" t="n">
        <v>0.08331530663100983</v>
      </c>
      <c r="AG21" s="3" t="n">
        <v>0.3746</v>
      </c>
      <c r="AH21" s="3" t="n">
        <v>62</v>
      </c>
      <c r="AI21" s="3" t="n">
        <v>1.9737</v>
      </c>
      <c r="AJ21" s="3" t="n">
        <v>1.0365</v>
      </c>
      <c r="AK21" s="3" t="n">
        <v>-0.1835423809503319</v>
      </c>
      <c r="AL21" s="6" t="n">
        <v>0</v>
      </c>
      <c r="AM21" s="3" t="n">
        <v>0</v>
      </c>
      <c r="AN21" s="3" t="n">
        <v>1.299</v>
      </c>
      <c r="AO21" s="3" t="n">
        <v>0.4395600000000001</v>
      </c>
      <c r="AP21" s="3">
        <f>N(X21)*N(BI21)</f>
        <v/>
      </c>
      <c r="AQ21" s="3" t="n">
        <v>0.3746</v>
      </c>
      <c r="AR21" s="3" t="n">
        <v>0</v>
      </c>
      <c r="AS21" s="3" t="n">
        <v>-0.2997019479071323</v>
      </c>
      <c r="AT21" s="3" t="n">
        <v>-0.1835423809503319</v>
      </c>
      <c r="AU21" s="3">
        <f>SUM(AN21:AT21)</f>
        <v/>
      </c>
      <c r="AV21" s="7">
        <f>IF(OR(N(W21)&lt;=0,N(BG21)=0),0,N(W21)*IF(N(R21)/N(W21)&gt;=60,N(BG21),1))</f>
        <v/>
      </c>
      <c r="AW21" s="7">
        <f>N(W21)*N(AF21)*N(BH21)</f>
        <v/>
      </c>
      <c r="AX21" s="7">
        <f>N(AL21)*(Assumptions!$B$13*N(BJ21)-(1-Assumptions!$B$13)*Assumptions!$B$14)+N(AM21)</f>
        <v/>
      </c>
      <c r="AY21" s="7">
        <f>N(AU21)*N(R21)/90+N(AV21)+N(AW21)+N(AX21)</f>
        <v/>
      </c>
      <c r="AZ21" s="3">
        <f>IF(N(R21)&lt;=0,0,(N(AY21)-N(AX21))*90/N(R21))</f>
        <v/>
      </c>
      <c r="BA21" s="7">
        <f>IFERROR(AY21-VLOOKUP($E21,Assumptions!$A$40:$C$43,3,FALSE),"")</f>
        <v/>
      </c>
      <c r="BB21" s="3">
        <f>IFERROR(BA21/H21,"")</f>
        <v/>
      </c>
      <c r="BC21">
        <f>IF(AND($G21=TRUE,$E21="GKP"),AY21,"")</f>
        <v/>
      </c>
      <c r="BD21">
        <f>IF(AND($G21=TRUE,$E21="DEF"),AY21,"")</f>
        <v/>
      </c>
      <c r="BE21">
        <f>IF(AND($G21=TRUE,$E21="MID"),AY21,"")</f>
        <v/>
      </c>
      <c r="BF21">
        <f>IF(AND($G21=TRUE,$E21="FWD"),AY21,"")</f>
        <v/>
      </c>
      <c r="BG21" t="n">
        <v>2</v>
      </c>
      <c r="BH21" t="n">
        <v>2</v>
      </c>
      <c r="BI21" t="n">
        <v>4</v>
      </c>
      <c r="BJ21" t="n">
        <v>6</v>
      </c>
    </row>
    <row r="22">
      <c r="A22" t="inlineStr">
        <is>
          <t>James Garner</t>
        </is>
      </c>
      <c r="B22" t="inlineStr">
        <is>
          <t>EVE</t>
        </is>
      </c>
      <c r="C22" t="inlineStr">
        <is>
          <t>EVE</t>
        </is>
      </c>
      <c r="D22" t="b">
        <v>0</v>
      </c>
      <c r="E22" t="inlineStr">
        <is>
          <t>MID</t>
        </is>
      </c>
      <c r="F22" t="inlineStr">
        <is>
          <t>MID</t>
        </is>
      </c>
      <c r="G22" t="b">
        <v>1</v>
      </c>
      <c r="H22" s="2" t="n">
        <v>6</v>
      </c>
      <c r="I22" t="inlineStr">
        <is>
          <t>i</t>
        </is>
      </c>
      <c r="J22" t="inlineStr">
        <is>
          <t>Groin injury - Expected back 22 Aug</t>
        </is>
      </c>
      <c r="K22" s="2" t="n">
        <v>3413</v>
      </c>
      <c r="L22" t="n">
        <v>159</v>
      </c>
      <c r="M22" s="3" t="n">
        <v>3310</v>
      </c>
      <c r="N22" s="4" t="n">
        <v>2850</v>
      </c>
      <c r="O22" s="4" t="n">
        <v>-460</v>
      </c>
      <c r="P22" s="5" t="inlineStr">
        <is>
          <t>medium</t>
        </is>
      </c>
      <c r="Q22" t="inlineStr">
        <is>
          <t>flat</t>
        </is>
      </c>
      <c r="R22" s="6" t="n">
        <v>2850</v>
      </c>
      <c r="S22" t="inlineStr">
        <is>
          <t>research</t>
        </is>
      </c>
      <c r="T22" s="5" t="inlineStr">
        <is>
          <t>Solio's second-highest Everton projection for a player who has had groin surgery and has not played a minute of pre-season. Read Everton's injury tracker on 14 August: 'Still recovering from groin surgery and has missed every pre-season friendly so far. Now genuinely up against it to be involved for the start of the league season.' The official FPL game lists him status 'i' with a 0% chance of playing and an expected return of 22 August - the day of the Crystal Palace opener itself. He is still the closest thing Everton have to a nailed central midfielder, so the cut is a month of games plus a re-integration allowance, not a re-rating.</t>
        </is>
      </c>
      <c r="U22" s="6" t="n">
        <v>87.8</v>
      </c>
      <c r="V22" s="2" t="n">
        <v>38</v>
      </c>
      <c r="W22" s="7">
        <f>IF(N(U22)&lt;=0,0,MIN(Assumptions!$B$15,N(R22)/N(U22)))</f>
        <v/>
      </c>
      <c r="X22" s="6" t="n">
        <v>0.231</v>
      </c>
      <c r="Y22" s="3" t="n">
        <v>0.0507</v>
      </c>
      <c r="Z22" t="inlineStr">
        <is>
          <t>adjusted xGOT</t>
        </is>
      </c>
      <c r="AA22" s="3" t="n">
        <v>1</v>
      </c>
      <c r="AB22" s="3" t="n">
        <v>0.916</v>
      </c>
      <c r="AC22" s="3" t="n">
        <v>6.1</v>
      </c>
      <c r="AD22" s="3" t="n">
        <v>0.1615</v>
      </c>
      <c r="AE22" s="3" t="n">
        <v>11.468</v>
      </c>
      <c r="AF22" s="3" t="n">
        <v>0.4431252012309268</v>
      </c>
      <c r="AG22" s="3" t="n">
        <v>0.3164</v>
      </c>
      <c r="AH22" s="3" t="n">
        <v>76</v>
      </c>
      <c r="AI22" s="3" t="n">
        <v>3.0311</v>
      </c>
      <c r="AJ22" s="3" t="n">
        <v>1.5252</v>
      </c>
      <c r="AK22" s="3" t="n">
        <v>-0.2862280811763025</v>
      </c>
      <c r="AL22" s="6" t="n">
        <v>0.07930555085420241</v>
      </c>
      <c r="AM22" s="3" t="n">
        <v>0</v>
      </c>
      <c r="AN22" s="3" t="n">
        <v>0.2535</v>
      </c>
      <c r="AO22" s="3" t="n">
        <v>0.6395400000000001</v>
      </c>
      <c r="AP22" s="3">
        <f>N(X22)*N(BI22)</f>
        <v/>
      </c>
      <c r="AQ22" s="3" t="n">
        <v>0.3164</v>
      </c>
      <c r="AR22" s="3" t="n">
        <v>0</v>
      </c>
      <c r="AS22" s="3" t="n">
        <v>-0</v>
      </c>
      <c r="AT22" s="3" t="n">
        <v>-0.2862280811763025</v>
      </c>
      <c r="AU22" s="3">
        <f>SUM(AN22:AT22)</f>
        <v/>
      </c>
      <c r="AV22" s="7">
        <f>IF(OR(N(W22)&lt;=0,N(BG22)=0),0,N(W22)*IF(N(R22)/N(W22)&gt;=60,N(BG22),1))</f>
        <v/>
      </c>
      <c r="AW22" s="7">
        <f>N(W22)*N(AF22)*N(BH22)</f>
        <v/>
      </c>
      <c r="AX22" s="7">
        <f>N(AL22)*(Assumptions!$B$13*N(BJ22)-(1-Assumptions!$B$13)*Assumptions!$B$14)+N(AM22)</f>
        <v/>
      </c>
      <c r="AY22" s="7">
        <f>N(AU22)*N(R22)/90+N(AV22)+N(AW22)+N(AX22)</f>
        <v/>
      </c>
      <c r="AZ22" s="3">
        <f>IF(N(R22)&lt;=0,0,(N(AY22)-N(AX22))*90/N(R22))</f>
        <v/>
      </c>
      <c r="BA22" s="7">
        <f>IFERROR(AY22-VLOOKUP($E22,Assumptions!$A$40:$C$43,3,FALSE),"")</f>
        <v/>
      </c>
      <c r="BB22" s="3">
        <f>IFERROR(BA22/H22,"")</f>
        <v/>
      </c>
      <c r="BC22">
        <f>IF(AND($G22=TRUE,$E22="GKP"),AY22,"")</f>
        <v/>
      </c>
      <c r="BD22">
        <f>IF(AND($G22=TRUE,$E22="DEF"),AY22,"")</f>
        <v/>
      </c>
      <c r="BE22">
        <f>IF(AND($G22=TRUE,$E22="MID"),AY22,"")</f>
        <v/>
      </c>
      <c r="BF22">
        <f>IF(AND($G22=TRUE,$E22="FWD"),AY22,"")</f>
        <v/>
      </c>
      <c r="BG22" t="n">
        <v>2</v>
      </c>
      <c r="BH22" t="n">
        <v>2</v>
      </c>
      <c r="BI22" t="n">
        <v>1</v>
      </c>
      <c r="BJ22" t="n">
        <v>5</v>
      </c>
    </row>
    <row r="23">
      <c r="A23" t="inlineStr">
        <is>
          <t>Enzo Fernández</t>
        </is>
      </c>
      <c r="B23" t="inlineStr">
        <is>
          <t>CHE</t>
        </is>
      </c>
      <c r="C23" t="inlineStr">
        <is>
          <t>CHE</t>
        </is>
      </c>
      <c r="D23" t="b">
        <v>0</v>
      </c>
      <c r="E23" t="inlineStr">
        <is>
          <t>MID</t>
        </is>
      </c>
      <c r="F23" t="inlineStr">
        <is>
          <t>MID</t>
        </is>
      </c>
      <c r="G23" t="b">
        <v>1</v>
      </c>
      <c r="H23" s="2" t="n">
        <v>7</v>
      </c>
      <c r="I23" t="inlineStr">
        <is>
          <t>a</t>
        </is>
      </c>
      <c r="K23" s="2" t="n">
        <v>3114</v>
      </c>
      <c r="L23" t="n">
        <v>157</v>
      </c>
      <c r="M23" s="3" t="n">
        <v>3146</v>
      </c>
      <c r="N23" s="4" t="n">
        <v>2800</v>
      </c>
      <c r="O23" s="4" t="n">
        <v>-346</v>
      </c>
      <c r="P23" s="5" t="inlineStr">
        <is>
          <t>medium</t>
        </is>
      </c>
      <c r="Q23" t="inlineStr">
        <is>
          <t>flat</t>
        </is>
      </c>
      <c r="R23" s="6" t="n">
        <v>2800</v>
      </c>
      <c r="S23" t="inlineStr">
        <is>
          <t>research</t>
        </is>
      </c>
      <c r="T23" s="5" t="inlineStr">
        <is>
          <t>Trimmed from 92% of every available minute. He was a substitute, not a starter, in the final pre-season friendly - the XI Last Word on Football calls 'likely the strongest XI for the start of the league campaign' - with captain Reece James starting the pivot alongside Caicedo after Enzo's late return from the World Cup final. He also carries live exit interest (Real Madrid; Chelsea asking around EUR 140m, rated 'Low' likelihood). Still projected as a heavy-minutes starter, just not an ever-present.</t>
        </is>
      </c>
      <c r="U23" s="6" t="n">
        <v>86.2</v>
      </c>
      <c r="V23" s="2" t="n">
        <v>35</v>
      </c>
      <c r="W23" s="7">
        <f>IF(N(U23)&lt;=0,0,MIN(Assumptions!$B$15,N(R23)/N(U23)))</f>
        <v/>
      </c>
      <c r="X23" s="6" t="n">
        <v>0.322</v>
      </c>
      <c r="Y23" s="3" t="n">
        <v>0.3008</v>
      </c>
      <c r="Z23" t="inlineStr">
        <is>
          <t>adjusted xGOT</t>
        </is>
      </c>
      <c r="AA23" s="3" t="n">
        <v>0.872</v>
      </c>
      <c r="AB23" s="3" t="n">
        <v>1.06</v>
      </c>
      <c r="AC23" s="3" t="n">
        <v>24</v>
      </c>
      <c r="AD23" s="3" t="n">
        <v>0.233</v>
      </c>
      <c r="AE23" s="3" t="n">
        <v>7.338</v>
      </c>
      <c r="AF23" s="3" t="n">
        <v>0.05463250663240771</v>
      </c>
      <c r="AG23" s="3" t="n">
        <v>0.5491</v>
      </c>
      <c r="AH23" s="3" t="n">
        <v>71</v>
      </c>
      <c r="AI23" s="3" t="n">
        <v>2.4232</v>
      </c>
      <c r="AJ23" s="3" t="n">
        <v>1.1851</v>
      </c>
      <c r="AK23" s="3" t="n">
        <v>-0.2764082197869656</v>
      </c>
      <c r="AL23" s="6" t="n">
        <v>0.8435822915217317</v>
      </c>
      <c r="AM23" s="3" t="n">
        <v>0</v>
      </c>
      <c r="AN23" s="3" t="n">
        <v>1.504</v>
      </c>
      <c r="AO23" s="3" t="n">
        <v>0.9226800000000002</v>
      </c>
      <c r="AP23" s="3">
        <f>N(X23)*N(BI23)</f>
        <v/>
      </c>
      <c r="AQ23" s="3" t="n">
        <v>0.5491</v>
      </c>
      <c r="AR23" s="3" t="n">
        <v>0</v>
      </c>
      <c r="AS23" s="3" t="n">
        <v>-0</v>
      </c>
      <c r="AT23" s="3" t="n">
        <v>-0.2764082197869656</v>
      </c>
      <c r="AU23" s="3">
        <f>SUM(AN23:AT23)</f>
        <v/>
      </c>
      <c r="AV23" s="7">
        <f>IF(OR(N(W23)&lt;=0,N(BG23)=0),0,N(W23)*IF(N(R23)/N(W23)&gt;=60,N(BG23),1))</f>
        <v/>
      </c>
      <c r="AW23" s="7">
        <f>N(W23)*N(AF23)*N(BH23)</f>
        <v/>
      </c>
      <c r="AX23" s="7">
        <f>N(AL23)*(Assumptions!$B$13*N(BJ23)-(1-Assumptions!$B$13)*Assumptions!$B$14)+N(AM23)</f>
        <v/>
      </c>
      <c r="AY23" s="7">
        <f>N(AU23)*N(R23)/90+N(AV23)+N(AW23)+N(AX23)</f>
        <v/>
      </c>
      <c r="AZ23" s="3">
        <f>IF(N(R23)&lt;=0,0,(N(AY23)-N(AX23))*90/N(R23))</f>
        <v/>
      </c>
      <c r="BA23" s="7">
        <f>IFERROR(AY23-VLOOKUP($E23,Assumptions!$A$40:$C$43,3,FALSE),"")</f>
        <v/>
      </c>
      <c r="BB23" s="3">
        <f>IFERROR(BA23/H23,"")</f>
        <v/>
      </c>
      <c r="BC23">
        <f>IF(AND($G23=TRUE,$E23="GKP"),AY23,"")</f>
        <v/>
      </c>
      <c r="BD23">
        <f>IF(AND($G23=TRUE,$E23="DEF"),AY23,"")</f>
        <v/>
      </c>
      <c r="BE23">
        <f>IF(AND($G23=TRUE,$E23="MID"),AY23,"")</f>
        <v/>
      </c>
      <c r="BF23">
        <f>IF(AND($G23=TRUE,$E23="FWD"),AY23,"")</f>
        <v/>
      </c>
      <c r="BG23" t="n">
        <v>2</v>
      </c>
      <c r="BH23" t="n">
        <v>2</v>
      </c>
      <c r="BI23" t="n">
        <v>1</v>
      </c>
      <c r="BJ23" t="n">
        <v>5</v>
      </c>
    </row>
    <row r="24">
      <c r="A24" t="inlineStr">
        <is>
          <t>Bukayo Saka</t>
        </is>
      </c>
      <c r="B24" t="inlineStr">
        <is>
          <t>ARS</t>
        </is>
      </c>
      <c r="C24" t="inlineStr">
        <is>
          <t>ARS</t>
        </is>
      </c>
      <c r="D24" t="b">
        <v>0</v>
      </c>
      <c r="E24" t="inlineStr">
        <is>
          <t>MID</t>
        </is>
      </c>
      <c r="F24" t="inlineStr">
        <is>
          <t>MID</t>
        </is>
      </c>
      <c r="G24" t="b">
        <v>1</v>
      </c>
      <c r="H24" s="2" t="n">
        <v>9.5</v>
      </c>
      <c r="I24" t="inlineStr">
        <is>
          <t>a</t>
        </is>
      </c>
      <c r="K24" s="2" t="n">
        <v>2218</v>
      </c>
      <c r="L24" t="n">
        <v>157</v>
      </c>
      <c r="M24" s="3" t="n">
        <v>2827</v>
      </c>
      <c r="N24" s="8" t="n">
        <v>2827</v>
      </c>
      <c r="O24" s="8" t="n">
        <v>0</v>
      </c>
      <c r="Q24" t="inlineStr">
        <is>
          <t>flat</t>
        </is>
      </c>
      <c r="R24" s="6" t="n">
        <v>2827</v>
      </c>
      <c r="S24" t="inlineStr">
        <is>
          <t>Solio</t>
        </is>
      </c>
      <c r="U24" s="6" t="n">
        <v>81.7</v>
      </c>
      <c r="V24" s="2" t="n">
        <v>25</v>
      </c>
      <c r="W24" s="7">
        <f>IF(N(U24)&lt;=0,0,MIN(Assumptions!$B$15,N(R24)/N(U24)))</f>
        <v/>
      </c>
      <c r="X24" s="6" t="n">
        <v>0.391</v>
      </c>
      <c r="Y24" s="3" t="n">
        <v>0.2699</v>
      </c>
      <c r="Z24" t="inlineStr">
        <is>
          <t>adjusted xGOT</t>
        </is>
      </c>
      <c r="AA24" s="3" t="n">
        <v>0.913</v>
      </c>
      <c r="AB24" s="3" t="n">
        <v>0.963</v>
      </c>
      <c r="AC24" s="3" t="n">
        <v>41.3</v>
      </c>
      <c r="AD24" s="3" t="n">
        <v>0.3188</v>
      </c>
      <c r="AE24" s="3" t="n">
        <v>7.738</v>
      </c>
      <c r="AF24" s="3" t="n">
        <v>0.05445878206049681</v>
      </c>
      <c r="AG24" s="3" t="n">
        <v>0.6492</v>
      </c>
      <c r="AH24" s="3" t="n">
        <v>54</v>
      </c>
      <c r="AI24" s="3" t="n">
        <v>2.067</v>
      </c>
      <c r="AJ24" s="3" t="n">
        <v>0.9838</v>
      </c>
      <c r="AK24" s="3" t="n">
        <v>-0.1485443152936058</v>
      </c>
      <c r="AL24" s="6" t="n">
        <v>5.487350807519032</v>
      </c>
      <c r="AM24" s="3" t="n">
        <v>0</v>
      </c>
      <c r="AN24" s="3" t="n">
        <v>1.3495</v>
      </c>
      <c r="AO24" s="3" t="n">
        <v>1.262448</v>
      </c>
      <c r="AP24" s="3">
        <f>N(X24)*N(BI24)</f>
        <v/>
      </c>
      <c r="AQ24" s="3" t="n">
        <v>0.6492</v>
      </c>
      <c r="AR24" s="3" t="n">
        <v>0</v>
      </c>
      <c r="AS24" s="3" t="n">
        <v>-0</v>
      </c>
      <c r="AT24" s="3" t="n">
        <v>-0.1485443152936058</v>
      </c>
      <c r="AU24" s="3">
        <f>SUM(AN24:AT24)</f>
        <v/>
      </c>
      <c r="AV24" s="7">
        <f>IF(OR(N(W24)&lt;=0,N(BG24)=0),0,N(W24)*IF(N(R24)/N(W24)&gt;=60,N(BG24),1))</f>
        <v/>
      </c>
      <c r="AW24" s="7">
        <f>N(W24)*N(AF24)*N(BH24)</f>
        <v/>
      </c>
      <c r="AX24" s="7">
        <f>N(AL24)*(Assumptions!$B$13*N(BJ24)-(1-Assumptions!$B$13)*Assumptions!$B$14)+N(AM24)</f>
        <v/>
      </c>
      <c r="AY24" s="7">
        <f>N(AU24)*N(R24)/90+N(AV24)+N(AW24)+N(AX24)</f>
        <v/>
      </c>
      <c r="AZ24" s="3">
        <f>IF(N(R24)&lt;=0,0,(N(AY24)-N(AX24))*90/N(R24))</f>
        <v/>
      </c>
      <c r="BA24" s="7">
        <f>IFERROR(AY24-VLOOKUP($E24,Assumptions!$A$40:$C$43,3,FALSE),"")</f>
        <v/>
      </c>
      <c r="BB24" s="3">
        <f>IFERROR(BA24/H24,"")</f>
        <v/>
      </c>
      <c r="BC24">
        <f>IF(AND($G24=TRUE,$E24="GKP"),AY24,"")</f>
        <v/>
      </c>
      <c r="BD24">
        <f>IF(AND($G24=TRUE,$E24="DEF"),AY24,"")</f>
        <v/>
      </c>
      <c r="BE24">
        <f>IF(AND($G24=TRUE,$E24="MID"),AY24,"")</f>
        <v/>
      </c>
      <c r="BF24">
        <f>IF(AND($G24=TRUE,$E24="FWD"),AY24,"")</f>
        <v/>
      </c>
      <c r="BG24" t="n">
        <v>2</v>
      </c>
      <c r="BH24" t="n">
        <v>2</v>
      </c>
      <c r="BI24" t="n">
        <v>1</v>
      </c>
      <c r="BJ24" t="n">
        <v>5</v>
      </c>
    </row>
    <row r="25">
      <c r="A25" s="9" t="inlineStr">
        <is>
          <t>Maxence Lacroix</t>
        </is>
      </c>
      <c r="B25" t="inlineStr">
        <is>
          <t>CHE</t>
        </is>
      </c>
      <c r="C25" s="9" t="inlineStr">
        <is>
          <t>CRY</t>
        </is>
      </c>
      <c r="D25" t="b">
        <v>1</v>
      </c>
      <c r="E25" t="inlineStr">
        <is>
          <t>DEF</t>
        </is>
      </c>
      <c r="F25" t="inlineStr">
        <is>
          <t>DEF</t>
        </is>
      </c>
      <c r="G25" t="b">
        <v>1</v>
      </c>
      <c r="H25" s="2" t="n">
        <v>6</v>
      </c>
      <c r="I25" t="inlineStr">
        <is>
          <t>a</t>
        </is>
      </c>
      <c r="K25" s="2" t="n">
        <v>3085</v>
      </c>
      <c r="L25" t="n">
        <v>154</v>
      </c>
      <c r="M25" s="3" t="n">
        <v>2189</v>
      </c>
      <c r="N25" s="8" t="n">
        <v>2189</v>
      </c>
      <c r="O25" s="8" t="n">
        <v>0</v>
      </c>
      <c r="Q25" t="inlineStr">
        <is>
          <t>flat</t>
        </is>
      </c>
      <c r="R25" s="6" t="n">
        <v>2189</v>
      </c>
      <c r="S25" t="inlineStr">
        <is>
          <t>Solio</t>
        </is>
      </c>
      <c r="U25" s="6" t="n">
        <v>88.3</v>
      </c>
      <c r="V25" s="2" t="n">
        <v>34</v>
      </c>
      <c r="W25" s="7">
        <f>IF(N(U25)&lt;=0,0,MIN(Assumptions!$B$15,N(R25)/N(U25)))</f>
        <v/>
      </c>
      <c r="X25" s="6" t="n">
        <v>0.322</v>
      </c>
      <c r="Y25" s="10" t="n">
        <v>0.0574</v>
      </c>
      <c r="Z25" t="inlineStr">
        <is>
          <t>adjusted xGOT</t>
        </is>
      </c>
      <c r="AA25" s="3" t="n">
        <v>1</v>
      </c>
      <c r="AB25" s="3" t="n">
        <v>0.803</v>
      </c>
      <c r="AC25" s="3" t="n">
        <v>6</v>
      </c>
      <c r="AD25" s="10" t="n">
        <v>0.0309</v>
      </c>
      <c r="AE25" s="3" t="n">
        <v>10.206</v>
      </c>
      <c r="AF25" s="3" t="n">
        <v>0.543723143089231</v>
      </c>
      <c r="AG25" s="3" t="n">
        <v>0.3501</v>
      </c>
      <c r="AH25" s="3" t="n">
        <v>69</v>
      </c>
      <c r="AI25" s="3" t="n">
        <v>2.4232</v>
      </c>
      <c r="AJ25" s="3" t="n">
        <v>1.1851</v>
      </c>
      <c r="AK25" s="3" t="n">
        <v>-0.1610023163996321</v>
      </c>
      <c r="AL25" s="6" t="n">
        <v>0</v>
      </c>
      <c r="AM25" s="3" t="n">
        <v>0</v>
      </c>
      <c r="AN25" s="10" t="n">
        <v>0.3444</v>
      </c>
      <c r="AO25" s="10" t="n">
        <v>0.122364</v>
      </c>
      <c r="AP25" s="3">
        <f>N(X25)*N(BI25)</f>
        <v/>
      </c>
      <c r="AQ25" s="3" t="n">
        <v>0.3501</v>
      </c>
      <c r="AR25" s="3" t="n">
        <v>0</v>
      </c>
      <c r="AS25" s="3" t="n">
        <v>-0.365915508000572</v>
      </c>
      <c r="AT25" s="3" t="n">
        <v>-0.1610023163996321</v>
      </c>
      <c r="AU25" s="3">
        <f>SUM(AN25:AT25)</f>
        <v/>
      </c>
      <c r="AV25" s="7">
        <f>IF(OR(N(W25)&lt;=0,N(BG25)=0),0,N(W25)*IF(N(R25)/N(W25)&gt;=60,N(BG25),1))</f>
        <v/>
      </c>
      <c r="AW25" s="7">
        <f>N(W25)*N(AF25)*N(BH25)</f>
        <v/>
      </c>
      <c r="AX25" s="7">
        <f>N(AL25)*(Assumptions!$B$13*N(BJ25)-(1-Assumptions!$B$13)*Assumptions!$B$14)+N(AM25)</f>
        <v/>
      </c>
      <c r="AY25" s="7">
        <f>N(AU25)*N(R25)/90+N(AV25)+N(AW25)+N(AX25)</f>
        <v/>
      </c>
      <c r="AZ25" s="3">
        <f>IF(N(R25)&lt;=0,0,(N(AY25)-N(AX25))*90/N(R25))</f>
        <v/>
      </c>
      <c r="BA25" s="7">
        <f>IFERROR(AY25-VLOOKUP($E25,Assumptions!$A$40:$C$43,3,FALSE),"")</f>
        <v/>
      </c>
      <c r="BB25" s="3">
        <f>IFERROR(BA25/H25,"")</f>
        <v/>
      </c>
      <c r="BC25">
        <f>IF(AND($G25=TRUE,$E25="GKP"),AY25,"")</f>
        <v/>
      </c>
      <c r="BD25">
        <f>IF(AND($G25=TRUE,$E25="DEF"),AY25,"")</f>
        <v/>
      </c>
      <c r="BE25">
        <f>IF(AND($G25=TRUE,$E25="MID"),AY25,"")</f>
        <v/>
      </c>
      <c r="BF25">
        <f>IF(AND($G25=TRUE,$E25="FWD"),AY25,"")</f>
        <v/>
      </c>
      <c r="BG25" t="n">
        <v>2</v>
      </c>
      <c r="BH25" t="n">
        <v>2</v>
      </c>
      <c r="BI25" t="n">
        <v>4</v>
      </c>
      <c r="BJ25" t="n">
        <v>6</v>
      </c>
    </row>
    <row r="26">
      <c r="A26" s="9" t="inlineStr">
        <is>
          <t>Bruno Guimarães</t>
        </is>
      </c>
      <c r="B26" t="inlineStr">
        <is>
          <t>ARS</t>
        </is>
      </c>
      <c r="C26" s="9" t="inlineStr">
        <is>
          <t>NEW</t>
        </is>
      </c>
      <c r="D26" t="b">
        <v>1</v>
      </c>
      <c r="E26" t="inlineStr">
        <is>
          <t>MID</t>
        </is>
      </c>
      <c r="F26" t="inlineStr">
        <is>
          <t>MID</t>
        </is>
      </c>
      <c r="G26" t="b">
        <v>1</v>
      </c>
      <c r="H26" s="2" t="n">
        <v>7</v>
      </c>
      <c r="I26" t="inlineStr">
        <is>
          <t>a</t>
        </is>
      </c>
      <c r="K26" s="2" t="n">
        <v>2456</v>
      </c>
      <c r="L26" t="n">
        <v>154</v>
      </c>
      <c r="M26" s="3" t="n">
        <v>2816</v>
      </c>
      <c r="N26" s="8" t="n">
        <v>2816</v>
      </c>
      <c r="O26" s="8" t="n">
        <v>0</v>
      </c>
      <c r="Q26" t="inlineStr">
        <is>
          <t>flat</t>
        </is>
      </c>
      <c r="R26" s="6" t="n">
        <v>2816</v>
      </c>
      <c r="S26" t="inlineStr">
        <is>
          <t>Solio</t>
        </is>
      </c>
      <c r="U26" s="6" t="n">
        <v>86.09999999999999</v>
      </c>
      <c r="V26" s="2" t="n">
        <v>27</v>
      </c>
      <c r="W26" s="7">
        <f>IF(N(U26)&lt;=0,0,MIN(Assumptions!$B$15,N(R26)/N(U26)))</f>
        <v/>
      </c>
      <c r="X26" s="6" t="n">
        <v>0.391</v>
      </c>
      <c r="Y26" s="10" t="n">
        <v>0.1744</v>
      </c>
      <c r="Z26" t="inlineStr">
        <is>
          <t>adjusted xGOT</t>
        </is>
      </c>
      <c r="AA26" s="3" t="n">
        <v>0.769</v>
      </c>
      <c r="AB26" s="3" t="n">
        <v>1.107</v>
      </c>
      <c r="AC26" s="3" t="n">
        <v>17.7</v>
      </c>
      <c r="AD26" s="10" t="n">
        <v>0.1618</v>
      </c>
      <c r="AE26" s="3" t="n">
        <v>9.057</v>
      </c>
      <c r="AF26" s="3" t="n">
        <v>0.1657075948110678</v>
      </c>
      <c r="AG26" s="3" t="n">
        <v>0.8062</v>
      </c>
      <c r="AH26" s="3" t="n">
        <v>56</v>
      </c>
      <c r="AI26" s="3" t="n">
        <v>2.067</v>
      </c>
      <c r="AJ26" s="3" t="n">
        <v>0.9838</v>
      </c>
      <c r="AK26" s="3" t="n">
        <v>-0.2250178554833891</v>
      </c>
      <c r="AL26" s="6" t="n">
        <v>0</v>
      </c>
      <c r="AM26" s="3" t="n">
        <v>0</v>
      </c>
      <c r="AN26" s="10" t="n">
        <v>0.872</v>
      </c>
      <c r="AO26" s="10" t="n">
        <v>0.6407280000000001</v>
      </c>
      <c r="AP26" s="3">
        <f>N(X26)*N(BI26)</f>
        <v/>
      </c>
      <c r="AQ26" s="3" t="n">
        <v>0.8062</v>
      </c>
      <c r="AR26" s="3" t="n">
        <v>0</v>
      </c>
      <c r="AS26" s="3" t="n">
        <v>-0</v>
      </c>
      <c r="AT26" s="3" t="n">
        <v>-0.2250178554833891</v>
      </c>
      <c r="AU26" s="3">
        <f>SUM(AN26:AT26)</f>
        <v/>
      </c>
      <c r="AV26" s="7">
        <f>IF(OR(N(W26)&lt;=0,N(BG26)=0),0,N(W26)*IF(N(R26)/N(W26)&gt;=60,N(BG26),1))</f>
        <v/>
      </c>
      <c r="AW26" s="7">
        <f>N(W26)*N(AF26)*N(BH26)</f>
        <v/>
      </c>
      <c r="AX26" s="7">
        <f>N(AL26)*(Assumptions!$B$13*N(BJ26)-(1-Assumptions!$B$13)*Assumptions!$B$14)+N(AM26)</f>
        <v/>
      </c>
      <c r="AY26" s="7">
        <f>N(AU26)*N(R26)/90+N(AV26)+N(AW26)+N(AX26)</f>
        <v/>
      </c>
      <c r="AZ26" s="3">
        <f>IF(N(R26)&lt;=0,0,(N(AY26)-N(AX26))*90/N(R26))</f>
        <v/>
      </c>
      <c r="BA26" s="7">
        <f>IFERROR(AY26-VLOOKUP($E26,Assumptions!$A$40:$C$43,3,FALSE),"")</f>
        <v/>
      </c>
      <c r="BB26" s="3">
        <f>IFERROR(BA26/H26,"")</f>
        <v/>
      </c>
      <c r="BC26">
        <f>IF(AND($G26=TRUE,$E26="GKP"),AY26,"")</f>
        <v/>
      </c>
      <c r="BD26">
        <f>IF(AND($G26=TRUE,$E26="DEF"),AY26,"")</f>
        <v/>
      </c>
      <c r="BE26">
        <f>IF(AND($G26=TRUE,$E26="MID"),AY26,"")</f>
        <v/>
      </c>
      <c r="BF26">
        <f>IF(AND($G26=TRUE,$E26="FWD"),AY26,"")</f>
        <v/>
      </c>
      <c r="BG26" t="n">
        <v>2</v>
      </c>
      <c r="BH26" t="n">
        <v>2</v>
      </c>
      <c r="BI26" t="n">
        <v>1</v>
      </c>
      <c r="BJ26" t="n">
        <v>5</v>
      </c>
    </row>
    <row r="27">
      <c r="A27" t="inlineStr">
        <is>
          <t>Matheus Nunes</t>
        </is>
      </c>
      <c r="B27" t="inlineStr">
        <is>
          <t>MCI</t>
        </is>
      </c>
      <c r="C27" t="inlineStr">
        <is>
          <t>MCI</t>
        </is>
      </c>
      <c r="D27" t="b">
        <v>0</v>
      </c>
      <c r="E27" t="inlineStr">
        <is>
          <t>DEF</t>
        </is>
      </c>
      <c r="F27" t="inlineStr">
        <is>
          <t>DEF</t>
        </is>
      </c>
      <c r="G27" t="b">
        <v>1</v>
      </c>
      <c r="H27" s="2" t="n">
        <v>6</v>
      </c>
      <c r="I27" t="inlineStr">
        <is>
          <t>a</t>
        </is>
      </c>
      <c r="K27" s="2" t="n">
        <v>2861</v>
      </c>
      <c r="L27" t="n">
        <v>154</v>
      </c>
      <c r="M27" s="3" t="n">
        <v>2896</v>
      </c>
      <c r="N27" s="8" t="n">
        <v>2896</v>
      </c>
      <c r="O27" s="8" t="n">
        <v>0</v>
      </c>
      <c r="Q27" t="inlineStr">
        <is>
          <t>flat</t>
        </is>
      </c>
      <c r="R27" s="6" t="n">
        <v>2896</v>
      </c>
      <c r="S27" t="inlineStr">
        <is>
          <t>Solio</t>
        </is>
      </c>
      <c r="U27" s="6" t="n">
        <v>86.8</v>
      </c>
      <c r="V27" s="2" t="n">
        <v>32</v>
      </c>
      <c r="W27" s="7">
        <f>IF(N(U27)&lt;=0,0,MIN(Assumptions!$B$15,N(R27)/N(U27)))</f>
        <v/>
      </c>
      <c r="X27" s="6" t="n">
        <v>0.371</v>
      </c>
      <c r="Y27" s="3" t="n">
        <v>0.0105</v>
      </c>
      <c r="Z27" t="inlineStr">
        <is>
          <t>adjusted xGOT</t>
        </is>
      </c>
      <c r="AA27" s="3" t="n">
        <v>1</v>
      </c>
      <c r="AB27" s="3" t="n">
        <v>0.98</v>
      </c>
      <c r="AC27" s="3" t="n">
        <v>4.8</v>
      </c>
      <c r="AD27" s="3" t="n">
        <v>0.0838</v>
      </c>
      <c r="AE27" s="3" t="n">
        <v>6.446</v>
      </c>
      <c r="AF27" s="3" t="n">
        <v>0.09965671525463371</v>
      </c>
      <c r="AG27" s="3" t="n">
        <v>0.5033</v>
      </c>
      <c r="AH27" s="3" t="n">
        <v>64</v>
      </c>
      <c r="AI27" s="3" t="n">
        <v>1.9737</v>
      </c>
      <c r="AJ27" s="3" t="n">
        <v>1.0365</v>
      </c>
      <c r="AK27" s="3" t="n">
        <v>-0.1862247745547449</v>
      </c>
      <c r="AL27" s="6" t="n">
        <v>0.0076126736796148</v>
      </c>
      <c r="AM27" s="3" t="n">
        <v>0</v>
      </c>
      <c r="AN27" s="3" t="n">
        <v>0.063</v>
      </c>
      <c r="AO27" s="3" t="n">
        <v>0.331848</v>
      </c>
      <c r="AP27" s="3">
        <f>N(X27)*N(BI27)</f>
        <v/>
      </c>
      <c r="AQ27" s="3" t="n">
        <v>0.5033</v>
      </c>
      <c r="AR27" s="3" t="n">
        <v>0</v>
      </c>
      <c r="AS27" s="3" t="n">
        <v>-0.2997019479071323</v>
      </c>
      <c r="AT27" s="3" t="n">
        <v>-0.1862247745547449</v>
      </c>
      <c r="AU27" s="3">
        <f>SUM(AN27:AT27)</f>
        <v/>
      </c>
      <c r="AV27" s="7">
        <f>IF(OR(N(W27)&lt;=0,N(BG27)=0),0,N(W27)*IF(N(R27)/N(W27)&gt;=60,N(BG27),1))</f>
        <v/>
      </c>
      <c r="AW27" s="7">
        <f>N(W27)*N(AF27)*N(BH27)</f>
        <v/>
      </c>
      <c r="AX27" s="7">
        <f>N(AL27)*(Assumptions!$B$13*N(BJ27)-(1-Assumptions!$B$13)*Assumptions!$B$14)+N(AM27)</f>
        <v/>
      </c>
      <c r="AY27" s="7">
        <f>N(AU27)*N(R27)/90+N(AV27)+N(AW27)+N(AX27)</f>
        <v/>
      </c>
      <c r="AZ27" s="3">
        <f>IF(N(R27)&lt;=0,0,(N(AY27)-N(AX27))*90/N(R27))</f>
        <v/>
      </c>
      <c r="BA27" s="7">
        <f>IFERROR(AY27-VLOOKUP($E27,Assumptions!$A$40:$C$43,3,FALSE),"")</f>
        <v/>
      </c>
      <c r="BB27" s="3">
        <f>IFERROR(BA27/H27,"")</f>
        <v/>
      </c>
      <c r="BC27">
        <f>IF(AND($G27=TRUE,$E27="GKP"),AY27,"")</f>
        <v/>
      </c>
      <c r="BD27">
        <f>IF(AND($G27=TRUE,$E27="DEF"),AY27,"")</f>
        <v/>
      </c>
      <c r="BE27">
        <f>IF(AND($G27=TRUE,$E27="MID"),AY27,"")</f>
        <v/>
      </c>
      <c r="BF27">
        <f>IF(AND($G27=TRUE,$E27="FWD"),AY27,"")</f>
        <v/>
      </c>
      <c r="BG27" t="n">
        <v>2</v>
      </c>
      <c r="BH27" t="n">
        <v>2</v>
      </c>
      <c r="BI27" t="n">
        <v>4</v>
      </c>
      <c r="BJ27" t="n">
        <v>6</v>
      </c>
    </row>
    <row r="28">
      <c r="A28" t="inlineStr">
        <is>
          <t>Nordi Mukiele</t>
        </is>
      </c>
      <c r="B28" t="inlineStr">
        <is>
          <t>SUN</t>
        </is>
      </c>
      <c r="C28" t="inlineStr">
        <is>
          <t>SUN</t>
        </is>
      </c>
      <c r="D28" t="b">
        <v>0</v>
      </c>
      <c r="E28" t="inlineStr">
        <is>
          <t>DEF</t>
        </is>
      </c>
      <c r="F28" t="inlineStr">
        <is>
          <t>DEF</t>
        </is>
      </c>
      <c r="G28" t="b">
        <v>1</v>
      </c>
      <c r="H28" s="2" t="n">
        <v>5.5</v>
      </c>
      <c r="I28" t="inlineStr">
        <is>
          <t>d</t>
        </is>
      </c>
      <c r="J28" t="inlineStr">
        <is>
          <t>Knock - 75% chance of playing</t>
        </is>
      </c>
      <c r="K28" s="2" t="n">
        <v>2784</v>
      </c>
      <c r="L28" t="n">
        <v>151</v>
      </c>
      <c r="M28" s="3" t="n">
        <v>3312</v>
      </c>
      <c r="N28" s="4" t="n">
        <v>2050</v>
      </c>
      <c r="O28" s="4" t="n">
        <v>-1262</v>
      </c>
      <c r="P28" s="5" t="inlineStr">
        <is>
          <t>medium</t>
        </is>
      </c>
      <c r="Q28" t="inlineStr">
        <is>
          <t>flat</t>
        </is>
      </c>
      <c r="R28" s="6" t="n">
        <v>2050</v>
      </c>
      <c r="S28" t="inlineStr">
        <is>
          <t>research</t>
        </is>
      </c>
      <c r="T28" s="5" t="inlineStr">
        <is>
          <t>Solio has Mukiele as Sunderland's highest-minute defender at essentially every available minute. Two things contradict that. First, he picked up a knock in the final game of the US tour, missed both the Lens and Rennes friendlies, and is flagged 75% by FPL as of 09 Aug; the 11 Aug preview says he 'might not be ready to start' at Portman Road, so he begins the season behind O'Nien. Second and larger: Solio's whole Sunderland allocation is shaped like a back five (16,463 minutes to FPL-classified defenders against the 13,680 a four-man defence can supply), whereas the confirmed 15 Aug XI and the opener preview both use a back four in a 4-2-3-1. Mukiele carries the biggest share of that structural correction because he is the one whose Solio number is furthest above what a rotating four-man defence with a Europa League schedule can pay out.</t>
        </is>
      </c>
      <c r="U28" s="6" t="n">
        <v>86.59999999999999</v>
      </c>
      <c r="V28" s="2" t="n">
        <v>32</v>
      </c>
      <c r="W28" s="7">
        <f>IF(N(U28)&lt;=0,0,MIN(Assumptions!$B$15,N(R28)/N(U28)))</f>
        <v/>
      </c>
      <c r="X28" s="6" t="n">
        <v>0.204</v>
      </c>
      <c r="Y28" s="3" t="n">
        <v>0.0506</v>
      </c>
      <c r="Z28" t="inlineStr">
        <is>
          <t>adjusted xGOT</t>
        </is>
      </c>
      <c r="AA28" s="3" t="n">
        <v>1</v>
      </c>
      <c r="AB28" s="3" t="n">
        <v>0.967</v>
      </c>
      <c r="AC28" s="3" t="n">
        <v>1.6</v>
      </c>
      <c r="AD28" s="3" t="n">
        <v>0.0873</v>
      </c>
      <c r="AE28" s="3" t="n">
        <v>8.590999999999999</v>
      </c>
      <c r="AF28" s="3" t="n">
        <v>0.3169374988913874</v>
      </c>
      <c r="AG28" s="3" t="n">
        <v>0.3556</v>
      </c>
      <c r="AH28" s="3" t="n">
        <v>63</v>
      </c>
      <c r="AI28" s="3" t="n">
        <v>3.3348</v>
      </c>
      <c r="AJ28" s="3" t="n">
        <v>1.6498</v>
      </c>
      <c r="AK28" s="3" t="n">
        <v>-0.1902298193445376</v>
      </c>
      <c r="AL28" s="6" t="n">
        <v>0</v>
      </c>
      <c r="AM28" s="3" t="n">
        <v>0</v>
      </c>
      <c r="AN28" s="3" t="n">
        <v>0.3036</v>
      </c>
      <c r="AO28" s="3" t="n">
        <v>0.3457080000000001</v>
      </c>
      <c r="AP28" s="3">
        <f>N(X28)*N(BI28)</f>
        <v/>
      </c>
      <c r="AQ28" s="3" t="n">
        <v>0.3556</v>
      </c>
      <c r="AR28" s="3" t="n">
        <v>0</v>
      </c>
      <c r="AS28" s="3" t="n">
        <v>-0.5841244809045405</v>
      </c>
      <c r="AT28" s="3" t="n">
        <v>-0.1902298193445376</v>
      </c>
      <c r="AU28" s="3">
        <f>SUM(AN28:AT28)</f>
        <v/>
      </c>
      <c r="AV28" s="7">
        <f>IF(OR(N(W28)&lt;=0,N(BG28)=0),0,N(W28)*IF(N(R28)/N(W28)&gt;=60,N(BG28),1))</f>
        <v/>
      </c>
      <c r="AW28" s="7">
        <f>N(W28)*N(AF28)*N(BH28)</f>
        <v/>
      </c>
      <c r="AX28" s="7">
        <f>N(AL28)*(Assumptions!$B$13*N(BJ28)-(1-Assumptions!$B$13)*Assumptions!$B$14)+N(AM28)</f>
        <v/>
      </c>
      <c r="AY28" s="7">
        <f>N(AU28)*N(R28)/90+N(AV28)+N(AW28)+N(AX28)</f>
        <v/>
      </c>
      <c r="AZ28" s="3">
        <f>IF(N(R28)&lt;=0,0,(N(AY28)-N(AX28))*90/N(R28))</f>
        <v/>
      </c>
      <c r="BA28" s="7">
        <f>IFERROR(AY28-VLOOKUP($E28,Assumptions!$A$40:$C$43,3,FALSE),"")</f>
        <v/>
      </c>
      <c r="BB28" s="3">
        <f>IFERROR(BA28/H28,"")</f>
        <v/>
      </c>
      <c r="BC28">
        <f>IF(AND($G28=TRUE,$E28="GKP"),AY28,"")</f>
        <v/>
      </c>
      <c r="BD28">
        <f>IF(AND($G28=TRUE,$E28="DEF"),AY28,"")</f>
        <v/>
      </c>
      <c r="BE28">
        <f>IF(AND($G28=TRUE,$E28="MID"),AY28,"")</f>
        <v/>
      </c>
      <c r="BF28">
        <f>IF(AND($G28=TRUE,$E28="FWD"),AY28,"")</f>
        <v/>
      </c>
      <c r="BG28" t="n">
        <v>2</v>
      </c>
      <c r="BH28" t="n">
        <v>2</v>
      </c>
      <c r="BI28" t="n">
        <v>4</v>
      </c>
      <c r="BJ28" t="n">
        <v>6</v>
      </c>
    </row>
    <row r="29">
      <c r="A29" t="inlineStr">
        <is>
          <t>Kiernan Dewsbury-Hall</t>
        </is>
      </c>
      <c r="B29" t="inlineStr">
        <is>
          <t>EVE</t>
        </is>
      </c>
      <c r="C29" t="inlineStr">
        <is>
          <t>EVE</t>
        </is>
      </c>
      <c r="D29" t="b">
        <v>0</v>
      </c>
      <c r="E29" t="inlineStr">
        <is>
          <t>MID</t>
        </is>
      </c>
      <c r="F29" t="inlineStr">
        <is>
          <t>MID</t>
        </is>
      </c>
      <c r="G29" t="b">
        <v>1</v>
      </c>
      <c r="H29" s="2" t="n">
        <v>6.5</v>
      </c>
      <c r="I29" t="inlineStr">
        <is>
          <t>a</t>
        </is>
      </c>
      <c r="K29" s="2" t="n">
        <v>2629</v>
      </c>
      <c r="L29" t="n">
        <v>151</v>
      </c>
      <c r="M29" s="3" t="n">
        <v>3152</v>
      </c>
      <c r="N29" s="8" t="n">
        <v>3152</v>
      </c>
      <c r="O29" s="8" t="n">
        <v>0</v>
      </c>
      <c r="Q29" t="inlineStr">
        <is>
          <t>flat</t>
        </is>
      </c>
      <c r="R29" s="6" t="n">
        <v>3152</v>
      </c>
      <c r="S29" t="inlineStr">
        <is>
          <t>Solio</t>
        </is>
      </c>
      <c r="U29" s="6" t="n">
        <v>84.59999999999999</v>
      </c>
      <c r="V29" s="2" t="n">
        <v>30</v>
      </c>
      <c r="W29" s="7">
        <f>IF(N(U29)&lt;=0,0,MIN(Assumptions!$B$15,N(R29)/N(U29)))</f>
        <v/>
      </c>
      <c r="X29" s="6" t="n">
        <v>0.231</v>
      </c>
      <c r="Y29" s="3" t="n">
        <v>0.1525</v>
      </c>
      <c r="Z29" t="inlineStr">
        <is>
          <t>adjusted xGOT</t>
        </is>
      </c>
      <c r="AA29" s="3" t="n">
        <v>1</v>
      </c>
      <c r="AB29" s="3" t="n">
        <v>1.024</v>
      </c>
      <c r="AC29" s="3" t="n">
        <v>6.7</v>
      </c>
      <c r="AD29" s="3" t="n">
        <v>0.2039</v>
      </c>
      <c r="AE29" s="3" t="n">
        <v>8.025</v>
      </c>
      <c r="AF29" s="3" t="n">
        <v>0.08181281538052476</v>
      </c>
      <c r="AG29" s="3" t="n">
        <v>0.6162</v>
      </c>
      <c r="AH29" s="3" t="n">
        <v>60</v>
      </c>
      <c r="AI29" s="3" t="n">
        <v>3.0311</v>
      </c>
      <c r="AJ29" s="3" t="n">
        <v>1.5252</v>
      </c>
      <c r="AK29" s="3" t="n">
        <v>-0.2124929604617916</v>
      </c>
      <c r="AL29" s="6" t="n">
        <v>0</v>
      </c>
      <c r="AM29" s="3" t="n">
        <v>0</v>
      </c>
      <c r="AN29" s="3" t="n">
        <v>0.7625</v>
      </c>
      <c r="AO29" s="3" t="n">
        <v>0.8074440000000001</v>
      </c>
      <c r="AP29" s="3">
        <f>N(X29)*N(BI29)</f>
        <v/>
      </c>
      <c r="AQ29" s="3" t="n">
        <v>0.6162</v>
      </c>
      <c r="AR29" s="3" t="n">
        <v>0</v>
      </c>
      <c r="AS29" s="3" t="n">
        <v>-0</v>
      </c>
      <c r="AT29" s="3" t="n">
        <v>-0.2124929604617916</v>
      </c>
      <c r="AU29" s="3">
        <f>SUM(AN29:AT29)</f>
        <v/>
      </c>
      <c r="AV29" s="7">
        <f>IF(OR(N(W29)&lt;=0,N(BG29)=0),0,N(W29)*IF(N(R29)/N(W29)&gt;=60,N(BG29),1))</f>
        <v/>
      </c>
      <c r="AW29" s="7">
        <f>N(W29)*N(AF29)*N(BH29)</f>
        <v/>
      </c>
      <c r="AX29" s="7">
        <f>N(AL29)*(Assumptions!$B$13*N(BJ29)-(1-Assumptions!$B$13)*Assumptions!$B$14)+N(AM29)</f>
        <v/>
      </c>
      <c r="AY29" s="7">
        <f>N(AU29)*N(R29)/90+N(AV29)+N(AW29)+N(AX29)</f>
        <v/>
      </c>
      <c r="AZ29" s="3">
        <f>IF(N(R29)&lt;=0,0,(N(AY29)-N(AX29))*90/N(R29))</f>
        <v/>
      </c>
      <c r="BA29" s="7">
        <f>IFERROR(AY29-VLOOKUP($E29,Assumptions!$A$40:$C$43,3,FALSE),"")</f>
        <v/>
      </c>
      <c r="BB29" s="3">
        <f>IFERROR(BA29/H29,"")</f>
        <v/>
      </c>
      <c r="BC29">
        <f>IF(AND($G29=TRUE,$E29="GKP"),AY29,"")</f>
        <v/>
      </c>
      <c r="BD29">
        <f>IF(AND($G29=TRUE,$E29="DEF"),AY29,"")</f>
        <v/>
      </c>
      <c r="BE29">
        <f>IF(AND($G29=TRUE,$E29="MID"),AY29,"")</f>
        <v/>
      </c>
      <c r="BF29">
        <f>IF(AND($G29=TRUE,$E29="FWD"),AY29,"")</f>
        <v/>
      </c>
      <c r="BG29" t="n">
        <v>2</v>
      </c>
      <c r="BH29" t="n">
        <v>2</v>
      </c>
      <c r="BI29" t="n">
        <v>1</v>
      </c>
      <c r="BJ29" t="n">
        <v>5</v>
      </c>
    </row>
    <row r="30">
      <c r="A30" t="inlineStr">
        <is>
          <t>Jurriën Timber</t>
        </is>
      </c>
      <c r="B30" t="inlineStr">
        <is>
          <t>ARS</t>
        </is>
      </c>
      <c r="C30" t="inlineStr">
        <is>
          <t>ARS</t>
        </is>
      </c>
      <c r="D30" t="b">
        <v>0</v>
      </c>
      <c r="E30" t="inlineStr">
        <is>
          <t>DEF</t>
        </is>
      </c>
      <c r="F30" t="inlineStr">
        <is>
          <t>DEF</t>
        </is>
      </c>
      <c r="G30" t="b">
        <v>1</v>
      </c>
      <c r="H30" s="2" t="n">
        <v>6.5</v>
      </c>
      <c r="I30" t="inlineStr">
        <is>
          <t>i</t>
        </is>
      </c>
      <c r="J30" t="inlineStr">
        <is>
          <t>Groin injury - Unknown return date</t>
        </is>
      </c>
      <c r="K30" s="2" t="n">
        <v>2452</v>
      </c>
      <c r="L30" t="n">
        <v>149</v>
      </c>
      <c r="M30" s="3" t="n">
        <v>2878</v>
      </c>
      <c r="N30" s="4" t="n">
        <v>2200</v>
      </c>
      <c r="O30" s="4" t="n">
        <v>-678</v>
      </c>
      <c r="P30" s="5" t="inlineStr">
        <is>
          <t>high</t>
        </is>
      </c>
      <c r="Q30" t="inlineStr">
        <is>
          <t>flat</t>
        </is>
      </c>
      <c r="R30" s="6" t="n">
        <v>2200</v>
      </c>
      <c r="S30" t="inlineStr">
        <is>
          <t>research</t>
        </is>
      </c>
      <c r="T30" s="5" t="inlineStr">
        <is>
          <t>Groin surgery in June for an issue first seen in mid-March. Arteta on 14 August: 'he is on a good trajectory, but there is still a few weeks to go... He needs to start to train with the group in the next week or so.' He will miss the opener and Arseblog notes he has not played competitive football for close to six months bar a Champions League final cameo that caused a setback, so he must be eased back rather than thrown straight in. 2200 assumes he misses roughly the first five league matches and is then a regular starter with some further management.</t>
        </is>
      </c>
      <c r="U30" s="6" t="n">
        <v>85.3</v>
      </c>
      <c r="V30" s="2" t="n">
        <v>28</v>
      </c>
      <c r="W30" s="7">
        <f>IF(N(U30)&lt;=0,0,MIN(Assumptions!$B$15,N(R30)/N(U30)))</f>
        <v/>
      </c>
      <c r="X30" s="6" t="n">
        <v>0.391</v>
      </c>
      <c r="Y30" s="3" t="n">
        <v>0.1612</v>
      </c>
      <c r="Z30" t="inlineStr">
        <is>
          <t>adjusted xGOT</t>
        </is>
      </c>
      <c r="AA30" s="3" t="n">
        <v>1</v>
      </c>
      <c r="AB30" s="3" t="n">
        <v>0.9330000000000001</v>
      </c>
      <c r="AC30" s="3" t="n">
        <v>5.9</v>
      </c>
      <c r="AD30" s="3" t="n">
        <v>0.0756</v>
      </c>
      <c r="AE30" s="3" t="n">
        <v>5.944</v>
      </c>
      <c r="AF30" s="3" t="n">
        <v>0.0610028782740677</v>
      </c>
      <c r="AG30" s="3" t="n">
        <v>0.367</v>
      </c>
      <c r="AH30" s="3" t="n">
        <v>56</v>
      </c>
      <c r="AI30" s="3" t="n">
        <v>2.067</v>
      </c>
      <c r="AJ30" s="3" t="n">
        <v>0.9838</v>
      </c>
      <c r="AK30" s="3" t="n">
        <v>-0.2379965855651725</v>
      </c>
      <c r="AL30" s="6" t="n">
        <v>0</v>
      </c>
      <c r="AM30" s="3" t="n">
        <v>0</v>
      </c>
      <c r="AN30" s="3" t="n">
        <v>0.9672000000000001</v>
      </c>
      <c r="AO30" s="3" t="n">
        <v>0.299376</v>
      </c>
      <c r="AP30" s="3">
        <f>N(X30)*N(BI30)</f>
        <v/>
      </c>
      <c r="AQ30" s="3" t="n">
        <v>0.367</v>
      </c>
      <c r="AR30" s="3" t="n">
        <v>0</v>
      </c>
      <c r="AS30" s="3" t="n">
        <v>-0.2768479886568037</v>
      </c>
      <c r="AT30" s="3" t="n">
        <v>-0.2379965855651725</v>
      </c>
      <c r="AU30" s="3">
        <f>SUM(AN30:AT30)</f>
        <v/>
      </c>
      <c r="AV30" s="7">
        <f>IF(OR(N(W30)&lt;=0,N(BG30)=0),0,N(W30)*IF(N(R30)/N(W30)&gt;=60,N(BG30),1))</f>
        <v/>
      </c>
      <c r="AW30" s="7">
        <f>N(W30)*N(AF30)*N(BH30)</f>
        <v/>
      </c>
      <c r="AX30" s="7">
        <f>N(AL30)*(Assumptions!$B$13*N(BJ30)-(1-Assumptions!$B$13)*Assumptions!$B$14)+N(AM30)</f>
        <v/>
      </c>
      <c r="AY30" s="7">
        <f>N(AU30)*N(R30)/90+N(AV30)+N(AW30)+N(AX30)</f>
        <v/>
      </c>
      <c r="AZ30" s="3">
        <f>IF(N(R30)&lt;=0,0,(N(AY30)-N(AX30))*90/N(R30))</f>
        <v/>
      </c>
      <c r="BA30" s="7">
        <f>IFERROR(AY30-VLOOKUP($E30,Assumptions!$A$40:$C$43,3,FALSE),"")</f>
        <v/>
      </c>
      <c r="BB30" s="3">
        <f>IFERROR(BA30/H30,"")</f>
        <v/>
      </c>
      <c r="BC30">
        <f>IF(AND($G30=TRUE,$E30="GKP"),AY30,"")</f>
        <v/>
      </c>
      <c r="BD30">
        <f>IF(AND($G30=TRUE,$E30="DEF"),AY30,"")</f>
        <v/>
      </c>
      <c r="BE30">
        <f>IF(AND($G30=TRUE,$E30="MID"),AY30,"")</f>
        <v/>
      </c>
      <c r="BF30">
        <f>IF(AND($G30=TRUE,$E30="FWD"),AY30,"")</f>
        <v/>
      </c>
      <c r="BG30" t="n">
        <v>2</v>
      </c>
      <c r="BH30" t="n">
        <v>2</v>
      </c>
      <c r="BI30" t="n">
        <v>4</v>
      </c>
      <c r="BJ30" t="n">
        <v>6</v>
      </c>
    </row>
    <row r="31">
      <c r="A31" t="inlineStr">
        <is>
          <t>Bryan Mbeumo</t>
        </is>
      </c>
      <c r="B31" t="inlineStr">
        <is>
          <t>MUN</t>
        </is>
      </c>
      <c r="C31" t="inlineStr">
        <is>
          <t>MUN</t>
        </is>
      </c>
      <c r="D31" t="b">
        <v>0</v>
      </c>
      <c r="E31" t="inlineStr">
        <is>
          <t>MID</t>
        </is>
      </c>
      <c r="F31" t="inlineStr">
        <is>
          <t>MID</t>
        </is>
      </c>
      <c r="G31" t="b">
        <v>1</v>
      </c>
      <c r="H31" s="2" t="n">
        <v>8</v>
      </c>
      <c r="I31" t="inlineStr">
        <is>
          <t>a</t>
        </is>
      </c>
      <c r="K31" s="2" t="n">
        <v>2611</v>
      </c>
      <c r="L31" t="n">
        <v>148</v>
      </c>
      <c r="M31" s="3" t="n">
        <v>2822</v>
      </c>
      <c r="N31" s="8" t="n">
        <v>2822</v>
      </c>
      <c r="O31" s="8" t="n">
        <v>0</v>
      </c>
      <c r="Q31" t="inlineStr">
        <is>
          <t>flat</t>
        </is>
      </c>
      <c r="R31" s="6" t="n">
        <v>2822</v>
      </c>
      <c r="S31" t="inlineStr">
        <is>
          <t>Solio</t>
        </is>
      </c>
      <c r="U31" s="6" t="n">
        <v>82.40000000000001</v>
      </c>
      <c r="V31" s="2" t="n">
        <v>31</v>
      </c>
      <c r="W31" s="7">
        <f>IF(N(U31)&lt;=0,0,MIN(Assumptions!$B$15,N(R31)/N(U31)))</f>
        <v/>
      </c>
      <c r="X31" s="6" t="n">
        <v>0.334</v>
      </c>
      <c r="Y31" s="3" t="n">
        <v>0.4251</v>
      </c>
      <c r="Z31" t="inlineStr">
        <is>
          <t>adjusted xGOT</t>
        </is>
      </c>
      <c r="AA31" s="3" t="n">
        <v>1</v>
      </c>
      <c r="AB31" s="3" t="n">
        <v>1.029</v>
      </c>
      <c r="AC31" s="3" t="n">
        <v>43.7</v>
      </c>
      <c r="AD31" s="3" t="n">
        <v>0.1737</v>
      </c>
      <c r="AE31" s="3" t="n">
        <v>5.61</v>
      </c>
      <c r="AF31" s="3" t="n">
        <v>0.006671565669880364</v>
      </c>
      <c r="AG31" s="3" t="n">
        <v>0.586</v>
      </c>
      <c r="AH31" s="3" t="n">
        <v>64</v>
      </c>
      <c r="AI31" s="3" t="n">
        <v>2.2165</v>
      </c>
      <c r="AJ31" s="3" t="n">
        <v>1.1467</v>
      </c>
      <c r="AK31" s="3" t="n">
        <v>-0.1446565307742253</v>
      </c>
      <c r="AL31" s="6" t="n">
        <v>0.1129377635553132</v>
      </c>
      <c r="AM31" s="3" t="n">
        <v>0</v>
      </c>
      <c r="AN31" s="3" t="n">
        <v>2.1255</v>
      </c>
      <c r="AO31" s="3" t="n">
        <v>0.687852</v>
      </c>
      <c r="AP31" s="3">
        <f>N(X31)*N(BI31)</f>
        <v/>
      </c>
      <c r="AQ31" s="3" t="n">
        <v>0.586</v>
      </c>
      <c r="AR31" s="3" t="n">
        <v>0</v>
      </c>
      <c r="AS31" s="3" t="n">
        <v>-0</v>
      </c>
      <c r="AT31" s="3" t="n">
        <v>-0.1446565307742253</v>
      </c>
      <c r="AU31" s="3">
        <f>SUM(AN31:AT31)</f>
        <v/>
      </c>
      <c r="AV31" s="7">
        <f>IF(OR(N(W31)&lt;=0,N(BG31)=0),0,N(W31)*IF(N(R31)/N(W31)&gt;=60,N(BG31),1))</f>
        <v/>
      </c>
      <c r="AW31" s="7">
        <f>N(W31)*N(AF31)*N(BH31)</f>
        <v/>
      </c>
      <c r="AX31" s="7">
        <f>N(AL31)*(Assumptions!$B$13*N(BJ31)-(1-Assumptions!$B$13)*Assumptions!$B$14)+N(AM31)</f>
        <v/>
      </c>
      <c r="AY31" s="7">
        <f>N(AU31)*N(R31)/90+N(AV31)+N(AW31)+N(AX31)</f>
        <v/>
      </c>
      <c r="AZ31" s="3">
        <f>IF(N(R31)&lt;=0,0,(N(AY31)-N(AX31))*90/N(R31))</f>
        <v/>
      </c>
      <c r="BA31" s="7">
        <f>IFERROR(AY31-VLOOKUP($E31,Assumptions!$A$40:$C$43,3,FALSE),"")</f>
        <v/>
      </c>
      <c r="BB31" s="3">
        <f>IFERROR(BA31/H31,"")</f>
        <v/>
      </c>
      <c r="BC31">
        <f>IF(AND($G31=TRUE,$E31="GKP"),AY31,"")</f>
        <v/>
      </c>
      <c r="BD31">
        <f>IF(AND($G31=TRUE,$E31="DEF"),AY31,"")</f>
        <v/>
      </c>
      <c r="BE31">
        <f>IF(AND($G31=TRUE,$E31="MID"),AY31,"")</f>
        <v/>
      </c>
      <c r="BF31">
        <f>IF(AND($G31=TRUE,$E31="FWD"),AY31,"")</f>
        <v/>
      </c>
      <c r="BG31" t="n">
        <v>2</v>
      </c>
      <c r="BH31" t="n">
        <v>2</v>
      </c>
      <c r="BI31" t="n">
        <v>1</v>
      </c>
      <c r="BJ31" t="n">
        <v>5</v>
      </c>
    </row>
    <row r="32">
      <c r="A32" s="9" t="inlineStr">
        <is>
          <t>Jan Paul van Hecke</t>
        </is>
      </c>
      <c r="B32" t="inlineStr">
        <is>
          <t>TOT</t>
        </is>
      </c>
      <c r="C32" s="9" t="inlineStr">
        <is>
          <t>BHA</t>
        </is>
      </c>
      <c r="D32" t="b">
        <v>1</v>
      </c>
      <c r="E32" t="inlineStr">
        <is>
          <t>DEF</t>
        </is>
      </c>
      <c r="F32" t="inlineStr">
        <is>
          <t>DEF</t>
        </is>
      </c>
      <c r="G32" t="b">
        <v>1</v>
      </c>
      <c r="H32" s="2" t="n">
        <v>5</v>
      </c>
      <c r="I32" t="inlineStr">
        <is>
          <t>a</t>
        </is>
      </c>
      <c r="K32" s="2" t="n">
        <v>3210</v>
      </c>
      <c r="L32" t="n">
        <v>148</v>
      </c>
      <c r="M32" s="3" t="n">
        <v>3181</v>
      </c>
      <c r="N32" s="8" t="n">
        <v>3181</v>
      </c>
      <c r="O32" s="8" t="n">
        <v>0</v>
      </c>
      <c r="Q32" t="inlineStr">
        <is>
          <t>flat</t>
        </is>
      </c>
      <c r="R32" s="6" t="n">
        <v>3181</v>
      </c>
      <c r="S32" t="inlineStr">
        <is>
          <t>Solio</t>
        </is>
      </c>
      <c r="U32" s="6" t="n">
        <v>88.40000000000001</v>
      </c>
      <c r="V32" s="2" t="n">
        <v>36</v>
      </c>
      <c r="W32" s="7">
        <f>IF(N(U32)&lt;=0,0,MIN(Assumptions!$B$15,N(R32)/N(U32)))</f>
        <v/>
      </c>
      <c r="X32" s="6" t="n">
        <v>0.286</v>
      </c>
      <c r="Y32" s="10" t="n">
        <v>0.09030000000000001</v>
      </c>
      <c r="Z32" t="inlineStr">
        <is>
          <t>adjusted xGOT</t>
        </is>
      </c>
      <c r="AA32" s="3" t="n">
        <v>1</v>
      </c>
      <c r="AB32" s="3" t="n">
        <v>0.973</v>
      </c>
      <c r="AC32" s="3" t="n">
        <v>6.6</v>
      </c>
      <c r="AD32" s="10" t="n">
        <v>0.0364</v>
      </c>
      <c r="AE32" s="3" t="n">
        <v>8.667</v>
      </c>
      <c r="AF32" s="3" t="n">
        <v>0.3487048763704732</v>
      </c>
      <c r="AG32" s="3" t="n">
        <v>0.1963</v>
      </c>
      <c r="AH32" s="3" t="n">
        <v>72</v>
      </c>
      <c r="AI32" s="3" t="n">
        <v>2.5739</v>
      </c>
      <c r="AJ32" s="3" t="n">
        <v>1.3096</v>
      </c>
      <c r="AK32" s="3" t="n">
        <v>-0.2303329357267622</v>
      </c>
      <c r="AL32" s="6" t="n">
        <v>0</v>
      </c>
      <c r="AM32" s="3" t="n">
        <v>0</v>
      </c>
      <c r="AN32" s="10" t="n">
        <v>0.5418000000000001</v>
      </c>
      <c r="AO32" s="10" t="n">
        <v>0.144144</v>
      </c>
      <c r="AP32" s="3">
        <f>N(X32)*N(BI32)</f>
        <v/>
      </c>
      <c r="AQ32" s="3" t="n">
        <v>0.1963</v>
      </c>
      <c r="AR32" s="3" t="n">
        <v>0</v>
      </c>
      <c r="AS32" s="3" t="n">
        <v>-0.4230152821052008</v>
      </c>
      <c r="AT32" s="3" t="n">
        <v>-0.2303329357267622</v>
      </c>
      <c r="AU32" s="3">
        <f>SUM(AN32:AT32)</f>
        <v/>
      </c>
      <c r="AV32" s="7">
        <f>IF(OR(N(W32)&lt;=0,N(BG32)=0),0,N(W32)*IF(N(R32)/N(W32)&gt;=60,N(BG32),1))</f>
        <v/>
      </c>
      <c r="AW32" s="7">
        <f>N(W32)*N(AF32)*N(BH32)</f>
        <v/>
      </c>
      <c r="AX32" s="7">
        <f>N(AL32)*(Assumptions!$B$13*N(BJ32)-(1-Assumptions!$B$13)*Assumptions!$B$14)+N(AM32)</f>
        <v/>
      </c>
      <c r="AY32" s="7">
        <f>N(AU32)*N(R32)/90+N(AV32)+N(AW32)+N(AX32)</f>
        <v/>
      </c>
      <c r="AZ32" s="3">
        <f>IF(N(R32)&lt;=0,0,(N(AY32)-N(AX32))*90/N(R32))</f>
        <v/>
      </c>
      <c r="BA32" s="7">
        <f>IFERROR(AY32-VLOOKUP($E32,Assumptions!$A$40:$C$43,3,FALSE),"")</f>
        <v/>
      </c>
      <c r="BB32" s="3">
        <f>IFERROR(BA32/H32,"")</f>
        <v/>
      </c>
      <c r="BC32">
        <f>IF(AND($G32=TRUE,$E32="GKP"),AY32,"")</f>
        <v/>
      </c>
      <c r="BD32">
        <f>IF(AND($G32=TRUE,$E32="DEF"),AY32,"")</f>
        <v/>
      </c>
      <c r="BE32">
        <f>IF(AND($G32=TRUE,$E32="MID"),AY32,"")</f>
        <v/>
      </c>
      <c r="BF32">
        <f>IF(AND($G32=TRUE,$E32="FWD"),AY32,"")</f>
        <v/>
      </c>
      <c r="BG32" t="n">
        <v>2</v>
      </c>
      <c r="BH32" t="n">
        <v>2</v>
      </c>
      <c r="BI32" t="n">
        <v>4</v>
      </c>
      <c r="BJ32" t="n">
        <v>6</v>
      </c>
    </row>
    <row r="33">
      <c r="A33" t="inlineStr">
        <is>
          <t>Enzo Le Fée</t>
        </is>
      </c>
      <c r="B33" t="inlineStr">
        <is>
          <t>SUN</t>
        </is>
      </c>
      <c r="C33" t="inlineStr">
        <is>
          <t>SUN</t>
        </is>
      </c>
      <c r="D33" t="b">
        <v>0</v>
      </c>
      <c r="E33" t="inlineStr">
        <is>
          <t>MID</t>
        </is>
      </c>
      <c r="F33" t="inlineStr">
        <is>
          <t>MID</t>
        </is>
      </c>
      <c r="G33" t="b">
        <v>1</v>
      </c>
      <c r="H33" s="2" t="n">
        <v>6</v>
      </c>
      <c r="I33" t="inlineStr">
        <is>
          <t>a</t>
        </is>
      </c>
      <c r="K33" s="2" t="n">
        <v>2930</v>
      </c>
      <c r="L33" t="n">
        <v>147</v>
      </c>
      <c r="M33" s="3" t="n">
        <v>3324</v>
      </c>
      <c r="N33" s="8" t="n">
        <v>3324</v>
      </c>
      <c r="O33" s="8" t="n">
        <v>0</v>
      </c>
      <c r="Q33" t="inlineStr">
        <is>
          <t>flat</t>
        </is>
      </c>
      <c r="R33" s="6" t="n">
        <v>3324</v>
      </c>
      <c r="S33" t="inlineStr">
        <is>
          <t>Solio</t>
        </is>
      </c>
      <c r="U33" s="6" t="n">
        <v>85.7</v>
      </c>
      <c r="V33" s="2" t="n">
        <v>33</v>
      </c>
      <c r="W33" s="7">
        <f>IF(N(U33)&lt;=0,0,MIN(Assumptions!$B$15,N(R33)/N(U33)))</f>
        <v/>
      </c>
      <c r="X33" s="6" t="n">
        <v>0.204</v>
      </c>
      <c r="Y33" s="3" t="n">
        <v>0.06610000000000001</v>
      </c>
      <c r="Z33" t="inlineStr">
        <is>
          <t>adjusted xGOT</t>
        </is>
      </c>
      <c r="AA33" s="3" t="n">
        <v>0.422</v>
      </c>
      <c r="AB33" s="3" t="n">
        <v>0.976</v>
      </c>
      <c r="AC33" s="3" t="n">
        <v>5.2</v>
      </c>
      <c r="AD33" s="3" t="n">
        <v>0.2073</v>
      </c>
      <c r="AE33" s="3" t="n">
        <v>9.558</v>
      </c>
      <c r="AF33" s="3" t="n">
        <v>0.2069328639438638</v>
      </c>
      <c r="AG33" s="3" t="n">
        <v>0.4608</v>
      </c>
      <c r="AH33" s="3" t="n">
        <v>69</v>
      </c>
      <c r="AI33" s="3" t="n">
        <v>3.3348</v>
      </c>
      <c r="AJ33" s="3" t="n">
        <v>1.6498</v>
      </c>
      <c r="AK33" s="3" t="n">
        <v>-0.185318592085168</v>
      </c>
      <c r="AL33" s="6" t="n">
        <v>2.083953488716728</v>
      </c>
      <c r="AM33" s="3" t="n">
        <v>0</v>
      </c>
      <c r="AN33" s="3" t="n">
        <v>0.3305</v>
      </c>
      <c r="AO33" s="3" t="n">
        <v>0.8209080000000001</v>
      </c>
      <c r="AP33" s="3">
        <f>N(X33)*N(BI33)</f>
        <v/>
      </c>
      <c r="AQ33" s="3" t="n">
        <v>0.4608</v>
      </c>
      <c r="AR33" s="3" t="n">
        <v>0</v>
      </c>
      <c r="AS33" s="3" t="n">
        <v>-0</v>
      </c>
      <c r="AT33" s="3" t="n">
        <v>-0.185318592085168</v>
      </c>
      <c r="AU33" s="3">
        <f>SUM(AN33:AT33)</f>
        <v/>
      </c>
      <c r="AV33" s="7">
        <f>IF(OR(N(W33)&lt;=0,N(BG33)=0),0,N(W33)*IF(N(R33)/N(W33)&gt;=60,N(BG33),1))</f>
        <v/>
      </c>
      <c r="AW33" s="7">
        <f>N(W33)*N(AF33)*N(BH33)</f>
        <v/>
      </c>
      <c r="AX33" s="7">
        <f>N(AL33)*(Assumptions!$B$13*N(BJ33)-(1-Assumptions!$B$13)*Assumptions!$B$14)+N(AM33)</f>
        <v/>
      </c>
      <c r="AY33" s="7">
        <f>N(AU33)*N(R33)/90+N(AV33)+N(AW33)+N(AX33)</f>
        <v/>
      </c>
      <c r="AZ33" s="3">
        <f>IF(N(R33)&lt;=0,0,(N(AY33)-N(AX33))*90/N(R33))</f>
        <v/>
      </c>
      <c r="BA33" s="7">
        <f>IFERROR(AY33-VLOOKUP($E33,Assumptions!$A$40:$C$43,3,FALSE),"")</f>
        <v/>
      </c>
      <c r="BB33" s="3">
        <f>IFERROR(BA33/H33,"")</f>
        <v/>
      </c>
      <c r="BC33">
        <f>IF(AND($G33=TRUE,$E33="GKP"),AY33,"")</f>
        <v/>
      </c>
      <c r="BD33">
        <f>IF(AND($G33=TRUE,$E33="DEF"),AY33,"")</f>
        <v/>
      </c>
      <c r="BE33">
        <f>IF(AND($G33=TRUE,$E33="MID"),AY33,"")</f>
        <v/>
      </c>
      <c r="BF33">
        <f>IF(AND($G33=TRUE,$E33="FWD"),AY33,"")</f>
        <v/>
      </c>
      <c r="BG33" t="n">
        <v>2</v>
      </c>
      <c r="BH33" t="n">
        <v>2</v>
      </c>
      <c r="BI33" t="n">
        <v>1</v>
      </c>
      <c r="BJ33" t="n">
        <v>5</v>
      </c>
    </row>
    <row r="34">
      <c r="A34" t="inlineStr">
        <is>
          <t>Ryan Gravenberch</t>
        </is>
      </c>
      <c r="B34" t="inlineStr">
        <is>
          <t>LIV</t>
        </is>
      </c>
      <c r="C34" t="inlineStr">
        <is>
          <t>LIV</t>
        </is>
      </c>
      <c r="D34" t="b">
        <v>0</v>
      </c>
      <c r="E34" t="inlineStr">
        <is>
          <t>MID</t>
        </is>
      </c>
      <c r="F34" t="inlineStr">
        <is>
          <t>MID</t>
        </is>
      </c>
      <c r="G34" t="b">
        <v>1</v>
      </c>
      <c r="H34" s="2" t="n">
        <v>6</v>
      </c>
      <c r="I34" t="inlineStr">
        <is>
          <t>a</t>
        </is>
      </c>
      <c r="K34" s="2" t="n">
        <v>2991</v>
      </c>
      <c r="L34" t="n">
        <v>144</v>
      </c>
      <c r="M34" s="3" t="n">
        <v>2964</v>
      </c>
      <c r="N34" s="8" t="n">
        <v>2964</v>
      </c>
      <c r="O34" s="8" t="n">
        <v>0</v>
      </c>
      <c r="Q34" t="inlineStr">
        <is>
          <t>flat</t>
        </is>
      </c>
      <c r="R34" s="6" t="n">
        <v>2964</v>
      </c>
      <c r="S34" t="inlineStr">
        <is>
          <t>Solio</t>
        </is>
      </c>
      <c r="U34" s="6" t="n">
        <v>84.90000000000001</v>
      </c>
      <c r="V34" s="2" t="n">
        <v>34</v>
      </c>
      <c r="W34" s="7">
        <f>IF(N(U34)&lt;=0,0,MIN(Assumptions!$B$15,N(R34)/N(U34)))</f>
        <v/>
      </c>
      <c r="X34" s="6" t="n">
        <v>0.342</v>
      </c>
      <c r="Y34" s="3" t="n">
        <v>0.056</v>
      </c>
      <c r="Z34" t="inlineStr">
        <is>
          <t>adjusted xGOT</t>
        </is>
      </c>
      <c r="AA34" s="3" t="n">
        <v>1</v>
      </c>
      <c r="AB34" s="3" t="n">
        <v>0.985</v>
      </c>
      <c r="AC34" s="3" t="n">
        <v>5.1</v>
      </c>
      <c r="AD34" s="3" t="n">
        <v>0.0696</v>
      </c>
      <c r="AE34" s="3" t="n">
        <v>8.891</v>
      </c>
      <c r="AF34" s="3" t="n">
        <v>0.1418750921518946</v>
      </c>
      <c r="AG34" s="3" t="n">
        <v>0.5115</v>
      </c>
      <c r="AH34" s="3" t="n">
        <v>69</v>
      </c>
      <c r="AI34" s="3" t="n">
        <v>2.409</v>
      </c>
      <c r="AJ34" s="3" t="n">
        <v>1.1228</v>
      </c>
      <c r="AK34" s="3" t="n">
        <v>-0.1653791475997056</v>
      </c>
      <c r="AL34" s="6" t="n">
        <v>0</v>
      </c>
      <c r="AM34" s="3" t="n">
        <v>0</v>
      </c>
      <c r="AN34" s="3" t="n">
        <v>0.28</v>
      </c>
      <c r="AO34" s="3" t="n">
        <v>0.275616</v>
      </c>
      <c r="AP34" s="3">
        <f>N(X34)*N(BI34)</f>
        <v/>
      </c>
      <c r="AQ34" s="3" t="n">
        <v>0.5115</v>
      </c>
      <c r="AR34" s="3" t="n">
        <v>0</v>
      </c>
      <c r="AS34" s="3" t="n">
        <v>-0</v>
      </c>
      <c r="AT34" s="3" t="n">
        <v>-0.1653791475997056</v>
      </c>
      <c r="AU34" s="3">
        <f>SUM(AN34:AT34)</f>
        <v/>
      </c>
      <c r="AV34" s="7">
        <f>IF(OR(N(W34)&lt;=0,N(BG34)=0),0,N(W34)*IF(N(R34)/N(W34)&gt;=60,N(BG34),1))</f>
        <v/>
      </c>
      <c r="AW34" s="7">
        <f>N(W34)*N(AF34)*N(BH34)</f>
        <v/>
      </c>
      <c r="AX34" s="7">
        <f>N(AL34)*(Assumptions!$B$13*N(BJ34)-(1-Assumptions!$B$13)*Assumptions!$B$14)+N(AM34)</f>
        <v/>
      </c>
      <c r="AY34" s="7">
        <f>N(AU34)*N(R34)/90+N(AV34)+N(AW34)+N(AX34)</f>
        <v/>
      </c>
      <c r="AZ34" s="3">
        <f>IF(N(R34)&lt;=0,0,(N(AY34)-N(AX34))*90/N(R34))</f>
        <v/>
      </c>
      <c r="BA34" s="7">
        <f>IFERROR(AY34-VLOOKUP($E34,Assumptions!$A$40:$C$43,3,FALSE),"")</f>
        <v/>
      </c>
      <c r="BB34" s="3">
        <f>IFERROR(BA34/H34,"")</f>
        <v/>
      </c>
      <c r="BC34">
        <f>IF(AND($G34=TRUE,$E34="GKP"),AY34,"")</f>
        <v/>
      </c>
      <c r="BD34">
        <f>IF(AND($G34=TRUE,$E34="DEF"),AY34,"")</f>
        <v/>
      </c>
      <c r="BE34">
        <f>IF(AND($G34=TRUE,$E34="MID"),AY34,"")</f>
        <v/>
      </c>
      <c r="BF34">
        <f>IF(AND($G34=TRUE,$E34="FWD"),AY34,"")</f>
        <v/>
      </c>
      <c r="BG34" t="n">
        <v>2</v>
      </c>
      <c r="BH34" t="n">
        <v>2</v>
      </c>
      <c r="BI34" t="n">
        <v>1</v>
      </c>
      <c r="BJ34" t="n">
        <v>5</v>
      </c>
    </row>
    <row r="35">
      <c r="A35" t="inlineStr">
        <is>
          <t>Matheus Cunha</t>
        </is>
      </c>
      <c r="B35" t="inlineStr">
        <is>
          <t>MUN</t>
        </is>
      </c>
      <c r="C35" t="inlineStr">
        <is>
          <t>MUN</t>
        </is>
      </c>
      <c r="D35" t="b">
        <v>0</v>
      </c>
      <c r="E35" t="inlineStr">
        <is>
          <t>MID</t>
        </is>
      </c>
      <c r="F35" t="inlineStr">
        <is>
          <t>MID</t>
        </is>
      </c>
      <c r="G35" t="b">
        <v>1</v>
      </c>
      <c r="H35" s="2" t="n">
        <v>8</v>
      </c>
      <c r="I35" t="inlineStr">
        <is>
          <t>a</t>
        </is>
      </c>
      <c r="K35" s="2" t="n">
        <v>2493</v>
      </c>
      <c r="L35" t="n">
        <v>143</v>
      </c>
      <c r="M35" s="3" t="n">
        <v>2616</v>
      </c>
      <c r="N35" s="8" t="n">
        <v>2616</v>
      </c>
      <c r="O35" s="8" t="n">
        <v>0</v>
      </c>
      <c r="Q35" t="inlineStr">
        <is>
          <t>flat</t>
        </is>
      </c>
      <c r="R35" s="6" t="n">
        <v>2616</v>
      </c>
      <c r="S35" t="inlineStr">
        <is>
          <t>Solio</t>
        </is>
      </c>
      <c r="U35" s="6" t="n">
        <v>82.09999999999999</v>
      </c>
      <c r="V35" s="2" t="n">
        <v>29</v>
      </c>
      <c r="W35" s="7">
        <f>IF(N(U35)&lt;=0,0,MIN(Assumptions!$B$15,N(R35)/N(U35)))</f>
        <v/>
      </c>
      <c r="X35" s="6" t="n">
        <v>0.334</v>
      </c>
      <c r="Y35" s="3" t="n">
        <v>0.2624</v>
      </c>
      <c r="Z35" t="inlineStr">
        <is>
          <t>adjusted xGOT</t>
        </is>
      </c>
      <c r="AA35" s="3" t="n">
        <v>1</v>
      </c>
      <c r="AB35" s="3" t="n">
        <v>1.053</v>
      </c>
      <c r="AC35" s="3" t="n">
        <v>26.8</v>
      </c>
      <c r="AD35" s="3" t="n">
        <v>0.1274</v>
      </c>
      <c r="AE35" s="3" t="n">
        <v>7.832</v>
      </c>
      <c r="AF35" s="3" t="n">
        <v>0.06014974171423693</v>
      </c>
      <c r="AG35" s="3" t="n">
        <v>0.5415</v>
      </c>
      <c r="AH35" s="3" t="n">
        <v>61</v>
      </c>
      <c r="AI35" s="3" t="n">
        <v>2.2165</v>
      </c>
      <c r="AJ35" s="3" t="n">
        <v>1.1467</v>
      </c>
      <c r="AK35" s="3" t="n">
        <v>-0.2002389947220909</v>
      </c>
      <c r="AL35" s="6" t="n">
        <v>0</v>
      </c>
      <c r="AM35" s="3" t="n">
        <v>0</v>
      </c>
      <c r="AN35" s="3" t="n">
        <v>1.312</v>
      </c>
      <c r="AO35" s="3" t="n">
        <v>0.5045040000000001</v>
      </c>
      <c r="AP35" s="3">
        <f>N(X35)*N(BI35)</f>
        <v/>
      </c>
      <c r="AQ35" s="3" t="n">
        <v>0.5415</v>
      </c>
      <c r="AR35" s="3" t="n">
        <v>0</v>
      </c>
      <c r="AS35" s="3" t="n">
        <v>-0</v>
      </c>
      <c r="AT35" s="3" t="n">
        <v>-0.2002389947220909</v>
      </c>
      <c r="AU35" s="3">
        <f>SUM(AN35:AT35)</f>
        <v/>
      </c>
      <c r="AV35" s="7">
        <f>IF(OR(N(W35)&lt;=0,N(BG35)=0),0,N(W35)*IF(N(R35)/N(W35)&gt;=60,N(BG35),1))</f>
        <v/>
      </c>
      <c r="AW35" s="7">
        <f>N(W35)*N(AF35)*N(BH35)</f>
        <v/>
      </c>
      <c r="AX35" s="7">
        <f>N(AL35)*(Assumptions!$B$13*N(BJ35)-(1-Assumptions!$B$13)*Assumptions!$B$14)+N(AM35)</f>
        <v/>
      </c>
      <c r="AY35" s="7">
        <f>N(AU35)*N(R35)/90+N(AV35)+N(AW35)+N(AX35)</f>
        <v/>
      </c>
      <c r="AZ35" s="3">
        <f>IF(N(R35)&lt;=0,0,(N(AY35)-N(AX35))*90/N(R35))</f>
        <v/>
      </c>
      <c r="BA35" s="7">
        <f>IFERROR(AY35-VLOOKUP($E35,Assumptions!$A$40:$C$43,3,FALSE),"")</f>
        <v/>
      </c>
      <c r="BB35" s="3">
        <f>IFERROR(BA35/H35,"")</f>
        <v/>
      </c>
      <c r="BC35">
        <f>IF(AND($G35=TRUE,$E35="GKP"),AY35,"")</f>
        <v/>
      </c>
      <c r="BD35">
        <f>IF(AND($G35=TRUE,$E35="DEF"),AY35,"")</f>
        <v/>
      </c>
      <c r="BE35">
        <f>IF(AND($G35=TRUE,$E35="MID"),AY35,"")</f>
        <v/>
      </c>
      <c r="BF35">
        <f>IF(AND($G35=TRUE,$E35="FWD"),AY35,"")</f>
        <v/>
      </c>
      <c r="BG35" t="n">
        <v>2</v>
      </c>
      <c r="BH35" t="n">
        <v>2</v>
      </c>
      <c r="BI35" t="n">
        <v>1</v>
      </c>
      <c r="BJ35" t="n">
        <v>5</v>
      </c>
    </row>
    <row r="36">
      <c r="A36" t="inlineStr">
        <is>
          <t>Caoimhín Kelleher</t>
        </is>
      </c>
      <c r="B36" t="inlineStr">
        <is>
          <t>BRE</t>
        </is>
      </c>
      <c r="C36" t="inlineStr">
        <is>
          <t>BRE</t>
        </is>
      </c>
      <c r="D36" t="b">
        <v>0</v>
      </c>
      <c r="E36" t="inlineStr">
        <is>
          <t>GKP</t>
        </is>
      </c>
      <c r="F36" t="inlineStr">
        <is>
          <t>GKP</t>
        </is>
      </c>
      <c r="G36" t="b">
        <v>1</v>
      </c>
      <c r="H36" s="2" t="n">
        <v>5</v>
      </c>
      <c r="I36" t="inlineStr">
        <is>
          <t>a</t>
        </is>
      </c>
      <c r="K36" s="2" t="n">
        <v>3330</v>
      </c>
      <c r="L36" t="n">
        <v>143</v>
      </c>
      <c r="M36" s="3" t="n">
        <v>3385</v>
      </c>
      <c r="N36" s="8" t="n">
        <v>3385</v>
      </c>
      <c r="O36" s="8" t="n">
        <v>0</v>
      </c>
      <c r="Q36" t="inlineStr">
        <is>
          <t>flat</t>
        </is>
      </c>
      <c r="R36" s="6" t="n">
        <v>3385</v>
      </c>
      <c r="S36" t="inlineStr">
        <is>
          <t>Solio</t>
        </is>
      </c>
      <c r="U36" s="6" t="n">
        <v>90</v>
      </c>
      <c r="V36" s="2" t="n">
        <v>37</v>
      </c>
      <c r="W36" s="7">
        <f>IF(N(U36)&lt;=0,0,MIN(Assumptions!$B$15,N(R36)/N(U36)))</f>
        <v/>
      </c>
      <c r="X36" s="6" t="n">
        <v>0.228</v>
      </c>
      <c r="Y36" s="3" t="n">
        <v>0</v>
      </c>
      <c r="Z36" t="inlineStr">
        <is>
          <t>blended xG</t>
        </is>
      </c>
      <c r="AA36" s="3" t="n">
        <v>1</v>
      </c>
      <c r="AB36" s="3" t="n">
        <v>1</v>
      </c>
      <c r="AC36" s="3" t="n">
        <v>0</v>
      </c>
      <c r="AD36" s="3" t="n">
        <v>0.0044</v>
      </c>
      <c r="AE36" s="3" t="n">
        <v>0</v>
      </c>
      <c r="AF36" s="3" t="n">
        <v>0</v>
      </c>
      <c r="AG36" s="3" t="n">
        <v>0.3784</v>
      </c>
      <c r="AH36" s="3" t="n">
        <v>74</v>
      </c>
      <c r="AI36" s="3" t="n">
        <v>3.2371</v>
      </c>
      <c r="AJ36" s="3" t="n">
        <v>1.5396</v>
      </c>
      <c r="AK36" s="3" t="n">
        <v>-0.0374651075801383</v>
      </c>
      <c r="AL36" s="6" t="n">
        <v>0</v>
      </c>
      <c r="AM36" s="3" t="n">
        <v>3.253202468356684</v>
      </c>
      <c r="AN36" s="3" t="n">
        <v>0</v>
      </c>
      <c r="AO36" s="3" t="n">
        <v>0.017424</v>
      </c>
      <c r="AP36" s="3">
        <f>N(X36)*N(BI36)</f>
        <v/>
      </c>
      <c r="AQ36" s="3" t="n">
        <v>0.3784</v>
      </c>
      <c r="AR36" s="3" t="n">
        <v>0.7437492341118994</v>
      </c>
      <c r="AS36" s="3" t="n">
        <v>-0.5312990096912251</v>
      </c>
      <c r="AT36" s="3" t="n">
        <v>-0.0374651075801383</v>
      </c>
      <c r="AU36" s="3">
        <f>SUM(AN36:AT36)</f>
        <v/>
      </c>
      <c r="AV36" s="7">
        <f>IF(OR(N(W36)&lt;=0,N(BG36)=0),0,N(W36)*IF(N(R36)/N(W36)&gt;=60,N(BG36),1))</f>
        <v/>
      </c>
      <c r="AW36" s="7">
        <f>N(W36)*N(AF36)*N(BH36)</f>
        <v/>
      </c>
      <c r="AX36" s="7">
        <f>N(AL36)*(Assumptions!$B$13*N(BJ36)-(1-Assumptions!$B$13)*Assumptions!$B$14)+N(AM36)</f>
        <v/>
      </c>
      <c r="AY36" s="7">
        <f>N(AU36)*N(R36)/90+N(AV36)+N(AW36)+N(AX36)</f>
        <v/>
      </c>
      <c r="AZ36" s="3">
        <f>IF(N(R36)&lt;=0,0,(N(AY36)-N(AX36))*90/N(R36))</f>
        <v/>
      </c>
      <c r="BA36" s="7">
        <f>IFERROR(AY36-VLOOKUP($E36,Assumptions!$A$40:$C$43,3,FALSE),"")</f>
        <v/>
      </c>
      <c r="BB36" s="3">
        <f>IFERROR(BA36/H36,"")</f>
        <v/>
      </c>
      <c r="BC36">
        <f>IF(AND($G36=TRUE,$E36="GKP"),AY36,"")</f>
        <v/>
      </c>
      <c r="BD36">
        <f>IF(AND($G36=TRUE,$E36="DEF"),AY36,"")</f>
        <v/>
      </c>
      <c r="BE36">
        <f>IF(AND($G36=TRUE,$E36="MID"),AY36,"")</f>
        <v/>
      </c>
      <c r="BF36">
        <f>IF(AND($G36=TRUE,$E36="FWD"),AY36,"")</f>
        <v/>
      </c>
      <c r="BG36" t="n">
        <v>2</v>
      </c>
      <c r="BH36" t="n">
        <v>0</v>
      </c>
      <c r="BI36" t="n">
        <v>4</v>
      </c>
      <c r="BJ36" t="n">
        <v>10</v>
      </c>
    </row>
    <row r="37">
      <c r="A37" t="inlineStr">
        <is>
          <t>Dominic Calvert-Lewin</t>
        </is>
      </c>
      <c r="B37" t="inlineStr">
        <is>
          <t>LEE</t>
        </is>
      </c>
      <c r="C37" t="inlineStr">
        <is>
          <t>LEE</t>
        </is>
      </c>
      <c r="D37" t="b">
        <v>0</v>
      </c>
      <c r="E37" t="inlineStr">
        <is>
          <t>FWD</t>
        </is>
      </c>
      <c r="F37" t="inlineStr">
        <is>
          <t>FWD</t>
        </is>
      </c>
      <c r="G37" t="b">
        <v>1</v>
      </c>
      <c r="H37" s="2" t="n">
        <v>6</v>
      </c>
      <c r="I37" t="inlineStr">
        <is>
          <t>a</t>
        </is>
      </c>
      <c r="K37" s="2" t="n">
        <v>2721</v>
      </c>
      <c r="L37" t="n">
        <v>142</v>
      </c>
      <c r="M37" s="3" t="n">
        <v>3084</v>
      </c>
      <c r="N37" s="8" t="n">
        <v>3084</v>
      </c>
      <c r="O37" s="8" t="n">
        <v>0</v>
      </c>
      <c r="Q37" t="inlineStr">
        <is>
          <t>flat</t>
        </is>
      </c>
      <c r="R37" s="6" t="n">
        <v>3084</v>
      </c>
      <c r="S37" t="inlineStr">
        <is>
          <t>Solio</t>
        </is>
      </c>
      <c r="U37" s="6" t="n">
        <v>84.59999999999999</v>
      </c>
      <c r="V37" s="2" t="n">
        <v>30</v>
      </c>
      <c r="W37" s="7">
        <f>IF(N(U37)&lt;=0,0,MIN(Assumptions!$B$15,N(R37)/N(U37)))</f>
        <v/>
      </c>
      <c r="X37" s="6" t="n">
        <v>0.218</v>
      </c>
      <c r="Y37" s="3" t="n">
        <v>0.3558</v>
      </c>
      <c r="Z37" t="inlineStr">
        <is>
          <t>adjusted xGOT</t>
        </is>
      </c>
      <c r="AA37" s="3" t="n">
        <v>0.796</v>
      </c>
      <c r="AB37" s="3" t="n">
        <v>0.868</v>
      </c>
      <c r="AC37" s="3" t="n">
        <v>40.9</v>
      </c>
      <c r="AD37" s="3" t="n">
        <v>0.0431</v>
      </c>
      <c r="AE37" s="3" t="n">
        <v>3.749</v>
      </c>
      <c r="AF37" s="3" t="n">
        <v>0.0003070250262409147</v>
      </c>
      <c r="AG37" s="3" t="n">
        <v>0.6615</v>
      </c>
      <c r="AH37" s="3" t="n">
        <v>65</v>
      </c>
      <c r="AI37" s="3" t="n">
        <v>3.0611</v>
      </c>
      <c r="AJ37" s="3" t="n">
        <v>1.5875</v>
      </c>
      <c r="AK37" s="3" t="n">
        <v>-0.1259791020661446</v>
      </c>
      <c r="AL37" s="6" t="n">
        <v>3.856888360752881</v>
      </c>
      <c r="AM37" s="3" t="n">
        <v>0</v>
      </c>
      <c r="AN37" s="3" t="n">
        <v>1.4232</v>
      </c>
      <c r="AO37" s="3" t="n">
        <v>0.170676</v>
      </c>
      <c r="AP37" s="3">
        <f>N(X37)*N(BI37)</f>
        <v/>
      </c>
      <c r="AQ37" s="3" t="n">
        <v>0.6615</v>
      </c>
      <c r="AR37" s="3" t="n">
        <v>0</v>
      </c>
      <c r="AS37" s="3" t="n">
        <v>-0</v>
      </c>
      <c r="AT37" s="3" t="n">
        <v>-0.1259791020661446</v>
      </c>
      <c r="AU37" s="3">
        <f>SUM(AN37:AT37)</f>
        <v/>
      </c>
      <c r="AV37" s="7">
        <f>IF(OR(N(W37)&lt;=0,N(BG37)=0),0,N(W37)*IF(N(R37)/N(W37)&gt;=60,N(BG37),1))</f>
        <v/>
      </c>
      <c r="AW37" s="7">
        <f>N(W37)*N(AF37)*N(BH37)</f>
        <v/>
      </c>
      <c r="AX37" s="7">
        <f>N(AL37)*(Assumptions!$B$13*N(BJ37)-(1-Assumptions!$B$13)*Assumptions!$B$14)+N(AM37)</f>
        <v/>
      </c>
      <c r="AY37" s="7">
        <f>N(AU37)*N(R37)/90+N(AV37)+N(AW37)+N(AX37)</f>
        <v/>
      </c>
      <c r="AZ37" s="3">
        <f>IF(N(R37)&lt;=0,0,(N(AY37)-N(AX37))*90/N(R37))</f>
        <v/>
      </c>
      <c r="BA37" s="7">
        <f>IFERROR(AY37-VLOOKUP($E37,Assumptions!$A$40:$C$43,3,FALSE),"")</f>
        <v/>
      </c>
      <c r="BB37" s="3">
        <f>IFERROR(BA37/H37,"")</f>
        <v/>
      </c>
      <c r="BC37">
        <f>IF(AND($G37=TRUE,$E37="GKP"),AY37,"")</f>
        <v/>
      </c>
      <c r="BD37">
        <f>IF(AND($G37=TRUE,$E37="DEF"),AY37,"")</f>
        <v/>
      </c>
      <c r="BE37">
        <f>IF(AND($G37=TRUE,$E37="MID"),AY37,"")</f>
        <v/>
      </c>
      <c r="BF37">
        <f>IF(AND($G37=TRUE,$E37="FWD"),AY37,"")</f>
        <v/>
      </c>
      <c r="BG37" t="n">
        <v>2</v>
      </c>
      <c r="BH37" t="n">
        <v>2</v>
      </c>
      <c r="BI37" t="n">
        <v>0</v>
      </c>
      <c r="BJ37" t="n">
        <v>4</v>
      </c>
    </row>
    <row r="38">
      <c r="A38" t="inlineStr">
        <is>
          <t>Marcus Tavernier</t>
        </is>
      </c>
      <c r="B38" t="inlineStr">
        <is>
          <t>BOU</t>
        </is>
      </c>
      <c r="C38" t="inlineStr">
        <is>
          <t>BOU</t>
        </is>
      </c>
      <c r="D38" t="b">
        <v>0</v>
      </c>
      <c r="E38" t="inlineStr">
        <is>
          <t>MID</t>
        </is>
      </c>
      <c r="F38" t="inlineStr">
        <is>
          <t>MID</t>
        </is>
      </c>
      <c r="G38" t="b">
        <v>1</v>
      </c>
      <c r="H38" s="2" t="n">
        <v>6</v>
      </c>
      <c r="I38" t="inlineStr">
        <is>
          <t>a</t>
        </is>
      </c>
      <c r="K38" s="2" t="n">
        <v>2732</v>
      </c>
      <c r="L38" t="n">
        <v>137</v>
      </c>
      <c r="M38" s="3" t="n">
        <v>3061</v>
      </c>
      <c r="N38" s="8" t="n">
        <v>3061</v>
      </c>
      <c r="O38" s="8" t="n">
        <v>0</v>
      </c>
      <c r="Q38" t="inlineStr">
        <is>
          <t>flat</t>
        </is>
      </c>
      <c r="R38" s="6" t="n">
        <v>3061</v>
      </c>
      <c r="S38" t="inlineStr">
        <is>
          <t>Solio</t>
        </is>
      </c>
      <c r="U38" s="6" t="n">
        <v>84.5</v>
      </c>
      <c r="V38" s="2" t="n">
        <v>31</v>
      </c>
      <c r="W38" s="7">
        <f>IF(N(U38)&lt;=0,0,MIN(Assumptions!$B$15,N(R38)/N(U38)))</f>
        <v/>
      </c>
      <c r="X38" s="6" t="n">
        <v>0.23</v>
      </c>
      <c r="Y38" s="3" t="n">
        <v>0.2232</v>
      </c>
      <c r="Z38" t="inlineStr">
        <is>
          <t>adjusted xGOT</t>
        </is>
      </c>
      <c r="AA38" s="3" t="n">
        <v>0.838</v>
      </c>
      <c r="AB38" s="3" t="n">
        <v>0.892</v>
      </c>
      <c r="AC38" s="3" t="n">
        <v>21.6</v>
      </c>
      <c r="AD38" s="3" t="n">
        <v>0.1772</v>
      </c>
      <c r="AE38" s="3" t="n">
        <v>8.333</v>
      </c>
      <c r="AF38" s="3" t="n">
        <v>0.09962347267701688</v>
      </c>
      <c r="AG38" s="3" t="n">
        <v>0.4612</v>
      </c>
      <c r="AH38" s="3" t="n">
        <v>65</v>
      </c>
      <c r="AI38" s="3" t="n">
        <v>3.0957</v>
      </c>
      <c r="AJ38" s="3" t="n">
        <v>1.53</v>
      </c>
      <c r="AK38" s="3" t="n">
        <v>-0.220433198522874</v>
      </c>
      <c r="AL38" s="6" t="n">
        <v>0.7071243305185803</v>
      </c>
      <c r="AM38" s="3" t="n">
        <v>0</v>
      </c>
      <c r="AN38" s="3" t="n">
        <v>1.116</v>
      </c>
      <c r="AO38" s="3" t="n">
        <v>0.701712</v>
      </c>
      <c r="AP38" s="3">
        <f>N(X38)*N(BI38)</f>
        <v/>
      </c>
      <c r="AQ38" s="3" t="n">
        <v>0.4612</v>
      </c>
      <c r="AR38" s="3" t="n">
        <v>0</v>
      </c>
      <c r="AS38" s="3" t="n">
        <v>-0</v>
      </c>
      <c r="AT38" s="3" t="n">
        <v>-0.220433198522874</v>
      </c>
      <c r="AU38" s="3">
        <f>SUM(AN38:AT38)</f>
        <v/>
      </c>
      <c r="AV38" s="7">
        <f>IF(OR(N(W38)&lt;=0,N(BG38)=0),0,N(W38)*IF(N(R38)/N(W38)&gt;=60,N(BG38),1))</f>
        <v/>
      </c>
      <c r="AW38" s="7">
        <f>N(W38)*N(AF38)*N(BH38)</f>
        <v/>
      </c>
      <c r="AX38" s="7">
        <f>N(AL38)*(Assumptions!$B$13*N(BJ38)-(1-Assumptions!$B$13)*Assumptions!$B$14)+N(AM38)</f>
        <v/>
      </c>
      <c r="AY38" s="7">
        <f>N(AU38)*N(R38)/90+N(AV38)+N(AW38)+N(AX38)</f>
        <v/>
      </c>
      <c r="AZ38" s="3">
        <f>IF(N(R38)&lt;=0,0,(N(AY38)-N(AX38))*90/N(R38))</f>
        <v/>
      </c>
      <c r="BA38" s="7">
        <f>IFERROR(AY38-VLOOKUP($E38,Assumptions!$A$40:$C$43,3,FALSE),"")</f>
        <v/>
      </c>
      <c r="BB38" s="3">
        <f>IFERROR(BA38/H38,"")</f>
        <v/>
      </c>
      <c r="BC38">
        <f>IF(AND($G38=TRUE,$E38="GKP"),AY38,"")</f>
        <v/>
      </c>
      <c r="BD38">
        <f>IF(AND($G38=TRUE,$E38="DEF"),AY38,"")</f>
        <v/>
      </c>
      <c r="BE38">
        <f>IF(AND($G38=TRUE,$E38="MID"),AY38,"")</f>
        <v/>
      </c>
      <c r="BF38">
        <f>IF(AND($G38=TRUE,$E38="FWD"),AY38,"")</f>
        <v/>
      </c>
      <c r="BG38" t="n">
        <v>2</v>
      </c>
      <c r="BH38" t="n">
        <v>2</v>
      </c>
      <c r="BI38" t="n">
        <v>1</v>
      </c>
      <c r="BJ38" t="n">
        <v>5</v>
      </c>
    </row>
    <row r="39">
      <c r="A39" t="inlineStr">
        <is>
          <t>William Saliba</t>
        </is>
      </c>
      <c r="B39" t="inlineStr">
        <is>
          <t>ARS</t>
        </is>
      </c>
      <c r="C39" t="inlineStr">
        <is>
          <t>ARS</t>
        </is>
      </c>
      <c r="D39" t="b">
        <v>0</v>
      </c>
      <c r="E39" t="inlineStr">
        <is>
          <t>DEF</t>
        </is>
      </c>
      <c r="F39" t="inlineStr">
        <is>
          <t>DEF</t>
        </is>
      </c>
      <c r="G39" t="b">
        <v>1</v>
      </c>
      <c r="H39" s="2" t="n">
        <v>6</v>
      </c>
      <c r="I39" t="inlineStr">
        <is>
          <t>i</t>
        </is>
      </c>
      <c r="J39" t="inlineStr">
        <is>
          <t>Back injury - Unknown return date</t>
        </is>
      </c>
      <c r="K39" s="2" t="n">
        <v>2614</v>
      </c>
      <c r="L39" t="n">
        <v>137</v>
      </c>
      <c r="M39" s="3" t="n">
        <v>3278</v>
      </c>
      <c r="N39" s="4" t="n">
        <v>1700</v>
      </c>
      <c r="O39" s="4" t="n">
        <v>-1578</v>
      </c>
      <c r="P39" s="5" t="inlineStr">
        <is>
          <t>high</t>
        </is>
      </c>
      <c r="Q39" t="inlineStr">
        <is>
          <t>ramp-up (injury / late WC return)</t>
        </is>
      </c>
      <c r="R39" s="6" t="n">
        <v>1700</v>
      </c>
      <c r="S39" t="inlineStr">
        <is>
          <t>research</t>
        </is>
      </c>
      <c r="T39" s="5" t="inlineStr">
        <is>
          <t>Long-term back injury aggravated in France's World Cup semi-final. Arteta on 10 August: Saliba is 'in rest mode... for two weeks. He had to do almost nothing... It's going to take some time to heal.' Arsenal.com on 14 August: 'it's more a long-term injury'. Arseblog's own estimate is that a return 'could be November or December all going well', and adds that he historically needs time to find rhythm after a layoff. Sports Mole on 13 August reports the club line of an 'extended period' and suggests he may not play again in 2026. A December return leaves roughly 22 league matches; 1700 assumes he starts most of them but not at full load immediately. Solio's 3278 implies a near ever-present season, which is not compatible with any of the reporting.</t>
        </is>
      </c>
      <c r="U39" s="6" t="n">
        <v>85.59999999999999</v>
      </c>
      <c r="V39" s="2" t="n">
        <v>30</v>
      </c>
      <c r="W39" s="7">
        <f>IF(N(U39)&lt;=0,0,MIN(Assumptions!$B$15,N(R39)/N(U39)))</f>
        <v/>
      </c>
      <c r="X39" s="6" t="n">
        <v>0.391</v>
      </c>
      <c r="Y39" s="3" t="n">
        <v>0.0287</v>
      </c>
      <c r="Z39" t="inlineStr">
        <is>
          <t>adjusted xGOT</t>
        </is>
      </c>
      <c r="AA39" s="3" t="n">
        <v>1</v>
      </c>
      <c r="AB39" s="3" t="n">
        <v>0.949</v>
      </c>
      <c r="AC39" s="3" t="n">
        <v>5.9</v>
      </c>
      <c r="AD39" s="3" t="n">
        <v>0.0433</v>
      </c>
      <c r="AE39" s="3" t="n">
        <v>6.87</v>
      </c>
      <c r="AF39" s="3" t="n">
        <v>0.1255641554707737</v>
      </c>
      <c r="AG39" s="3" t="n">
        <v>0.3787</v>
      </c>
      <c r="AH39" s="3" t="n">
        <v>59</v>
      </c>
      <c r="AI39" s="3" t="n">
        <v>2.067</v>
      </c>
      <c r="AJ39" s="3" t="n">
        <v>0.9838</v>
      </c>
      <c r="AK39" s="3" t="n">
        <v>-0.1172580621154681</v>
      </c>
      <c r="AL39" s="6" t="n">
        <v>0</v>
      </c>
      <c r="AM39" s="3" t="n">
        <v>0</v>
      </c>
      <c r="AN39" s="3" t="n">
        <v>0.1722</v>
      </c>
      <c r="AO39" s="3" t="n">
        <v>0.171468</v>
      </c>
      <c r="AP39" s="3">
        <f>N(X39)*N(BI39)</f>
        <v/>
      </c>
      <c r="AQ39" s="3" t="n">
        <v>0.3787</v>
      </c>
      <c r="AR39" s="3" t="n">
        <v>0</v>
      </c>
      <c r="AS39" s="3" t="n">
        <v>-0.2768479886568037</v>
      </c>
      <c r="AT39" s="3" t="n">
        <v>-0.1172580621154681</v>
      </c>
      <c r="AU39" s="3">
        <f>SUM(AN39:AT39)</f>
        <v/>
      </c>
      <c r="AV39" s="7">
        <f>IF(OR(N(W39)&lt;=0,N(BG39)=0),0,N(W39)*IF(N(R39)/N(W39)&gt;=60,N(BG39),1))</f>
        <v/>
      </c>
      <c r="AW39" s="7">
        <f>N(W39)*N(AF39)*N(BH39)</f>
        <v/>
      </c>
      <c r="AX39" s="7">
        <f>N(AL39)*(Assumptions!$B$13*N(BJ39)-(1-Assumptions!$B$13)*Assumptions!$B$14)+N(AM39)</f>
        <v/>
      </c>
      <c r="AY39" s="7">
        <f>N(AU39)*N(R39)/90+N(AV39)+N(AW39)+N(AX39)</f>
        <v/>
      </c>
      <c r="AZ39" s="3">
        <f>IF(N(R39)&lt;=0,0,(N(AY39)-N(AX39))*90/N(R39))</f>
        <v/>
      </c>
      <c r="BA39" s="7">
        <f>IFERROR(AY39-VLOOKUP($E39,Assumptions!$A$40:$C$43,3,FALSE),"")</f>
        <v/>
      </c>
      <c r="BB39" s="3">
        <f>IFERROR(BA39/H39,"")</f>
        <v/>
      </c>
      <c r="BC39">
        <f>IF(AND($G39=TRUE,$E39="GKP"),AY39,"")</f>
        <v/>
      </c>
      <c r="BD39">
        <f>IF(AND($G39=TRUE,$E39="DEF"),AY39,"")</f>
        <v/>
      </c>
      <c r="BE39">
        <f>IF(AND($G39=TRUE,$E39="MID"),AY39,"")</f>
        <v/>
      </c>
      <c r="BF39">
        <f>IF(AND($G39=TRUE,$E39="FWD"),AY39,"")</f>
        <v/>
      </c>
      <c r="BG39" t="n">
        <v>2</v>
      </c>
      <c r="BH39" t="n">
        <v>2</v>
      </c>
      <c r="BI39" t="n">
        <v>4</v>
      </c>
      <c r="BJ39" t="n">
        <v>6</v>
      </c>
    </row>
    <row r="40">
      <c r="A40" t="inlineStr">
        <is>
          <t>Anton Stach</t>
        </is>
      </c>
      <c r="B40" t="inlineStr">
        <is>
          <t>LEE</t>
        </is>
      </c>
      <c r="C40" t="inlineStr">
        <is>
          <t>LEE</t>
        </is>
      </c>
      <c r="D40" t="b">
        <v>0</v>
      </c>
      <c r="E40" t="inlineStr">
        <is>
          <t>MID</t>
        </is>
      </c>
      <c r="F40" t="inlineStr">
        <is>
          <t>MID</t>
        </is>
      </c>
      <c r="G40" t="b">
        <v>1</v>
      </c>
      <c r="H40" s="2" t="n">
        <v>6</v>
      </c>
      <c r="I40" t="inlineStr">
        <is>
          <t>a</t>
        </is>
      </c>
      <c r="K40" s="2" t="n">
        <v>2369</v>
      </c>
      <c r="L40" t="n">
        <v>137</v>
      </c>
      <c r="M40" s="3" t="n">
        <v>2964</v>
      </c>
      <c r="N40" s="8" t="n">
        <v>2964</v>
      </c>
      <c r="O40" s="8" t="n">
        <v>0</v>
      </c>
      <c r="Q40" t="inlineStr">
        <is>
          <t>flat</t>
        </is>
      </c>
      <c r="R40" s="6" t="n">
        <v>2964</v>
      </c>
      <c r="S40" t="inlineStr">
        <is>
          <t>Solio</t>
        </is>
      </c>
      <c r="U40" s="6" t="n">
        <v>82.59999999999999</v>
      </c>
      <c r="V40" s="2" t="n">
        <v>28</v>
      </c>
      <c r="W40" s="7">
        <f>IF(N(U40)&lt;=0,0,MIN(Assumptions!$B$15,N(R40)/N(U40)))</f>
        <v/>
      </c>
      <c r="X40" s="6" t="n">
        <v>0.218</v>
      </c>
      <c r="Y40" s="3" t="n">
        <v>0.1096</v>
      </c>
      <c r="Z40" t="inlineStr">
        <is>
          <t>adjusted xGOT</t>
        </is>
      </c>
      <c r="AA40" s="3" t="n">
        <v>1</v>
      </c>
      <c r="AB40" s="3" t="n">
        <v>1.002</v>
      </c>
      <c r="AC40" s="3" t="n">
        <v>2.9</v>
      </c>
      <c r="AD40" s="3" t="n">
        <v>0.1981</v>
      </c>
      <c r="AE40" s="3" t="n">
        <v>9.749000000000001</v>
      </c>
      <c r="AF40" s="3" t="n">
        <v>0.1919198811033382</v>
      </c>
      <c r="AG40" s="3" t="n">
        <v>0.5319</v>
      </c>
      <c r="AH40" s="3" t="n">
        <v>56</v>
      </c>
      <c r="AI40" s="3" t="n">
        <v>3.0611</v>
      </c>
      <c r="AJ40" s="3" t="n">
        <v>1.5875</v>
      </c>
      <c r="AK40" s="3" t="n">
        <v>-0.162906319216979</v>
      </c>
      <c r="AL40" s="6" t="n">
        <v>0</v>
      </c>
      <c r="AM40" s="3" t="n">
        <v>0</v>
      </c>
      <c r="AN40" s="3" t="n">
        <v>0.548</v>
      </c>
      <c r="AO40" s="3" t="n">
        <v>0.7844760000000001</v>
      </c>
      <c r="AP40" s="3">
        <f>N(X40)*N(BI40)</f>
        <v/>
      </c>
      <c r="AQ40" s="3" t="n">
        <v>0.5319</v>
      </c>
      <c r="AR40" s="3" t="n">
        <v>0</v>
      </c>
      <c r="AS40" s="3" t="n">
        <v>-0</v>
      </c>
      <c r="AT40" s="3" t="n">
        <v>-0.162906319216979</v>
      </c>
      <c r="AU40" s="3">
        <f>SUM(AN40:AT40)</f>
        <v/>
      </c>
      <c r="AV40" s="7">
        <f>IF(OR(N(W40)&lt;=0,N(BG40)=0),0,N(W40)*IF(N(R40)/N(W40)&gt;=60,N(BG40),1))</f>
        <v/>
      </c>
      <c r="AW40" s="7">
        <f>N(W40)*N(AF40)*N(BH40)</f>
        <v/>
      </c>
      <c r="AX40" s="7">
        <f>N(AL40)*(Assumptions!$B$13*N(BJ40)-(1-Assumptions!$B$13)*Assumptions!$B$14)+N(AM40)</f>
        <v/>
      </c>
      <c r="AY40" s="7">
        <f>N(AU40)*N(R40)/90+N(AV40)+N(AW40)+N(AX40)</f>
        <v/>
      </c>
      <c r="AZ40" s="3">
        <f>IF(N(R40)&lt;=0,0,(N(AY40)-N(AX40))*90/N(R40))</f>
        <v/>
      </c>
      <c r="BA40" s="7">
        <f>IFERROR(AY40-VLOOKUP($E40,Assumptions!$A$40:$C$43,3,FALSE),"")</f>
        <v/>
      </c>
      <c r="BB40" s="3">
        <f>IFERROR(BA40/H40,"")</f>
        <v/>
      </c>
      <c r="BC40">
        <f>IF(AND($G40=TRUE,$E40="GKP"),AY40,"")</f>
        <v/>
      </c>
      <c r="BD40">
        <f>IF(AND($G40=TRUE,$E40="DEF"),AY40,"")</f>
        <v/>
      </c>
      <c r="BE40">
        <f>IF(AND($G40=TRUE,$E40="MID"),AY40,"")</f>
        <v/>
      </c>
      <c r="BF40">
        <f>IF(AND($G40=TRUE,$E40="FWD"),AY40,"")</f>
        <v/>
      </c>
      <c r="BG40" t="n">
        <v>2</v>
      </c>
      <c r="BH40" t="n">
        <v>2</v>
      </c>
      <c r="BI40" t="n">
        <v>1</v>
      </c>
      <c r="BJ40" t="n">
        <v>5</v>
      </c>
    </row>
    <row r="41">
      <c r="A41" t="inlineStr">
        <is>
          <t>Daniel Muñoz</t>
        </is>
      </c>
      <c r="B41" t="inlineStr">
        <is>
          <t>CRY</t>
        </is>
      </c>
      <c r="C41" t="inlineStr">
        <is>
          <t>CRY</t>
        </is>
      </c>
      <c r="D41" t="b">
        <v>0</v>
      </c>
      <c r="E41" t="inlineStr">
        <is>
          <t>DEF</t>
        </is>
      </c>
      <c r="F41" t="inlineStr">
        <is>
          <t>DEF</t>
        </is>
      </c>
      <c r="G41" t="b">
        <v>1</v>
      </c>
      <c r="H41" s="2" t="n">
        <v>5.5</v>
      </c>
      <c r="I41" t="inlineStr">
        <is>
          <t>a</t>
        </is>
      </c>
      <c r="K41" s="2" t="n">
        <v>2400</v>
      </c>
      <c r="L41" t="n">
        <v>136</v>
      </c>
      <c r="M41" s="3" t="n">
        <v>3055</v>
      </c>
      <c r="N41" s="4" t="n">
        <v>2600</v>
      </c>
      <c r="O41" s="4" t="n">
        <v>-455</v>
      </c>
      <c r="P41" s="5" t="inlineStr">
        <is>
          <t>medium</t>
        </is>
      </c>
      <c r="Q41" t="inlineStr">
        <is>
          <t>flat</t>
        </is>
      </c>
      <c r="R41" s="6" t="n">
        <v>2600</v>
      </c>
      <c r="S41" t="inlineStr">
        <is>
          <t>research</t>
        </is>
      </c>
      <c r="T41" s="5" t="inlineStr">
        <is>
          <t>Still the first-choice right wing-back, but Palace added two players who can fill that slot after Solio's cut-off: Mingueza on 9 July and Khalaili on 15 August, the latter explicitly as competition on the right. Combined with the Europa League league phase, 34 full matches is too high a ceiling.</t>
        </is>
      </c>
      <c r="U41" s="6" t="n">
        <v>83.5</v>
      </c>
      <c r="V41" s="2" t="n">
        <v>29</v>
      </c>
      <c r="W41" s="7">
        <f>IF(N(U41)&lt;=0,0,MIN(Assumptions!$B$15,N(R41)/N(U41)))</f>
        <v/>
      </c>
      <c r="X41" s="6" t="n">
        <v>0.216</v>
      </c>
      <c r="Y41" s="3" t="n">
        <v>0.08119999999999999</v>
      </c>
      <c r="Z41" t="inlineStr">
        <is>
          <t>adjusted xGOT</t>
        </is>
      </c>
      <c r="AA41" s="3" t="n">
        <v>1</v>
      </c>
      <c r="AB41" s="3" t="n">
        <v>0.884</v>
      </c>
      <c r="AC41" s="3" t="n">
        <v>8.6</v>
      </c>
      <c r="AD41" s="3" t="n">
        <v>0.1689</v>
      </c>
      <c r="AE41" s="3" t="n">
        <v>7.427</v>
      </c>
      <c r="AF41" s="3" t="n">
        <v>0.1585865234751795</v>
      </c>
      <c r="AG41" s="3" t="n">
        <v>0.3375</v>
      </c>
      <c r="AH41" s="3" t="n">
        <v>55</v>
      </c>
      <c r="AI41" s="3" t="n">
        <v>3.2035</v>
      </c>
      <c r="AJ41" s="3" t="n">
        <v>1.5923</v>
      </c>
      <c r="AK41" s="3" t="n">
        <v>-0.269567792305615</v>
      </c>
      <c r="AL41" s="6" t="n">
        <v>0</v>
      </c>
      <c r="AM41" s="3" t="n">
        <v>0</v>
      </c>
      <c r="AN41" s="3" t="n">
        <v>0.4872</v>
      </c>
      <c r="AO41" s="3" t="n">
        <v>0.6688439999999999</v>
      </c>
      <c r="AP41" s="3">
        <f>N(X41)*N(BI41)</f>
        <v/>
      </c>
      <c r="AQ41" s="3" t="n">
        <v>0.3375</v>
      </c>
      <c r="AR41" s="3" t="n">
        <v>0</v>
      </c>
      <c r="AS41" s="3" t="n">
        <v>-0.5564987001023466</v>
      </c>
      <c r="AT41" s="3" t="n">
        <v>-0.269567792305615</v>
      </c>
      <c r="AU41" s="3">
        <f>SUM(AN41:AT41)</f>
        <v/>
      </c>
      <c r="AV41" s="7">
        <f>IF(OR(N(W41)&lt;=0,N(BG41)=0),0,N(W41)*IF(N(R41)/N(W41)&gt;=60,N(BG41),1))</f>
        <v/>
      </c>
      <c r="AW41" s="7">
        <f>N(W41)*N(AF41)*N(BH41)</f>
        <v/>
      </c>
      <c r="AX41" s="7">
        <f>N(AL41)*(Assumptions!$B$13*N(BJ41)-(1-Assumptions!$B$13)*Assumptions!$B$14)+N(AM41)</f>
        <v/>
      </c>
      <c r="AY41" s="7">
        <f>N(AU41)*N(R41)/90+N(AV41)+N(AW41)+N(AX41)</f>
        <v/>
      </c>
      <c r="AZ41" s="3">
        <f>IF(N(R41)&lt;=0,0,(N(AY41)-N(AX41))*90/N(R41))</f>
        <v/>
      </c>
      <c r="BA41" s="7">
        <f>IFERROR(AY41-VLOOKUP($E41,Assumptions!$A$40:$C$43,3,FALSE),"")</f>
        <v/>
      </c>
      <c r="BB41" s="3">
        <f>IFERROR(BA41/H41,"")</f>
        <v/>
      </c>
      <c r="BC41">
        <f>IF(AND($G41=TRUE,$E41="GKP"),AY41,"")</f>
        <v/>
      </c>
      <c r="BD41">
        <f>IF(AND($G41=TRUE,$E41="DEF"),AY41,"")</f>
        <v/>
      </c>
      <c r="BE41">
        <f>IF(AND($G41=TRUE,$E41="MID"),AY41,"")</f>
        <v/>
      </c>
      <c r="BF41">
        <f>IF(AND($G41=TRUE,$E41="FWD"),AY41,"")</f>
        <v/>
      </c>
      <c r="BG41" t="n">
        <v>2</v>
      </c>
      <c r="BH41" t="n">
        <v>2</v>
      </c>
      <c r="BI41" t="n">
        <v>4</v>
      </c>
      <c r="BJ41" t="n">
        <v>6</v>
      </c>
    </row>
    <row r="42">
      <c r="A42" t="inlineStr">
        <is>
          <t>Trevoh Chalobah</t>
        </is>
      </c>
      <c r="B42" t="inlineStr">
        <is>
          <t>CHE</t>
        </is>
      </c>
      <c r="C42" t="inlineStr">
        <is>
          <t>CHE</t>
        </is>
      </c>
      <c r="D42" t="b">
        <v>0</v>
      </c>
      <c r="E42" t="inlineStr">
        <is>
          <t>DEF</t>
        </is>
      </c>
      <c r="F42" t="inlineStr">
        <is>
          <t>DEF</t>
        </is>
      </c>
      <c r="G42" t="b">
        <v>1</v>
      </c>
      <c r="H42" s="2" t="n">
        <v>5.5</v>
      </c>
      <c r="I42" t="inlineStr">
        <is>
          <t>u</t>
        </is>
      </c>
      <c r="J42" t="inlineStr">
        <is>
          <t>Has joined Como permanently</t>
        </is>
      </c>
      <c r="K42" s="2" t="n">
        <v>2780</v>
      </c>
      <c r="L42" t="n">
        <v>136</v>
      </c>
      <c r="M42" s="3" t="n"/>
      <c r="N42" s="4" t="n">
        <v>0</v>
      </c>
      <c r="O42" s="4" t="n">
        <v>-2780</v>
      </c>
      <c r="P42" s="5" t="inlineStr">
        <is>
          <t>high</t>
        </is>
      </c>
      <c r="R42" s="6" t="n">
        <v>0</v>
      </c>
      <c r="S42" t="inlineStr">
        <is>
          <t>research</t>
        </is>
      </c>
      <c r="T42" s="5" t="inlineStr">
        <is>
          <t>Left the club. Permanent transfer to Como on 9 August 2026 for GBP 25.7m. The official FPL game flagged him unavailable on 2026-08-10 with the note 'Has joined Como permanently'. He cannot play a single Premier League minute for Chelsea, so Solio's 2,780 is pure error and is on its own 89% of the club's over-allocation.</t>
        </is>
      </c>
      <c r="U42" s="6" t="n">
        <v>88.3</v>
      </c>
      <c r="V42" s="2" t="n">
        <v>30</v>
      </c>
      <c r="W42" s="7">
        <f>IF(N(U42)&lt;=0,0,MIN(Assumptions!$B$15,N(R42)/N(U42)))</f>
        <v/>
      </c>
      <c r="X42" s="6" t="n">
        <v>0.322</v>
      </c>
      <c r="Y42" s="3" t="n">
        <v>0.0555</v>
      </c>
      <c r="Z42" t="inlineStr">
        <is>
          <t>adjusted xGOT</t>
        </is>
      </c>
      <c r="AA42" s="3" t="n">
        <v>1</v>
      </c>
      <c r="AB42" s="3" t="n">
        <v>1.19</v>
      </c>
      <c r="AC42" s="3" t="n">
        <v>4.4</v>
      </c>
      <c r="AD42" s="3" t="n">
        <v>0.0269</v>
      </c>
      <c r="AE42" s="3" t="n">
        <v>8.395</v>
      </c>
      <c r="AF42" s="3" t="n">
        <v>0.3131100739185544</v>
      </c>
      <c r="AG42" s="3" t="n">
        <v>0.1942</v>
      </c>
      <c r="AH42" s="3" t="n">
        <v>64</v>
      </c>
      <c r="AI42" s="3" t="n">
        <v>2.4232</v>
      </c>
      <c r="AJ42" s="3" t="n">
        <v>1.1851</v>
      </c>
      <c r="AK42" s="3" t="n">
        <v>-0.1478183144863072</v>
      </c>
      <c r="AL42" s="6" t="n">
        <v>0</v>
      </c>
      <c r="AM42" s="3" t="n">
        <v>0</v>
      </c>
      <c r="AN42" s="3" t="n">
        <v>0.333</v>
      </c>
      <c r="AO42" s="3" t="n">
        <v>0.106524</v>
      </c>
      <c r="AP42" s="3">
        <f>N(X42)*N(BI42)</f>
        <v/>
      </c>
      <c r="AQ42" s="3" t="n">
        <v>0.1942</v>
      </c>
      <c r="AR42" s="3" t="n">
        <v>0</v>
      </c>
      <c r="AS42" s="3" t="n">
        <v>-0.365915508000572</v>
      </c>
      <c r="AT42" s="3" t="n">
        <v>-0.1478183144863072</v>
      </c>
      <c r="AU42" s="3">
        <f>SUM(AN42:AT42)</f>
        <v/>
      </c>
      <c r="AV42" s="7">
        <f>IF(OR(N(W42)&lt;=0,N(BG42)=0),0,N(W42)*IF(N(R42)/N(W42)&gt;=60,N(BG42),1))</f>
        <v/>
      </c>
      <c r="AW42" s="7">
        <f>N(W42)*N(AF42)*N(BH42)</f>
        <v/>
      </c>
      <c r="AX42" s="7">
        <f>N(AL42)*(Assumptions!$B$13*N(BJ42)-(1-Assumptions!$B$13)*Assumptions!$B$14)+N(AM42)</f>
        <v/>
      </c>
      <c r="AY42" s="7">
        <f>N(AU42)*N(R42)/90+N(AV42)+N(AW42)+N(AX42)</f>
        <v/>
      </c>
      <c r="AZ42" s="3">
        <f>IF(N(R42)&lt;=0,0,(N(AY42)-N(AX42))*90/N(R42))</f>
        <v/>
      </c>
      <c r="BA42" s="7">
        <f>IFERROR(AY42-VLOOKUP($E42,Assumptions!$A$40:$C$43,3,FALSE),"")</f>
        <v/>
      </c>
      <c r="BB42" s="3">
        <f>IFERROR(BA42/H42,"")</f>
        <v/>
      </c>
      <c r="BC42">
        <f>IF(AND($G42=TRUE,$E42="GKP"),AY42,"")</f>
        <v/>
      </c>
      <c r="BD42">
        <f>IF(AND($G42=TRUE,$E42="DEF"),AY42,"")</f>
        <v/>
      </c>
      <c r="BE42">
        <f>IF(AND($G42=TRUE,$E42="MID"),AY42,"")</f>
        <v/>
      </c>
      <c r="BF42">
        <f>IF(AND($G42=TRUE,$E42="FWD"),AY42,"")</f>
        <v/>
      </c>
      <c r="BG42" t="n">
        <v>2</v>
      </c>
      <c r="BH42" t="n">
        <v>2</v>
      </c>
      <c r="BI42" t="n">
        <v>4</v>
      </c>
      <c r="BJ42" t="n">
        <v>6</v>
      </c>
    </row>
    <row r="43">
      <c r="A43" t="inlineStr">
        <is>
          <t>Robin Roefs</t>
        </is>
      </c>
      <c r="B43" t="inlineStr">
        <is>
          <t>SUN</t>
        </is>
      </c>
      <c r="C43" t="inlineStr">
        <is>
          <t>SUN</t>
        </is>
      </c>
      <c r="D43" t="b">
        <v>0</v>
      </c>
      <c r="E43" t="inlineStr">
        <is>
          <t>GKP</t>
        </is>
      </c>
      <c r="F43" t="inlineStr">
        <is>
          <t>GKP</t>
        </is>
      </c>
      <c r="G43" t="b">
        <v>1</v>
      </c>
      <c r="H43" s="2" t="n">
        <v>5</v>
      </c>
      <c r="I43" t="inlineStr">
        <is>
          <t>a</t>
        </is>
      </c>
      <c r="K43" s="2" t="n">
        <v>3150</v>
      </c>
      <c r="L43" t="n">
        <v>136</v>
      </c>
      <c r="M43" s="3" t="n">
        <v>3420</v>
      </c>
      <c r="N43" s="8" t="n">
        <v>3420</v>
      </c>
      <c r="O43" s="8" t="n">
        <v>0</v>
      </c>
      <c r="Q43" t="inlineStr">
        <is>
          <t>flat</t>
        </is>
      </c>
      <c r="R43" s="6" t="n">
        <v>3420</v>
      </c>
      <c r="S43" t="inlineStr">
        <is>
          <t>Solio</t>
        </is>
      </c>
      <c r="U43" s="6" t="n">
        <v>90</v>
      </c>
      <c r="V43" s="2" t="n">
        <v>35</v>
      </c>
      <c r="W43" s="7">
        <f>IF(N(U43)&lt;=0,0,MIN(Assumptions!$B$15,N(R43)/N(U43)))</f>
        <v/>
      </c>
      <c r="X43" s="6" t="n">
        <v>0.204</v>
      </c>
      <c r="Y43" s="3" t="n">
        <v>0</v>
      </c>
      <c r="Z43" t="inlineStr">
        <is>
          <t>blended xG</t>
        </is>
      </c>
      <c r="AA43" s="3" t="n">
        <v>1</v>
      </c>
      <c r="AB43" s="3" t="n">
        <v>1</v>
      </c>
      <c r="AC43" s="3" t="n">
        <v>0</v>
      </c>
      <c r="AD43" s="3" t="n">
        <v>0.0115</v>
      </c>
      <c r="AE43" s="3" t="n">
        <v>0</v>
      </c>
      <c r="AF43" s="3" t="n">
        <v>0</v>
      </c>
      <c r="AG43" s="3" t="n">
        <v>0.3429</v>
      </c>
      <c r="AH43" s="3" t="n">
        <v>70</v>
      </c>
      <c r="AI43" s="3" t="n">
        <v>3.3348</v>
      </c>
      <c r="AJ43" s="3" t="n">
        <v>1.6498</v>
      </c>
      <c r="AK43" s="3" t="n">
        <v>-0.1044073085244976</v>
      </c>
      <c r="AL43" s="6" t="n">
        <v>0</v>
      </c>
      <c r="AM43" s="3" t="n">
        <v>3.522067439248842</v>
      </c>
      <c r="AN43" s="3" t="n">
        <v>0</v>
      </c>
      <c r="AO43" s="3" t="n">
        <v>0.04554</v>
      </c>
      <c r="AP43" s="3">
        <f>N(X43)*N(BI43)</f>
        <v/>
      </c>
      <c r="AQ43" s="3" t="n">
        <v>0.3429</v>
      </c>
      <c r="AR43" s="3" t="n">
        <v>0.7764218657798218</v>
      </c>
      <c r="AS43" s="3" t="n">
        <v>-0.5841244809045405</v>
      </c>
      <c r="AT43" s="3" t="n">
        <v>-0.1044073085244976</v>
      </c>
      <c r="AU43" s="3">
        <f>SUM(AN43:AT43)</f>
        <v/>
      </c>
      <c r="AV43" s="7">
        <f>IF(OR(N(W43)&lt;=0,N(BG43)=0),0,N(W43)*IF(N(R43)/N(W43)&gt;=60,N(BG43),1))</f>
        <v/>
      </c>
      <c r="AW43" s="7">
        <f>N(W43)*N(AF43)*N(BH43)</f>
        <v/>
      </c>
      <c r="AX43" s="7">
        <f>N(AL43)*(Assumptions!$B$13*N(BJ43)-(1-Assumptions!$B$13)*Assumptions!$B$14)+N(AM43)</f>
        <v/>
      </c>
      <c r="AY43" s="7">
        <f>N(AU43)*N(R43)/90+N(AV43)+N(AW43)+N(AX43)</f>
        <v/>
      </c>
      <c r="AZ43" s="3">
        <f>IF(N(R43)&lt;=0,0,(N(AY43)-N(AX43))*90/N(R43))</f>
        <v/>
      </c>
      <c r="BA43" s="7">
        <f>IFERROR(AY43-VLOOKUP($E43,Assumptions!$A$40:$C$43,3,FALSE),"")</f>
        <v/>
      </c>
      <c r="BB43" s="3">
        <f>IFERROR(BA43/H43,"")</f>
        <v/>
      </c>
      <c r="BC43">
        <f>IF(AND($G43=TRUE,$E43="GKP"),AY43,"")</f>
        <v/>
      </c>
      <c r="BD43">
        <f>IF(AND($G43=TRUE,$E43="DEF"),AY43,"")</f>
        <v/>
      </c>
      <c r="BE43">
        <f>IF(AND($G43=TRUE,$E43="MID"),AY43,"")</f>
        <v/>
      </c>
      <c r="BF43">
        <f>IF(AND($G43=TRUE,$E43="FWD"),AY43,"")</f>
        <v/>
      </c>
      <c r="BG43" t="n">
        <v>2</v>
      </c>
      <c r="BH43" t="n">
        <v>0</v>
      </c>
      <c r="BI43" t="n">
        <v>4</v>
      </c>
      <c r="BJ43" t="n">
        <v>10</v>
      </c>
    </row>
    <row r="44">
      <c r="A44" t="inlineStr">
        <is>
          <t>Dango Ouattara</t>
        </is>
      </c>
      <c r="B44" t="inlineStr">
        <is>
          <t>BRE</t>
        </is>
      </c>
      <c r="C44" t="inlineStr">
        <is>
          <t>BRE</t>
        </is>
      </c>
      <c r="D44" t="b">
        <v>0</v>
      </c>
      <c r="E44" t="inlineStr">
        <is>
          <t>MID</t>
        </is>
      </c>
      <c r="F44" t="inlineStr">
        <is>
          <t>MID</t>
        </is>
      </c>
      <c r="G44" t="b">
        <v>1</v>
      </c>
      <c r="H44" s="2" t="n">
        <v>6.5</v>
      </c>
      <c r="I44" t="inlineStr">
        <is>
          <t>a</t>
        </is>
      </c>
      <c r="K44" s="2" t="n">
        <v>2271</v>
      </c>
      <c r="L44" t="n">
        <v>136</v>
      </c>
      <c r="M44" s="3" t="n">
        <v>2878</v>
      </c>
      <c r="N44" s="8" t="n">
        <v>2878</v>
      </c>
      <c r="O44" s="8" t="n">
        <v>0</v>
      </c>
      <c r="Q44" t="inlineStr">
        <is>
          <t>flat</t>
        </is>
      </c>
      <c r="R44" s="6" t="n">
        <v>2878</v>
      </c>
      <c r="S44" t="inlineStr">
        <is>
          <t>Solio</t>
        </is>
      </c>
      <c r="U44" s="6" t="n">
        <v>83.09999999999999</v>
      </c>
      <c r="V44" s="2" t="n">
        <v>25</v>
      </c>
      <c r="W44" s="7">
        <f>IF(N(U44)&lt;=0,0,MIN(Assumptions!$B$15,N(R44)/N(U44)))</f>
        <v/>
      </c>
      <c r="X44" s="6" t="n">
        <v>0.228</v>
      </c>
      <c r="Y44" s="3" t="n">
        <v>0.2639</v>
      </c>
      <c r="Z44" t="inlineStr">
        <is>
          <t>adjusted xGOT</t>
        </is>
      </c>
      <c r="AA44" s="3" t="n">
        <v>1</v>
      </c>
      <c r="AB44" s="3" t="n">
        <v>0.838</v>
      </c>
      <c r="AC44" s="3" t="n">
        <v>22.5</v>
      </c>
      <c r="AD44" s="3" t="n">
        <v>0.1978</v>
      </c>
      <c r="AE44" s="3" t="n">
        <v>7.631</v>
      </c>
      <c r="AF44" s="3" t="n">
        <v>0.05545287080309569</v>
      </c>
      <c r="AG44" s="3" t="n">
        <v>0.6341</v>
      </c>
      <c r="AH44" s="3" t="n">
        <v>56</v>
      </c>
      <c r="AI44" s="3" t="n">
        <v>3.2371</v>
      </c>
      <c r="AJ44" s="3" t="n">
        <v>1.5396</v>
      </c>
      <c r="AK44" s="3" t="n">
        <v>-0.203302718715831</v>
      </c>
      <c r="AL44" s="6" t="n">
        <v>0</v>
      </c>
      <c r="AM44" s="3" t="n">
        <v>0</v>
      </c>
      <c r="AN44" s="3" t="n">
        <v>1.3195</v>
      </c>
      <c r="AO44" s="3" t="n">
        <v>0.7832880000000001</v>
      </c>
      <c r="AP44" s="3">
        <f>N(X44)*N(BI44)</f>
        <v/>
      </c>
      <c r="AQ44" s="3" t="n">
        <v>0.6341</v>
      </c>
      <c r="AR44" s="3" t="n">
        <v>0</v>
      </c>
      <c r="AS44" s="3" t="n">
        <v>-0</v>
      </c>
      <c r="AT44" s="3" t="n">
        <v>-0.203302718715831</v>
      </c>
      <c r="AU44" s="3">
        <f>SUM(AN44:AT44)</f>
        <v/>
      </c>
      <c r="AV44" s="7">
        <f>IF(OR(N(W44)&lt;=0,N(BG44)=0),0,N(W44)*IF(N(R44)/N(W44)&gt;=60,N(BG44),1))</f>
        <v/>
      </c>
      <c r="AW44" s="7">
        <f>N(W44)*N(AF44)*N(BH44)</f>
        <v/>
      </c>
      <c r="AX44" s="7">
        <f>N(AL44)*(Assumptions!$B$13*N(BJ44)-(1-Assumptions!$B$13)*Assumptions!$B$14)+N(AM44)</f>
        <v/>
      </c>
      <c r="AY44" s="7">
        <f>N(AU44)*N(R44)/90+N(AV44)+N(AW44)+N(AX44)</f>
        <v/>
      </c>
      <c r="AZ44" s="3">
        <f>IF(N(R44)&lt;=0,0,(N(AY44)-N(AX44))*90/N(R44))</f>
        <v/>
      </c>
      <c r="BA44" s="7">
        <f>IFERROR(AY44-VLOOKUP($E44,Assumptions!$A$40:$C$43,3,FALSE),"")</f>
        <v/>
      </c>
      <c r="BB44" s="3">
        <f>IFERROR(BA44/H44,"")</f>
        <v/>
      </c>
      <c r="BC44">
        <f>IF(AND($G44=TRUE,$E44="GKP"),AY44,"")</f>
        <v/>
      </c>
      <c r="BD44">
        <f>IF(AND($G44=TRUE,$E44="DEF"),AY44,"")</f>
        <v/>
      </c>
      <c r="BE44">
        <f>IF(AND($G44=TRUE,$E44="MID"),AY44,"")</f>
        <v/>
      </c>
      <c r="BF44">
        <f>IF(AND($G44=TRUE,$E44="FWD"),AY44,"")</f>
        <v/>
      </c>
      <c r="BG44" t="n">
        <v>2</v>
      </c>
      <c r="BH44" t="n">
        <v>2</v>
      </c>
      <c r="BI44" t="n">
        <v>1</v>
      </c>
      <c r="BJ44" t="n">
        <v>5</v>
      </c>
    </row>
    <row r="45">
      <c r="A45" t="inlineStr">
        <is>
          <t>Alex Scott</t>
        </is>
      </c>
      <c r="B45" t="inlineStr">
        <is>
          <t>BOU</t>
        </is>
      </c>
      <c r="C45" t="inlineStr">
        <is>
          <t>BOU</t>
        </is>
      </c>
      <c r="D45" t="b">
        <v>0</v>
      </c>
      <c r="E45" t="inlineStr">
        <is>
          <t>MID</t>
        </is>
      </c>
      <c r="F45" t="inlineStr">
        <is>
          <t>MID</t>
        </is>
      </c>
      <c r="G45" t="b">
        <v>1</v>
      </c>
      <c r="H45" s="2" t="n">
        <v>6</v>
      </c>
      <c r="I45" t="inlineStr">
        <is>
          <t>a</t>
        </is>
      </c>
      <c r="K45" s="2" t="n">
        <v>2848</v>
      </c>
      <c r="L45" t="n">
        <v>136</v>
      </c>
      <c r="M45" s="3" t="n">
        <v>3175</v>
      </c>
      <c r="N45" s="4" t="n">
        <v>2800</v>
      </c>
      <c r="O45" s="4" t="n">
        <v>-375</v>
      </c>
      <c r="P45" s="5" t="inlineStr">
        <is>
          <t>low</t>
        </is>
      </c>
      <c r="Q45" t="inlineStr">
        <is>
          <t>flat</t>
        </is>
      </c>
      <c r="R45" s="6" t="n">
        <v>2800</v>
      </c>
      <c r="S45" t="inlineStr">
        <is>
          <t>research</t>
        </is>
      </c>
      <c r="T45" s="5" t="inlineStr">
        <is>
          <t>A trim, not a demotion - Scott is a first-choice midfielder and started vs Betis. But he was missing from both the XI and the bench for the 15 Aug Mainz friendly with no explanation given, Chelsea had a reported GBP 64m bid rejected in late July with two years left on his contract, and 3175 minutes is 93% of a midfield slot for a club playing European football for the first time.</t>
        </is>
      </c>
      <c r="U45" s="6" t="n">
        <v>80.3</v>
      </c>
      <c r="V45" s="2" t="n">
        <v>34</v>
      </c>
      <c r="W45" s="7">
        <f>IF(N(U45)&lt;=0,0,MIN(Assumptions!$B$15,N(R45)/N(U45)))</f>
        <v/>
      </c>
      <c r="X45" s="6" t="n">
        <v>0.23</v>
      </c>
      <c r="Y45" s="3" t="n">
        <v>0.116</v>
      </c>
      <c r="Z45" t="inlineStr">
        <is>
          <t>adjusted xGOT</t>
        </is>
      </c>
      <c r="AA45" s="3" t="n">
        <v>1</v>
      </c>
      <c r="AB45" s="3" t="n">
        <v>0.966</v>
      </c>
      <c r="AC45" s="3" t="n">
        <v>5.4</v>
      </c>
      <c r="AD45" s="3" t="n">
        <v>0.0921</v>
      </c>
      <c r="AE45" s="3" t="n">
        <v>11.467</v>
      </c>
      <c r="AF45" s="3" t="n">
        <v>0.3297899588476669</v>
      </c>
      <c r="AG45" s="3" t="n">
        <v>0.2844</v>
      </c>
      <c r="AH45" s="3" t="n">
        <v>70</v>
      </c>
      <c r="AI45" s="3" t="n">
        <v>3.0957</v>
      </c>
      <c r="AJ45" s="3" t="n">
        <v>1.53</v>
      </c>
      <c r="AK45" s="3" t="n">
        <v>-0.2127229798922649</v>
      </c>
      <c r="AL45" s="6" t="n">
        <v>0</v>
      </c>
      <c r="AM45" s="3" t="n">
        <v>0</v>
      </c>
      <c r="AN45" s="3" t="n">
        <v>0.5800000000000001</v>
      </c>
      <c r="AO45" s="3" t="n">
        <v>0.364716</v>
      </c>
      <c r="AP45" s="3">
        <f>N(X45)*N(BI45)</f>
        <v/>
      </c>
      <c r="AQ45" s="3" t="n">
        <v>0.2844</v>
      </c>
      <c r="AR45" s="3" t="n">
        <v>0</v>
      </c>
      <c r="AS45" s="3" t="n">
        <v>-0</v>
      </c>
      <c r="AT45" s="3" t="n">
        <v>-0.2127229798922649</v>
      </c>
      <c r="AU45" s="3">
        <f>SUM(AN45:AT45)</f>
        <v/>
      </c>
      <c r="AV45" s="7">
        <f>IF(OR(N(W45)&lt;=0,N(BG45)=0),0,N(W45)*IF(N(R45)/N(W45)&gt;=60,N(BG45),1))</f>
        <v/>
      </c>
      <c r="AW45" s="7">
        <f>N(W45)*N(AF45)*N(BH45)</f>
        <v/>
      </c>
      <c r="AX45" s="7">
        <f>N(AL45)*(Assumptions!$B$13*N(BJ45)-(1-Assumptions!$B$13)*Assumptions!$B$14)+N(AM45)</f>
        <v/>
      </c>
      <c r="AY45" s="7">
        <f>N(AU45)*N(R45)/90+N(AV45)+N(AW45)+N(AX45)</f>
        <v/>
      </c>
      <c r="AZ45" s="3">
        <f>IF(N(R45)&lt;=0,0,(N(AY45)-N(AX45))*90/N(R45))</f>
        <v/>
      </c>
      <c r="BA45" s="7">
        <f>IFERROR(AY45-VLOOKUP($E45,Assumptions!$A$40:$C$43,3,FALSE),"")</f>
        <v/>
      </c>
      <c r="BB45" s="3">
        <f>IFERROR(BA45/H45,"")</f>
        <v/>
      </c>
      <c r="BC45">
        <f>IF(AND($G45=TRUE,$E45="GKP"),AY45,"")</f>
        <v/>
      </c>
      <c r="BD45">
        <f>IF(AND($G45=TRUE,$E45="DEF"),AY45,"")</f>
        <v/>
      </c>
      <c r="BE45">
        <f>IF(AND($G45=TRUE,$E45="MID"),AY45,"")</f>
        <v/>
      </c>
      <c r="BF45">
        <f>IF(AND($G45=TRUE,$E45="FWD"),AY45,"")</f>
        <v/>
      </c>
      <c r="BG45" t="n">
        <v>2</v>
      </c>
      <c r="BH45" t="n">
        <v>2</v>
      </c>
      <c r="BI45" t="n">
        <v>1</v>
      </c>
      <c r="BJ45" t="n">
        <v>5</v>
      </c>
    </row>
    <row r="46">
      <c r="A46" s="9" t="inlineStr">
        <is>
          <t>Mateus Fernandes</t>
        </is>
      </c>
      <c r="B46" t="inlineStr">
        <is>
          <t>TOT</t>
        </is>
      </c>
      <c r="C46" s="9" t="inlineStr">
        <is>
          <t>WHU</t>
        </is>
      </c>
      <c r="D46" t="b">
        <v>1</v>
      </c>
      <c r="E46" t="inlineStr">
        <is>
          <t>MID</t>
        </is>
      </c>
      <c r="F46" t="inlineStr">
        <is>
          <t>MID</t>
        </is>
      </c>
      <c r="G46" t="b">
        <v>1</v>
      </c>
      <c r="H46" s="2" t="n">
        <v>6</v>
      </c>
      <c r="I46" t="inlineStr">
        <is>
          <t>a</t>
        </is>
      </c>
      <c r="K46" s="2" t="n">
        <v>3017</v>
      </c>
      <c r="L46" t="n">
        <v>135</v>
      </c>
      <c r="M46" s="3" t="n">
        <v>3089</v>
      </c>
      <c r="N46" s="8" t="n">
        <v>3089</v>
      </c>
      <c r="O46" s="8" t="n">
        <v>0</v>
      </c>
      <c r="Q46" t="inlineStr">
        <is>
          <t>flat</t>
        </is>
      </c>
      <c r="R46" s="6" t="n">
        <v>3089</v>
      </c>
      <c r="S46" t="inlineStr">
        <is>
          <t>Solio</t>
        </is>
      </c>
      <c r="U46" s="6" t="n">
        <v>84.3</v>
      </c>
      <c r="V46" s="2" t="n">
        <v>35</v>
      </c>
      <c r="W46" s="7">
        <f>IF(N(U46)&lt;=0,0,MIN(Assumptions!$B$15,N(R46)/N(U46)))</f>
        <v/>
      </c>
      <c r="X46" s="6" t="n">
        <v>0.286</v>
      </c>
      <c r="Y46" s="10" t="n">
        <v>0.0501</v>
      </c>
      <c r="Z46" t="inlineStr">
        <is>
          <t>adjusted xGOT</t>
        </is>
      </c>
      <c r="AA46" s="3" t="n">
        <v>1</v>
      </c>
      <c r="AB46" s="3" t="n">
        <v>0.843</v>
      </c>
      <c r="AC46" s="3" t="n">
        <v>6.1</v>
      </c>
      <c r="AD46" s="10" t="n">
        <v>0.0939</v>
      </c>
      <c r="AE46" s="3" t="n">
        <v>10.539</v>
      </c>
      <c r="AF46" s="3" t="n">
        <v>0.2887100025918433</v>
      </c>
      <c r="AG46" s="3" t="n">
        <v>0.179</v>
      </c>
      <c r="AH46" s="3" t="n">
        <v>70</v>
      </c>
      <c r="AI46" s="3" t="n">
        <v>2.5739</v>
      </c>
      <c r="AJ46" s="3" t="n">
        <v>1.3096</v>
      </c>
      <c r="AK46" s="3" t="n">
        <v>-0.2341130422141206</v>
      </c>
      <c r="AL46" s="6" t="n">
        <v>0</v>
      </c>
      <c r="AM46" s="3" t="n">
        <v>0</v>
      </c>
      <c r="AN46" s="10" t="n">
        <v>0.2505</v>
      </c>
      <c r="AO46" s="10" t="n">
        <v>0.371844</v>
      </c>
      <c r="AP46" s="3">
        <f>N(X46)*N(BI46)</f>
        <v/>
      </c>
      <c r="AQ46" s="3" t="n">
        <v>0.179</v>
      </c>
      <c r="AR46" s="3" t="n">
        <v>0</v>
      </c>
      <c r="AS46" s="3" t="n">
        <v>-0</v>
      </c>
      <c r="AT46" s="3" t="n">
        <v>-0.2341130422141206</v>
      </c>
      <c r="AU46" s="3">
        <f>SUM(AN46:AT46)</f>
        <v/>
      </c>
      <c r="AV46" s="7">
        <f>IF(OR(N(W46)&lt;=0,N(BG46)=0),0,N(W46)*IF(N(R46)/N(W46)&gt;=60,N(BG46),1))</f>
        <v/>
      </c>
      <c r="AW46" s="7">
        <f>N(W46)*N(AF46)*N(BH46)</f>
        <v/>
      </c>
      <c r="AX46" s="7">
        <f>N(AL46)*(Assumptions!$B$13*N(BJ46)-(1-Assumptions!$B$13)*Assumptions!$B$14)+N(AM46)</f>
        <v/>
      </c>
      <c r="AY46" s="7">
        <f>N(AU46)*N(R46)/90+N(AV46)+N(AW46)+N(AX46)</f>
        <v/>
      </c>
      <c r="AZ46" s="3">
        <f>IF(N(R46)&lt;=0,0,(N(AY46)-N(AX46))*90/N(R46))</f>
        <v/>
      </c>
      <c r="BA46" s="7">
        <f>IFERROR(AY46-VLOOKUP($E46,Assumptions!$A$40:$C$43,3,FALSE),"")</f>
        <v/>
      </c>
      <c r="BB46" s="3">
        <f>IFERROR(BA46/H46,"")</f>
        <v/>
      </c>
      <c r="BC46">
        <f>IF(AND($G46=TRUE,$E46="GKP"),AY46,"")</f>
        <v/>
      </c>
      <c r="BD46">
        <f>IF(AND($G46=TRUE,$E46="DEF"),AY46,"")</f>
        <v/>
      </c>
      <c r="BE46">
        <f>IF(AND($G46=TRUE,$E46="MID"),AY46,"")</f>
        <v/>
      </c>
      <c r="BF46">
        <f>IF(AND($G46=TRUE,$E46="FWD"),AY46,"")</f>
        <v/>
      </c>
      <c r="BG46" t="n">
        <v>2</v>
      </c>
      <c r="BH46" t="n">
        <v>2</v>
      </c>
      <c r="BI46" t="n">
        <v>1</v>
      </c>
      <c r="BJ46" t="n">
        <v>5</v>
      </c>
    </row>
    <row r="47">
      <c r="A47" t="inlineStr">
        <is>
          <t>Rayan Cherki</t>
        </is>
      </c>
      <c r="B47" t="inlineStr">
        <is>
          <t>MCI</t>
        </is>
      </c>
      <c r="C47" t="inlineStr">
        <is>
          <t>MCI</t>
        </is>
      </c>
      <c r="D47" t="b">
        <v>0</v>
      </c>
      <c r="E47" t="inlineStr">
        <is>
          <t>MID</t>
        </is>
      </c>
      <c r="F47" t="inlineStr">
        <is>
          <t>MID</t>
        </is>
      </c>
      <c r="G47" t="b">
        <v>1</v>
      </c>
      <c r="H47" s="2" t="n">
        <v>7.5</v>
      </c>
      <c r="I47" t="inlineStr">
        <is>
          <t>a</t>
        </is>
      </c>
      <c r="K47" s="2" t="n">
        <v>1772</v>
      </c>
      <c r="L47" t="n">
        <v>135</v>
      </c>
      <c r="M47" s="3" t="n">
        <v>1796</v>
      </c>
      <c r="N47" s="8" t="n">
        <v>1796</v>
      </c>
      <c r="O47" s="8" t="n">
        <v>0</v>
      </c>
      <c r="Q47" t="inlineStr">
        <is>
          <t>flat</t>
        </is>
      </c>
      <c r="R47" s="6" t="n">
        <v>1796</v>
      </c>
      <c r="S47" t="inlineStr">
        <is>
          <t>Solio</t>
        </is>
      </c>
      <c r="U47" s="6" t="n">
        <v>78.09999999999999</v>
      </c>
      <c r="V47" s="2" t="n">
        <v>19</v>
      </c>
      <c r="W47" s="7">
        <f>IF(N(U47)&lt;=0,0,MIN(Assumptions!$B$15,N(R47)/N(U47)))</f>
        <v/>
      </c>
      <c r="X47" s="6" t="n">
        <v>0.371</v>
      </c>
      <c r="Y47" s="3" t="n">
        <v>0.2231</v>
      </c>
      <c r="Z47" t="inlineStr">
        <is>
          <t>adjusted xGOT</t>
        </is>
      </c>
      <c r="AA47" s="3" t="n">
        <v>1</v>
      </c>
      <c r="AB47" s="3" t="n">
        <v>1.026</v>
      </c>
      <c r="AC47" s="3" t="n">
        <v>4.3</v>
      </c>
      <c r="AD47" s="3" t="n">
        <v>0.4991</v>
      </c>
      <c r="AE47" s="3" t="n">
        <v>7.354</v>
      </c>
      <c r="AF47" s="3" t="n">
        <v>0.03013623829695611</v>
      </c>
      <c r="AG47" s="3" t="n">
        <v>0.8126</v>
      </c>
      <c r="AH47" s="3" t="n">
        <v>49</v>
      </c>
      <c r="AI47" s="3" t="n">
        <v>1.9737</v>
      </c>
      <c r="AJ47" s="3" t="n">
        <v>1.0365</v>
      </c>
      <c r="AK47" s="3" t="n">
        <v>-0.1340533133526679</v>
      </c>
      <c r="AL47" s="6" t="n">
        <v>0</v>
      </c>
      <c r="AM47" s="3" t="n">
        <v>0</v>
      </c>
      <c r="AN47" s="3" t="n">
        <v>1.1155</v>
      </c>
      <c r="AO47" s="3" t="n">
        <v>1.976436</v>
      </c>
      <c r="AP47" s="3">
        <f>N(X47)*N(BI47)</f>
        <v/>
      </c>
      <c r="AQ47" s="3" t="n">
        <v>0.8126</v>
      </c>
      <c r="AR47" s="3" t="n">
        <v>0</v>
      </c>
      <c r="AS47" s="3" t="n">
        <v>-0</v>
      </c>
      <c r="AT47" s="3" t="n">
        <v>-0.1340533133526679</v>
      </c>
      <c r="AU47" s="3">
        <f>SUM(AN47:AT47)</f>
        <v/>
      </c>
      <c r="AV47" s="7">
        <f>IF(OR(N(W47)&lt;=0,N(BG47)=0),0,N(W47)*IF(N(R47)/N(W47)&gt;=60,N(BG47),1))</f>
        <v/>
      </c>
      <c r="AW47" s="7">
        <f>N(W47)*N(AF47)*N(BH47)</f>
        <v/>
      </c>
      <c r="AX47" s="7">
        <f>N(AL47)*(Assumptions!$B$13*N(BJ47)-(1-Assumptions!$B$13)*Assumptions!$B$14)+N(AM47)</f>
        <v/>
      </c>
      <c r="AY47" s="7">
        <f>N(AU47)*N(R47)/90+N(AV47)+N(AW47)+N(AX47)</f>
        <v/>
      </c>
      <c r="AZ47" s="3">
        <f>IF(N(R47)&lt;=0,0,(N(AY47)-N(AX47))*90/N(R47))</f>
        <v/>
      </c>
      <c r="BA47" s="7">
        <f>IFERROR(AY47-VLOOKUP($E47,Assumptions!$A$40:$C$43,3,FALSE),"")</f>
        <v/>
      </c>
      <c r="BB47" s="3">
        <f>IFERROR(BA47/H47,"")</f>
        <v/>
      </c>
      <c r="BC47">
        <f>IF(AND($G47=TRUE,$E47="GKP"),AY47,"")</f>
        <v/>
      </c>
      <c r="BD47">
        <f>IF(AND($G47=TRUE,$E47="DEF"),AY47,"")</f>
        <v/>
      </c>
      <c r="BE47">
        <f>IF(AND($G47=TRUE,$E47="MID"),AY47,"")</f>
        <v/>
      </c>
      <c r="BF47">
        <f>IF(AND($G47=TRUE,$E47="FWD"),AY47,"")</f>
        <v/>
      </c>
      <c r="BG47" t="n">
        <v>2</v>
      </c>
      <c r="BH47" t="n">
        <v>2</v>
      </c>
      <c r="BI47" t="n">
        <v>1</v>
      </c>
      <c r="BJ47" t="n">
        <v>5</v>
      </c>
    </row>
    <row r="48">
      <c r="A48" t="inlineStr">
        <is>
          <t>Jordan Pickford</t>
        </is>
      </c>
      <c r="B48" t="inlineStr">
        <is>
          <t>EVE</t>
        </is>
      </c>
      <c r="C48" t="inlineStr">
        <is>
          <t>EVE</t>
        </is>
      </c>
      <c r="D48" t="b">
        <v>0</v>
      </c>
      <c r="E48" t="inlineStr">
        <is>
          <t>GKP</t>
        </is>
      </c>
      <c r="F48" t="inlineStr">
        <is>
          <t>GKP</t>
        </is>
      </c>
      <c r="G48" t="b">
        <v>1</v>
      </c>
      <c r="H48" s="2" t="n">
        <v>5.5</v>
      </c>
      <c r="I48" t="inlineStr">
        <is>
          <t>a</t>
        </is>
      </c>
      <c r="K48" s="2" t="n">
        <v>3420</v>
      </c>
      <c r="L48" t="n">
        <v>135</v>
      </c>
      <c r="M48" s="3" t="n">
        <v>3385</v>
      </c>
      <c r="N48" s="8" t="n">
        <v>3385</v>
      </c>
      <c r="O48" s="8" t="n">
        <v>0</v>
      </c>
      <c r="Q48" t="inlineStr">
        <is>
          <t>flat</t>
        </is>
      </c>
      <c r="R48" s="6" t="n">
        <v>3385</v>
      </c>
      <c r="S48" t="inlineStr">
        <is>
          <t>Solio</t>
        </is>
      </c>
      <c r="U48" s="6" t="n">
        <v>90</v>
      </c>
      <c r="V48" s="2" t="n">
        <v>38</v>
      </c>
      <c r="W48" s="7">
        <f>IF(N(U48)&lt;=0,0,MIN(Assumptions!$B$15,N(R48)/N(U48)))</f>
        <v/>
      </c>
      <c r="X48" s="6" t="n">
        <v>0.231</v>
      </c>
      <c r="Y48" s="3" t="n">
        <v>0</v>
      </c>
      <c r="Z48" t="inlineStr">
        <is>
          <t>blended xG</t>
        </is>
      </c>
      <c r="AA48" s="3" t="n">
        <v>1</v>
      </c>
      <c r="AB48" s="3" t="n">
        <v>1</v>
      </c>
      <c r="AC48" s="3" t="n">
        <v>0</v>
      </c>
      <c r="AD48" s="3" t="n">
        <v>0.0057</v>
      </c>
      <c r="AE48" s="3" t="n">
        <v>0</v>
      </c>
      <c r="AF48" s="3" t="n">
        <v>0</v>
      </c>
      <c r="AG48" s="3" t="n">
        <v>0.3947</v>
      </c>
      <c r="AH48" s="3" t="n">
        <v>76</v>
      </c>
      <c r="AI48" s="3" t="n">
        <v>3.0311</v>
      </c>
      <c r="AJ48" s="3" t="n">
        <v>1.5252</v>
      </c>
      <c r="AK48" s="3" t="n">
        <v>-0.1265887351193527</v>
      </c>
      <c r="AL48" s="6" t="n">
        <v>0</v>
      </c>
      <c r="AM48" s="3" t="n">
        <v>3.222841840244168</v>
      </c>
      <c r="AN48" s="3" t="n">
        <v>0</v>
      </c>
      <c r="AO48" s="3" t="n">
        <v>0.022572</v>
      </c>
      <c r="AP48" s="3">
        <f>N(X48)*N(BI48)</f>
        <v/>
      </c>
      <c r="AQ48" s="3" t="n">
        <v>0.3947</v>
      </c>
      <c r="AR48" s="3" t="n">
        <v>0.67496810501903</v>
      </c>
      <c r="AS48" s="3" t="n">
        <v>-0.524434996152324</v>
      </c>
      <c r="AT48" s="3" t="n">
        <v>-0.1265887351193527</v>
      </c>
      <c r="AU48" s="3">
        <f>SUM(AN48:AT48)</f>
        <v/>
      </c>
      <c r="AV48" s="7">
        <f>IF(OR(N(W48)&lt;=0,N(BG48)=0),0,N(W48)*IF(N(R48)/N(W48)&gt;=60,N(BG48),1))</f>
        <v/>
      </c>
      <c r="AW48" s="7">
        <f>N(W48)*N(AF48)*N(BH48)</f>
        <v/>
      </c>
      <c r="AX48" s="7">
        <f>N(AL48)*(Assumptions!$B$13*N(BJ48)-(1-Assumptions!$B$13)*Assumptions!$B$14)+N(AM48)</f>
        <v/>
      </c>
      <c r="AY48" s="7">
        <f>N(AU48)*N(R48)/90+N(AV48)+N(AW48)+N(AX48)</f>
        <v/>
      </c>
      <c r="AZ48" s="3">
        <f>IF(N(R48)&lt;=0,0,(N(AY48)-N(AX48))*90/N(R48))</f>
        <v/>
      </c>
      <c r="BA48" s="7">
        <f>IFERROR(AY48-VLOOKUP($E48,Assumptions!$A$40:$C$43,3,FALSE),"")</f>
        <v/>
      </c>
      <c r="BB48" s="3">
        <f>IFERROR(BA48/H48,"")</f>
        <v/>
      </c>
      <c r="BC48">
        <f>IF(AND($G48=TRUE,$E48="GKP"),AY48,"")</f>
        <v/>
      </c>
      <c r="BD48">
        <f>IF(AND($G48=TRUE,$E48="DEF"),AY48,"")</f>
        <v/>
      </c>
      <c r="BE48">
        <f>IF(AND($G48=TRUE,$E48="MID"),AY48,"")</f>
        <v/>
      </c>
      <c r="BF48">
        <f>IF(AND($G48=TRUE,$E48="FWD"),AY48,"")</f>
        <v/>
      </c>
      <c r="BG48" t="n">
        <v>2</v>
      </c>
      <c r="BH48" t="n">
        <v>0</v>
      </c>
      <c r="BI48" t="n">
        <v>4</v>
      </c>
      <c r="BJ48" t="n">
        <v>10</v>
      </c>
    </row>
    <row r="49">
      <c r="A49" t="inlineStr">
        <is>
          <t>Gianluigi Donnarumma</t>
        </is>
      </c>
      <c r="B49" t="inlineStr">
        <is>
          <t>MCI</t>
        </is>
      </c>
      <c r="C49" t="inlineStr">
        <is>
          <t>MCI</t>
        </is>
      </c>
      <c r="D49" t="b">
        <v>0</v>
      </c>
      <c r="E49" t="inlineStr">
        <is>
          <t>GKP</t>
        </is>
      </c>
      <c r="F49" t="inlineStr">
        <is>
          <t>GKP</t>
        </is>
      </c>
      <c r="G49" t="b">
        <v>1</v>
      </c>
      <c r="H49" s="2" t="n">
        <v>5.5</v>
      </c>
      <c r="I49" t="inlineStr">
        <is>
          <t>a</t>
        </is>
      </c>
      <c r="K49" s="2" t="n">
        <v>3060</v>
      </c>
      <c r="L49" t="n">
        <v>135</v>
      </c>
      <c r="M49" s="3" t="n">
        <v>3420</v>
      </c>
      <c r="N49" s="8" t="n">
        <v>3420</v>
      </c>
      <c r="O49" s="8" t="n">
        <v>0</v>
      </c>
      <c r="Q49" t="inlineStr">
        <is>
          <t>flat</t>
        </is>
      </c>
      <c r="R49" s="6" t="n">
        <v>3420</v>
      </c>
      <c r="S49" t="inlineStr">
        <is>
          <t>Solio</t>
        </is>
      </c>
      <c r="U49" s="6" t="n">
        <v>90</v>
      </c>
      <c r="V49" s="2" t="n">
        <v>34</v>
      </c>
      <c r="W49" s="7">
        <f>IF(N(U49)&lt;=0,0,MIN(Assumptions!$B$15,N(R49)/N(U49)))</f>
        <v/>
      </c>
      <c r="X49" s="6" t="n">
        <v>0.371</v>
      </c>
      <c r="Y49" s="3" t="n">
        <v>0</v>
      </c>
      <c r="Z49" t="inlineStr">
        <is>
          <t>blended xG</t>
        </is>
      </c>
      <c r="AA49" s="3" t="n">
        <v>1</v>
      </c>
      <c r="AB49" s="3" t="n">
        <v>1</v>
      </c>
      <c r="AC49" s="3" t="n">
        <v>0</v>
      </c>
      <c r="AD49" s="3" t="n">
        <v>0.0019</v>
      </c>
      <c r="AE49" s="3" t="n">
        <v>0</v>
      </c>
      <c r="AF49" s="3" t="n">
        <v>0</v>
      </c>
      <c r="AG49" s="3" t="n">
        <v>0.1765</v>
      </c>
      <c r="AH49" s="3" t="n">
        <v>68</v>
      </c>
      <c r="AI49" s="3" t="n">
        <v>1.9737</v>
      </c>
      <c r="AJ49" s="3" t="n">
        <v>1.0365</v>
      </c>
      <c r="AK49" s="3" t="n">
        <v>-0.1864362396236553</v>
      </c>
      <c r="AL49" s="6" t="n">
        <v>0</v>
      </c>
      <c r="AM49" s="3" t="n">
        <v>2.212837240750548</v>
      </c>
      <c r="AN49" s="3" t="n">
        <v>0</v>
      </c>
      <c r="AO49" s="3" t="n">
        <v>0.007524</v>
      </c>
      <c r="AP49" s="3">
        <f>N(X49)*N(BI49)</f>
        <v/>
      </c>
      <c r="AQ49" s="3" t="n">
        <v>0.1765</v>
      </c>
      <c r="AR49" s="3" t="n">
        <v>0.3320553475083804</v>
      </c>
      <c r="AS49" s="3" t="n">
        <v>-0.2997019479071323</v>
      </c>
      <c r="AT49" s="3" t="n">
        <v>-0.1864362396236553</v>
      </c>
      <c r="AU49" s="3">
        <f>SUM(AN49:AT49)</f>
        <v/>
      </c>
      <c r="AV49" s="7">
        <f>IF(OR(N(W49)&lt;=0,N(BG49)=0),0,N(W49)*IF(N(R49)/N(W49)&gt;=60,N(BG49),1))</f>
        <v/>
      </c>
      <c r="AW49" s="7">
        <f>N(W49)*N(AF49)*N(BH49)</f>
        <v/>
      </c>
      <c r="AX49" s="7">
        <f>N(AL49)*(Assumptions!$B$13*N(BJ49)-(1-Assumptions!$B$13)*Assumptions!$B$14)+N(AM49)</f>
        <v/>
      </c>
      <c r="AY49" s="7">
        <f>N(AU49)*N(R49)/90+N(AV49)+N(AW49)+N(AX49)</f>
        <v/>
      </c>
      <c r="AZ49" s="3">
        <f>IF(N(R49)&lt;=0,0,(N(AY49)-N(AX49))*90/N(R49))</f>
        <v/>
      </c>
      <c r="BA49" s="7">
        <f>IFERROR(AY49-VLOOKUP($E49,Assumptions!$A$40:$C$43,3,FALSE),"")</f>
        <v/>
      </c>
      <c r="BB49" s="3">
        <f>IFERROR(BA49/H49,"")</f>
        <v/>
      </c>
      <c r="BC49">
        <f>IF(AND($G49=TRUE,$E49="GKP"),AY49,"")</f>
        <v/>
      </c>
      <c r="BD49">
        <f>IF(AND($G49=TRUE,$E49="DEF"),AY49,"")</f>
        <v/>
      </c>
      <c r="BE49">
        <f>IF(AND($G49=TRUE,$E49="MID"),AY49,"")</f>
        <v/>
      </c>
      <c r="BF49">
        <f>IF(AND($G49=TRUE,$E49="FWD"),AY49,"")</f>
        <v/>
      </c>
      <c r="BG49" t="n">
        <v>2</v>
      </c>
      <c r="BH49" t="n">
        <v>0</v>
      </c>
      <c r="BI49" t="n">
        <v>4</v>
      </c>
      <c r="BJ49" t="n">
        <v>10</v>
      </c>
    </row>
    <row r="50">
      <c r="A50" t="inlineStr">
        <is>
          <t>Tyrick Mitchell</t>
        </is>
      </c>
      <c r="B50" t="inlineStr">
        <is>
          <t>CRY</t>
        </is>
      </c>
      <c r="C50" t="inlineStr">
        <is>
          <t>CRY</t>
        </is>
      </c>
      <c r="D50" t="b">
        <v>0</v>
      </c>
      <c r="E50" t="inlineStr">
        <is>
          <t>DEF</t>
        </is>
      </c>
      <c r="F50" t="inlineStr">
        <is>
          <t>DEF</t>
        </is>
      </c>
      <c r="G50" t="b">
        <v>1</v>
      </c>
      <c r="H50" s="2" t="n">
        <v>4.5</v>
      </c>
      <c r="I50" t="inlineStr">
        <is>
          <t>a</t>
        </is>
      </c>
      <c r="K50" s="2" t="n">
        <v>3253</v>
      </c>
      <c r="L50" t="n">
        <v>135</v>
      </c>
      <c r="M50" s="3" t="n">
        <v>2554</v>
      </c>
      <c r="N50" s="8" t="n">
        <v>2554</v>
      </c>
      <c r="O50" s="8" t="n">
        <v>0</v>
      </c>
      <c r="Q50" t="inlineStr">
        <is>
          <t>flat</t>
        </is>
      </c>
      <c r="R50" s="6" t="n">
        <v>2554</v>
      </c>
      <c r="S50" t="inlineStr">
        <is>
          <t>Solio</t>
        </is>
      </c>
      <c r="U50" s="6" t="n">
        <v>87.3</v>
      </c>
      <c r="V50" s="2" t="n">
        <v>36</v>
      </c>
      <c r="W50" s="7">
        <f>IF(N(U50)&lt;=0,0,MIN(Assumptions!$B$15,N(R50)/N(U50)))</f>
        <v/>
      </c>
      <c r="X50" s="6" t="n">
        <v>0.216</v>
      </c>
      <c r="Y50" s="3" t="n">
        <v>0.0427</v>
      </c>
      <c r="Z50" t="inlineStr">
        <is>
          <t>adjusted xGOT</t>
        </is>
      </c>
      <c r="AA50" s="3" t="n">
        <v>1</v>
      </c>
      <c r="AB50" s="3" t="n">
        <v>0.97</v>
      </c>
      <c r="AC50" s="3" t="n">
        <v>4.8</v>
      </c>
      <c r="AD50" s="3" t="n">
        <v>0.077</v>
      </c>
      <c r="AE50" s="3" t="n">
        <v>6.943</v>
      </c>
      <c r="AF50" s="3" t="n">
        <v>0.1436523826451379</v>
      </c>
      <c r="AG50" s="3" t="n">
        <v>0.2213</v>
      </c>
      <c r="AH50" s="3" t="n">
        <v>73</v>
      </c>
      <c r="AI50" s="3" t="n">
        <v>3.2035</v>
      </c>
      <c r="AJ50" s="3" t="n">
        <v>1.5923</v>
      </c>
      <c r="AK50" s="3" t="n">
        <v>-0.1652843226846004</v>
      </c>
      <c r="AL50" s="6" t="n">
        <v>0</v>
      </c>
      <c r="AM50" s="3" t="n">
        <v>0</v>
      </c>
      <c r="AN50" s="3" t="n">
        <v>0.2562</v>
      </c>
      <c r="AO50" s="3" t="n">
        <v>0.30492</v>
      </c>
      <c r="AP50" s="3">
        <f>N(X50)*N(BI50)</f>
        <v/>
      </c>
      <c r="AQ50" s="3" t="n">
        <v>0.2213</v>
      </c>
      <c r="AR50" s="3" t="n">
        <v>0</v>
      </c>
      <c r="AS50" s="3" t="n">
        <v>-0.5564987001023466</v>
      </c>
      <c r="AT50" s="3" t="n">
        <v>-0.1652843226846004</v>
      </c>
      <c r="AU50" s="3">
        <f>SUM(AN50:AT50)</f>
        <v/>
      </c>
      <c r="AV50" s="7">
        <f>IF(OR(N(W50)&lt;=0,N(BG50)=0),0,N(W50)*IF(N(R50)/N(W50)&gt;=60,N(BG50),1))</f>
        <v/>
      </c>
      <c r="AW50" s="7">
        <f>N(W50)*N(AF50)*N(BH50)</f>
        <v/>
      </c>
      <c r="AX50" s="7">
        <f>N(AL50)*(Assumptions!$B$13*N(BJ50)-(1-Assumptions!$B$13)*Assumptions!$B$14)+N(AM50)</f>
        <v/>
      </c>
      <c r="AY50" s="7">
        <f>N(AU50)*N(R50)/90+N(AV50)+N(AW50)+N(AX50)</f>
        <v/>
      </c>
      <c r="AZ50" s="3">
        <f>IF(N(R50)&lt;=0,0,(N(AY50)-N(AX50))*90/N(R50))</f>
        <v/>
      </c>
      <c r="BA50" s="7">
        <f>IFERROR(AY50-VLOOKUP($E50,Assumptions!$A$40:$C$43,3,FALSE),"")</f>
        <v/>
      </c>
      <c r="BB50" s="3">
        <f>IFERROR(BA50/H50,"")</f>
        <v/>
      </c>
      <c r="BC50">
        <f>IF(AND($G50=TRUE,$E50="GKP"),AY50,"")</f>
        <v/>
      </c>
      <c r="BD50">
        <f>IF(AND($G50=TRUE,$E50="DEF"),AY50,"")</f>
        <v/>
      </c>
      <c r="BE50">
        <f>IF(AND($G50=TRUE,$E50="MID"),AY50,"")</f>
        <v/>
      </c>
      <c r="BF50">
        <f>IF(AND($G50=TRUE,$E50="FWD"),AY50,"")</f>
        <v/>
      </c>
      <c r="BG50" t="n">
        <v>2</v>
      </c>
      <c r="BH50" t="n">
        <v>2</v>
      </c>
      <c r="BI50" t="n">
        <v>4</v>
      </c>
      <c r="BJ50" t="n">
        <v>6</v>
      </c>
    </row>
    <row r="51">
      <c r="A51" t="inlineStr">
        <is>
          <t>Ethan Ampadu</t>
        </is>
      </c>
      <c r="B51" t="inlineStr">
        <is>
          <t>LEE</t>
        </is>
      </c>
      <c r="C51" t="inlineStr">
        <is>
          <t>LEE</t>
        </is>
      </c>
      <c r="D51" t="b">
        <v>0</v>
      </c>
      <c r="E51" t="inlineStr">
        <is>
          <t>MID</t>
        </is>
      </c>
      <c r="F51" t="inlineStr">
        <is>
          <t>MID</t>
        </is>
      </c>
      <c r="G51" t="b">
        <v>1</v>
      </c>
      <c r="H51" s="2" t="n">
        <v>5.5</v>
      </c>
      <c r="I51" t="inlineStr">
        <is>
          <t>a</t>
        </is>
      </c>
      <c r="K51" s="2" t="n">
        <v>3119</v>
      </c>
      <c r="L51" t="n">
        <v>134</v>
      </c>
      <c r="M51" s="3" t="n">
        <v>3207</v>
      </c>
      <c r="N51" s="8" t="n">
        <v>3207</v>
      </c>
      <c r="O51" s="8" t="n">
        <v>0</v>
      </c>
      <c r="Q51" t="inlineStr">
        <is>
          <t>flat</t>
        </is>
      </c>
      <c r="R51" s="6" t="n">
        <v>3207</v>
      </c>
      <c r="S51" t="inlineStr">
        <is>
          <t>Solio</t>
        </is>
      </c>
      <c r="U51" s="6" t="n">
        <v>87.09999999999999</v>
      </c>
      <c r="V51" s="2" t="n">
        <v>35</v>
      </c>
      <c r="W51" s="7">
        <f>IF(N(U51)&lt;=0,0,MIN(Assumptions!$B$15,N(R51)/N(U51)))</f>
        <v/>
      </c>
      <c r="X51" s="6" t="n">
        <v>0.218</v>
      </c>
      <c r="Y51" s="3" t="n">
        <v>0.0688</v>
      </c>
      <c r="Z51" t="inlineStr">
        <is>
          <t>adjusted xGOT</t>
        </is>
      </c>
      <c r="AA51" s="3" t="n">
        <v>1</v>
      </c>
      <c r="AB51" s="3" t="n">
        <v>0.965</v>
      </c>
      <c r="AC51" s="3" t="n">
        <v>2.5</v>
      </c>
      <c r="AD51" s="3" t="n">
        <v>0.0487</v>
      </c>
      <c r="AE51" s="3" t="n">
        <v>11.361</v>
      </c>
      <c r="AF51" s="3" t="n">
        <v>0.4201271946959066</v>
      </c>
      <c r="AG51" s="3" t="n">
        <v>0.3174</v>
      </c>
      <c r="AH51" s="3" t="n">
        <v>70</v>
      </c>
      <c r="AI51" s="3" t="n">
        <v>3.0611</v>
      </c>
      <c r="AJ51" s="3" t="n">
        <v>1.5875</v>
      </c>
      <c r="AK51" s="3" t="n">
        <v>-0.2770314124491431</v>
      </c>
      <c r="AL51" s="6" t="n">
        <v>0</v>
      </c>
      <c r="AM51" s="3" t="n">
        <v>0</v>
      </c>
      <c r="AN51" s="3" t="n">
        <v>0.344</v>
      </c>
      <c r="AO51" s="3" t="n">
        <v>0.192852</v>
      </c>
      <c r="AP51" s="3">
        <f>N(X51)*N(BI51)</f>
        <v/>
      </c>
      <c r="AQ51" s="3" t="n">
        <v>0.3174</v>
      </c>
      <c r="AR51" s="3" t="n">
        <v>0</v>
      </c>
      <c r="AS51" s="3" t="n">
        <v>-0</v>
      </c>
      <c r="AT51" s="3" t="n">
        <v>-0.2770314124491431</v>
      </c>
      <c r="AU51" s="3">
        <f>SUM(AN51:AT51)</f>
        <v/>
      </c>
      <c r="AV51" s="7">
        <f>IF(OR(N(W51)&lt;=0,N(BG51)=0),0,N(W51)*IF(N(R51)/N(W51)&gt;=60,N(BG51),1))</f>
        <v/>
      </c>
      <c r="AW51" s="7">
        <f>N(W51)*N(AF51)*N(BH51)</f>
        <v/>
      </c>
      <c r="AX51" s="7">
        <f>N(AL51)*(Assumptions!$B$13*N(BJ51)-(1-Assumptions!$B$13)*Assumptions!$B$14)+N(AM51)</f>
        <v/>
      </c>
      <c r="AY51" s="7">
        <f>N(AU51)*N(R51)/90+N(AV51)+N(AW51)+N(AX51)</f>
        <v/>
      </c>
      <c r="AZ51" s="3">
        <f>IF(N(R51)&lt;=0,0,(N(AY51)-N(AX51))*90/N(R51))</f>
        <v/>
      </c>
      <c r="BA51" s="7">
        <f>IFERROR(AY51-VLOOKUP($E51,Assumptions!$A$40:$C$43,3,FALSE),"")</f>
        <v/>
      </c>
      <c r="BB51" s="3">
        <f>IFERROR(BA51/H51,"")</f>
        <v/>
      </c>
      <c r="BC51">
        <f>IF(AND($G51=TRUE,$E51="GKP"),AY51,"")</f>
        <v/>
      </c>
      <c r="BD51">
        <f>IF(AND($G51=TRUE,$E51="DEF"),AY51,"")</f>
        <v/>
      </c>
      <c r="BE51">
        <f>IF(AND($G51=TRUE,$E51="MID"),AY51,"")</f>
        <v/>
      </c>
      <c r="BF51">
        <f>IF(AND($G51=TRUE,$E51="FWD"),AY51,"")</f>
        <v/>
      </c>
      <c r="BG51" t="n">
        <v>2</v>
      </c>
      <c r="BH51" t="n">
        <v>2</v>
      </c>
      <c r="BI51" t="n">
        <v>1</v>
      </c>
      <c r="BJ51" t="n">
        <v>5</v>
      </c>
    </row>
    <row r="52">
      <c r="A52" t="inlineStr">
        <is>
          <t>Martín Zubimendi</t>
        </is>
      </c>
      <c r="B52" t="inlineStr">
        <is>
          <t>ARS</t>
        </is>
      </c>
      <c r="C52" t="inlineStr">
        <is>
          <t>ARS</t>
        </is>
      </c>
      <c r="D52" t="b">
        <v>0</v>
      </c>
      <c r="E52" t="inlineStr">
        <is>
          <t>MID</t>
        </is>
      </c>
      <c r="F52" t="inlineStr">
        <is>
          <t>MID</t>
        </is>
      </c>
      <c r="G52" t="b">
        <v>1</v>
      </c>
      <c r="H52" s="2" t="n">
        <v>5.5</v>
      </c>
      <c r="I52" t="inlineStr">
        <is>
          <t>a</t>
        </is>
      </c>
      <c r="K52" s="2" t="n">
        <v>2991</v>
      </c>
      <c r="L52" t="n">
        <v>133</v>
      </c>
      <c r="M52" s="3" t="n">
        <v>891</v>
      </c>
      <c r="N52" s="8" t="n">
        <v>891</v>
      </c>
      <c r="O52" s="8" t="n">
        <v>0</v>
      </c>
      <c r="Q52" t="inlineStr">
        <is>
          <t>fade (losing his place)</t>
        </is>
      </c>
      <c r="R52" s="6" t="n">
        <v>891</v>
      </c>
      <c r="S52" t="inlineStr">
        <is>
          <t>Solio</t>
        </is>
      </c>
      <c r="U52" s="6" t="n">
        <v>83.3</v>
      </c>
      <c r="V52" s="2" t="n">
        <v>34</v>
      </c>
      <c r="W52" s="7">
        <f>IF(N(U52)&lt;=0,0,MIN(Assumptions!$B$15,N(R52)/N(U52)))</f>
        <v/>
      </c>
      <c r="X52" s="6" t="n">
        <v>0.391</v>
      </c>
      <c r="Y52" s="3" t="n">
        <v>0.0914</v>
      </c>
      <c r="Z52" t="inlineStr">
        <is>
          <t>adjusted xGOT</t>
        </is>
      </c>
      <c r="AA52" s="3" t="n">
        <v>1</v>
      </c>
      <c r="AB52" s="3" t="n">
        <v>1.07</v>
      </c>
      <c r="AC52" s="3" t="n">
        <v>2.8</v>
      </c>
      <c r="AD52" s="3" t="n">
        <v>0.0505</v>
      </c>
      <c r="AE52" s="3" t="n">
        <v>9.109999999999999</v>
      </c>
      <c r="AF52" s="3" t="n">
        <v>0.1455800552768788</v>
      </c>
      <c r="AG52" s="3" t="n">
        <v>0.2708</v>
      </c>
      <c r="AH52" s="3" t="n">
        <v>70</v>
      </c>
      <c r="AI52" s="3" t="n">
        <v>2.067</v>
      </c>
      <c r="AJ52" s="3" t="n">
        <v>0.9838</v>
      </c>
      <c r="AK52" s="3" t="n">
        <v>-0.1626849391306963</v>
      </c>
      <c r="AL52" s="6" t="n">
        <v>0</v>
      </c>
      <c r="AM52" s="3" t="n">
        <v>0</v>
      </c>
      <c r="AN52" s="3" t="n">
        <v>0.457</v>
      </c>
      <c r="AO52" s="3" t="n">
        <v>0.19998</v>
      </c>
      <c r="AP52" s="3">
        <f>N(X52)*N(BI52)</f>
        <v/>
      </c>
      <c r="AQ52" s="3" t="n">
        <v>0.2708</v>
      </c>
      <c r="AR52" s="3" t="n">
        <v>0</v>
      </c>
      <c r="AS52" s="3" t="n">
        <v>-0</v>
      </c>
      <c r="AT52" s="3" t="n">
        <v>-0.1626849391306963</v>
      </c>
      <c r="AU52" s="3">
        <f>SUM(AN52:AT52)</f>
        <v/>
      </c>
      <c r="AV52" s="7">
        <f>IF(OR(N(W52)&lt;=0,N(BG52)=0),0,N(W52)*IF(N(R52)/N(W52)&gt;=60,N(BG52),1))</f>
        <v/>
      </c>
      <c r="AW52" s="7">
        <f>N(W52)*N(AF52)*N(BH52)</f>
        <v/>
      </c>
      <c r="AX52" s="7">
        <f>N(AL52)*(Assumptions!$B$13*N(BJ52)-(1-Assumptions!$B$13)*Assumptions!$B$14)+N(AM52)</f>
        <v/>
      </c>
      <c r="AY52" s="7">
        <f>N(AU52)*N(R52)/90+N(AV52)+N(AW52)+N(AX52)</f>
        <v/>
      </c>
      <c r="AZ52" s="3">
        <f>IF(N(R52)&lt;=0,0,(N(AY52)-N(AX52))*90/N(R52))</f>
        <v/>
      </c>
      <c r="BA52" s="7">
        <f>IFERROR(AY52-VLOOKUP($E52,Assumptions!$A$40:$C$43,3,FALSE),"")</f>
        <v/>
      </c>
      <c r="BB52" s="3">
        <f>IFERROR(BA52/H52,"")</f>
        <v/>
      </c>
      <c r="BC52">
        <f>IF(AND($G52=TRUE,$E52="GKP"),AY52,"")</f>
        <v/>
      </c>
      <c r="BD52">
        <f>IF(AND($G52=TRUE,$E52="DEF"),AY52,"")</f>
        <v/>
      </c>
      <c r="BE52">
        <f>IF(AND($G52=TRUE,$E52="MID"),AY52,"")</f>
        <v/>
      </c>
      <c r="BF52">
        <f>IF(AND($G52=TRUE,$E52="FWD"),AY52,"")</f>
        <v/>
      </c>
      <c r="BG52" t="n">
        <v>2</v>
      </c>
      <c r="BH52" t="n">
        <v>2</v>
      </c>
      <c r="BI52" t="n">
        <v>1</v>
      </c>
      <c r="BJ52" t="n">
        <v>5</v>
      </c>
    </row>
    <row r="53">
      <c r="A53" t="inlineStr">
        <is>
          <t>Cody Gakpo</t>
        </is>
      </c>
      <c r="B53" t="inlineStr">
        <is>
          <t>LIV</t>
        </is>
      </c>
      <c r="C53" t="inlineStr">
        <is>
          <t>LIV</t>
        </is>
      </c>
      <c r="D53" t="b">
        <v>0</v>
      </c>
      <c r="E53" t="inlineStr">
        <is>
          <t>MID</t>
        </is>
      </c>
      <c r="F53" t="inlineStr">
        <is>
          <t>MID</t>
        </is>
      </c>
      <c r="G53" t="b">
        <v>1</v>
      </c>
      <c r="H53" s="2" t="n">
        <v>7</v>
      </c>
      <c r="I53" t="inlineStr">
        <is>
          <t>a</t>
        </is>
      </c>
      <c r="K53" s="2" t="n">
        <v>2736</v>
      </c>
      <c r="L53" t="n">
        <v>131</v>
      </c>
      <c r="M53" s="3" t="n">
        <v>2457</v>
      </c>
      <c r="N53" s="4" t="n">
        <v>1450</v>
      </c>
      <c r="O53" s="4" t="n">
        <v>-1007</v>
      </c>
      <c r="P53" s="5" t="inlineStr">
        <is>
          <t>medium</t>
        </is>
      </c>
      <c r="Q53" t="inlineStr">
        <is>
          <t>flat</t>
        </is>
      </c>
      <c r="R53" s="6" t="n">
        <v>1450</v>
      </c>
      <c r="S53" t="inlineStr">
        <is>
          <t>research</t>
        </is>
      </c>
      <c r="T53" s="5" t="inlineStr">
        <is>
          <t>Two compounding problems with Solio's 2457. First, Sky's Florian Plettenberg reports Liverpool and Tottenham are 'in very concrete talks' over a move for Gakpo before the 31 August deadline. Second, even if he stays, This Is Anfield's Newcastle dress-rehearsal XI picks Ngumoha and Munoz wide with Gakpo the odd man out, and describes the forward line as 'unsettled'. Set as a probability-weighted figure across both branches.</t>
        </is>
      </c>
      <c r="U53" s="6" t="n">
        <v>81.7</v>
      </c>
      <c r="V53" s="2" t="n">
        <v>32</v>
      </c>
      <c r="W53" s="7">
        <f>IF(N(U53)&lt;=0,0,MIN(Assumptions!$B$15,N(R53)/N(U53)))</f>
        <v/>
      </c>
      <c r="X53" s="6" t="n">
        <v>0.342</v>
      </c>
      <c r="Y53" s="3" t="n">
        <v>0.2404</v>
      </c>
      <c r="Z53" t="inlineStr">
        <is>
          <t>adjusted xGOT</t>
        </is>
      </c>
      <c r="AA53" s="3" t="n">
        <v>1</v>
      </c>
      <c r="AB53" s="3" t="n">
        <v>0.875</v>
      </c>
      <c r="AC53" s="3" t="n">
        <v>31</v>
      </c>
      <c r="AD53" s="3" t="n">
        <v>0.1852</v>
      </c>
      <c r="AE53" s="3" t="n">
        <v>5.745</v>
      </c>
      <c r="AF53" s="3" t="n">
        <v>0.007469567247092468</v>
      </c>
      <c r="AG53" s="3" t="n">
        <v>0.1645</v>
      </c>
      <c r="AH53" s="3" t="n">
        <v>67</v>
      </c>
      <c r="AI53" s="3" t="n">
        <v>2.409</v>
      </c>
      <c r="AJ53" s="3" t="n">
        <v>1.1228</v>
      </c>
      <c r="AK53" s="3" t="n">
        <v>-0.1609305038523113</v>
      </c>
      <c r="AL53" s="6" t="n">
        <v>0.0353654505290349</v>
      </c>
      <c r="AM53" s="3" t="n">
        <v>0</v>
      </c>
      <c r="AN53" s="3" t="n">
        <v>1.202</v>
      </c>
      <c r="AO53" s="3" t="n">
        <v>0.733392</v>
      </c>
      <c r="AP53" s="3">
        <f>N(X53)*N(BI53)</f>
        <v/>
      </c>
      <c r="AQ53" s="3" t="n">
        <v>0.1645</v>
      </c>
      <c r="AR53" s="3" t="n">
        <v>0</v>
      </c>
      <c r="AS53" s="3" t="n">
        <v>-0</v>
      </c>
      <c r="AT53" s="3" t="n">
        <v>-0.1609305038523113</v>
      </c>
      <c r="AU53" s="3">
        <f>SUM(AN53:AT53)</f>
        <v/>
      </c>
      <c r="AV53" s="7">
        <f>IF(OR(N(W53)&lt;=0,N(BG53)=0),0,N(W53)*IF(N(R53)/N(W53)&gt;=60,N(BG53),1))</f>
        <v/>
      </c>
      <c r="AW53" s="7">
        <f>N(W53)*N(AF53)*N(BH53)</f>
        <v/>
      </c>
      <c r="AX53" s="7">
        <f>N(AL53)*(Assumptions!$B$13*N(BJ53)-(1-Assumptions!$B$13)*Assumptions!$B$14)+N(AM53)</f>
        <v/>
      </c>
      <c r="AY53" s="7">
        <f>N(AU53)*N(R53)/90+N(AV53)+N(AW53)+N(AX53)</f>
        <v/>
      </c>
      <c r="AZ53" s="3">
        <f>IF(N(R53)&lt;=0,0,(N(AY53)-N(AX53))*90/N(R53))</f>
        <v/>
      </c>
      <c r="BA53" s="7">
        <f>IFERROR(AY53-VLOOKUP($E53,Assumptions!$A$40:$C$43,3,FALSE),"")</f>
        <v/>
      </c>
      <c r="BB53" s="3">
        <f>IFERROR(BA53/H53,"")</f>
        <v/>
      </c>
      <c r="BC53">
        <f>IF(AND($G53=TRUE,$E53="GKP"),AY53,"")</f>
        <v/>
      </c>
      <c r="BD53">
        <f>IF(AND($G53=TRUE,$E53="DEF"),AY53,"")</f>
        <v/>
      </c>
      <c r="BE53">
        <f>IF(AND($G53=TRUE,$E53="MID"),AY53,"")</f>
        <v/>
      </c>
      <c r="BF53">
        <f>IF(AND($G53=TRUE,$E53="FWD"),AY53,"")</f>
        <v/>
      </c>
      <c r="BG53" t="n">
        <v>2</v>
      </c>
      <c r="BH53" t="n">
        <v>2</v>
      </c>
      <c r="BI53" t="n">
        <v>1</v>
      </c>
      <c r="BJ53" t="n">
        <v>5</v>
      </c>
    </row>
    <row r="54">
      <c r="A54" t="inlineStr">
        <is>
          <t>Dean Henderson</t>
        </is>
      </c>
      <c r="B54" t="inlineStr">
        <is>
          <t>CRY</t>
        </is>
      </c>
      <c r="C54" t="inlineStr">
        <is>
          <t>CRY</t>
        </is>
      </c>
      <c r="D54" t="b">
        <v>0</v>
      </c>
      <c r="E54" t="inlineStr">
        <is>
          <t>GKP</t>
        </is>
      </c>
      <c r="F54" t="inlineStr">
        <is>
          <t>GKP</t>
        </is>
      </c>
      <c r="G54" t="b">
        <v>1</v>
      </c>
      <c r="H54" s="2" t="n">
        <v>5</v>
      </c>
      <c r="I54" t="inlineStr">
        <is>
          <t>a</t>
        </is>
      </c>
      <c r="K54" s="2" t="n">
        <v>3330</v>
      </c>
      <c r="L54" t="n">
        <v>131</v>
      </c>
      <c r="M54" s="3" t="n">
        <v>3385</v>
      </c>
      <c r="N54" s="8" t="n">
        <v>3385</v>
      </c>
      <c r="O54" s="8" t="n">
        <v>0</v>
      </c>
      <c r="Q54" t="inlineStr">
        <is>
          <t>flat</t>
        </is>
      </c>
      <c r="R54" s="6" t="n">
        <v>3385</v>
      </c>
      <c r="S54" t="inlineStr">
        <is>
          <t>Solio</t>
        </is>
      </c>
      <c r="U54" s="6" t="n">
        <v>90</v>
      </c>
      <c r="V54" s="2" t="n">
        <v>37</v>
      </c>
      <c r="W54" s="7">
        <f>IF(N(U54)&lt;=0,0,MIN(Assumptions!$B$15,N(R54)/N(U54)))</f>
        <v/>
      </c>
      <c r="X54" s="6" t="n">
        <v>0.216</v>
      </c>
      <c r="Y54" s="3" t="n">
        <v>0</v>
      </c>
      <c r="Z54" t="inlineStr">
        <is>
          <t>adjusted xGOT</t>
        </is>
      </c>
      <c r="AA54" s="3" t="n">
        <v>1</v>
      </c>
      <c r="AB54" s="3" t="n">
        <v>0.999</v>
      </c>
      <c r="AC54" s="3" t="n">
        <v>0</v>
      </c>
      <c r="AD54" s="3" t="n">
        <v>0.0017</v>
      </c>
      <c r="AE54" s="3" t="n">
        <v>0</v>
      </c>
      <c r="AF54" s="3" t="n">
        <v>0</v>
      </c>
      <c r="AG54" s="3" t="n">
        <v>0.1892</v>
      </c>
      <c r="AH54" s="3" t="n">
        <v>74</v>
      </c>
      <c r="AI54" s="3" t="n">
        <v>3.2035</v>
      </c>
      <c r="AJ54" s="3" t="n">
        <v>1.5923</v>
      </c>
      <c r="AK54" s="3" t="n">
        <v>-0.1086688776973607</v>
      </c>
      <c r="AL54" s="6" t="n">
        <v>0</v>
      </c>
      <c r="AM54" s="3" t="n">
        <v>3.364580376981904</v>
      </c>
      <c r="AN54" s="3" t="n">
        <v>0</v>
      </c>
      <c r="AO54" s="3" t="n">
        <v>0.006731999999999999</v>
      </c>
      <c r="AP54" s="3">
        <f>N(X54)*N(BI54)</f>
        <v/>
      </c>
      <c r="AQ54" s="3" t="n">
        <v>0.1892</v>
      </c>
      <c r="AR54" s="3" t="n">
        <v>0.7325188478059661</v>
      </c>
      <c r="AS54" s="3" t="n">
        <v>-0.5564987001023466</v>
      </c>
      <c r="AT54" s="3" t="n">
        <v>-0.1086688776973607</v>
      </c>
      <c r="AU54" s="3">
        <f>SUM(AN54:AT54)</f>
        <v/>
      </c>
      <c r="AV54" s="7">
        <f>IF(OR(N(W54)&lt;=0,N(BG54)=0),0,N(W54)*IF(N(R54)/N(W54)&gt;=60,N(BG54),1))</f>
        <v/>
      </c>
      <c r="AW54" s="7">
        <f>N(W54)*N(AF54)*N(BH54)</f>
        <v/>
      </c>
      <c r="AX54" s="7">
        <f>N(AL54)*(Assumptions!$B$13*N(BJ54)-(1-Assumptions!$B$13)*Assumptions!$B$14)+N(AM54)</f>
        <v/>
      </c>
      <c r="AY54" s="7">
        <f>N(AU54)*N(R54)/90+N(AV54)+N(AW54)+N(AX54)</f>
        <v/>
      </c>
      <c r="AZ54" s="3">
        <f>IF(N(R54)&lt;=0,0,(N(AY54)-N(AX54))*90/N(R54))</f>
        <v/>
      </c>
      <c r="BA54" s="7">
        <f>IFERROR(AY54-VLOOKUP($E54,Assumptions!$A$40:$C$43,3,FALSE),"")</f>
        <v/>
      </c>
      <c r="BB54" s="3">
        <f>IFERROR(BA54/H54,"")</f>
        <v/>
      </c>
      <c r="BC54">
        <f>IF(AND($G54=TRUE,$E54="GKP"),AY54,"")</f>
        <v/>
      </c>
      <c r="BD54">
        <f>IF(AND($G54=TRUE,$E54="DEF"),AY54,"")</f>
        <v/>
      </c>
      <c r="BE54">
        <f>IF(AND($G54=TRUE,$E54="MID"),AY54,"")</f>
        <v/>
      </c>
      <c r="BF54">
        <f>IF(AND($G54=TRUE,$E54="FWD"),AY54,"")</f>
        <v/>
      </c>
      <c r="BG54" t="n">
        <v>2</v>
      </c>
      <c r="BH54" t="n">
        <v>0</v>
      </c>
      <c r="BI54" t="n">
        <v>4</v>
      </c>
      <c r="BJ54" t="n">
        <v>10</v>
      </c>
    </row>
    <row r="55">
      <c r="A55" t="inlineStr">
        <is>
          <t>Michael Keane</t>
        </is>
      </c>
      <c r="B55" t="inlineStr">
        <is>
          <t>EVE</t>
        </is>
      </c>
      <c r="C55" t="inlineStr">
        <is>
          <t>EVE</t>
        </is>
      </c>
      <c r="D55" t="b">
        <v>0</v>
      </c>
      <c r="E55" t="inlineStr">
        <is>
          <t>DEF</t>
        </is>
      </c>
      <c r="F55" t="inlineStr">
        <is>
          <t>DEF</t>
        </is>
      </c>
      <c r="G55" t="b">
        <v>1</v>
      </c>
      <c r="H55" s="2" t="n">
        <v>5</v>
      </c>
      <c r="I55" t="inlineStr">
        <is>
          <t>a</t>
        </is>
      </c>
      <c r="K55" s="2" t="n">
        <v>2588</v>
      </c>
      <c r="L55" t="n">
        <v>131</v>
      </c>
      <c r="M55" s="3" t="n">
        <v>623</v>
      </c>
      <c r="N55" s="4" t="n">
        <v>850</v>
      </c>
      <c r="O55" s="4" t="n">
        <v>227</v>
      </c>
      <c r="P55" s="5" t="inlineStr">
        <is>
          <t>low</t>
        </is>
      </c>
      <c r="Q55" t="inlineStr">
        <is>
          <t>flat</t>
        </is>
      </c>
      <c r="R55" s="6" t="n">
        <v>850</v>
      </c>
      <c r="S55" t="inlineStr">
        <is>
          <t>research</t>
        </is>
      </c>
      <c r="T55" s="5" t="inlineStr">
        <is>
          <t>Third-choice centre-back rather than a spare part. He started at centre-back alongside captain Tarkowski against Newcastle on 12 August and was a substitute against Lille. With Branthwaite's workload being managed after two hamstring operations and Jake O'Brien frequently pulled out to right-back, Keane is the first-call cover for two positions. 623 minutes assumes almost nothing goes wrong in a back line where something has gone wrong every season.</t>
        </is>
      </c>
      <c r="U55" s="6" t="n">
        <v>88.09999999999999</v>
      </c>
      <c r="V55" s="2" t="n">
        <v>28</v>
      </c>
      <c r="W55" s="7">
        <f>IF(N(U55)&lt;=0,0,MIN(Assumptions!$B$15,N(R55)/N(U55)))</f>
        <v/>
      </c>
      <c r="X55" s="6" t="n">
        <v>0.231</v>
      </c>
      <c r="Y55" s="3" t="n">
        <v>0.08400000000000001</v>
      </c>
      <c r="Z55" t="inlineStr">
        <is>
          <t>adjusted xGOT</t>
        </is>
      </c>
      <c r="AA55" s="3" t="n">
        <v>1</v>
      </c>
      <c r="AB55" s="3" t="n">
        <v>1.05</v>
      </c>
      <c r="AC55" s="3" t="n">
        <v>4.8</v>
      </c>
      <c r="AD55" s="3" t="n">
        <v>0.0108</v>
      </c>
      <c r="AE55" s="3" t="n">
        <v>9.888999999999999</v>
      </c>
      <c r="AF55" s="3" t="n">
        <v>0.5014814077861949</v>
      </c>
      <c r="AG55" s="3" t="n">
        <v>0.313</v>
      </c>
      <c r="AH55" s="3" t="n">
        <v>62</v>
      </c>
      <c r="AI55" s="3" t="n">
        <v>3.0311</v>
      </c>
      <c r="AJ55" s="3" t="n">
        <v>1.5252</v>
      </c>
      <c r="AK55" s="3" t="n">
        <v>-0.1652835914547465</v>
      </c>
      <c r="AL55" s="6" t="n">
        <v>0</v>
      </c>
      <c r="AM55" s="3" t="n">
        <v>0</v>
      </c>
      <c r="AN55" s="3" t="n">
        <v>0.504</v>
      </c>
      <c r="AO55" s="3" t="n">
        <v>0.042768</v>
      </c>
      <c r="AP55" s="3">
        <f>N(X55)*N(BI55)</f>
        <v/>
      </c>
      <c r="AQ55" s="3" t="n">
        <v>0.313</v>
      </c>
      <c r="AR55" s="3" t="n">
        <v>0</v>
      </c>
      <c r="AS55" s="3" t="n">
        <v>-0.524434996152324</v>
      </c>
      <c r="AT55" s="3" t="n">
        <v>-0.1652835914547465</v>
      </c>
      <c r="AU55" s="3">
        <f>SUM(AN55:AT55)</f>
        <v/>
      </c>
      <c r="AV55" s="7">
        <f>IF(OR(N(W55)&lt;=0,N(BG55)=0),0,N(W55)*IF(N(R55)/N(W55)&gt;=60,N(BG55),1))</f>
        <v/>
      </c>
      <c r="AW55" s="7">
        <f>N(W55)*N(AF55)*N(BH55)</f>
        <v/>
      </c>
      <c r="AX55" s="7">
        <f>N(AL55)*(Assumptions!$B$13*N(BJ55)-(1-Assumptions!$B$13)*Assumptions!$B$14)+N(AM55)</f>
        <v/>
      </c>
      <c r="AY55" s="7">
        <f>N(AU55)*N(R55)/90+N(AV55)+N(AW55)+N(AX55)</f>
        <v/>
      </c>
      <c r="AZ55" s="3">
        <f>IF(N(R55)&lt;=0,0,(N(AY55)-N(AX55))*90/N(R55))</f>
        <v/>
      </c>
      <c r="BA55" s="7">
        <f>IFERROR(AY55-VLOOKUP($E55,Assumptions!$A$40:$C$43,3,FALSE),"")</f>
        <v/>
      </c>
      <c r="BB55" s="3">
        <f>IFERROR(BA55/H55,"")</f>
        <v/>
      </c>
      <c r="BC55">
        <f>IF(AND($G55=TRUE,$E55="GKP"),AY55,"")</f>
        <v/>
      </c>
      <c r="BD55">
        <f>IF(AND($G55=TRUE,$E55="DEF"),AY55,"")</f>
        <v/>
      </c>
      <c r="BE55">
        <f>IF(AND($G55=TRUE,$E55="MID"),AY55,"")</f>
        <v/>
      </c>
      <c r="BF55">
        <f>IF(AND($G55=TRUE,$E55="FWD"),AY55,"")</f>
        <v/>
      </c>
      <c r="BG55" t="n">
        <v>2</v>
      </c>
      <c r="BH55" t="n">
        <v>2</v>
      </c>
      <c r="BI55" t="n">
        <v>4</v>
      </c>
      <c r="BJ55" t="n">
        <v>6</v>
      </c>
    </row>
    <row r="56">
      <c r="A56" t="inlineStr">
        <is>
          <t>Phil Foden</t>
        </is>
      </c>
      <c r="B56" t="inlineStr">
        <is>
          <t>MCI</t>
        </is>
      </c>
      <c r="C56" t="inlineStr">
        <is>
          <t>MCI</t>
        </is>
      </c>
      <c r="D56" t="b">
        <v>0</v>
      </c>
      <c r="E56" t="inlineStr">
        <is>
          <t>MID</t>
        </is>
      </c>
      <c r="F56" t="inlineStr">
        <is>
          <t>MID</t>
        </is>
      </c>
      <c r="G56" t="b">
        <v>1</v>
      </c>
      <c r="H56" s="2" t="n">
        <v>7</v>
      </c>
      <c r="I56" t="inlineStr">
        <is>
          <t>a</t>
        </is>
      </c>
      <c r="K56" s="2" t="n">
        <v>2078</v>
      </c>
      <c r="L56" t="n">
        <v>131</v>
      </c>
      <c r="M56" s="3" t="n">
        <v>2063</v>
      </c>
      <c r="N56" s="8" t="n">
        <v>2063</v>
      </c>
      <c r="O56" s="8" t="n">
        <v>0</v>
      </c>
      <c r="Q56" t="inlineStr">
        <is>
          <t>flat</t>
        </is>
      </c>
      <c r="R56" s="6" t="n">
        <v>2063</v>
      </c>
      <c r="S56" t="inlineStr">
        <is>
          <t>Solio</t>
        </is>
      </c>
      <c r="U56" s="6" t="n">
        <v>82.3</v>
      </c>
      <c r="V56" s="2" t="n">
        <v>23</v>
      </c>
      <c r="W56" s="7">
        <f>IF(N(U56)&lt;=0,0,MIN(Assumptions!$B$15,N(R56)/N(U56)))</f>
        <v/>
      </c>
      <c r="X56" s="6" t="n">
        <v>0.371</v>
      </c>
      <c r="Y56" s="3" t="n">
        <v>0.3272</v>
      </c>
      <c r="Z56" t="inlineStr">
        <is>
          <t>adjusted xGOT</t>
        </is>
      </c>
      <c r="AA56" s="3" t="n">
        <v>1</v>
      </c>
      <c r="AB56" s="3" t="n">
        <v>1.253</v>
      </c>
      <c r="AC56" s="3" t="n">
        <v>27.1</v>
      </c>
      <c r="AD56" s="3" t="n">
        <v>0.2353</v>
      </c>
      <c r="AE56" s="3" t="n">
        <v>7.354</v>
      </c>
      <c r="AF56" s="3" t="n">
        <v>0.04187947256430979</v>
      </c>
      <c r="AG56" s="3" t="n">
        <v>0.5629999999999999</v>
      </c>
      <c r="AH56" s="3" t="n">
        <v>55</v>
      </c>
      <c r="AI56" s="3" t="n">
        <v>1.9737</v>
      </c>
      <c r="AJ56" s="3" t="n">
        <v>1.0365</v>
      </c>
      <c r="AK56" s="3" t="n">
        <v>-0.1611249062197476</v>
      </c>
      <c r="AL56" s="6" t="n">
        <v>0</v>
      </c>
      <c r="AM56" s="3" t="n">
        <v>0</v>
      </c>
      <c r="AN56" s="3" t="n">
        <v>1.636</v>
      </c>
      <c r="AO56" s="3" t="n">
        <v>0.9317880000000001</v>
      </c>
      <c r="AP56" s="3">
        <f>N(X56)*N(BI56)</f>
        <v/>
      </c>
      <c r="AQ56" s="3" t="n">
        <v>0.5629999999999999</v>
      </c>
      <c r="AR56" s="3" t="n">
        <v>0</v>
      </c>
      <c r="AS56" s="3" t="n">
        <v>-0</v>
      </c>
      <c r="AT56" s="3" t="n">
        <v>-0.1611249062197476</v>
      </c>
      <c r="AU56" s="3">
        <f>SUM(AN56:AT56)</f>
        <v/>
      </c>
      <c r="AV56" s="7">
        <f>IF(OR(N(W56)&lt;=0,N(BG56)=0),0,N(W56)*IF(N(R56)/N(W56)&gt;=60,N(BG56),1))</f>
        <v/>
      </c>
      <c r="AW56" s="7">
        <f>N(W56)*N(AF56)*N(BH56)</f>
        <v/>
      </c>
      <c r="AX56" s="7">
        <f>N(AL56)*(Assumptions!$B$13*N(BJ56)-(1-Assumptions!$B$13)*Assumptions!$B$14)+N(AM56)</f>
        <v/>
      </c>
      <c r="AY56" s="7">
        <f>N(AU56)*N(R56)/90+N(AV56)+N(AW56)+N(AX56)</f>
        <v/>
      </c>
      <c r="AZ56" s="3">
        <f>IF(N(R56)&lt;=0,0,(N(AY56)-N(AX56))*90/N(R56))</f>
        <v/>
      </c>
      <c r="BA56" s="7">
        <f>IFERROR(AY56-VLOOKUP($E56,Assumptions!$A$40:$C$43,3,FALSE),"")</f>
        <v/>
      </c>
      <c r="BB56" s="3">
        <f>IFERROR(BA56/H56,"")</f>
        <v/>
      </c>
      <c r="BC56">
        <f>IF(AND($G56=TRUE,$E56="GKP"),AY56,"")</f>
        <v/>
      </c>
      <c r="BD56">
        <f>IF(AND($G56=TRUE,$E56="DEF"),AY56,"")</f>
        <v/>
      </c>
      <c r="BE56">
        <f>IF(AND($G56=TRUE,$E56="MID"),AY56,"")</f>
        <v/>
      </c>
      <c r="BF56">
        <f>IF(AND($G56=TRUE,$E56="FWD"),AY56,"")</f>
        <v/>
      </c>
      <c r="BG56" t="n">
        <v>2</v>
      </c>
      <c r="BH56" t="n">
        <v>2</v>
      </c>
      <c r="BI56" t="n">
        <v>1</v>
      </c>
      <c r="BJ56" t="n">
        <v>5</v>
      </c>
    </row>
    <row r="57">
      <c r="A57" t="inlineStr">
        <is>
          <t>Bart Verbruggen</t>
        </is>
      </c>
      <c r="B57" t="inlineStr">
        <is>
          <t>BHA</t>
        </is>
      </c>
      <c r="C57" t="inlineStr">
        <is>
          <t>BHA</t>
        </is>
      </c>
      <c r="D57" t="b">
        <v>0</v>
      </c>
      <c r="E57" t="inlineStr">
        <is>
          <t>GKP</t>
        </is>
      </c>
      <c r="F57" t="inlineStr">
        <is>
          <t>GKP</t>
        </is>
      </c>
      <c r="G57" t="b">
        <v>1</v>
      </c>
      <c r="H57" s="2" t="n">
        <v>4.5</v>
      </c>
      <c r="I57" t="inlineStr">
        <is>
          <t>a</t>
        </is>
      </c>
      <c r="K57" s="2" t="n">
        <v>3420</v>
      </c>
      <c r="L57" t="n">
        <v>130</v>
      </c>
      <c r="M57" s="3" t="n">
        <v>3385</v>
      </c>
      <c r="N57" s="8" t="n">
        <v>3385</v>
      </c>
      <c r="O57" s="8" t="n">
        <v>0</v>
      </c>
      <c r="Q57" t="inlineStr">
        <is>
          <t>flat</t>
        </is>
      </c>
      <c r="R57" s="6" t="n">
        <v>3385</v>
      </c>
      <c r="S57" t="inlineStr">
        <is>
          <t>Solio</t>
        </is>
      </c>
      <c r="U57" s="6" t="n">
        <v>90</v>
      </c>
      <c r="V57" s="2" t="n">
        <v>38</v>
      </c>
      <c r="W57" s="7">
        <f>IF(N(U57)&lt;=0,0,MIN(Assumptions!$B$15,N(R57)/N(U57)))</f>
        <v/>
      </c>
      <c r="X57" s="6" t="n">
        <v>0.252</v>
      </c>
      <c r="Y57" s="3" t="n">
        <v>0</v>
      </c>
      <c r="Z57" t="inlineStr">
        <is>
          <t>blended xG</t>
        </is>
      </c>
      <c r="AA57" s="3" t="n">
        <v>1</v>
      </c>
      <c r="AB57" s="3" t="n">
        <v>1</v>
      </c>
      <c r="AC57" s="3" t="n">
        <v>0</v>
      </c>
      <c r="AD57" s="3" t="n">
        <v>0.0018</v>
      </c>
      <c r="AE57" s="3" t="n">
        <v>0</v>
      </c>
      <c r="AF57" s="3" t="n">
        <v>0</v>
      </c>
      <c r="AG57" s="3" t="n">
        <v>0.2895</v>
      </c>
      <c r="AH57" s="3" t="n">
        <v>76</v>
      </c>
      <c r="AI57" s="3" t="n">
        <v>2.8404</v>
      </c>
      <c r="AJ57" s="3" t="n">
        <v>1.439</v>
      </c>
      <c r="AK57" s="3" t="n">
        <v>-0.1026485428862804</v>
      </c>
      <c r="AL57" s="6" t="n">
        <v>0</v>
      </c>
      <c r="AM57" s="3" t="n">
        <v>3.040566860477085</v>
      </c>
      <c r="AN57" s="3" t="n">
        <v>0</v>
      </c>
      <c r="AO57" s="3" t="n">
        <v>0.007128000000000001</v>
      </c>
      <c r="AP57" s="3">
        <f>N(X57)*N(BI57)</f>
        <v/>
      </c>
      <c r="AQ57" s="3" t="n">
        <v>0.2895</v>
      </c>
      <c r="AR57" s="3" t="n">
        <v>0.6115252178851747</v>
      </c>
      <c r="AS57" s="3" t="n">
        <v>-0.4835617861760246</v>
      </c>
      <c r="AT57" s="3" t="n">
        <v>-0.1026485428862804</v>
      </c>
      <c r="AU57" s="3">
        <f>SUM(AN57:AT57)</f>
        <v/>
      </c>
      <c r="AV57" s="7">
        <f>IF(OR(N(W57)&lt;=0,N(BG57)=0),0,N(W57)*IF(N(R57)/N(W57)&gt;=60,N(BG57),1))</f>
        <v/>
      </c>
      <c r="AW57" s="7">
        <f>N(W57)*N(AF57)*N(BH57)</f>
        <v/>
      </c>
      <c r="AX57" s="7">
        <f>N(AL57)*(Assumptions!$B$13*N(BJ57)-(1-Assumptions!$B$13)*Assumptions!$B$14)+N(AM57)</f>
        <v/>
      </c>
      <c r="AY57" s="7">
        <f>N(AU57)*N(R57)/90+N(AV57)+N(AW57)+N(AX57)</f>
        <v/>
      </c>
      <c r="AZ57" s="3">
        <f>IF(N(R57)&lt;=0,0,(N(AY57)-N(AX57))*90/N(R57))</f>
        <v/>
      </c>
      <c r="BA57" s="7">
        <f>IFERROR(AY57-VLOOKUP($E57,Assumptions!$A$40:$C$43,3,FALSE),"")</f>
        <v/>
      </c>
      <c r="BB57" s="3">
        <f>IFERROR(BA57/H57,"")</f>
        <v/>
      </c>
      <c r="BC57">
        <f>IF(AND($G57=TRUE,$E57="GKP"),AY57,"")</f>
        <v/>
      </c>
      <c r="BD57">
        <f>IF(AND($G57=TRUE,$E57="DEF"),AY57,"")</f>
        <v/>
      </c>
      <c r="BE57">
        <f>IF(AND($G57=TRUE,$E57="MID"),AY57,"")</f>
        <v/>
      </c>
      <c r="BF57">
        <f>IF(AND($G57=TRUE,$E57="FWD"),AY57,"")</f>
        <v/>
      </c>
      <c r="BG57" t="n">
        <v>2</v>
      </c>
      <c r="BH57" t="n">
        <v>0</v>
      </c>
      <c r="BI57" t="n">
        <v>4</v>
      </c>
      <c r="BJ57" t="n">
        <v>10</v>
      </c>
    </row>
    <row r="58">
      <c r="A58" t="inlineStr">
        <is>
          <t>Nathan Collins</t>
        </is>
      </c>
      <c r="B58" t="inlineStr">
        <is>
          <t>BRE</t>
        </is>
      </c>
      <c r="C58" t="inlineStr">
        <is>
          <t>BRE</t>
        </is>
      </c>
      <c r="D58" t="b">
        <v>0</v>
      </c>
      <c r="E58" t="inlineStr">
        <is>
          <t>DEF</t>
        </is>
      </c>
      <c r="F58" t="inlineStr">
        <is>
          <t>DEF</t>
        </is>
      </c>
      <c r="G58" t="b">
        <v>1</v>
      </c>
      <c r="H58" s="2" t="n">
        <v>5.5</v>
      </c>
      <c r="I58" t="inlineStr">
        <is>
          <t>a</t>
        </is>
      </c>
      <c r="K58" s="2" t="n">
        <v>2971</v>
      </c>
      <c r="L58" t="n">
        <v>129</v>
      </c>
      <c r="M58" s="3" t="n">
        <v>3044</v>
      </c>
      <c r="N58" s="8" t="n">
        <v>3044</v>
      </c>
      <c r="O58" s="8" t="n">
        <v>0</v>
      </c>
      <c r="Q58" t="inlineStr">
        <is>
          <t>flat</t>
        </is>
      </c>
      <c r="R58" s="6" t="n">
        <v>3044</v>
      </c>
      <c r="S58" t="inlineStr">
        <is>
          <t>Solio</t>
        </is>
      </c>
      <c r="U58" s="6" t="n">
        <v>88.90000000000001</v>
      </c>
      <c r="V58" s="2" t="n">
        <v>32</v>
      </c>
      <c r="W58" s="7">
        <f>IF(N(U58)&lt;=0,0,MIN(Assumptions!$B$15,N(R58)/N(U58)))</f>
        <v/>
      </c>
      <c r="X58" s="6" t="n">
        <v>0.228</v>
      </c>
      <c r="Y58" s="3" t="n">
        <v>0.06320000000000001</v>
      </c>
      <c r="Z58" t="inlineStr">
        <is>
          <t>adjusted xGOT</t>
        </is>
      </c>
      <c r="AA58" s="3" t="n">
        <v>1</v>
      </c>
      <c r="AB58" s="3" t="n">
        <v>0.931</v>
      </c>
      <c r="AC58" s="3" t="n">
        <v>6.5</v>
      </c>
      <c r="AD58" s="3" t="n">
        <v>0.06270000000000001</v>
      </c>
      <c r="AE58" s="3" t="n">
        <v>9.276999999999999</v>
      </c>
      <c r="AF58" s="3" t="n">
        <v>0.4341382956531085</v>
      </c>
      <c r="AG58" s="3" t="n">
        <v>0.1818</v>
      </c>
      <c r="AH58" s="3" t="n">
        <v>67</v>
      </c>
      <c r="AI58" s="3" t="n">
        <v>3.2371</v>
      </c>
      <c r="AJ58" s="3" t="n">
        <v>1.5396</v>
      </c>
      <c r="AK58" s="3" t="n">
        <v>-0.1902876584699316</v>
      </c>
      <c r="AL58" s="6" t="n">
        <v>0</v>
      </c>
      <c r="AM58" s="3" t="n">
        <v>0</v>
      </c>
      <c r="AN58" s="3" t="n">
        <v>0.3792</v>
      </c>
      <c r="AO58" s="3" t="n">
        <v>0.248292</v>
      </c>
      <c r="AP58" s="3">
        <f>N(X58)*N(BI58)</f>
        <v/>
      </c>
      <c r="AQ58" s="3" t="n">
        <v>0.1818</v>
      </c>
      <c r="AR58" s="3" t="n">
        <v>0</v>
      </c>
      <c r="AS58" s="3" t="n">
        <v>-0.5312990096912251</v>
      </c>
      <c r="AT58" s="3" t="n">
        <v>-0.1902876584699316</v>
      </c>
      <c r="AU58" s="3">
        <f>SUM(AN58:AT58)</f>
        <v/>
      </c>
      <c r="AV58" s="7">
        <f>IF(OR(N(W58)&lt;=0,N(BG58)=0),0,N(W58)*IF(N(R58)/N(W58)&gt;=60,N(BG58),1))</f>
        <v/>
      </c>
      <c r="AW58" s="7">
        <f>N(W58)*N(AF58)*N(BH58)</f>
        <v/>
      </c>
      <c r="AX58" s="7">
        <f>N(AL58)*(Assumptions!$B$13*N(BJ58)-(1-Assumptions!$B$13)*Assumptions!$B$14)+N(AM58)</f>
        <v/>
      </c>
      <c r="AY58" s="7">
        <f>N(AU58)*N(R58)/90+N(AV58)+N(AW58)+N(AX58)</f>
        <v/>
      </c>
      <c r="AZ58" s="3">
        <f>IF(N(R58)&lt;=0,0,(N(AY58)-N(AX58))*90/N(R58))</f>
        <v/>
      </c>
      <c r="BA58" s="7">
        <f>IFERROR(AY58-VLOOKUP($E58,Assumptions!$A$40:$C$43,3,FALSE),"")</f>
        <v/>
      </c>
      <c r="BB58" s="3">
        <f>IFERROR(BA58/H58,"")</f>
        <v/>
      </c>
      <c r="BC58">
        <f>IF(AND($G58=TRUE,$E58="GKP"),AY58,"")</f>
        <v/>
      </c>
      <c r="BD58">
        <f>IF(AND($G58=TRUE,$E58="DEF"),AY58,"")</f>
        <v/>
      </c>
      <c r="BE58">
        <f>IF(AND($G58=TRUE,$E58="MID"),AY58,"")</f>
        <v/>
      </c>
      <c r="BF58">
        <f>IF(AND($G58=TRUE,$E58="FWD"),AY58,"")</f>
        <v/>
      </c>
      <c r="BG58" t="n">
        <v>2</v>
      </c>
      <c r="BH58" t="n">
        <v>2</v>
      </c>
      <c r="BI58" t="n">
        <v>4</v>
      </c>
      <c r="BJ58" t="n">
        <v>6</v>
      </c>
    </row>
    <row r="59">
      <c r="A59" t="inlineStr">
        <is>
          <t>Neco Williams</t>
        </is>
      </c>
      <c r="B59" t="inlineStr">
        <is>
          <t>NFO</t>
        </is>
      </c>
      <c r="C59" t="inlineStr">
        <is>
          <t>NFO</t>
        </is>
      </c>
      <c r="D59" t="b">
        <v>0</v>
      </c>
      <c r="E59" t="inlineStr">
        <is>
          <t>DEF</t>
        </is>
      </c>
      <c r="F59" t="inlineStr">
        <is>
          <t>DEF</t>
        </is>
      </c>
      <c r="G59" t="b">
        <v>1</v>
      </c>
      <c r="H59" s="2" t="n">
        <v>5</v>
      </c>
      <c r="I59" t="inlineStr">
        <is>
          <t>a</t>
        </is>
      </c>
      <c r="K59" s="2" t="n">
        <v>3203</v>
      </c>
      <c r="L59" t="n">
        <v>128</v>
      </c>
      <c r="M59" s="3" t="n">
        <v>3331</v>
      </c>
      <c r="N59" s="4" t="n">
        <v>3200</v>
      </c>
      <c r="O59" s="4" t="n">
        <v>-131</v>
      </c>
      <c r="P59" s="5" t="inlineStr">
        <is>
          <t>low</t>
        </is>
      </c>
      <c r="Q59" t="inlineStr">
        <is>
          <t>flat</t>
        </is>
      </c>
      <c r="R59" s="6" t="n">
        <v>3200</v>
      </c>
      <c r="S59" t="inlineStr">
        <is>
          <t>research</t>
        </is>
      </c>
      <c r="T59" s="5" t="inlineStr">
        <is>
          <t>Genuinely nailed at right wing-back, but Solio projects him above his own 2025-26 total of 3,203, which was already a near-ever-present season. A small allowance for suspensions and cup rotation.</t>
        </is>
      </c>
      <c r="U59" s="6" t="n">
        <v>88.2</v>
      </c>
      <c r="V59" s="2" t="n">
        <v>35</v>
      </c>
      <c r="W59" s="7">
        <f>IF(N(U59)&lt;=0,0,MIN(Assumptions!$B$15,N(R59)/N(U59)))</f>
        <v/>
      </c>
      <c r="X59" s="6" t="n">
        <v>0.224</v>
      </c>
      <c r="Y59" s="3" t="n">
        <v>0.0581</v>
      </c>
      <c r="Z59" t="inlineStr">
        <is>
          <t>adjusted xGOT</t>
        </is>
      </c>
      <c r="AA59" s="3" t="n">
        <v>1</v>
      </c>
      <c r="AB59" s="3" t="n">
        <v>1.029</v>
      </c>
      <c r="AC59" s="3" t="n">
        <v>6.3</v>
      </c>
      <c r="AD59" s="3" t="n">
        <v>0.1175</v>
      </c>
      <c r="AE59" s="3" t="n">
        <v>7.077</v>
      </c>
      <c r="AF59" s="3" t="n">
        <v>0.1630202047218356</v>
      </c>
      <c r="AG59" s="3" t="n">
        <v>0.4215</v>
      </c>
      <c r="AH59" s="3" t="n">
        <v>71</v>
      </c>
      <c r="AI59" s="3" t="n">
        <v>3.1134</v>
      </c>
      <c r="AJ59" s="3" t="n">
        <v>1.5588</v>
      </c>
      <c r="AK59" s="3" t="n">
        <v>-0.2148358336121983</v>
      </c>
      <c r="AL59" s="6" t="n">
        <v>0</v>
      </c>
      <c r="AM59" s="3" t="n">
        <v>0</v>
      </c>
      <c r="AN59" s="3" t="n">
        <v>0.3486</v>
      </c>
      <c r="AO59" s="3" t="n">
        <v>0.4653</v>
      </c>
      <c r="AP59" s="3">
        <f>N(X59)*N(BI59)</f>
        <v/>
      </c>
      <c r="AQ59" s="3" t="n">
        <v>0.4215</v>
      </c>
      <c r="AR59" s="3" t="n">
        <v>0</v>
      </c>
      <c r="AS59" s="3" t="n">
        <v>-0.5404658182244797</v>
      </c>
      <c r="AT59" s="3" t="n">
        <v>-0.2148358336121983</v>
      </c>
      <c r="AU59" s="3">
        <f>SUM(AN59:AT59)</f>
        <v/>
      </c>
      <c r="AV59" s="7">
        <f>IF(OR(N(W59)&lt;=0,N(BG59)=0),0,N(W59)*IF(N(R59)/N(W59)&gt;=60,N(BG59),1))</f>
        <v/>
      </c>
      <c r="AW59" s="7">
        <f>N(W59)*N(AF59)*N(BH59)</f>
        <v/>
      </c>
      <c r="AX59" s="7">
        <f>N(AL59)*(Assumptions!$B$13*N(BJ59)-(1-Assumptions!$B$13)*Assumptions!$B$14)+N(AM59)</f>
        <v/>
      </c>
      <c r="AY59" s="7">
        <f>N(AU59)*N(R59)/90+N(AV59)+N(AW59)+N(AX59)</f>
        <v/>
      </c>
      <c r="AZ59" s="3">
        <f>IF(N(R59)&lt;=0,0,(N(AY59)-N(AX59))*90/N(R59))</f>
        <v/>
      </c>
      <c r="BA59" s="7">
        <f>IFERROR(AY59-VLOOKUP($E59,Assumptions!$A$40:$C$43,3,FALSE),"")</f>
        <v/>
      </c>
      <c r="BB59" s="3">
        <f>IFERROR(BA59/H59,"")</f>
        <v/>
      </c>
      <c r="BC59">
        <f>IF(AND($G59=TRUE,$E59="GKP"),AY59,"")</f>
        <v/>
      </c>
      <c r="BD59">
        <f>IF(AND($G59=TRUE,$E59="DEF"),AY59,"")</f>
        <v/>
      </c>
      <c r="BE59">
        <f>IF(AND($G59=TRUE,$E59="MID"),AY59,"")</f>
        <v/>
      </c>
      <c r="BF59">
        <f>IF(AND($G59=TRUE,$E59="FWD"),AY59,"")</f>
        <v/>
      </c>
      <c r="BG59" t="n">
        <v>2</v>
      </c>
      <c r="BH59" t="n">
        <v>2</v>
      </c>
      <c r="BI59" t="n">
        <v>4</v>
      </c>
      <c r="BJ59" t="n">
        <v>6</v>
      </c>
    </row>
    <row r="60">
      <c r="A60" t="inlineStr">
        <is>
          <t>Viktor Gyökeres</t>
        </is>
      </c>
      <c r="B60" t="inlineStr">
        <is>
          <t>ARS</t>
        </is>
      </c>
      <c r="C60" t="inlineStr">
        <is>
          <t>ARS</t>
        </is>
      </c>
      <c r="D60" t="b">
        <v>0</v>
      </c>
      <c r="E60" t="inlineStr">
        <is>
          <t>FWD</t>
        </is>
      </c>
      <c r="F60" t="inlineStr">
        <is>
          <t>FWD</t>
        </is>
      </c>
      <c r="G60" t="b">
        <v>1</v>
      </c>
      <c r="H60" s="2" t="n">
        <v>7.5</v>
      </c>
      <c r="I60" t="inlineStr">
        <is>
          <t>a</t>
        </is>
      </c>
      <c r="K60" s="2" t="n">
        <v>2217</v>
      </c>
      <c r="L60" t="n">
        <v>128</v>
      </c>
      <c r="M60" s="3" t="n">
        <v>1459</v>
      </c>
      <c r="N60" s="8" t="n">
        <v>1459</v>
      </c>
      <c r="O60" s="8" t="n">
        <v>0</v>
      </c>
      <c r="Q60" t="inlineStr">
        <is>
          <t>flat</t>
        </is>
      </c>
      <c r="R60" s="6" t="n">
        <v>1459</v>
      </c>
      <c r="S60" t="inlineStr">
        <is>
          <t>Solio</t>
        </is>
      </c>
      <c r="U60" s="6" t="n">
        <v>76.5</v>
      </c>
      <c r="V60" s="2" t="n">
        <v>26</v>
      </c>
      <c r="W60" s="7">
        <f>IF(N(U60)&lt;=0,0,MIN(Assumptions!$B$15,N(R60)/N(U60)))</f>
        <v/>
      </c>
      <c r="X60" s="6" t="n">
        <v>0.391</v>
      </c>
      <c r="Y60" s="3" t="n">
        <v>0.3571</v>
      </c>
      <c r="Z60" t="inlineStr">
        <is>
          <t>adjusted xGOT</t>
        </is>
      </c>
      <c r="AA60" s="3" t="n">
        <v>0.835</v>
      </c>
      <c r="AB60" s="3" t="n">
        <v>0.859</v>
      </c>
      <c r="AC60" s="3" t="n">
        <v>12.3</v>
      </c>
      <c r="AD60" s="3" t="n">
        <v>0.09320000000000001</v>
      </c>
      <c r="AE60" s="3" t="n">
        <v>3.78</v>
      </c>
      <c r="AF60" s="3" t="n">
        <v>0.0001341086208062059</v>
      </c>
      <c r="AG60" s="3" t="n">
        <v>0.6495</v>
      </c>
      <c r="AH60" s="3" t="n">
        <v>58</v>
      </c>
      <c r="AI60" s="3" t="n">
        <v>2.067</v>
      </c>
      <c r="AJ60" s="3" t="n">
        <v>0.9838</v>
      </c>
      <c r="AK60" s="3" t="n">
        <v>-0.1988872775556141</v>
      </c>
      <c r="AL60" s="6" t="n">
        <v>0.4910444381460489</v>
      </c>
      <c r="AM60" s="3" t="n">
        <v>0</v>
      </c>
      <c r="AN60" s="3" t="n">
        <v>1.4284</v>
      </c>
      <c r="AO60" s="3" t="n">
        <v>0.369072</v>
      </c>
      <c r="AP60" s="3">
        <f>N(X60)*N(BI60)</f>
        <v/>
      </c>
      <c r="AQ60" s="3" t="n">
        <v>0.6495</v>
      </c>
      <c r="AR60" s="3" t="n">
        <v>0</v>
      </c>
      <c r="AS60" s="3" t="n">
        <v>-0</v>
      </c>
      <c r="AT60" s="3" t="n">
        <v>-0.1988872775556141</v>
      </c>
      <c r="AU60" s="3">
        <f>SUM(AN60:AT60)</f>
        <v/>
      </c>
      <c r="AV60" s="7">
        <f>IF(OR(N(W60)&lt;=0,N(BG60)=0),0,N(W60)*IF(N(R60)/N(W60)&gt;=60,N(BG60),1))</f>
        <v/>
      </c>
      <c r="AW60" s="7">
        <f>N(W60)*N(AF60)*N(BH60)</f>
        <v/>
      </c>
      <c r="AX60" s="7">
        <f>N(AL60)*(Assumptions!$B$13*N(BJ60)-(1-Assumptions!$B$13)*Assumptions!$B$14)+N(AM60)</f>
        <v/>
      </c>
      <c r="AY60" s="7">
        <f>N(AU60)*N(R60)/90+N(AV60)+N(AW60)+N(AX60)</f>
        <v/>
      </c>
      <c r="AZ60" s="3">
        <f>IF(N(R60)&lt;=0,0,(N(AY60)-N(AX60))*90/N(R60))</f>
        <v/>
      </c>
      <c r="BA60" s="7">
        <f>IFERROR(AY60-VLOOKUP($E60,Assumptions!$A$40:$C$43,3,FALSE),"")</f>
        <v/>
      </c>
      <c r="BB60" s="3">
        <f>IFERROR(BA60/H60,"")</f>
        <v/>
      </c>
      <c r="BC60">
        <f>IF(AND($G60=TRUE,$E60="GKP"),AY60,"")</f>
        <v/>
      </c>
      <c r="BD60">
        <f>IF(AND($G60=TRUE,$E60="DEF"),AY60,"")</f>
        <v/>
      </c>
      <c r="BE60">
        <f>IF(AND($G60=TRUE,$E60="MID"),AY60,"")</f>
        <v/>
      </c>
      <c r="BF60">
        <f>IF(AND($G60=TRUE,$E60="FWD"),AY60,"")</f>
        <v/>
      </c>
      <c r="BG60" t="n">
        <v>2</v>
      </c>
      <c r="BH60" t="n">
        <v>2</v>
      </c>
      <c r="BI60" t="n">
        <v>0</v>
      </c>
      <c r="BJ60" t="n">
        <v>4</v>
      </c>
    </row>
    <row r="61">
      <c r="A61" t="inlineStr">
        <is>
          <t>Iliman Ndiaye</t>
        </is>
      </c>
      <c r="B61" t="inlineStr">
        <is>
          <t>EVE</t>
        </is>
      </c>
      <c r="C61" t="inlineStr">
        <is>
          <t>EVE</t>
        </is>
      </c>
      <c r="D61" t="b">
        <v>0</v>
      </c>
      <c r="E61" t="inlineStr">
        <is>
          <t>MID</t>
        </is>
      </c>
      <c r="F61" t="inlineStr">
        <is>
          <t>MID</t>
        </is>
      </c>
      <c r="G61" t="b">
        <v>1</v>
      </c>
      <c r="H61" s="2" t="n">
        <v>6</v>
      </c>
      <c r="I61" t="inlineStr">
        <is>
          <t>a</t>
        </is>
      </c>
      <c r="K61" s="2" t="n">
        <v>2781</v>
      </c>
      <c r="L61" t="n">
        <v>128</v>
      </c>
      <c r="M61" s="3" t="n">
        <v>3186</v>
      </c>
      <c r="N61" s="8" t="n">
        <v>3186</v>
      </c>
      <c r="O61" s="8" t="n">
        <v>0</v>
      </c>
      <c r="Q61" t="inlineStr">
        <is>
          <t>flat</t>
        </is>
      </c>
      <c r="R61" s="6" t="n">
        <v>3186</v>
      </c>
      <c r="S61" t="inlineStr">
        <is>
          <t>Solio</t>
        </is>
      </c>
      <c r="U61" s="6" t="n">
        <v>85.3</v>
      </c>
      <c r="V61" s="2" t="n">
        <v>32</v>
      </c>
      <c r="W61" s="7">
        <f>IF(N(U61)&lt;=0,0,MIN(Assumptions!$B$15,N(R61)/N(U61)))</f>
        <v/>
      </c>
      <c r="X61" s="6" t="n">
        <v>0.231</v>
      </c>
      <c r="Y61" s="3" t="n">
        <v>0.1929</v>
      </c>
      <c r="Z61" t="inlineStr">
        <is>
          <t>adjusted xGOT</t>
        </is>
      </c>
      <c r="AA61" s="3" t="n">
        <v>0.752</v>
      </c>
      <c r="AB61" s="3" t="n">
        <v>1.186</v>
      </c>
      <c r="AC61" s="3" t="n">
        <v>12.9</v>
      </c>
      <c r="AD61" s="3" t="n">
        <v>0.1435</v>
      </c>
      <c r="AE61" s="3" t="n">
        <v>9.039</v>
      </c>
      <c r="AF61" s="3" t="n">
        <v>0.1571058944797701</v>
      </c>
      <c r="AG61" s="3" t="n">
        <v>0.2589</v>
      </c>
      <c r="AH61" s="3" t="n">
        <v>64</v>
      </c>
      <c r="AI61" s="3" t="n">
        <v>3.0311</v>
      </c>
      <c r="AJ61" s="3" t="n">
        <v>1.5252</v>
      </c>
      <c r="AK61" s="3" t="n">
        <v>-0.1274666475742953</v>
      </c>
      <c r="AL61" s="6" t="n">
        <v>4.211429362823602</v>
      </c>
      <c r="AM61" s="3" t="n">
        <v>0</v>
      </c>
      <c r="AN61" s="3" t="n">
        <v>0.9644999999999999</v>
      </c>
      <c r="AO61" s="3" t="n">
        <v>0.56826</v>
      </c>
      <c r="AP61" s="3">
        <f>N(X61)*N(BI61)</f>
        <v/>
      </c>
      <c r="AQ61" s="3" t="n">
        <v>0.2589</v>
      </c>
      <c r="AR61" s="3" t="n">
        <v>0</v>
      </c>
      <c r="AS61" s="3" t="n">
        <v>-0</v>
      </c>
      <c r="AT61" s="3" t="n">
        <v>-0.1274666475742953</v>
      </c>
      <c r="AU61" s="3">
        <f>SUM(AN61:AT61)</f>
        <v/>
      </c>
      <c r="AV61" s="7">
        <f>IF(OR(N(W61)&lt;=0,N(BG61)=0),0,N(W61)*IF(N(R61)/N(W61)&gt;=60,N(BG61),1))</f>
        <v/>
      </c>
      <c r="AW61" s="7">
        <f>N(W61)*N(AF61)*N(BH61)</f>
        <v/>
      </c>
      <c r="AX61" s="7">
        <f>N(AL61)*(Assumptions!$B$13*N(BJ61)-(1-Assumptions!$B$13)*Assumptions!$B$14)+N(AM61)</f>
        <v/>
      </c>
      <c r="AY61" s="7">
        <f>N(AU61)*N(R61)/90+N(AV61)+N(AW61)+N(AX61)</f>
        <v/>
      </c>
      <c r="AZ61" s="3">
        <f>IF(N(R61)&lt;=0,0,(N(AY61)-N(AX61))*90/N(R61))</f>
        <v/>
      </c>
      <c r="BA61" s="7">
        <f>IFERROR(AY61-VLOOKUP($E61,Assumptions!$A$40:$C$43,3,FALSE),"")</f>
        <v/>
      </c>
      <c r="BB61" s="3">
        <f>IFERROR(BA61/H61,"")</f>
        <v/>
      </c>
      <c r="BC61">
        <f>IF(AND($G61=TRUE,$E61="GKP"),AY61,"")</f>
        <v/>
      </c>
      <c r="BD61">
        <f>IF(AND($G61=TRUE,$E61="DEF"),AY61,"")</f>
        <v/>
      </c>
      <c r="BE61">
        <f>IF(AND($G61=TRUE,$E61="MID"),AY61,"")</f>
        <v/>
      </c>
      <c r="BF61">
        <f>IF(AND($G61=TRUE,$E61="FWD"),AY61,"")</f>
        <v/>
      </c>
      <c r="BG61" t="n">
        <v>2</v>
      </c>
      <c r="BH61" t="n">
        <v>2</v>
      </c>
      <c r="BI61" t="n">
        <v>1</v>
      </c>
      <c r="BJ61" t="n">
        <v>5</v>
      </c>
    </row>
    <row r="62">
      <c r="A62" t="inlineStr">
        <is>
          <t>Chris Richards</t>
        </is>
      </c>
      <c r="B62" t="inlineStr">
        <is>
          <t>CRY</t>
        </is>
      </c>
      <c r="C62" t="inlineStr">
        <is>
          <t>CRY</t>
        </is>
      </c>
      <c r="D62" t="b">
        <v>0</v>
      </c>
      <c r="E62" t="inlineStr">
        <is>
          <t>DEF</t>
        </is>
      </c>
      <c r="F62" t="inlineStr">
        <is>
          <t>DEF</t>
        </is>
      </c>
      <c r="G62" t="b">
        <v>1</v>
      </c>
      <c r="H62" s="2" t="n">
        <v>5</v>
      </c>
      <c r="I62" t="inlineStr">
        <is>
          <t>a</t>
        </is>
      </c>
      <c r="K62" s="2" t="n">
        <v>2825</v>
      </c>
      <c r="L62" t="n">
        <v>128</v>
      </c>
      <c r="M62" s="3" t="n">
        <v>3283</v>
      </c>
      <c r="N62" s="4" t="n">
        <v>3050</v>
      </c>
      <c r="O62" s="4" t="n">
        <v>-233</v>
      </c>
      <c r="P62" s="5" t="inlineStr">
        <is>
          <t>low</t>
        </is>
      </c>
      <c r="Q62" t="inlineStr">
        <is>
          <t>flat</t>
        </is>
      </c>
      <c r="R62" s="6" t="n">
        <v>3050</v>
      </c>
      <c r="S62" t="inlineStr">
        <is>
          <t>research</t>
        </is>
      </c>
      <c r="T62" s="5" t="inlineStr">
        <is>
          <t>Rotation haircut only; he is a nailed starter and started at Freiburg. Solio projects 458 minutes above his 2825 last season, in a season where Palace enter the Europa League league phase as Conference League holders and so play a Thursday-Sunday schedule. Palace played 60 matches in 2025/26 on the same pattern.</t>
        </is>
      </c>
      <c r="U62" s="6" t="n">
        <v>88.7</v>
      </c>
      <c r="V62" s="2" t="n">
        <v>31</v>
      </c>
      <c r="W62" s="7">
        <f>IF(N(U62)&lt;=0,0,MIN(Assumptions!$B$15,N(R62)/N(U62)))</f>
        <v/>
      </c>
      <c r="X62" s="6" t="n">
        <v>0.216</v>
      </c>
      <c r="Y62" s="3" t="n">
        <v>0.07199999999999999</v>
      </c>
      <c r="Z62" t="inlineStr">
        <is>
          <t>adjusted xGOT</t>
        </is>
      </c>
      <c r="AA62" s="3" t="n">
        <v>1</v>
      </c>
      <c r="AB62" s="3" t="n">
        <v>0.9340000000000001</v>
      </c>
      <c r="AC62" s="3" t="n">
        <v>5.1</v>
      </c>
      <c r="AD62" s="3" t="n">
        <v>0.0326</v>
      </c>
      <c r="AE62" s="3" t="n">
        <v>9.456</v>
      </c>
      <c r="AF62" s="3" t="n">
        <v>0.4545982629616002</v>
      </c>
      <c r="AG62" s="3" t="n">
        <v>0.1593</v>
      </c>
      <c r="AH62" s="3" t="n">
        <v>64</v>
      </c>
      <c r="AI62" s="3" t="n">
        <v>3.2035</v>
      </c>
      <c r="AJ62" s="3" t="n">
        <v>1.5923</v>
      </c>
      <c r="AK62" s="3" t="n">
        <v>-0.1555108452468891</v>
      </c>
      <c r="AL62" s="6" t="n">
        <v>0</v>
      </c>
      <c r="AM62" s="3" t="n">
        <v>0</v>
      </c>
      <c r="AN62" s="3" t="n">
        <v>0.4319999999999999</v>
      </c>
      <c r="AO62" s="3" t="n">
        <v>0.129096</v>
      </c>
      <c r="AP62" s="3">
        <f>N(X62)*N(BI62)</f>
        <v/>
      </c>
      <c r="AQ62" s="3" t="n">
        <v>0.1593</v>
      </c>
      <c r="AR62" s="3" t="n">
        <v>0</v>
      </c>
      <c r="AS62" s="3" t="n">
        <v>-0.5564987001023466</v>
      </c>
      <c r="AT62" s="3" t="n">
        <v>-0.1555108452468891</v>
      </c>
      <c r="AU62" s="3">
        <f>SUM(AN62:AT62)</f>
        <v/>
      </c>
      <c r="AV62" s="7">
        <f>IF(OR(N(W62)&lt;=0,N(BG62)=0),0,N(W62)*IF(N(R62)/N(W62)&gt;=60,N(BG62),1))</f>
        <v/>
      </c>
      <c r="AW62" s="7">
        <f>N(W62)*N(AF62)*N(BH62)</f>
        <v/>
      </c>
      <c r="AX62" s="7">
        <f>N(AL62)*(Assumptions!$B$13*N(BJ62)-(1-Assumptions!$B$13)*Assumptions!$B$14)+N(AM62)</f>
        <v/>
      </c>
      <c r="AY62" s="7">
        <f>N(AU62)*N(R62)/90+N(AV62)+N(AW62)+N(AX62)</f>
        <v/>
      </c>
      <c r="AZ62" s="3">
        <f>IF(N(R62)&lt;=0,0,(N(AY62)-N(AX62))*90/N(R62))</f>
        <v/>
      </c>
      <c r="BA62" s="7">
        <f>IFERROR(AY62-VLOOKUP($E62,Assumptions!$A$40:$C$43,3,FALSE),"")</f>
        <v/>
      </c>
      <c r="BB62" s="3">
        <f>IFERROR(BA62/H62,"")</f>
        <v/>
      </c>
      <c r="BC62">
        <f>IF(AND($G62=TRUE,$E62="GKP"),AY62,"")</f>
        <v/>
      </c>
      <c r="BD62">
        <f>IF(AND($G62=TRUE,$E62="DEF"),AY62,"")</f>
        <v/>
      </c>
      <c r="BE62">
        <f>IF(AND($G62=TRUE,$E62="MID"),AY62,"")</f>
        <v/>
      </c>
      <c r="BF62">
        <f>IF(AND($G62=TRUE,$E62="FWD"),AY62,"")</f>
        <v/>
      </c>
      <c r="BG62" t="n">
        <v>2</v>
      </c>
      <c r="BH62" t="n">
        <v>2</v>
      </c>
      <c r="BI62" t="n">
        <v>4</v>
      </c>
      <c r="BJ62" t="n">
        <v>6</v>
      </c>
    </row>
    <row r="63">
      <c r="A63" s="9" t="inlineStr">
        <is>
          <t>Jaidon Anthony</t>
        </is>
      </c>
      <c r="B63" t="inlineStr">
        <is>
          <t>BRE</t>
        </is>
      </c>
      <c r="C63" s="9" t="inlineStr">
        <is>
          <t>BUR</t>
        </is>
      </c>
      <c r="D63" t="b">
        <v>1</v>
      </c>
      <c r="E63" t="inlineStr">
        <is>
          <t>MID</t>
        </is>
      </c>
      <c r="F63" t="inlineStr">
        <is>
          <t>MID</t>
        </is>
      </c>
      <c r="G63" t="b">
        <v>1</v>
      </c>
      <c r="H63" s="2" t="n">
        <v>6</v>
      </c>
      <c r="I63" t="inlineStr">
        <is>
          <t>a</t>
        </is>
      </c>
      <c r="K63" s="2" t="n">
        <v>2717</v>
      </c>
      <c r="L63" t="n">
        <v>127</v>
      </c>
      <c r="M63" s="3" t="n">
        <v>716</v>
      </c>
      <c r="N63" s="4" t="n">
        <v>1450</v>
      </c>
      <c r="O63" s="4" t="n">
        <v>734</v>
      </c>
      <c r="P63" s="5" t="inlineStr">
        <is>
          <t>medium</t>
        </is>
      </c>
      <c r="Q63" t="inlineStr">
        <is>
          <t>flat</t>
        </is>
      </c>
      <c r="R63" s="6" t="n">
        <v>1450</v>
      </c>
      <c r="S63" t="inlineStr">
        <is>
          <t>research</t>
        </is>
      </c>
      <c r="T63" s="5" t="inlineStr">
        <is>
          <t>Solio has him at 716 minutes despite a permanent transfer from Burnley on 7 July for a reported 15m plus 2m in add-ons, and an FPL price of 6.0m - joint third-highest at the club, level with Schade. He played 2717 minutes for Burnley in 2025/26, started and scored against AFC Wimbledon, started the full Rennes friendly as the left-sided attacker, and was on the bench for the Frankfurt match. A club does not pay that fee for a 26-year-old to play eight games. He is behind Schade at left wing, so this is a heavy-rotation number rather than a starter's number.</t>
        </is>
      </c>
      <c r="U63" s="6" t="n">
        <v>81.8</v>
      </c>
      <c r="V63" s="2" t="n">
        <v>32</v>
      </c>
      <c r="W63" s="7">
        <f>IF(N(U63)&lt;=0,0,MIN(Assumptions!$B$15,N(R63)/N(U63)))</f>
        <v/>
      </c>
      <c r="X63" s="6" t="n">
        <v>0.228</v>
      </c>
      <c r="Y63" s="10" t="n">
        <v>0.2106</v>
      </c>
      <c r="Z63" t="inlineStr">
        <is>
          <t>adjusted xGOT</t>
        </is>
      </c>
      <c r="AA63" s="3" t="n">
        <v>1</v>
      </c>
      <c r="AB63" s="3" t="n">
        <v>1.244</v>
      </c>
      <c r="AC63" s="3" t="n">
        <v>6.9</v>
      </c>
      <c r="AD63" s="10" t="n">
        <v>0.1197</v>
      </c>
      <c r="AE63" s="3" t="n">
        <v>7.872</v>
      </c>
      <c r="AF63" s="3" t="n">
        <v>0.0606527788067327</v>
      </c>
      <c r="AG63" s="3" t="n">
        <v>0.1987</v>
      </c>
      <c r="AH63" s="3" t="n">
        <v>67</v>
      </c>
      <c r="AI63" s="3" t="n">
        <v>3.2371</v>
      </c>
      <c r="AJ63" s="3" t="n">
        <v>1.5396</v>
      </c>
      <c r="AK63" s="3" t="n">
        <v>-0.1786180559706048</v>
      </c>
      <c r="AL63" s="6" t="n">
        <v>0</v>
      </c>
      <c r="AM63" s="3" t="n">
        <v>0</v>
      </c>
      <c r="AN63" s="10" t="n">
        <v>1.053</v>
      </c>
      <c r="AO63" s="10" t="n">
        <v>0.474012</v>
      </c>
      <c r="AP63" s="3">
        <f>N(X63)*N(BI63)</f>
        <v/>
      </c>
      <c r="AQ63" s="3" t="n">
        <v>0.1987</v>
      </c>
      <c r="AR63" s="3" t="n">
        <v>0</v>
      </c>
      <c r="AS63" s="3" t="n">
        <v>-0</v>
      </c>
      <c r="AT63" s="3" t="n">
        <v>-0.1786180559706048</v>
      </c>
      <c r="AU63" s="3">
        <f>SUM(AN63:AT63)</f>
        <v/>
      </c>
      <c r="AV63" s="7">
        <f>IF(OR(N(W63)&lt;=0,N(BG63)=0),0,N(W63)*IF(N(R63)/N(W63)&gt;=60,N(BG63),1))</f>
        <v/>
      </c>
      <c r="AW63" s="7">
        <f>N(W63)*N(AF63)*N(BH63)</f>
        <v/>
      </c>
      <c r="AX63" s="7">
        <f>N(AL63)*(Assumptions!$B$13*N(BJ63)-(1-Assumptions!$B$13)*Assumptions!$B$14)+N(AM63)</f>
        <v/>
      </c>
      <c r="AY63" s="7">
        <f>N(AU63)*N(R63)/90+N(AV63)+N(AW63)+N(AX63)</f>
        <v/>
      </c>
      <c r="AZ63" s="3">
        <f>IF(N(R63)&lt;=0,0,(N(AY63)-N(AX63))*90/N(R63))</f>
        <v/>
      </c>
      <c r="BA63" s="7">
        <f>IFERROR(AY63-VLOOKUP($E63,Assumptions!$A$40:$C$43,3,FALSE),"")</f>
        <v/>
      </c>
      <c r="BB63" s="3">
        <f>IFERROR(BA63/H63,"")</f>
        <v/>
      </c>
      <c r="BC63">
        <f>IF(AND($G63=TRUE,$E63="GKP"),AY63,"")</f>
        <v/>
      </c>
      <c r="BD63">
        <f>IF(AND($G63=TRUE,$E63="DEF"),AY63,"")</f>
        <v/>
      </c>
      <c r="BE63">
        <f>IF(AND($G63=TRUE,$E63="MID"),AY63,"")</f>
        <v/>
      </c>
      <c r="BF63">
        <f>IF(AND($G63=TRUE,$E63="FWD"),AY63,"")</f>
        <v/>
      </c>
      <c r="BG63" t="n">
        <v>2</v>
      </c>
      <c r="BH63" t="n">
        <v>2</v>
      </c>
      <c r="BI63" t="n">
        <v>1</v>
      </c>
      <c r="BJ63" t="n">
        <v>5</v>
      </c>
    </row>
    <row r="64">
      <c r="A64" t="inlineStr">
        <is>
          <t>Malick Thiaw</t>
        </is>
      </c>
      <c r="B64" t="inlineStr">
        <is>
          <t>NEW</t>
        </is>
      </c>
      <c r="C64" t="inlineStr">
        <is>
          <t>NEW</t>
        </is>
      </c>
      <c r="D64" t="b">
        <v>0</v>
      </c>
      <c r="E64" t="inlineStr">
        <is>
          <t>DEF</t>
        </is>
      </c>
      <c r="F64" t="inlineStr">
        <is>
          <t>DEF</t>
        </is>
      </c>
      <c r="G64" t="b">
        <v>1</v>
      </c>
      <c r="H64" s="2" t="n">
        <v>5</v>
      </c>
      <c r="I64" t="inlineStr">
        <is>
          <t>a</t>
        </is>
      </c>
      <c r="K64" s="2" t="n">
        <v>2963</v>
      </c>
      <c r="L64" t="n">
        <v>126</v>
      </c>
      <c r="M64" s="3" t="n">
        <v>3243</v>
      </c>
      <c r="N64" s="8" t="n">
        <v>3243</v>
      </c>
      <c r="O64" s="8" t="n">
        <v>0</v>
      </c>
      <c r="Q64" t="inlineStr">
        <is>
          <t>flat</t>
        </is>
      </c>
      <c r="R64" s="6" t="n">
        <v>3243</v>
      </c>
      <c r="S64" t="inlineStr">
        <is>
          <t>Solio</t>
        </is>
      </c>
      <c r="U64" s="6" t="n">
        <v>87.7</v>
      </c>
      <c r="V64" s="2" t="n">
        <v>33</v>
      </c>
      <c r="W64" s="7">
        <f>IF(N(U64)&lt;=0,0,MIN(Assumptions!$B$15,N(R64)/N(U64)))</f>
        <v/>
      </c>
      <c r="X64" s="6" t="n">
        <v>0.248</v>
      </c>
      <c r="Y64" s="3" t="n">
        <v>0.1515</v>
      </c>
      <c r="Z64" t="inlineStr">
        <is>
          <t>adjusted xGOT</t>
        </is>
      </c>
      <c r="AA64" s="3" t="n">
        <v>1</v>
      </c>
      <c r="AB64" s="3" t="n">
        <v>1.039</v>
      </c>
      <c r="AC64" s="3" t="n">
        <v>4.8</v>
      </c>
      <c r="AD64" s="3" t="n">
        <v>0.0271</v>
      </c>
      <c r="AE64" s="3" t="n">
        <v>8.638</v>
      </c>
      <c r="AF64" s="3" t="n">
        <v>0.3363075002268741</v>
      </c>
      <c r="AG64" s="3" t="n">
        <v>0.2734</v>
      </c>
      <c r="AH64" s="3" t="n">
        <v>67</v>
      </c>
      <c r="AI64" s="3" t="n">
        <v>3.0912</v>
      </c>
      <c r="AJ64" s="3" t="n">
        <v>1.4534</v>
      </c>
      <c r="AK64" s="3" t="n">
        <v>-0.1629174169121166</v>
      </c>
      <c r="AL64" s="6" t="n">
        <v>0</v>
      </c>
      <c r="AM64" s="3" t="n">
        <v>0</v>
      </c>
      <c r="AN64" s="3" t="n">
        <v>0.909</v>
      </c>
      <c r="AO64" s="3" t="n">
        <v>0.107316</v>
      </c>
      <c r="AP64" s="3">
        <f>N(X64)*N(BI64)</f>
        <v/>
      </c>
      <c r="AQ64" s="3" t="n">
        <v>0.2734</v>
      </c>
      <c r="AR64" s="3" t="n">
        <v>0</v>
      </c>
      <c r="AS64" s="3" t="n">
        <v>-0.4903625828545308</v>
      </c>
      <c r="AT64" s="3" t="n">
        <v>-0.1629174169121166</v>
      </c>
      <c r="AU64" s="3">
        <f>SUM(AN64:AT64)</f>
        <v/>
      </c>
      <c r="AV64" s="7">
        <f>IF(OR(N(W64)&lt;=0,N(BG64)=0),0,N(W64)*IF(N(R64)/N(W64)&gt;=60,N(BG64),1))</f>
        <v/>
      </c>
      <c r="AW64" s="7">
        <f>N(W64)*N(AF64)*N(BH64)</f>
        <v/>
      </c>
      <c r="AX64" s="7">
        <f>N(AL64)*(Assumptions!$B$13*N(BJ64)-(1-Assumptions!$B$13)*Assumptions!$B$14)+N(AM64)</f>
        <v/>
      </c>
      <c r="AY64" s="7">
        <f>N(AU64)*N(R64)/90+N(AV64)+N(AW64)+N(AX64)</f>
        <v/>
      </c>
      <c r="AZ64" s="3">
        <f>IF(N(R64)&lt;=0,0,(N(AY64)-N(AX64))*90/N(R64))</f>
        <v/>
      </c>
      <c r="BA64" s="7">
        <f>IFERROR(AY64-VLOOKUP($E64,Assumptions!$A$40:$C$43,3,FALSE),"")</f>
        <v/>
      </c>
      <c r="BB64" s="3">
        <f>IFERROR(BA64/H64,"")</f>
        <v/>
      </c>
      <c r="BC64">
        <f>IF(AND($G64=TRUE,$E64="GKP"),AY64,"")</f>
        <v/>
      </c>
      <c r="BD64">
        <f>IF(AND($G64=TRUE,$E64="DEF"),AY64,"")</f>
        <v/>
      </c>
      <c r="BE64">
        <f>IF(AND($G64=TRUE,$E64="MID"),AY64,"")</f>
        <v/>
      </c>
      <c r="BF64">
        <f>IF(AND($G64=TRUE,$E64="FWD"),AY64,"")</f>
        <v/>
      </c>
      <c r="BG64" t="n">
        <v>2</v>
      </c>
      <c r="BH64" t="n">
        <v>2</v>
      </c>
      <c r="BI64" t="n">
        <v>4</v>
      </c>
      <c r="BJ64" t="n">
        <v>6</v>
      </c>
    </row>
    <row r="65">
      <c r="A65" t="inlineStr">
        <is>
          <t>Brenden Aaronson</t>
        </is>
      </c>
      <c r="B65" t="inlineStr">
        <is>
          <t>LEE</t>
        </is>
      </c>
      <c r="C65" t="inlineStr">
        <is>
          <t>LEE</t>
        </is>
      </c>
      <c r="D65" t="b">
        <v>0</v>
      </c>
      <c r="E65" t="inlineStr">
        <is>
          <t>MID</t>
        </is>
      </c>
      <c r="F65" t="inlineStr">
        <is>
          <t>MID</t>
        </is>
      </c>
      <c r="G65" t="b">
        <v>1</v>
      </c>
      <c r="H65" s="2" t="n">
        <v>5.5</v>
      </c>
      <c r="I65" t="inlineStr">
        <is>
          <t>a</t>
        </is>
      </c>
      <c r="K65" s="2" t="n">
        <v>2449</v>
      </c>
      <c r="L65" t="n">
        <v>126</v>
      </c>
      <c r="M65" s="3" t="n">
        <v>1035</v>
      </c>
      <c r="N65" s="4" t="n">
        <v>1620</v>
      </c>
      <c r="O65" s="4" t="n">
        <v>585</v>
      </c>
      <c r="P65" s="5" t="inlineStr">
        <is>
          <t>medium</t>
        </is>
      </c>
      <c r="Q65" t="inlineStr">
        <is>
          <t>flat</t>
        </is>
      </c>
      <c r="R65" s="6" t="n">
        <v>1620</v>
      </c>
      <c r="S65" t="inlineStr">
        <is>
          <t>research</t>
        </is>
      </c>
      <c r="T65" s="5" t="inlineStr">
        <is>
          <t>Solio has him at 42% of last season's 2449 minutes, which inverts the current evidence. He started the final pre-season friendly (15 Aug) as one of the two No.10s in what Farke picked as his strongest available XI, six days before the opener, with 2 goals and 1 assist from three pre-season appearances. His direct competitor Okafor is short of match fitness by Farke's own admission and the other cover, Gnonto, has an untimed hamstring injury. I have deliberately NOT taken him all the way back to last season's level, because Okafor should regain fitness within a few weeks and Leeds are still hunting a wide forward (Paixao) before the 1 Sep deadline.</t>
        </is>
      </c>
      <c r="U65" s="6" t="n">
        <v>77.8</v>
      </c>
      <c r="V65" s="2" t="n">
        <v>30</v>
      </c>
      <c r="W65" s="7">
        <f>IF(N(U65)&lt;=0,0,MIN(Assumptions!$B$15,N(R65)/N(U65)))</f>
        <v/>
      </c>
      <c r="X65" s="6" t="n">
        <v>0.218</v>
      </c>
      <c r="Y65" s="3" t="n">
        <v>0.1593</v>
      </c>
      <c r="Z65" t="inlineStr">
        <is>
          <t>adjusted xGOT</t>
        </is>
      </c>
      <c r="AA65" s="3" t="n">
        <v>1</v>
      </c>
      <c r="AB65" s="3" t="n">
        <v>0.957</v>
      </c>
      <c r="AC65" s="3" t="n">
        <v>8.5</v>
      </c>
      <c r="AD65" s="3" t="n">
        <v>0.1702</v>
      </c>
      <c r="AE65" s="3" t="n">
        <v>8.083</v>
      </c>
      <c r="AF65" s="3" t="n">
        <v>0.05277822862255732</v>
      </c>
      <c r="AG65" s="3" t="n">
        <v>0.2205</v>
      </c>
      <c r="AH65" s="3" t="n">
        <v>65</v>
      </c>
      <c r="AI65" s="3" t="n">
        <v>3.0611</v>
      </c>
      <c r="AJ65" s="3" t="n">
        <v>1.5875</v>
      </c>
      <c r="AK65" s="3" t="n">
        <v>-0.1598973894162195</v>
      </c>
      <c r="AL65" s="6" t="n">
        <v>0</v>
      </c>
      <c r="AM65" s="3" t="n">
        <v>0</v>
      </c>
      <c r="AN65" s="3" t="n">
        <v>0.7965</v>
      </c>
      <c r="AO65" s="3" t="n">
        <v>0.6739919999999999</v>
      </c>
      <c r="AP65" s="3">
        <f>N(X65)*N(BI65)</f>
        <v/>
      </c>
      <c r="AQ65" s="3" t="n">
        <v>0.2205</v>
      </c>
      <c r="AR65" s="3" t="n">
        <v>0</v>
      </c>
      <c r="AS65" s="3" t="n">
        <v>-0</v>
      </c>
      <c r="AT65" s="3" t="n">
        <v>-0.1598973894162195</v>
      </c>
      <c r="AU65" s="3">
        <f>SUM(AN65:AT65)</f>
        <v/>
      </c>
      <c r="AV65" s="7">
        <f>IF(OR(N(W65)&lt;=0,N(BG65)=0),0,N(W65)*IF(N(R65)/N(W65)&gt;=60,N(BG65),1))</f>
        <v/>
      </c>
      <c r="AW65" s="7">
        <f>N(W65)*N(AF65)*N(BH65)</f>
        <v/>
      </c>
      <c r="AX65" s="7">
        <f>N(AL65)*(Assumptions!$B$13*N(BJ65)-(1-Assumptions!$B$13)*Assumptions!$B$14)+N(AM65)</f>
        <v/>
      </c>
      <c r="AY65" s="7">
        <f>N(AU65)*N(R65)/90+N(AV65)+N(AW65)+N(AX65)</f>
        <v/>
      </c>
      <c r="AZ65" s="3">
        <f>IF(N(R65)&lt;=0,0,(N(AY65)-N(AX65))*90/N(R65))</f>
        <v/>
      </c>
      <c r="BA65" s="7">
        <f>IFERROR(AY65-VLOOKUP($E65,Assumptions!$A$40:$C$43,3,FALSE),"")</f>
        <v/>
      </c>
      <c r="BB65" s="3">
        <f>IFERROR(BA65/H65,"")</f>
        <v/>
      </c>
      <c r="BC65">
        <f>IF(AND($G65=TRUE,$E65="GKP"),AY65,"")</f>
        <v/>
      </c>
      <c r="BD65">
        <f>IF(AND($G65=TRUE,$E65="DEF"),AY65,"")</f>
        <v/>
      </c>
      <c r="BE65">
        <f>IF(AND($G65=TRUE,$E65="MID"),AY65,"")</f>
        <v/>
      </c>
      <c r="BF65">
        <f>IF(AND($G65=TRUE,$E65="FWD"),AY65,"")</f>
        <v/>
      </c>
      <c r="BG65" t="n">
        <v>2</v>
      </c>
      <c r="BH65" t="n">
        <v>2</v>
      </c>
      <c r="BI65" t="n">
        <v>1</v>
      </c>
      <c r="BJ65" t="n">
        <v>5</v>
      </c>
    </row>
    <row r="66">
      <c r="A66" s="9" t="inlineStr">
        <is>
          <t>Danny Welbeck</t>
        </is>
      </c>
      <c r="B66" t="inlineStr">
        <is>
          <t>CHE</t>
        </is>
      </c>
      <c r="C66" s="9" t="inlineStr">
        <is>
          <t>BHA</t>
        </is>
      </c>
      <c r="D66" t="b">
        <v>1</v>
      </c>
      <c r="E66" t="inlineStr">
        <is>
          <t>FWD</t>
        </is>
      </c>
      <c r="F66" t="inlineStr">
        <is>
          <t>FWD</t>
        </is>
      </c>
      <c r="G66" t="b">
        <v>1</v>
      </c>
      <c r="H66" s="2" t="n">
        <v>6</v>
      </c>
      <c r="I66" t="inlineStr">
        <is>
          <t>a</t>
        </is>
      </c>
      <c r="K66" s="2" t="n">
        <v>2249</v>
      </c>
      <c r="L66" t="n">
        <v>126</v>
      </c>
      <c r="M66" s="3" t="n">
        <v>586</v>
      </c>
      <c r="N66" s="8" t="n">
        <v>586</v>
      </c>
      <c r="O66" s="8" t="n">
        <v>0</v>
      </c>
      <c r="Q66" t="inlineStr">
        <is>
          <t>flat</t>
        </is>
      </c>
      <c r="R66" s="6" t="n">
        <v>586</v>
      </c>
      <c r="S66" t="inlineStr">
        <is>
          <t>Solio</t>
        </is>
      </c>
      <c r="U66" s="6" t="n">
        <v>79.2</v>
      </c>
      <c r="V66" s="2" t="n">
        <v>26</v>
      </c>
      <c r="W66" s="7">
        <f>IF(N(U66)&lt;=0,0,MIN(Assumptions!$B$15,N(R66)/N(U66)))</f>
        <v/>
      </c>
      <c r="X66" s="6" t="n">
        <v>0.322</v>
      </c>
      <c r="Y66" s="10" t="n">
        <v>0.4</v>
      </c>
      <c r="Z66" t="inlineStr">
        <is>
          <t>adjusted xGOT</t>
        </is>
      </c>
      <c r="AA66" s="3" t="n">
        <v>0.82</v>
      </c>
      <c r="AB66" s="3" t="n">
        <v>0.986</v>
      </c>
      <c r="AC66" s="3" t="n">
        <v>35.6</v>
      </c>
      <c r="AD66" s="10" t="n">
        <v>0.0733</v>
      </c>
      <c r="AE66" s="3" t="n">
        <v>4.557</v>
      </c>
      <c r="AF66" s="3" t="n">
        <v>0.0009349570724563883</v>
      </c>
      <c r="AG66" s="3" t="n">
        <v>0.7203000000000001</v>
      </c>
      <c r="AH66" s="3" t="n">
        <v>62</v>
      </c>
      <c r="AI66" s="3" t="n">
        <v>2.4232</v>
      </c>
      <c r="AJ66" s="3" t="n">
        <v>1.1851</v>
      </c>
      <c r="AK66" s="3" t="n">
        <v>-0.206825124339262</v>
      </c>
      <c r="AL66" s="6" t="n">
        <v>0</v>
      </c>
      <c r="AM66" s="3" t="n">
        <v>0</v>
      </c>
      <c r="AN66" s="10" t="n">
        <v>1.6</v>
      </c>
      <c r="AO66" s="10" t="n">
        <v>0.290268</v>
      </c>
      <c r="AP66" s="3">
        <f>N(X66)*N(BI66)</f>
        <v/>
      </c>
      <c r="AQ66" s="3" t="n">
        <v>0.7203000000000001</v>
      </c>
      <c r="AR66" s="3" t="n">
        <v>0</v>
      </c>
      <c r="AS66" s="3" t="n">
        <v>-0</v>
      </c>
      <c r="AT66" s="3" t="n">
        <v>-0.206825124339262</v>
      </c>
      <c r="AU66" s="3">
        <f>SUM(AN66:AT66)</f>
        <v/>
      </c>
      <c r="AV66" s="7">
        <f>IF(OR(N(W66)&lt;=0,N(BG66)=0),0,N(W66)*IF(N(R66)/N(W66)&gt;=60,N(BG66),1))</f>
        <v/>
      </c>
      <c r="AW66" s="7">
        <f>N(W66)*N(AF66)*N(BH66)</f>
        <v/>
      </c>
      <c r="AX66" s="7">
        <f>N(AL66)*(Assumptions!$B$13*N(BJ66)-(1-Assumptions!$B$13)*Assumptions!$B$14)+N(AM66)</f>
        <v/>
      </c>
      <c r="AY66" s="7">
        <f>N(AU66)*N(R66)/90+N(AV66)+N(AW66)+N(AX66)</f>
        <v/>
      </c>
      <c r="AZ66" s="3">
        <f>IF(N(R66)&lt;=0,0,(N(AY66)-N(AX66))*90/N(R66))</f>
        <v/>
      </c>
      <c r="BA66" s="7">
        <f>IFERROR(AY66-VLOOKUP($E66,Assumptions!$A$40:$C$43,3,FALSE),"")</f>
        <v/>
      </c>
      <c r="BB66" s="3">
        <f>IFERROR(BA66/H66,"")</f>
        <v/>
      </c>
      <c r="BC66">
        <f>IF(AND($G66=TRUE,$E66="GKP"),AY66,"")</f>
        <v/>
      </c>
      <c r="BD66">
        <f>IF(AND($G66=TRUE,$E66="DEF"),AY66,"")</f>
        <v/>
      </c>
      <c r="BE66">
        <f>IF(AND($G66=TRUE,$E66="MID"),AY66,"")</f>
        <v/>
      </c>
      <c r="BF66">
        <f>IF(AND($G66=TRUE,$E66="FWD"),AY66,"")</f>
        <v/>
      </c>
      <c r="BG66" t="n">
        <v>2</v>
      </c>
      <c r="BH66" t="n">
        <v>2</v>
      </c>
      <c r="BI66" t="n">
        <v>0</v>
      </c>
      <c r="BJ66" t="n">
        <v>4</v>
      </c>
    </row>
    <row r="67">
      <c r="A67" t="inlineStr">
        <is>
          <t>Florian Wirtz</t>
        </is>
      </c>
      <c r="B67" t="inlineStr">
        <is>
          <t>LIV</t>
        </is>
      </c>
      <c r="C67" t="inlineStr">
        <is>
          <t>LIV</t>
        </is>
      </c>
      <c r="D67" t="b">
        <v>0</v>
      </c>
      <c r="E67" t="inlineStr">
        <is>
          <t>MID</t>
        </is>
      </c>
      <c r="F67" t="inlineStr">
        <is>
          <t>MID</t>
        </is>
      </c>
      <c r="G67" t="b">
        <v>1</v>
      </c>
      <c r="H67" s="2" t="n">
        <v>7.5</v>
      </c>
      <c r="I67" t="inlineStr">
        <is>
          <t>a</t>
        </is>
      </c>
      <c r="K67" s="2" t="n">
        <v>2374</v>
      </c>
      <c r="L67" t="n">
        <v>125</v>
      </c>
      <c r="M67" s="3" t="n">
        <v>2902</v>
      </c>
      <c r="N67" s="8" t="n">
        <v>2902</v>
      </c>
      <c r="O67" s="8" t="n">
        <v>0</v>
      </c>
      <c r="Q67" t="inlineStr">
        <is>
          <t>flat</t>
        </is>
      </c>
      <c r="R67" s="6" t="n">
        <v>2902</v>
      </c>
      <c r="S67" t="inlineStr">
        <is>
          <t>Solio</t>
        </is>
      </c>
      <c r="U67" s="6" t="n">
        <v>81.59999999999999</v>
      </c>
      <c r="V67" s="2" t="n">
        <v>27</v>
      </c>
      <c r="W67" s="7">
        <f>IF(N(U67)&lt;=0,0,MIN(Assumptions!$B$15,N(R67)/N(U67)))</f>
        <v/>
      </c>
      <c r="X67" s="6" t="n">
        <v>0.342</v>
      </c>
      <c r="Y67" s="3" t="n">
        <v>0.2532</v>
      </c>
      <c r="Z67" t="inlineStr">
        <is>
          <t>adjusted xGOT</t>
        </is>
      </c>
      <c r="AA67" s="3" t="n">
        <v>1</v>
      </c>
      <c r="AB67" s="3" t="n">
        <v>0.978</v>
      </c>
      <c r="AC67" s="3" t="n">
        <v>6.8</v>
      </c>
      <c r="AD67" s="3" t="n">
        <v>0.1995</v>
      </c>
      <c r="AE67" s="3" t="n">
        <v>7.116</v>
      </c>
      <c r="AF67" s="3" t="n">
        <v>0.0323185689960912</v>
      </c>
      <c r="AG67" s="3" t="n">
        <v>0.6445</v>
      </c>
      <c r="AH67" s="3" t="n">
        <v>60</v>
      </c>
      <c r="AI67" s="3" t="n">
        <v>2.409</v>
      </c>
      <c r="AJ67" s="3" t="n">
        <v>1.1228</v>
      </c>
      <c r="AK67" s="3" t="n">
        <v>-0.1155200166475775</v>
      </c>
      <c r="AL67" s="6" t="n">
        <v>0.0117617414321838</v>
      </c>
      <c r="AM67" s="3" t="n">
        <v>0</v>
      </c>
      <c r="AN67" s="3" t="n">
        <v>1.266</v>
      </c>
      <c r="AO67" s="3" t="n">
        <v>0.7900200000000001</v>
      </c>
      <c r="AP67" s="3">
        <f>N(X67)*N(BI67)</f>
        <v/>
      </c>
      <c r="AQ67" s="3" t="n">
        <v>0.6445</v>
      </c>
      <c r="AR67" s="3" t="n">
        <v>0</v>
      </c>
      <c r="AS67" s="3" t="n">
        <v>-0</v>
      </c>
      <c r="AT67" s="3" t="n">
        <v>-0.1155200166475775</v>
      </c>
      <c r="AU67" s="3">
        <f>SUM(AN67:AT67)</f>
        <v/>
      </c>
      <c r="AV67" s="7">
        <f>IF(OR(N(W67)&lt;=0,N(BG67)=0),0,N(W67)*IF(N(R67)/N(W67)&gt;=60,N(BG67),1))</f>
        <v/>
      </c>
      <c r="AW67" s="7">
        <f>N(W67)*N(AF67)*N(BH67)</f>
        <v/>
      </c>
      <c r="AX67" s="7">
        <f>N(AL67)*(Assumptions!$B$13*N(BJ67)-(1-Assumptions!$B$13)*Assumptions!$B$14)+N(AM67)</f>
        <v/>
      </c>
      <c r="AY67" s="7">
        <f>N(AU67)*N(R67)/90+N(AV67)+N(AW67)+N(AX67)</f>
        <v/>
      </c>
      <c r="AZ67" s="3">
        <f>IF(N(R67)&lt;=0,0,(N(AY67)-N(AX67))*90/N(R67))</f>
        <v/>
      </c>
      <c r="BA67" s="7">
        <f>IFERROR(AY67-VLOOKUP($E67,Assumptions!$A$40:$C$43,3,FALSE),"")</f>
        <v/>
      </c>
      <c r="BB67" s="3">
        <f>IFERROR(BA67/H67,"")</f>
        <v/>
      </c>
      <c r="BC67">
        <f>IF(AND($G67=TRUE,$E67="GKP"),AY67,"")</f>
        <v/>
      </c>
      <c r="BD67">
        <f>IF(AND($G67=TRUE,$E67="DEF"),AY67,"")</f>
        <v/>
      </c>
      <c r="BE67">
        <f>IF(AND($G67=TRUE,$E67="MID"),AY67,"")</f>
        <v/>
      </c>
      <c r="BF67">
        <f>IF(AND($G67=TRUE,$E67="FWD"),AY67,"")</f>
        <v/>
      </c>
      <c r="BG67" t="n">
        <v>2</v>
      </c>
      <c r="BH67" t="n">
        <v>2</v>
      </c>
      <c r="BI67" t="n">
        <v>1</v>
      </c>
      <c r="BJ67" t="n">
        <v>5</v>
      </c>
    </row>
    <row r="68">
      <c r="A68" t="inlineStr">
        <is>
          <t>Pedro Neto</t>
        </is>
      </c>
      <c r="B68" t="inlineStr">
        <is>
          <t>CHE</t>
        </is>
      </c>
      <c r="C68" t="inlineStr">
        <is>
          <t>CHE</t>
        </is>
      </c>
      <c r="D68" t="b">
        <v>0</v>
      </c>
      <c r="E68" t="inlineStr">
        <is>
          <t>MID</t>
        </is>
      </c>
      <c r="F68" t="inlineStr">
        <is>
          <t>MID</t>
        </is>
      </c>
      <c r="G68" t="b">
        <v>1</v>
      </c>
      <c r="H68" s="2" t="n">
        <v>6.5</v>
      </c>
      <c r="I68" t="inlineStr">
        <is>
          <t>a</t>
        </is>
      </c>
      <c r="K68" s="2" t="n">
        <v>2629</v>
      </c>
      <c r="L68" t="n">
        <v>125</v>
      </c>
      <c r="M68" s="3" t="n">
        <v>1773</v>
      </c>
      <c r="N68" s="8" t="n">
        <v>1773</v>
      </c>
      <c r="O68" s="8" t="n">
        <v>0</v>
      </c>
      <c r="Q68" t="inlineStr">
        <is>
          <t>flat</t>
        </is>
      </c>
      <c r="R68" s="6" t="n">
        <v>1773</v>
      </c>
      <c r="S68" t="inlineStr">
        <is>
          <t>Solio</t>
        </is>
      </c>
      <c r="U68" s="6" t="n">
        <v>81.59999999999999</v>
      </c>
      <c r="V68" s="2" t="n">
        <v>29</v>
      </c>
      <c r="W68" s="7">
        <f>IF(N(U68)&lt;=0,0,MIN(Assumptions!$B$15,N(R68)/N(U68)))</f>
        <v/>
      </c>
      <c r="X68" s="6" t="n">
        <v>0.322</v>
      </c>
      <c r="Y68" s="3" t="n">
        <v>0.1289</v>
      </c>
      <c r="Z68" t="inlineStr">
        <is>
          <t>adjusted xGOT</t>
        </is>
      </c>
      <c r="AA68" s="3" t="n">
        <v>1</v>
      </c>
      <c r="AB68" s="3" t="n">
        <v>0.82</v>
      </c>
      <c r="AC68" s="3" t="n">
        <v>12.4</v>
      </c>
      <c r="AD68" s="3" t="n">
        <v>0.2529</v>
      </c>
      <c r="AE68" s="3" t="n">
        <v>5.123</v>
      </c>
      <c r="AF68" s="3" t="n">
        <v>0.003090020413393013</v>
      </c>
      <c r="AG68" s="3" t="n">
        <v>0.3423</v>
      </c>
      <c r="AH68" s="3" t="n">
        <v>64</v>
      </c>
      <c r="AI68" s="3" t="n">
        <v>2.4232</v>
      </c>
      <c r="AJ68" s="3" t="n">
        <v>1.1851</v>
      </c>
      <c r="AK68" s="3" t="n">
        <v>-0.1895532824458867</v>
      </c>
      <c r="AL68" s="6" t="n">
        <v>0</v>
      </c>
      <c r="AM68" s="3" t="n">
        <v>0</v>
      </c>
      <c r="AN68" s="3" t="n">
        <v>0.6445</v>
      </c>
      <c r="AO68" s="3" t="n">
        <v>1.001484</v>
      </c>
      <c r="AP68" s="3">
        <f>N(X68)*N(BI68)</f>
        <v/>
      </c>
      <c r="AQ68" s="3" t="n">
        <v>0.3423</v>
      </c>
      <c r="AR68" s="3" t="n">
        <v>0</v>
      </c>
      <c r="AS68" s="3" t="n">
        <v>-0</v>
      </c>
      <c r="AT68" s="3" t="n">
        <v>-0.1895532824458867</v>
      </c>
      <c r="AU68" s="3">
        <f>SUM(AN68:AT68)</f>
        <v/>
      </c>
      <c r="AV68" s="7">
        <f>IF(OR(N(W68)&lt;=0,N(BG68)=0),0,N(W68)*IF(N(R68)/N(W68)&gt;=60,N(BG68),1))</f>
        <v/>
      </c>
      <c r="AW68" s="7">
        <f>N(W68)*N(AF68)*N(BH68)</f>
        <v/>
      </c>
      <c r="AX68" s="7">
        <f>N(AL68)*(Assumptions!$B$13*N(BJ68)-(1-Assumptions!$B$13)*Assumptions!$B$14)+N(AM68)</f>
        <v/>
      </c>
      <c r="AY68" s="7">
        <f>N(AU68)*N(R68)/90+N(AV68)+N(AW68)+N(AX68)</f>
        <v/>
      </c>
      <c r="AZ68" s="3">
        <f>IF(N(R68)&lt;=0,0,(N(AY68)-N(AX68))*90/N(R68))</f>
        <v/>
      </c>
      <c r="BA68" s="7">
        <f>IFERROR(AY68-VLOOKUP($E68,Assumptions!$A$40:$C$43,3,FALSE),"")</f>
        <v/>
      </c>
      <c r="BB68" s="3">
        <f>IFERROR(BA68/H68,"")</f>
        <v/>
      </c>
      <c r="BC68">
        <f>IF(AND($G68=TRUE,$E68="GKP"),AY68,"")</f>
        <v/>
      </c>
      <c r="BD68">
        <f>IF(AND($G68=TRUE,$E68="DEF"),AY68,"")</f>
        <v/>
      </c>
      <c r="BE68">
        <f>IF(AND($G68=TRUE,$E68="MID"),AY68,"")</f>
        <v/>
      </c>
      <c r="BF68">
        <f>IF(AND($G68=TRUE,$E68="FWD"),AY68,"")</f>
        <v/>
      </c>
      <c r="BG68" t="n">
        <v>2</v>
      </c>
      <c r="BH68" t="n">
        <v>2</v>
      </c>
      <c r="BI68" t="n">
        <v>1</v>
      </c>
      <c r="BJ68" t="n">
        <v>5</v>
      </c>
    </row>
    <row r="69">
      <c r="A69" t="inlineStr">
        <is>
          <t>Hugo Ekitiké</t>
        </is>
      </c>
      <c r="B69" t="inlineStr">
        <is>
          <t>LIV</t>
        </is>
      </c>
      <c r="C69" t="inlineStr">
        <is>
          <t>LIV</t>
        </is>
      </c>
      <c r="D69" t="b">
        <v>0</v>
      </c>
      <c r="E69" t="inlineStr">
        <is>
          <t>FWD</t>
        </is>
      </c>
      <c r="F69" t="inlineStr">
        <is>
          <t>FWD</t>
        </is>
      </c>
      <c r="G69" t="b">
        <v>1</v>
      </c>
      <c r="H69" s="2" t="n">
        <v>7.5</v>
      </c>
      <c r="I69" t="inlineStr">
        <is>
          <t>i</t>
        </is>
      </c>
      <c r="J69" t="inlineStr">
        <is>
          <t>Achilles injury - Unknown return date</t>
        </is>
      </c>
      <c r="K69" s="2" t="n">
        <v>1797</v>
      </c>
      <c r="L69" t="n">
        <v>125</v>
      </c>
      <c r="M69" s="3" t="n">
        <v>942</v>
      </c>
      <c r="N69" s="4" t="n">
        <v>780</v>
      </c>
      <c r="O69" s="4" t="n">
        <v>-162</v>
      </c>
      <c r="P69" s="5" t="inlineStr">
        <is>
          <t>medium</t>
        </is>
      </c>
      <c r="Q69" t="inlineStr">
        <is>
          <t>flat</t>
        </is>
      </c>
      <c r="R69" s="6" t="n">
        <v>780</v>
      </c>
      <c r="S69" t="inlineStr">
        <is>
          <t>research</t>
        </is>
      </c>
      <c r="T69" s="5" t="inlineStr">
        <is>
          <t>This Is Anfield states Ekitike is 'not expected to return from his Achilles injury until early 2027', and Opta's audit says the same. Solio's 942 is about ten-and-a-half full matches, which is generous for a striker rebuilding from a ruptured Achilles with at most fifteen or sixteen league games left after he is available.</t>
        </is>
      </c>
      <c r="U69" s="6" t="n">
        <v>77.7</v>
      </c>
      <c r="V69" s="2" t="n">
        <v>21</v>
      </c>
      <c r="W69" s="7">
        <f>IF(N(U69)&lt;=0,0,MIN(Assumptions!$B$15,N(R69)/N(U69)))</f>
        <v/>
      </c>
      <c r="X69" s="6" t="n">
        <v>0.342</v>
      </c>
      <c r="Y69" s="3" t="n">
        <v>0.4807</v>
      </c>
      <c r="Z69" t="inlineStr">
        <is>
          <t>adjusted xGOT</t>
        </is>
      </c>
      <c r="AA69" s="3" t="n">
        <v>1</v>
      </c>
      <c r="AB69" s="3" t="n">
        <v>0.95</v>
      </c>
      <c r="AC69" s="3" t="n">
        <v>10.1</v>
      </c>
      <c r="AD69" s="3" t="n">
        <v>0.1237</v>
      </c>
      <c r="AE69" s="3" t="n">
        <v>4.41</v>
      </c>
      <c r="AF69" s="3" t="n">
        <v>0.0006016810455743427</v>
      </c>
      <c r="AG69" s="3" t="n">
        <v>1.1018</v>
      </c>
      <c r="AH69" s="3" t="n">
        <v>47</v>
      </c>
      <c r="AI69" s="3" t="n">
        <v>2.409</v>
      </c>
      <c r="AJ69" s="3" t="n">
        <v>1.1228</v>
      </c>
      <c r="AK69" s="3" t="n">
        <v>-0.0841667484869951</v>
      </c>
      <c r="AL69" s="6" t="n">
        <v>0</v>
      </c>
      <c r="AM69" s="3" t="n">
        <v>0</v>
      </c>
      <c r="AN69" s="3" t="n">
        <v>1.9228</v>
      </c>
      <c r="AO69" s="3" t="n">
        <v>0.489852</v>
      </c>
      <c r="AP69" s="3">
        <f>N(X69)*N(BI69)</f>
        <v/>
      </c>
      <c r="AQ69" s="3" t="n">
        <v>1.1018</v>
      </c>
      <c r="AR69" s="3" t="n">
        <v>0</v>
      </c>
      <c r="AS69" s="3" t="n">
        <v>-0</v>
      </c>
      <c r="AT69" s="3" t="n">
        <v>-0.0841667484869951</v>
      </c>
      <c r="AU69" s="3">
        <f>SUM(AN69:AT69)</f>
        <v/>
      </c>
      <c r="AV69" s="7">
        <f>IF(OR(N(W69)&lt;=0,N(BG69)=0),0,N(W69)*IF(N(R69)/N(W69)&gt;=60,N(BG69),1))</f>
        <v/>
      </c>
      <c r="AW69" s="7">
        <f>N(W69)*N(AF69)*N(BH69)</f>
        <v/>
      </c>
      <c r="AX69" s="7">
        <f>N(AL69)*(Assumptions!$B$13*N(BJ69)-(1-Assumptions!$B$13)*Assumptions!$B$14)+N(AM69)</f>
        <v/>
      </c>
      <c r="AY69" s="7">
        <f>N(AU69)*N(R69)/90+N(AV69)+N(AW69)+N(AX69)</f>
        <v/>
      </c>
      <c r="AZ69" s="3">
        <f>IF(N(R69)&lt;=0,0,(N(AY69)-N(AX69))*90/N(R69))</f>
        <v/>
      </c>
      <c r="BA69" s="7">
        <f>IFERROR(AY69-VLOOKUP($E69,Assumptions!$A$40:$C$43,3,FALSE),"")</f>
        <v/>
      </c>
      <c r="BB69" s="3">
        <f>IFERROR(BA69/H69,"")</f>
        <v/>
      </c>
      <c r="BC69">
        <f>IF(AND($G69=TRUE,$E69="GKP"),AY69,"")</f>
        <v/>
      </c>
      <c r="BD69">
        <f>IF(AND($G69=TRUE,$E69="DEF"),AY69,"")</f>
        <v/>
      </c>
      <c r="BE69">
        <f>IF(AND($G69=TRUE,$E69="MID"),AY69,"")</f>
        <v/>
      </c>
      <c r="BF69">
        <f>IF(AND($G69=TRUE,$E69="FWD"),AY69,"")</f>
        <v/>
      </c>
      <c r="BG69" t="n">
        <v>2</v>
      </c>
      <c r="BH69" t="n">
        <v>2</v>
      </c>
      <c r="BI69" t="n">
        <v>0</v>
      </c>
      <c r="BJ69" t="n">
        <v>4</v>
      </c>
    </row>
    <row r="70">
      <c r="A70" t="inlineStr">
        <is>
          <t>Omar Alderete</t>
        </is>
      </c>
      <c r="B70" t="inlineStr">
        <is>
          <t>SUN</t>
        </is>
      </c>
      <c r="C70" t="inlineStr">
        <is>
          <t>SUN</t>
        </is>
      </c>
      <c r="D70" t="b">
        <v>0</v>
      </c>
      <c r="E70" t="inlineStr">
        <is>
          <t>DEF</t>
        </is>
      </c>
      <c r="F70" t="inlineStr">
        <is>
          <t>DEF</t>
        </is>
      </c>
      <c r="G70" t="b">
        <v>1</v>
      </c>
      <c r="H70" s="2" t="n">
        <v>5</v>
      </c>
      <c r="I70" t="inlineStr">
        <is>
          <t>d</t>
        </is>
      </c>
      <c r="J70" t="inlineStr">
        <is>
          <t>Knock - 75% chance of playing</t>
        </is>
      </c>
      <c r="K70" s="2" t="n">
        <v>2797</v>
      </c>
      <c r="L70" t="n">
        <v>125</v>
      </c>
      <c r="M70" s="3" t="n">
        <v>3067</v>
      </c>
      <c r="N70" s="4" t="n">
        <v>1950</v>
      </c>
      <c r="O70" s="4" t="n">
        <v>-1117</v>
      </c>
      <c r="P70" s="5" t="inlineStr">
        <is>
          <t>medium</t>
        </is>
      </c>
      <c r="Q70" t="inlineStr">
        <is>
          <t>flat</t>
        </is>
      </c>
      <c r="R70" s="6" t="n">
        <v>1950</v>
      </c>
      <c r="S70" t="inlineStr">
        <is>
          <t>research</t>
        </is>
      </c>
      <c r="T70" s="5" t="inlineStr">
        <is>
          <t>Same two forces as Mukiele. Alderete is carrying knee stiffness that dates back to the end of last season and Paraguay's World Cup campaign; Le Bris said on 08-09 Aug that he 'should train next week with the group', which puts him at best on the bench for the opener. He missed both August friendlies while O'Nien started them. Layered on top is the back-five-to-back-four correction: with Ballard, O'Nien, Mukiele, Alderete and the incoming Methalie all competing for two centre-back slots across an eight-fixture Europa League league phase plus two domestic cups, no Sunderland centre-back can plausibly hold a 3,067-minute Premier League share.</t>
        </is>
      </c>
      <c r="U70" s="6" t="n">
        <v>86.09999999999999</v>
      </c>
      <c r="V70" s="2" t="n">
        <v>32</v>
      </c>
      <c r="W70" s="7">
        <f>IF(N(U70)&lt;=0,0,MIN(Assumptions!$B$15,N(R70)/N(U70)))</f>
        <v/>
      </c>
      <c r="X70" s="6" t="n">
        <v>0.204</v>
      </c>
      <c r="Y70" s="3" t="n">
        <v>0.0515</v>
      </c>
      <c r="Z70" t="inlineStr">
        <is>
          <t>adjusted xGOT</t>
        </is>
      </c>
      <c r="AA70" s="3" t="n">
        <v>1</v>
      </c>
      <c r="AB70" s="3" t="n">
        <v>0.988</v>
      </c>
      <c r="AC70" s="3" t="n">
        <v>1.6</v>
      </c>
      <c r="AD70" s="3" t="n">
        <v>0.0244</v>
      </c>
      <c r="AE70" s="3" t="n">
        <v>9.557</v>
      </c>
      <c r="AF70" s="3" t="n">
        <v>0.4314077495043477</v>
      </c>
      <c r="AG70" s="3" t="n">
        <v>0.1609</v>
      </c>
      <c r="AH70" s="3" t="n">
        <v>64</v>
      </c>
      <c r="AI70" s="3" t="n">
        <v>3.3348</v>
      </c>
      <c r="AJ70" s="3" t="n">
        <v>1.6498</v>
      </c>
      <c r="AK70" s="3" t="n">
        <v>-0.2109526420927542</v>
      </c>
      <c r="AL70" s="6" t="n">
        <v>0</v>
      </c>
      <c r="AM70" s="3" t="n">
        <v>0</v>
      </c>
      <c r="AN70" s="3" t="n">
        <v>0.309</v>
      </c>
      <c r="AO70" s="3" t="n">
        <v>0.096624</v>
      </c>
      <c r="AP70" s="3">
        <f>N(X70)*N(BI70)</f>
        <v/>
      </c>
      <c r="AQ70" s="3" t="n">
        <v>0.1609</v>
      </c>
      <c r="AR70" s="3" t="n">
        <v>0</v>
      </c>
      <c r="AS70" s="3" t="n">
        <v>-0.5841244809045405</v>
      </c>
      <c r="AT70" s="3" t="n">
        <v>-0.2109526420927542</v>
      </c>
      <c r="AU70" s="3">
        <f>SUM(AN70:AT70)</f>
        <v/>
      </c>
      <c r="AV70" s="7">
        <f>IF(OR(N(W70)&lt;=0,N(BG70)=0),0,N(W70)*IF(N(R70)/N(W70)&gt;=60,N(BG70),1))</f>
        <v/>
      </c>
      <c r="AW70" s="7">
        <f>N(W70)*N(AF70)*N(BH70)</f>
        <v/>
      </c>
      <c r="AX70" s="7">
        <f>N(AL70)*(Assumptions!$B$13*N(BJ70)-(1-Assumptions!$B$13)*Assumptions!$B$14)+N(AM70)</f>
        <v/>
      </c>
      <c r="AY70" s="7">
        <f>N(AU70)*N(R70)/90+N(AV70)+N(AW70)+N(AX70)</f>
        <v/>
      </c>
      <c r="AZ70" s="3">
        <f>IF(N(R70)&lt;=0,0,(N(AY70)-N(AX70))*90/N(R70))</f>
        <v/>
      </c>
      <c r="BA70" s="7">
        <f>IFERROR(AY70-VLOOKUP($E70,Assumptions!$A$40:$C$43,3,FALSE),"")</f>
        <v/>
      </c>
      <c r="BB70" s="3">
        <f>IFERROR(BA70/H70,"")</f>
        <v/>
      </c>
      <c r="BC70">
        <f>IF(AND($G70=TRUE,$E70="GKP"),AY70,"")</f>
        <v/>
      </c>
      <c r="BD70">
        <f>IF(AND($G70=TRUE,$E70="DEF"),AY70,"")</f>
        <v/>
      </c>
      <c r="BE70">
        <f>IF(AND($G70=TRUE,$E70="MID"),AY70,"")</f>
        <v/>
      </c>
      <c r="BF70">
        <f>IF(AND($G70=TRUE,$E70="FWD"),AY70,"")</f>
        <v/>
      </c>
      <c r="BG70" t="n">
        <v>2</v>
      </c>
      <c r="BH70" t="n">
        <v>2</v>
      </c>
      <c r="BI70" t="n">
        <v>4</v>
      </c>
      <c r="BJ70" t="n">
        <v>6</v>
      </c>
    </row>
    <row r="71">
      <c r="A71" t="inlineStr">
        <is>
          <t>Kevin Schade</t>
        </is>
      </c>
      <c r="B71" t="inlineStr">
        <is>
          <t>BRE</t>
        </is>
      </c>
      <c r="C71" t="inlineStr">
        <is>
          <t>BRE</t>
        </is>
      </c>
      <c r="D71" t="b">
        <v>0</v>
      </c>
      <c r="E71" t="inlineStr">
        <is>
          <t>MID</t>
        </is>
      </c>
      <c r="F71" t="inlineStr">
        <is>
          <t>MID</t>
        </is>
      </c>
      <c r="G71" t="b">
        <v>1</v>
      </c>
      <c r="H71" s="2" t="n">
        <v>6</v>
      </c>
      <c r="I71" t="inlineStr">
        <is>
          <t>a</t>
        </is>
      </c>
      <c r="K71" s="2" t="n">
        <v>2744</v>
      </c>
      <c r="L71" t="n">
        <v>125</v>
      </c>
      <c r="M71" s="3" t="n">
        <v>2804</v>
      </c>
      <c r="N71" s="8" t="n">
        <v>2804</v>
      </c>
      <c r="O71" s="8" t="n">
        <v>0</v>
      </c>
      <c r="Q71" t="inlineStr">
        <is>
          <t>flat</t>
        </is>
      </c>
      <c r="R71" s="6" t="n">
        <v>2804</v>
      </c>
      <c r="S71" t="inlineStr">
        <is>
          <t>Solio</t>
        </is>
      </c>
      <c r="U71" s="6" t="n">
        <v>82.59999999999999</v>
      </c>
      <c r="V71" s="2" t="n">
        <v>31</v>
      </c>
      <c r="W71" s="7">
        <f>IF(N(U71)&lt;=0,0,MIN(Assumptions!$B$15,N(R71)/N(U71)))</f>
        <v/>
      </c>
      <c r="X71" s="6" t="n">
        <v>0.228</v>
      </c>
      <c r="Y71" s="3" t="n">
        <v>0.3534</v>
      </c>
      <c r="Z71" t="inlineStr">
        <is>
          <t>adjusted xGOT</t>
        </is>
      </c>
      <c r="AA71" s="3" t="n">
        <v>0.9360000000000001</v>
      </c>
      <c r="AB71" s="3" t="n">
        <v>0.953</v>
      </c>
      <c r="AC71" s="3" t="n">
        <v>23.9</v>
      </c>
      <c r="AD71" s="3" t="n">
        <v>0.1085</v>
      </c>
      <c r="AE71" s="3" t="n">
        <v>6.719</v>
      </c>
      <c r="AF71" s="3" t="n">
        <v>0.02411120064753136</v>
      </c>
      <c r="AG71" s="3" t="n">
        <v>0.164</v>
      </c>
      <c r="AH71" s="3" t="n">
        <v>65</v>
      </c>
      <c r="AI71" s="3" t="n">
        <v>3.2371</v>
      </c>
      <c r="AJ71" s="3" t="n">
        <v>1.5396</v>
      </c>
      <c r="AK71" s="3" t="n">
        <v>-0.1906764063256734</v>
      </c>
      <c r="AL71" s="6" t="n">
        <v>0.2258328851256484</v>
      </c>
      <c r="AM71" s="3" t="n">
        <v>0</v>
      </c>
      <c r="AN71" s="3" t="n">
        <v>1.767</v>
      </c>
      <c r="AO71" s="3" t="n">
        <v>0.42966</v>
      </c>
      <c r="AP71" s="3">
        <f>N(X71)*N(BI71)</f>
        <v/>
      </c>
      <c r="AQ71" s="3" t="n">
        <v>0.164</v>
      </c>
      <c r="AR71" s="3" t="n">
        <v>0</v>
      </c>
      <c r="AS71" s="3" t="n">
        <v>-0</v>
      </c>
      <c r="AT71" s="3" t="n">
        <v>-0.1906764063256734</v>
      </c>
      <c r="AU71" s="3">
        <f>SUM(AN71:AT71)</f>
        <v/>
      </c>
      <c r="AV71" s="7">
        <f>IF(OR(N(W71)&lt;=0,N(BG71)=0),0,N(W71)*IF(N(R71)/N(W71)&gt;=60,N(BG71),1))</f>
        <v/>
      </c>
      <c r="AW71" s="7">
        <f>N(W71)*N(AF71)*N(BH71)</f>
        <v/>
      </c>
      <c r="AX71" s="7">
        <f>N(AL71)*(Assumptions!$B$13*N(BJ71)-(1-Assumptions!$B$13)*Assumptions!$B$14)+N(AM71)</f>
        <v/>
      </c>
      <c r="AY71" s="7">
        <f>N(AU71)*N(R71)/90+N(AV71)+N(AW71)+N(AX71)</f>
        <v/>
      </c>
      <c r="AZ71" s="3">
        <f>IF(N(R71)&lt;=0,0,(N(AY71)-N(AX71))*90/N(R71))</f>
        <v/>
      </c>
      <c r="BA71" s="7">
        <f>IFERROR(AY71-VLOOKUP($E71,Assumptions!$A$40:$C$43,3,FALSE),"")</f>
        <v/>
      </c>
      <c r="BB71" s="3">
        <f>IFERROR(BA71/H71,"")</f>
        <v/>
      </c>
      <c r="BC71">
        <f>IF(AND($G71=TRUE,$E71="GKP"),AY71,"")</f>
        <v/>
      </c>
      <c r="BD71">
        <f>IF(AND($G71=TRUE,$E71="DEF"),AY71,"")</f>
        <v/>
      </c>
      <c r="BE71">
        <f>IF(AND($G71=TRUE,$E71="MID"),AY71,"")</f>
        <v/>
      </c>
      <c r="BF71">
        <f>IF(AND($G71=TRUE,$E71="FWD"),AY71,"")</f>
        <v/>
      </c>
      <c r="BG71" t="n">
        <v>2</v>
      </c>
      <c r="BH71" t="n">
        <v>2</v>
      </c>
      <c r="BI71" t="n">
        <v>1</v>
      </c>
      <c r="BJ71" t="n">
        <v>5</v>
      </c>
    </row>
    <row r="72">
      <c r="A72" t="inlineStr">
        <is>
          <t>Djordje Petrovic</t>
        </is>
      </c>
      <c r="B72" t="inlineStr">
        <is>
          <t>BOU</t>
        </is>
      </c>
      <c r="C72" t="inlineStr">
        <is>
          <t>BOU</t>
        </is>
      </c>
      <c r="D72" t="b">
        <v>0</v>
      </c>
      <c r="E72" t="inlineStr">
        <is>
          <t>GKP</t>
        </is>
      </c>
      <c r="F72" t="inlineStr">
        <is>
          <t>GKP</t>
        </is>
      </c>
      <c r="G72" t="b">
        <v>1</v>
      </c>
      <c r="H72" s="2" t="n">
        <v>4.5</v>
      </c>
      <c r="I72" t="inlineStr">
        <is>
          <t>a</t>
        </is>
      </c>
      <c r="K72" s="2" t="n">
        <v>3420</v>
      </c>
      <c r="L72" t="n">
        <v>124</v>
      </c>
      <c r="M72" s="3" t="n">
        <v>3385</v>
      </c>
      <c r="N72" s="8" t="n">
        <v>3385</v>
      </c>
      <c r="O72" s="8" t="n">
        <v>0</v>
      </c>
      <c r="Q72" t="inlineStr">
        <is>
          <t>flat</t>
        </is>
      </c>
      <c r="R72" s="6" t="n">
        <v>3385</v>
      </c>
      <c r="S72" t="inlineStr">
        <is>
          <t>Solio</t>
        </is>
      </c>
      <c r="U72" s="6" t="n">
        <v>90</v>
      </c>
      <c r="V72" s="2" t="n">
        <v>38</v>
      </c>
      <c r="W72" s="7">
        <f>IF(N(U72)&lt;=0,0,MIN(Assumptions!$B$15,N(R72)/N(U72)))</f>
        <v/>
      </c>
      <c r="X72" s="6" t="n">
        <v>0.23</v>
      </c>
      <c r="Y72" s="3" t="n">
        <v>0</v>
      </c>
      <c r="Z72" t="inlineStr">
        <is>
          <t>blended xG</t>
        </is>
      </c>
      <c r="AA72" s="3" t="n">
        <v>1</v>
      </c>
      <c r="AB72" s="3" t="n">
        <v>1</v>
      </c>
      <c r="AC72" s="3" t="n">
        <v>0</v>
      </c>
      <c r="AD72" s="3" t="n">
        <v>0</v>
      </c>
      <c r="AE72" s="3" t="n">
        <v>0</v>
      </c>
      <c r="AF72" s="3" t="n">
        <v>0</v>
      </c>
      <c r="AG72" s="3" t="n">
        <v>0.1842</v>
      </c>
      <c r="AH72" s="3" t="n">
        <v>76</v>
      </c>
      <c r="AI72" s="3" t="n">
        <v>3.0957</v>
      </c>
      <c r="AJ72" s="3" t="n">
        <v>1.53</v>
      </c>
      <c r="AK72" s="3" t="n">
        <v>-0.0821273649235542</v>
      </c>
      <c r="AL72" s="6" t="n">
        <v>0</v>
      </c>
      <c r="AM72" s="3" t="n">
        <v>3.232962049615007</v>
      </c>
      <c r="AN72" s="3" t="n">
        <v>0</v>
      </c>
      <c r="AO72" s="3" t="n">
        <v>0</v>
      </c>
      <c r="AP72" s="3">
        <f>N(X72)*N(BI72)</f>
        <v/>
      </c>
      <c r="AQ72" s="3" t="n">
        <v>0.1842</v>
      </c>
      <c r="AR72" s="3" t="n">
        <v>0.6965164635997099</v>
      </c>
      <c r="AS72" s="3" t="n">
        <v>-0.5267219238049191</v>
      </c>
      <c r="AT72" s="3" t="n">
        <v>-0.0821273649235542</v>
      </c>
      <c r="AU72" s="3">
        <f>SUM(AN72:AT72)</f>
        <v/>
      </c>
      <c r="AV72" s="7">
        <f>IF(OR(N(W72)&lt;=0,N(BG72)=0),0,N(W72)*IF(N(R72)/N(W72)&gt;=60,N(BG72),1))</f>
        <v/>
      </c>
      <c r="AW72" s="7">
        <f>N(W72)*N(AF72)*N(BH72)</f>
        <v/>
      </c>
      <c r="AX72" s="7">
        <f>N(AL72)*(Assumptions!$B$13*N(BJ72)-(1-Assumptions!$B$13)*Assumptions!$B$14)+N(AM72)</f>
        <v/>
      </c>
      <c r="AY72" s="7">
        <f>N(AU72)*N(R72)/90+N(AV72)+N(AW72)+N(AX72)</f>
        <v/>
      </c>
      <c r="AZ72" s="3">
        <f>IF(N(R72)&lt;=0,0,(N(AY72)-N(AX72))*90/N(R72))</f>
        <v/>
      </c>
      <c r="BA72" s="7">
        <f>IFERROR(AY72-VLOOKUP($E72,Assumptions!$A$40:$C$43,3,FALSE),"")</f>
        <v/>
      </c>
      <c r="BB72" s="3">
        <f>IFERROR(BA72/H72,"")</f>
        <v/>
      </c>
      <c r="BC72">
        <f>IF(AND($G72=TRUE,$E72="GKP"),AY72,"")</f>
        <v/>
      </c>
      <c r="BD72">
        <f>IF(AND($G72=TRUE,$E72="DEF"),AY72,"")</f>
        <v/>
      </c>
      <c r="BE72">
        <f>IF(AND($G72=TRUE,$E72="MID"),AY72,"")</f>
        <v/>
      </c>
      <c r="BF72">
        <f>IF(AND($G72=TRUE,$E72="FWD"),AY72,"")</f>
        <v/>
      </c>
      <c r="BG72" t="n">
        <v>2</v>
      </c>
      <c r="BH72" t="n">
        <v>0</v>
      </c>
      <c r="BI72" t="n">
        <v>4</v>
      </c>
      <c r="BJ72" t="n">
        <v>10</v>
      </c>
    </row>
    <row r="73">
      <c r="A73" t="inlineStr">
        <is>
          <t>Granit Xhaka</t>
        </is>
      </c>
      <c r="B73" t="inlineStr">
        <is>
          <t>SUN</t>
        </is>
      </c>
      <c r="C73" t="inlineStr">
        <is>
          <t>SUN</t>
        </is>
      </c>
      <c r="D73" t="b">
        <v>0</v>
      </c>
      <c r="E73" t="inlineStr">
        <is>
          <t>MID</t>
        </is>
      </c>
      <c r="F73" t="inlineStr">
        <is>
          <t>MID</t>
        </is>
      </c>
      <c r="G73" t="b">
        <v>1</v>
      </c>
      <c r="H73" s="2" t="n">
        <v>5.5</v>
      </c>
      <c r="I73" t="inlineStr">
        <is>
          <t>a</t>
        </is>
      </c>
      <c r="K73" s="2" t="n">
        <v>2901</v>
      </c>
      <c r="L73" t="n">
        <v>124</v>
      </c>
      <c r="M73" s="3" t="n">
        <v>3295</v>
      </c>
      <c r="N73" s="8" t="n">
        <v>3295</v>
      </c>
      <c r="O73" s="8" t="n">
        <v>0</v>
      </c>
      <c r="Q73" t="inlineStr">
        <is>
          <t>flat</t>
        </is>
      </c>
      <c r="R73" s="6" t="n">
        <v>3295</v>
      </c>
      <c r="S73" t="inlineStr">
        <is>
          <t>Solio</t>
        </is>
      </c>
      <c r="U73" s="6" t="n">
        <v>86.90000000000001</v>
      </c>
      <c r="V73" s="2" t="n">
        <v>32</v>
      </c>
      <c r="W73" s="7">
        <f>IF(N(U73)&lt;=0,0,MIN(Assumptions!$B$15,N(R73)/N(U73)))</f>
        <v/>
      </c>
      <c r="X73" s="6" t="n">
        <v>0.204</v>
      </c>
      <c r="Y73" s="3" t="n">
        <v>0.0342</v>
      </c>
      <c r="Z73" t="inlineStr">
        <is>
          <t>adjusted xGOT</t>
        </is>
      </c>
      <c r="AA73" s="3" t="n">
        <v>1</v>
      </c>
      <c r="AB73" s="3" t="n">
        <v>1.091</v>
      </c>
      <c r="AC73" s="3" t="n">
        <v>5.7</v>
      </c>
      <c r="AD73" s="3" t="n">
        <v>0.1153</v>
      </c>
      <c r="AE73" s="3" t="n">
        <v>10.703</v>
      </c>
      <c r="AF73" s="3" t="n">
        <v>0.3418149888913986</v>
      </c>
      <c r="AG73" s="3" t="n">
        <v>0.2482</v>
      </c>
      <c r="AH73" s="3" t="n">
        <v>66</v>
      </c>
      <c r="AI73" s="3" t="n">
        <v>3.3348</v>
      </c>
      <c r="AJ73" s="3" t="n">
        <v>1.6498</v>
      </c>
      <c r="AK73" s="3" t="n">
        <v>-0.2486431330461034</v>
      </c>
      <c r="AL73" s="6" t="n">
        <v>0</v>
      </c>
      <c r="AM73" s="3" t="n">
        <v>0</v>
      </c>
      <c r="AN73" s="3" t="n">
        <v>0.171</v>
      </c>
      <c r="AO73" s="3" t="n">
        <v>0.456588</v>
      </c>
      <c r="AP73" s="3">
        <f>N(X73)*N(BI73)</f>
        <v/>
      </c>
      <c r="AQ73" s="3" t="n">
        <v>0.2482</v>
      </c>
      <c r="AR73" s="3" t="n">
        <v>0</v>
      </c>
      <c r="AS73" s="3" t="n">
        <v>-0</v>
      </c>
      <c r="AT73" s="3" t="n">
        <v>-0.2486431330461034</v>
      </c>
      <c r="AU73" s="3">
        <f>SUM(AN73:AT73)</f>
        <v/>
      </c>
      <c r="AV73" s="7">
        <f>IF(OR(N(W73)&lt;=0,N(BG73)=0),0,N(W73)*IF(N(R73)/N(W73)&gt;=60,N(BG73),1))</f>
        <v/>
      </c>
      <c r="AW73" s="7">
        <f>N(W73)*N(AF73)*N(BH73)</f>
        <v/>
      </c>
      <c r="AX73" s="7">
        <f>N(AL73)*(Assumptions!$B$13*N(BJ73)-(1-Assumptions!$B$13)*Assumptions!$B$14)+N(AM73)</f>
        <v/>
      </c>
      <c r="AY73" s="7">
        <f>N(AU73)*N(R73)/90+N(AV73)+N(AW73)+N(AX73)</f>
        <v/>
      </c>
      <c r="AZ73" s="3">
        <f>IF(N(R73)&lt;=0,0,(N(AY73)-N(AX73))*90/N(R73))</f>
        <v/>
      </c>
      <c r="BA73" s="7">
        <f>IFERROR(AY73-VLOOKUP($E73,Assumptions!$A$40:$C$43,3,FALSE),"")</f>
        <v/>
      </c>
      <c r="BB73" s="3">
        <f>IFERROR(BA73/H73,"")</f>
        <v/>
      </c>
      <c r="BC73">
        <f>IF(AND($G73=TRUE,$E73="GKP"),AY73,"")</f>
        <v/>
      </c>
      <c r="BD73">
        <f>IF(AND($G73=TRUE,$E73="DEF"),AY73,"")</f>
        <v/>
      </c>
      <c r="BE73">
        <f>IF(AND($G73=TRUE,$E73="MID"),AY73,"")</f>
        <v/>
      </c>
      <c r="BF73">
        <f>IF(AND($G73=TRUE,$E73="FWD"),AY73,"")</f>
        <v/>
      </c>
      <c r="BG73" t="n">
        <v>2</v>
      </c>
      <c r="BH73" t="n">
        <v>2</v>
      </c>
      <c r="BI73" t="n">
        <v>1</v>
      </c>
      <c r="BJ73" t="n">
        <v>5</v>
      </c>
    </row>
    <row r="74">
      <c r="A74" t="inlineStr">
        <is>
          <t>Joachim Andersen</t>
        </is>
      </c>
      <c r="B74" t="inlineStr">
        <is>
          <t>FUL</t>
        </is>
      </c>
      <c r="C74" t="inlineStr">
        <is>
          <t>FUL</t>
        </is>
      </c>
      <c r="D74" t="b">
        <v>0</v>
      </c>
      <c r="E74" t="inlineStr">
        <is>
          <t>DEF</t>
        </is>
      </c>
      <c r="F74" t="inlineStr">
        <is>
          <t>DEF</t>
        </is>
      </c>
      <c r="G74" t="b">
        <v>1</v>
      </c>
      <c r="H74" s="2" t="n">
        <v>5</v>
      </c>
      <c r="I74" t="inlineStr">
        <is>
          <t>s</t>
        </is>
      </c>
      <c r="J74" t="inlineStr">
        <is>
          <t>Suspended until 30 Aug</t>
        </is>
      </c>
      <c r="K74" s="2" t="n">
        <v>2882</v>
      </c>
      <c r="L74" t="n">
        <v>123</v>
      </c>
      <c r="M74" s="3" t="n">
        <v>3032</v>
      </c>
      <c r="N74" s="4" t="n">
        <v>2850</v>
      </c>
      <c r="O74" s="4" t="n">
        <v>-182</v>
      </c>
      <c r="P74" s="5" t="inlineStr">
        <is>
          <t>high</t>
        </is>
      </c>
      <c r="Q74" t="inlineStr">
        <is>
          <t>flat</t>
        </is>
      </c>
      <c r="R74" s="6" t="n">
        <v>2850</v>
      </c>
      <c r="S74" t="inlineStr">
        <is>
          <t>research</t>
        </is>
      </c>
      <c r="T74" s="5" t="inlineStr">
        <is>
          <t>Carrying a suspension into the new season: FPL lists him status 's', chance_of_playing_next_round 0, news 'Suspended until 30 Aug' (news added 2026-07-23), so he misses the opener v Chelsea on 24 Aug. Solio's 3032 is above his 2882 minutes from 2025/26 and applies no discount for the ban.</t>
        </is>
      </c>
      <c r="U74" s="6" t="n">
        <v>87.8</v>
      </c>
      <c r="V74" s="2" t="n">
        <v>32</v>
      </c>
      <c r="W74" s="7">
        <f>IF(N(U74)&lt;=0,0,MIN(Assumptions!$B$15,N(R74)/N(U74)))</f>
        <v/>
      </c>
      <c r="X74" s="6" t="n">
        <v>0.214</v>
      </c>
      <c r="Y74" s="3" t="n">
        <v>0.0428</v>
      </c>
      <c r="Z74" t="inlineStr">
        <is>
          <t>adjusted xGOT</t>
        </is>
      </c>
      <c r="AA74" s="3" t="n">
        <v>1</v>
      </c>
      <c r="AB74" s="3" t="n">
        <v>0.958</v>
      </c>
      <c r="AC74" s="3" t="n">
        <v>6.1</v>
      </c>
      <c r="AD74" s="3" t="n">
        <v>0.0376</v>
      </c>
      <c r="AE74" s="3" t="n">
        <v>9.757</v>
      </c>
      <c r="AF74" s="3" t="n">
        <v>0.4805772633744689</v>
      </c>
      <c r="AG74" s="3" t="n">
        <v>0.1874</v>
      </c>
      <c r="AH74" s="3" t="n">
        <v>64</v>
      </c>
      <c r="AI74" s="3" t="n">
        <v>3.22</v>
      </c>
      <c r="AJ74" s="3" t="n">
        <v>1.6019</v>
      </c>
      <c r="AK74" s="3" t="n">
        <v>-0.2301875536518244</v>
      </c>
      <c r="AL74" s="6" t="n">
        <v>0</v>
      </c>
      <c r="AM74" s="3" t="n">
        <v>0</v>
      </c>
      <c r="AN74" s="3" t="n">
        <v>0.2568</v>
      </c>
      <c r="AO74" s="3" t="n">
        <v>0.148896</v>
      </c>
      <c r="AP74" s="3">
        <f>N(X74)*N(BI74)</f>
        <v/>
      </c>
      <c r="AQ74" s="3" t="n">
        <v>0.1874</v>
      </c>
      <c r="AR74" s="3" t="n">
        <v>0</v>
      </c>
      <c r="AS74" s="3" t="n">
        <v>-0.5611019003833156</v>
      </c>
      <c r="AT74" s="3" t="n">
        <v>-0.2301875536518244</v>
      </c>
      <c r="AU74" s="3">
        <f>SUM(AN74:AT74)</f>
        <v/>
      </c>
      <c r="AV74" s="7">
        <f>IF(OR(N(W74)&lt;=0,N(BG74)=0),0,N(W74)*IF(N(R74)/N(W74)&gt;=60,N(BG74),1))</f>
        <v/>
      </c>
      <c r="AW74" s="7">
        <f>N(W74)*N(AF74)*N(BH74)</f>
        <v/>
      </c>
      <c r="AX74" s="7">
        <f>N(AL74)*(Assumptions!$B$13*N(BJ74)-(1-Assumptions!$B$13)*Assumptions!$B$14)+N(AM74)</f>
        <v/>
      </c>
      <c r="AY74" s="7">
        <f>N(AU74)*N(R74)/90+N(AV74)+N(AW74)+N(AX74)</f>
        <v/>
      </c>
      <c r="AZ74" s="3">
        <f>IF(N(R74)&lt;=0,0,(N(AY74)-N(AX74))*90/N(R74))</f>
        <v/>
      </c>
      <c r="BA74" s="7">
        <f>IFERROR(AY74-VLOOKUP($E74,Assumptions!$A$40:$C$43,3,FALSE),"")</f>
        <v/>
      </c>
      <c r="BB74" s="3">
        <f>IFERROR(BA74/H74,"")</f>
        <v/>
      </c>
      <c r="BC74">
        <f>IF(AND($G74=TRUE,$E74="GKP"),AY74,"")</f>
        <v/>
      </c>
      <c r="BD74">
        <f>IF(AND($G74=TRUE,$E74="DEF"),AY74,"")</f>
        <v/>
      </c>
      <c r="BE74">
        <f>IF(AND($G74=TRUE,$E74="MID"),AY74,"")</f>
        <v/>
      </c>
      <c r="BF74">
        <f>IF(AND($G74=TRUE,$E74="FWD"),AY74,"")</f>
        <v/>
      </c>
      <c r="BG74" t="n">
        <v>2</v>
      </c>
      <c r="BH74" t="n">
        <v>2</v>
      </c>
      <c r="BI74" t="n">
        <v>4</v>
      </c>
      <c r="BJ74" t="n">
        <v>6</v>
      </c>
    </row>
    <row r="75">
      <c r="A75" t="inlineStr">
        <is>
          <t>Bernd Leno</t>
        </is>
      </c>
      <c r="B75" t="inlineStr">
        <is>
          <t>FUL</t>
        </is>
      </c>
      <c r="C75" t="inlineStr">
        <is>
          <t>FUL</t>
        </is>
      </c>
      <c r="D75" t="b">
        <v>0</v>
      </c>
      <c r="E75" t="inlineStr">
        <is>
          <t>GKP</t>
        </is>
      </c>
      <c r="F75" t="inlineStr">
        <is>
          <t>GKP</t>
        </is>
      </c>
      <c r="G75" t="b">
        <v>1</v>
      </c>
      <c r="H75" s="2" t="n">
        <v>4.5</v>
      </c>
      <c r="I75" t="inlineStr">
        <is>
          <t>a</t>
        </is>
      </c>
      <c r="K75" s="2" t="n">
        <v>3420</v>
      </c>
      <c r="L75" t="n">
        <v>122</v>
      </c>
      <c r="M75" s="3" t="n">
        <v>3420</v>
      </c>
      <c r="N75" s="8" t="n">
        <v>3420</v>
      </c>
      <c r="O75" s="8" t="n">
        <v>0</v>
      </c>
      <c r="Q75" t="inlineStr">
        <is>
          <t>flat</t>
        </is>
      </c>
      <c r="R75" s="6" t="n">
        <v>3420</v>
      </c>
      <c r="S75" t="inlineStr">
        <is>
          <t>Solio</t>
        </is>
      </c>
      <c r="U75" s="6" t="n">
        <v>90</v>
      </c>
      <c r="V75" s="2" t="n">
        <v>38</v>
      </c>
      <c r="W75" s="7">
        <f>IF(N(U75)&lt;=0,0,MIN(Assumptions!$B$15,N(R75)/N(U75)))</f>
        <v/>
      </c>
      <c r="X75" s="6" t="n">
        <v>0.214</v>
      </c>
      <c r="Y75" s="3" t="n">
        <v>0</v>
      </c>
      <c r="Z75" t="inlineStr">
        <is>
          <t>blended xG</t>
        </is>
      </c>
      <c r="AA75" s="3" t="n">
        <v>1</v>
      </c>
      <c r="AB75" s="3" t="n">
        <v>1</v>
      </c>
      <c r="AC75" s="3" t="n">
        <v>0</v>
      </c>
      <c r="AD75" s="3" t="n">
        <v>0.0003</v>
      </c>
      <c r="AE75" s="3" t="n">
        <v>0</v>
      </c>
      <c r="AF75" s="3" t="n">
        <v>0</v>
      </c>
      <c r="AG75" s="3" t="n">
        <v>0.2632</v>
      </c>
      <c r="AH75" s="3" t="n">
        <v>76</v>
      </c>
      <c r="AI75" s="3" t="n">
        <v>3.22</v>
      </c>
      <c r="AJ75" s="3" t="n">
        <v>1.6019</v>
      </c>
      <c r="AK75" s="3" t="n">
        <v>-0.0939800394671787</v>
      </c>
      <c r="AL75" s="6" t="n">
        <v>0</v>
      </c>
      <c r="AM75" s="3" t="n">
        <v>3.419818942799009</v>
      </c>
      <c r="AN75" s="3" t="n">
        <v>0</v>
      </c>
      <c r="AO75" s="3" t="n">
        <v>0.001188</v>
      </c>
      <c r="AP75" s="3">
        <f>N(X75)*N(BI75)</f>
        <v/>
      </c>
      <c r="AQ75" s="3" t="n">
        <v>0.2632</v>
      </c>
      <c r="AR75" s="3" t="n">
        <v>0.7380333201454712</v>
      </c>
      <c r="AS75" s="3" t="n">
        <v>-0.5611019003833156</v>
      </c>
      <c r="AT75" s="3" t="n">
        <v>-0.0939800394671787</v>
      </c>
      <c r="AU75" s="3">
        <f>SUM(AN75:AT75)</f>
        <v/>
      </c>
      <c r="AV75" s="7">
        <f>IF(OR(N(W75)&lt;=0,N(BG75)=0),0,N(W75)*IF(N(R75)/N(W75)&gt;=60,N(BG75),1))</f>
        <v/>
      </c>
      <c r="AW75" s="7">
        <f>N(W75)*N(AF75)*N(BH75)</f>
        <v/>
      </c>
      <c r="AX75" s="7">
        <f>N(AL75)*(Assumptions!$B$13*N(BJ75)-(1-Assumptions!$B$13)*Assumptions!$B$14)+N(AM75)</f>
        <v/>
      </c>
      <c r="AY75" s="7">
        <f>N(AU75)*N(R75)/90+N(AV75)+N(AW75)+N(AX75)</f>
        <v/>
      </c>
      <c r="AZ75" s="3">
        <f>IF(N(R75)&lt;=0,0,(N(AY75)-N(AX75))*90/N(R75))</f>
        <v/>
      </c>
      <c r="BA75" s="7">
        <f>IFERROR(AY75-VLOOKUP($E75,Assumptions!$A$40:$C$43,3,FALSE),"")</f>
        <v/>
      </c>
      <c r="BB75" s="3">
        <f>IFERROR(BA75/H75,"")</f>
        <v/>
      </c>
      <c r="BC75">
        <f>IF(AND($G75=TRUE,$E75="GKP"),AY75,"")</f>
        <v/>
      </c>
      <c r="BD75">
        <f>IF(AND($G75=TRUE,$E75="DEF"),AY75,"")</f>
        <v/>
      </c>
      <c r="BE75">
        <f>IF(AND($G75=TRUE,$E75="MID"),AY75,"")</f>
        <v/>
      </c>
      <c r="BF75">
        <f>IF(AND($G75=TRUE,$E75="FWD"),AY75,"")</f>
        <v/>
      </c>
      <c r="BG75" t="n">
        <v>2</v>
      </c>
      <c r="BH75" t="n">
        <v>0</v>
      </c>
      <c r="BI75" t="n">
        <v>4</v>
      </c>
      <c r="BJ75" t="n">
        <v>10</v>
      </c>
    </row>
    <row r="76">
      <c r="A76" t="inlineStr">
        <is>
          <t>Emiliano Martínez</t>
        </is>
      </c>
      <c r="B76" t="inlineStr">
        <is>
          <t>AVL</t>
        </is>
      </c>
      <c r="C76" t="inlineStr">
        <is>
          <t>AVL</t>
        </is>
      </c>
      <c r="D76" t="b">
        <v>0</v>
      </c>
      <c r="E76" t="inlineStr">
        <is>
          <t>GKP</t>
        </is>
      </c>
      <c r="F76" t="inlineStr">
        <is>
          <t>GKP</t>
        </is>
      </c>
      <c r="G76" t="b">
        <v>1</v>
      </c>
      <c r="H76" s="2" t="n">
        <v>5</v>
      </c>
      <c r="I76" t="inlineStr">
        <is>
          <t>a</t>
        </is>
      </c>
      <c r="K76" s="2" t="n">
        <v>2835</v>
      </c>
      <c r="L76" t="n">
        <v>120</v>
      </c>
      <c r="M76" s="3" t="n">
        <v>3385</v>
      </c>
      <c r="N76" s="4" t="n">
        <v>3100</v>
      </c>
      <c r="O76" s="4" t="n">
        <v>-285</v>
      </c>
      <c r="P76" s="5" t="inlineStr">
        <is>
          <t>low</t>
        </is>
      </c>
      <c r="Q76" t="inlineStr">
        <is>
          <t>flat</t>
        </is>
      </c>
      <c r="R76" s="6" t="n">
        <v>3100</v>
      </c>
      <c r="S76" t="inlineStr">
        <is>
          <t>research</t>
        </is>
      </c>
      <c r="T76" s="5" t="inlineStr">
        <is>
          <t>Same post-World Cup rest as Konsa and Watkins (played to the final, given four weeks plus one), no pre-season minutes, and Bizot started both August fixtures. On top of that Villa have submitted an offer for Parma goalkeeper Zion Suzuki and Juventus are monitoring Martinez, so a mid-window exit is live. A modest hedge, not a call that he loses the shirt.</t>
        </is>
      </c>
      <c r="U76" s="6" t="n">
        <v>88.90000000000001</v>
      </c>
      <c r="V76" s="2" t="n">
        <v>32</v>
      </c>
      <c r="W76" s="7">
        <f>IF(N(U76)&lt;=0,0,MIN(Assumptions!$B$15,N(R76)/N(U76)))</f>
        <v/>
      </c>
      <c r="X76" s="6" t="n">
        <v>0.273</v>
      </c>
      <c r="Y76" s="3" t="n">
        <v>0</v>
      </c>
      <c r="Z76" t="inlineStr">
        <is>
          <t>blended xG</t>
        </is>
      </c>
      <c r="AA76" s="3" t="n">
        <v>1</v>
      </c>
      <c r="AB76" s="3" t="n">
        <v>1</v>
      </c>
      <c r="AC76" s="3" t="n">
        <v>0</v>
      </c>
      <c r="AD76" s="3" t="n">
        <v>0.0069</v>
      </c>
      <c r="AE76" s="3" t="n">
        <v>0</v>
      </c>
      <c r="AF76" s="3" t="n">
        <v>0</v>
      </c>
      <c r="AG76" s="3" t="n">
        <v>0.3175</v>
      </c>
      <c r="AH76" s="3" t="n">
        <v>63</v>
      </c>
      <c r="AI76" s="3" t="n">
        <v>2.7451</v>
      </c>
      <c r="AJ76" s="3" t="n">
        <v>1.3575</v>
      </c>
      <c r="AK76" s="3" t="n">
        <v>-0.0975322171049593</v>
      </c>
      <c r="AL76" s="6" t="n">
        <v>0</v>
      </c>
      <c r="AM76" s="3" t="n">
        <v>2.868467695626834</v>
      </c>
      <c r="AN76" s="3" t="n">
        <v>0</v>
      </c>
      <c r="AO76" s="3" t="n">
        <v>0.027324</v>
      </c>
      <c r="AP76" s="3">
        <f>N(X76)*N(BI76)</f>
        <v/>
      </c>
      <c r="AQ76" s="3" t="n">
        <v>0.3175</v>
      </c>
      <c r="AR76" s="3" t="n">
        <v>0.5799503685565225</v>
      </c>
      <c r="AS76" s="3" t="n">
        <v>-0.4453012382517575</v>
      </c>
      <c r="AT76" s="3" t="n">
        <v>-0.0975322171049593</v>
      </c>
      <c r="AU76" s="3">
        <f>SUM(AN76:AT76)</f>
        <v/>
      </c>
      <c r="AV76" s="7">
        <f>IF(OR(N(W76)&lt;=0,N(BG76)=0),0,N(W76)*IF(N(R76)/N(W76)&gt;=60,N(BG76),1))</f>
        <v/>
      </c>
      <c r="AW76" s="7">
        <f>N(W76)*N(AF76)*N(BH76)</f>
        <v/>
      </c>
      <c r="AX76" s="7">
        <f>N(AL76)*(Assumptions!$B$13*N(BJ76)-(1-Assumptions!$B$13)*Assumptions!$B$14)+N(AM76)</f>
        <v/>
      </c>
      <c r="AY76" s="7">
        <f>N(AU76)*N(R76)/90+N(AV76)+N(AW76)+N(AX76)</f>
        <v/>
      </c>
      <c r="AZ76" s="3">
        <f>IF(N(R76)&lt;=0,0,(N(AY76)-N(AX76))*90/N(R76))</f>
        <v/>
      </c>
      <c r="BA76" s="7">
        <f>IFERROR(AY76-VLOOKUP($E76,Assumptions!$A$40:$C$43,3,FALSE),"")</f>
        <v/>
      </c>
      <c r="BB76" s="3">
        <f>IFERROR(BA76/H76,"")</f>
        <v/>
      </c>
      <c r="BC76">
        <f>IF(AND($G76=TRUE,$E76="GKP"),AY76,"")</f>
        <v/>
      </c>
      <c r="BD76">
        <f>IF(AND($G76=TRUE,$E76="DEF"),AY76,"")</f>
        <v/>
      </c>
      <c r="BE76">
        <f>IF(AND($G76=TRUE,$E76="MID"),AY76,"")</f>
        <v/>
      </c>
      <c r="BF76">
        <f>IF(AND($G76=TRUE,$E76="FWD"),AY76,"")</f>
        <v/>
      </c>
      <c r="BG76" t="n">
        <v>2</v>
      </c>
      <c r="BH76" t="n">
        <v>0</v>
      </c>
      <c r="BI76" t="n">
        <v>4</v>
      </c>
      <c r="BJ76" t="n">
        <v>10</v>
      </c>
    </row>
    <row r="77">
      <c r="A77" t="inlineStr">
        <is>
          <t>Jérémy Doku</t>
        </is>
      </c>
      <c r="B77" t="inlineStr">
        <is>
          <t>MCI</t>
        </is>
      </c>
      <c r="C77" t="inlineStr">
        <is>
          <t>MCI</t>
        </is>
      </c>
      <c r="D77" t="b">
        <v>0</v>
      </c>
      <c r="E77" t="inlineStr">
        <is>
          <t>MID</t>
        </is>
      </c>
      <c r="F77" t="inlineStr">
        <is>
          <t>MID</t>
        </is>
      </c>
      <c r="G77" t="b">
        <v>1</v>
      </c>
      <c r="H77" s="2" t="n">
        <v>7.5</v>
      </c>
      <c r="I77" t="inlineStr">
        <is>
          <t>a</t>
        </is>
      </c>
      <c r="K77" s="2" t="n">
        <v>1773</v>
      </c>
      <c r="L77" t="n">
        <v>120</v>
      </c>
      <c r="M77" s="3" t="n">
        <v>2502</v>
      </c>
      <c r="N77" s="4" t="n">
        <v>2650</v>
      </c>
      <c r="O77" s="4" t="n">
        <v>148</v>
      </c>
      <c r="P77" s="5" t="inlineStr">
        <is>
          <t>low</t>
        </is>
      </c>
      <c r="Q77" t="inlineStr">
        <is>
          <t>flat</t>
        </is>
      </c>
      <c r="R77" s="6" t="n">
        <v>2650</v>
      </c>
      <c r="S77" t="inlineStr">
        <is>
          <t>research</t>
        </is>
      </c>
      <c r="T77" s="5" t="inlineStr">
        <is>
          <t>Signed a new contract running to 2031 this month, and Maresca's structure leans on isolating wingers one-v-one, which is his whole game. Both of the players directly behind him on the left — Savinho and Marmoush — are exit-linked. Kept to a small raise because his ceiling is limited by his own record: 19 starts last season and no 2,500-minute league campaign yet.</t>
        </is>
      </c>
      <c r="U77" s="6" t="n">
        <v>79.8</v>
      </c>
      <c r="V77" s="2" t="n">
        <v>19</v>
      </c>
      <c r="W77" s="7">
        <f>IF(N(U77)&lt;=0,0,MIN(Assumptions!$B$15,N(R77)/N(U77)))</f>
        <v/>
      </c>
      <c r="X77" s="6" t="n">
        <v>0.371</v>
      </c>
      <c r="Y77" s="3" t="n">
        <v>0.1865</v>
      </c>
      <c r="Z77" t="inlineStr">
        <is>
          <t>adjusted xGOT</t>
        </is>
      </c>
      <c r="AA77" s="3" t="n">
        <v>1</v>
      </c>
      <c r="AB77" s="3" t="n">
        <v>1.28</v>
      </c>
      <c r="AC77" s="3" t="n">
        <v>6.8</v>
      </c>
      <c r="AD77" s="3" t="n">
        <v>0.3404</v>
      </c>
      <c r="AE77" s="3" t="n">
        <v>7.026</v>
      </c>
      <c r="AF77" s="3" t="n">
        <v>0.02578014090274339</v>
      </c>
      <c r="AG77" s="3" t="n">
        <v>0.7614</v>
      </c>
      <c r="AH77" s="3" t="n">
        <v>48</v>
      </c>
      <c r="AI77" s="3" t="n">
        <v>1.9737</v>
      </c>
      <c r="AJ77" s="3" t="n">
        <v>1.0365</v>
      </c>
      <c r="AK77" s="3" t="n">
        <v>-0.1111803607058527</v>
      </c>
      <c r="AL77" s="6" t="n">
        <v>0.0245024429491342</v>
      </c>
      <c r="AM77" s="3" t="n">
        <v>0</v>
      </c>
      <c r="AN77" s="3" t="n">
        <v>0.9325</v>
      </c>
      <c r="AO77" s="3" t="n">
        <v>1.347984</v>
      </c>
      <c r="AP77" s="3">
        <f>N(X77)*N(BI77)</f>
        <v/>
      </c>
      <c r="AQ77" s="3" t="n">
        <v>0.7614</v>
      </c>
      <c r="AR77" s="3" t="n">
        <v>0</v>
      </c>
      <c r="AS77" s="3" t="n">
        <v>-0</v>
      </c>
      <c r="AT77" s="3" t="n">
        <v>-0.1111803607058527</v>
      </c>
      <c r="AU77" s="3">
        <f>SUM(AN77:AT77)</f>
        <v/>
      </c>
      <c r="AV77" s="7">
        <f>IF(OR(N(W77)&lt;=0,N(BG77)=0),0,N(W77)*IF(N(R77)/N(W77)&gt;=60,N(BG77),1))</f>
        <v/>
      </c>
      <c r="AW77" s="7">
        <f>N(W77)*N(AF77)*N(BH77)</f>
        <v/>
      </c>
      <c r="AX77" s="7">
        <f>N(AL77)*(Assumptions!$B$13*N(BJ77)-(1-Assumptions!$B$13)*Assumptions!$B$14)+N(AM77)</f>
        <v/>
      </c>
      <c r="AY77" s="7">
        <f>N(AU77)*N(R77)/90+N(AV77)+N(AW77)+N(AX77)</f>
        <v/>
      </c>
      <c r="AZ77" s="3">
        <f>IF(N(R77)&lt;=0,0,(N(AY77)-N(AX77))*90/N(R77))</f>
        <v/>
      </c>
      <c r="BA77" s="7">
        <f>IFERROR(AY77-VLOOKUP($E77,Assumptions!$A$40:$C$43,3,FALSE),"")</f>
        <v/>
      </c>
      <c r="BB77" s="3">
        <f>IFERROR(BA77/H77,"")</f>
        <v/>
      </c>
      <c r="BC77">
        <f>IF(AND($G77=TRUE,$E77="GKP"),AY77,"")</f>
        <v/>
      </c>
      <c r="BD77">
        <f>IF(AND($G77=TRUE,$E77="DEF"),AY77,"")</f>
        <v/>
      </c>
      <c r="BE77">
        <f>IF(AND($G77=TRUE,$E77="MID"),AY77,"")</f>
        <v/>
      </c>
      <c r="BF77">
        <f>IF(AND($G77=TRUE,$E77="FWD"),AY77,"")</f>
        <v/>
      </c>
      <c r="BG77" t="n">
        <v>2</v>
      </c>
      <c r="BH77" t="n">
        <v>2</v>
      </c>
      <c r="BI77" t="n">
        <v>1</v>
      </c>
      <c r="BJ77" t="n">
        <v>5</v>
      </c>
    </row>
    <row r="78">
      <c r="A78" t="inlineStr">
        <is>
          <t>Nikola Milenkovic</t>
        </is>
      </c>
      <c r="B78" t="inlineStr">
        <is>
          <t>NFO</t>
        </is>
      </c>
      <c r="C78" t="inlineStr">
        <is>
          <t>NFO</t>
        </is>
      </c>
      <c r="D78" t="b">
        <v>0</v>
      </c>
      <c r="E78" t="inlineStr">
        <is>
          <t>DEF</t>
        </is>
      </c>
      <c r="F78" t="inlineStr">
        <is>
          <t>DEF</t>
        </is>
      </c>
      <c r="G78" t="b">
        <v>1</v>
      </c>
      <c r="H78" s="2" t="n">
        <v>5.5</v>
      </c>
      <c r="I78" t="inlineStr">
        <is>
          <t>a</t>
        </is>
      </c>
      <c r="K78" s="2" t="n">
        <v>3375</v>
      </c>
      <c r="L78" t="n">
        <v>119</v>
      </c>
      <c r="M78" s="3" t="n">
        <v>3312</v>
      </c>
      <c r="N78" s="4" t="n">
        <v>3230</v>
      </c>
      <c r="O78" s="4" t="n">
        <v>-82</v>
      </c>
      <c r="P78" s="5" t="inlineStr">
        <is>
          <t>low</t>
        </is>
      </c>
      <c r="Q78" t="inlineStr">
        <is>
          <t>flat</t>
        </is>
      </c>
      <c r="R78" s="6" t="n">
        <v>3230</v>
      </c>
      <c r="S78" t="inlineStr">
        <is>
          <t>research</t>
        </is>
      </c>
      <c r="T78" s="5" t="inlineStr">
        <is>
          <t>Token trim only. He played 3,375 league minutes in 2025-26 and is the one Forest player for whom a near-ever-present projection is fully supported by evidence.</t>
        </is>
      </c>
      <c r="U78" s="6" t="n">
        <v>89</v>
      </c>
      <c r="V78" s="2" t="n">
        <v>37</v>
      </c>
      <c r="W78" s="7">
        <f>IF(N(U78)&lt;=0,0,MIN(Assumptions!$B$15,N(R78)/N(U78)))</f>
        <v/>
      </c>
      <c r="X78" s="6" t="n">
        <v>0.224</v>
      </c>
      <c r="Y78" s="3" t="n">
        <v>0.022</v>
      </c>
      <c r="Z78" t="inlineStr">
        <is>
          <t>adjusted xGOT</t>
        </is>
      </c>
      <c r="AA78" s="3" t="n">
        <v>1</v>
      </c>
      <c r="AB78" s="3" t="n">
        <v>0.994</v>
      </c>
      <c r="AC78" s="3" t="n">
        <v>4.9</v>
      </c>
      <c r="AD78" s="3" t="n">
        <v>0.0126</v>
      </c>
      <c r="AE78" s="3" t="n">
        <v>8.186</v>
      </c>
      <c r="AF78" s="3" t="n">
        <v>0.2952363900242757</v>
      </c>
      <c r="AG78" s="3" t="n">
        <v>0.0267</v>
      </c>
      <c r="AH78" s="3" t="n">
        <v>75</v>
      </c>
      <c r="AI78" s="3" t="n">
        <v>3.1134</v>
      </c>
      <c r="AJ78" s="3" t="n">
        <v>1.5588</v>
      </c>
      <c r="AK78" s="3" t="n">
        <v>-0.1709107727150983</v>
      </c>
      <c r="AL78" s="6" t="n">
        <v>0</v>
      </c>
      <c r="AM78" s="3" t="n">
        <v>0</v>
      </c>
      <c r="AN78" s="3" t="n">
        <v>0.132</v>
      </c>
      <c r="AO78" s="3" t="n">
        <v>0.049896</v>
      </c>
      <c r="AP78" s="3">
        <f>N(X78)*N(BI78)</f>
        <v/>
      </c>
      <c r="AQ78" s="3" t="n">
        <v>0.0267</v>
      </c>
      <c r="AR78" s="3" t="n">
        <v>0</v>
      </c>
      <c r="AS78" s="3" t="n">
        <v>-0.5404658182244797</v>
      </c>
      <c r="AT78" s="3" t="n">
        <v>-0.1709107727150983</v>
      </c>
      <c r="AU78" s="3">
        <f>SUM(AN78:AT78)</f>
        <v/>
      </c>
      <c r="AV78" s="7">
        <f>IF(OR(N(W78)&lt;=0,N(BG78)=0),0,N(W78)*IF(N(R78)/N(W78)&gt;=60,N(BG78),1))</f>
        <v/>
      </c>
      <c r="AW78" s="7">
        <f>N(W78)*N(AF78)*N(BH78)</f>
        <v/>
      </c>
      <c r="AX78" s="7">
        <f>N(AL78)*(Assumptions!$B$13*N(BJ78)-(1-Assumptions!$B$13)*Assumptions!$B$14)+N(AM78)</f>
        <v/>
      </c>
      <c r="AY78" s="7">
        <f>N(AU78)*N(R78)/90+N(AV78)+N(AW78)+N(AX78)</f>
        <v/>
      </c>
      <c r="AZ78" s="3">
        <f>IF(N(R78)&lt;=0,0,(N(AY78)-N(AX78))*90/N(R78))</f>
        <v/>
      </c>
      <c r="BA78" s="7">
        <f>IFERROR(AY78-VLOOKUP($E78,Assumptions!$A$40:$C$43,3,FALSE),"")</f>
        <v/>
      </c>
      <c r="BB78" s="3">
        <f>IFERROR(BA78/H78,"")</f>
        <v/>
      </c>
      <c r="BC78">
        <f>IF(AND($G78=TRUE,$E78="GKP"),AY78,"")</f>
        <v/>
      </c>
      <c r="BD78">
        <f>IF(AND($G78=TRUE,$E78="DEF"),AY78,"")</f>
        <v/>
      </c>
      <c r="BE78">
        <f>IF(AND($G78=TRUE,$E78="MID"),AY78,"")</f>
        <v/>
      </c>
      <c r="BF78">
        <f>IF(AND($G78=TRUE,$E78="FWD"),AY78,"")</f>
        <v/>
      </c>
      <c r="BG78" t="n">
        <v>2</v>
      </c>
      <c r="BH78" t="n">
        <v>2</v>
      </c>
      <c r="BI78" t="n">
        <v>4</v>
      </c>
      <c r="BJ78" t="n">
        <v>6</v>
      </c>
    </row>
    <row r="79">
      <c r="A79" t="inlineStr">
        <is>
          <t>Richarlison</t>
        </is>
      </c>
      <c r="B79" t="inlineStr">
        <is>
          <t>TOT</t>
        </is>
      </c>
      <c r="C79" t="inlineStr">
        <is>
          <t>TOT</t>
        </is>
      </c>
      <c r="D79" t="b">
        <v>0</v>
      </c>
      <c r="E79" t="inlineStr">
        <is>
          <t>FWD</t>
        </is>
      </c>
      <c r="F79" t="inlineStr">
        <is>
          <t>FWD</t>
        </is>
      </c>
      <c r="G79" t="b">
        <v>1</v>
      </c>
      <c r="H79" s="2" t="n">
        <v>6</v>
      </c>
      <c r="I79" t="inlineStr">
        <is>
          <t>a</t>
        </is>
      </c>
      <c r="K79" s="2" t="n">
        <v>1954</v>
      </c>
      <c r="L79" t="n">
        <v>119</v>
      </c>
      <c r="M79" s="3" t="n">
        <v>697</v>
      </c>
      <c r="N79" s="4" t="n">
        <v>1300</v>
      </c>
      <c r="O79" s="4" t="n">
        <v>603</v>
      </c>
      <c r="P79" s="5" t="inlineStr">
        <is>
          <t>medium</t>
        </is>
      </c>
      <c r="Q79" t="inlineStr">
        <is>
          <t>fade (losing his place)</t>
        </is>
      </c>
      <c r="R79" s="6" t="n">
        <v>1300</v>
      </c>
      <c r="S79" t="inlineStr">
        <is>
          <t>research</t>
        </is>
      </c>
      <c r="T79" s="5" t="inlineStr">
        <is>
          <t>Solio flags Richarlison as fading. He has instead led the line in both August friendlies while Solanke has been managed, and is the only other senior centre-forward in the squad (Dane Scarlett aside). With Solanke doubtful for the opener and no No.9 signed, he starts the season in the XI. Held well short of a starter's allocation because a striker signing is actively being pursued.</t>
        </is>
      </c>
      <c r="U79" s="6" t="n">
        <v>81.7</v>
      </c>
      <c r="V79" s="2" t="n">
        <v>20</v>
      </c>
      <c r="W79" s="7">
        <f>IF(N(U79)&lt;=0,0,MIN(Assumptions!$B$15,N(R79)/N(U79)))</f>
        <v/>
      </c>
      <c r="X79" s="6" t="n">
        <v>0.286</v>
      </c>
      <c r="Y79" s="3" t="n">
        <v>0.4198</v>
      </c>
      <c r="Z79" t="inlineStr">
        <is>
          <t>adjusted xGOT</t>
        </is>
      </c>
      <c r="AA79" s="3" t="n">
        <v>1</v>
      </c>
      <c r="AB79" s="3" t="n">
        <v>1.055</v>
      </c>
      <c r="AC79" s="3" t="n">
        <v>25.3</v>
      </c>
      <c r="AD79" s="3" t="n">
        <v>0.1121</v>
      </c>
      <c r="AE79" s="3" t="n">
        <v>6.238</v>
      </c>
      <c r="AF79" s="3" t="n">
        <v>0.01350435535675565</v>
      </c>
      <c r="AG79" s="3" t="n">
        <v>0.783</v>
      </c>
      <c r="AH79" s="3" t="n">
        <v>51</v>
      </c>
      <c r="AI79" s="3" t="n">
        <v>2.5739</v>
      </c>
      <c r="AJ79" s="3" t="n">
        <v>1.3096</v>
      </c>
      <c r="AK79" s="3" t="n">
        <v>-0.2218707428614252</v>
      </c>
      <c r="AL79" s="6" t="n">
        <v>0.0361982866880706</v>
      </c>
      <c r="AM79" s="3" t="n">
        <v>0</v>
      </c>
      <c r="AN79" s="3" t="n">
        <v>1.6792</v>
      </c>
      <c r="AO79" s="3" t="n">
        <v>0.4439160000000001</v>
      </c>
      <c r="AP79" s="3">
        <f>N(X79)*N(BI79)</f>
        <v/>
      </c>
      <c r="AQ79" s="3" t="n">
        <v>0.783</v>
      </c>
      <c r="AR79" s="3" t="n">
        <v>0</v>
      </c>
      <c r="AS79" s="3" t="n">
        <v>-0</v>
      </c>
      <c r="AT79" s="3" t="n">
        <v>-0.2218707428614252</v>
      </c>
      <c r="AU79" s="3">
        <f>SUM(AN79:AT79)</f>
        <v/>
      </c>
      <c r="AV79" s="7">
        <f>IF(OR(N(W79)&lt;=0,N(BG79)=0),0,N(W79)*IF(N(R79)/N(W79)&gt;=60,N(BG79),1))</f>
        <v/>
      </c>
      <c r="AW79" s="7">
        <f>N(W79)*N(AF79)*N(BH79)</f>
        <v/>
      </c>
      <c r="AX79" s="7">
        <f>N(AL79)*(Assumptions!$B$13*N(BJ79)-(1-Assumptions!$B$13)*Assumptions!$B$14)+N(AM79)</f>
        <v/>
      </c>
      <c r="AY79" s="7">
        <f>N(AU79)*N(R79)/90+N(AV79)+N(AW79)+N(AX79)</f>
        <v/>
      </c>
      <c r="AZ79" s="3">
        <f>IF(N(R79)&lt;=0,0,(N(AY79)-N(AX79))*90/N(R79))</f>
        <v/>
      </c>
      <c r="BA79" s="7">
        <f>IFERROR(AY79-VLOOKUP($E79,Assumptions!$A$40:$C$43,3,FALSE),"")</f>
        <v/>
      </c>
      <c r="BB79" s="3">
        <f>IFERROR(BA79/H79,"")</f>
        <v/>
      </c>
      <c r="BC79">
        <f>IF(AND($G79=TRUE,$E79="GKP"),AY79,"")</f>
        <v/>
      </c>
      <c r="BD79">
        <f>IF(AND($G79=TRUE,$E79="DEF"),AY79,"")</f>
        <v/>
      </c>
      <c r="BE79">
        <f>IF(AND($G79=TRUE,$E79="MID"),AY79,"")</f>
        <v/>
      </c>
      <c r="BF79">
        <f>IF(AND($G79=TRUE,$E79="FWD"),AY79,"")</f>
        <v/>
      </c>
      <c r="BG79" t="n">
        <v>2</v>
      </c>
      <c r="BH79" t="n">
        <v>2</v>
      </c>
      <c r="BI79" t="n">
        <v>0</v>
      </c>
      <c r="BJ79" t="n">
        <v>4</v>
      </c>
    </row>
    <row r="80">
      <c r="A80" t="inlineStr">
        <is>
          <t>Ferdi Kadioglu</t>
        </is>
      </c>
      <c r="B80" t="inlineStr">
        <is>
          <t>BHA</t>
        </is>
      </c>
      <c r="C80" t="inlineStr">
        <is>
          <t>BHA</t>
        </is>
      </c>
      <c r="D80" t="b">
        <v>0</v>
      </c>
      <c r="E80" t="inlineStr">
        <is>
          <t>DEF</t>
        </is>
      </c>
      <c r="F80" t="inlineStr">
        <is>
          <t>DEF</t>
        </is>
      </c>
      <c r="G80" t="b">
        <v>1</v>
      </c>
      <c r="H80" s="2" t="n">
        <v>4.5</v>
      </c>
      <c r="I80" t="inlineStr">
        <is>
          <t>a</t>
        </is>
      </c>
      <c r="K80" s="2" t="n">
        <v>3130</v>
      </c>
      <c r="L80" t="n">
        <v>118</v>
      </c>
      <c r="M80" s="3" t="n">
        <v>3198</v>
      </c>
      <c r="N80" s="4" t="n">
        <v>2850</v>
      </c>
      <c r="O80" s="4" t="n">
        <v>-348</v>
      </c>
      <c r="P80" s="5" t="inlineStr">
        <is>
          <t>low</t>
        </is>
      </c>
      <c r="Q80" t="inlineStr">
        <is>
          <t>flat</t>
        </is>
      </c>
      <c r="R80" s="6" t="n">
        <v>2850</v>
      </c>
      <c r="S80" t="inlineStr">
        <is>
          <t>research</t>
        </is>
      </c>
      <c r="T80" s="5" t="inlineStr">
        <is>
          <t>Solio extrapolates his 3130 minutes from 2025/26 slightly upward to 3198, i.e. 94% of everything available. But 2025/26 had no European football; 2026/27 is Brighton's first Conference League campaign since 2023/24, and they signed Costinha (GBP 11m, Olympiacos) as a full-back in June. Kadioglu was substituted on 78' against Bologna with Costinha replacing him. A modest haircut, not a demotion.</t>
        </is>
      </c>
      <c r="U80" s="6" t="n">
        <v>88.09999999999999</v>
      </c>
      <c r="V80" s="2" t="n">
        <v>34</v>
      </c>
      <c r="W80" s="7">
        <f>IF(N(U80)&lt;=0,0,MIN(Assumptions!$B$15,N(R80)/N(U80)))</f>
        <v/>
      </c>
      <c r="X80" s="6" t="n">
        <v>0.252</v>
      </c>
      <c r="Y80" s="3" t="n">
        <v>0.0626</v>
      </c>
      <c r="Z80" t="inlineStr">
        <is>
          <t>adjusted xGOT</t>
        </is>
      </c>
      <c r="AA80" s="3" t="n">
        <v>1</v>
      </c>
      <c r="AB80" s="3" t="n">
        <v>1.057</v>
      </c>
      <c r="AC80" s="3" t="n">
        <v>2.5</v>
      </c>
      <c r="AD80" s="3" t="n">
        <v>0.0799</v>
      </c>
      <c r="AE80" s="3" t="n">
        <v>5.411</v>
      </c>
      <c r="AF80" s="3" t="n">
        <v>0.04390974784713242</v>
      </c>
      <c r="AG80" s="3" t="n">
        <v>0.23</v>
      </c>
      <c r="AH80" s="3" t="n">
        <v>72</v>
      </c>
      <c r="AI80" s="3" t="n">
        <v>2.8404</v>
      </c>
      <c r="AJ80" s="3" t="n">
        <v>1.439</v>
      </c>
      <c r="AK80" s="3" t="n">
        <v>-0.1999088956728618</v>
      </c>
      <c r="AL80" s="6" t="n">
        <v>0</v>
      </c>
      <c r="AM80" s="3" t="n">
        <v>0</v>
      </c>
      <c r="AN80" s="3" t="n">
        <v>0.3756</v>
      </c>
      <c r="AO80" s="3" t="n">
        <v>0.316404</v>
      </c>
      <c r="AP80" s="3">
        <f>N(X80)*N(BI80)</f>
        <v/>
      </c>
      <c r="AQ80" s="3" t="n">
        <v>0.23</v>
      </c>
      <c r="AR80" s="3" t="n">
        <v>0</v>
      </c>
      <c r="AS80" s="3" t="n">
        <v>-0.4835617861760246</v>
      </c>
      <c r="AT80" s="3" t="n">
        <v>-0.1999088956728618</v>
      </c>
      <c r="AU80" s="3">
        <f>SUM(AN80:AT80)</f>
        <v/>
      </c>
      <c r="AV80" s="7">
        <f>IF(OR(N(W80)&lt;=0,N(BG80)=0),0,N(W80)*IF(N(R80)/N(W80)&gt;=60,N(BG80),1))</f>
        <v/>
      </c>
      <c r="AW80" s="7">
        <f>N(W80)*N(AF80)*N(BH80)</f>
        <v/>
      </c>
      <c r="AX80" s="7">
        <f>N(AL80)*(Assumptions!$B$13*N(BJ80)-(1-Assumptions!$B$13)*Assumptions!$B$14)+N(AM80)</f>
        <v/>
      </c>
      <c r="AY80" s="7">
        <f>N(AU80)*N(R80)/90+N(AV80)+N(AW80)+N(AX80)</f>
        <v/>
      </c>
      <c r="AZ80" s="3">
        <f>IF(N(R80)&lt;=0,0,(N(AY80)-N(AX80))*90/N(R80))</f>
        <v/>
      </c>
      <c r="BA80" s="7">
        <f>IFERROR(AY80-VLOOKUP($E80,Assumptions!$A$40:$C$43,3,FALSE),"")</f>
        <v/>
      </c>
      <c r="BB80" s="3">
        <f>IFERROR(BA80/H80,"")</f>
        <v/>
      </c>
      <c r="BC80">
        <f>IF(AND($G80=TRUE,$E80="GKP"),AY80,"")</f>
        <v/>
      </c>
      <c r="BD80">
        <f>IF(AND($G80=TRUE,$E80="DEF"),AY80,"")</f>
        <v/>
      </c>
      <c r="BE80">
        <f>IF(AND($G80=TRUE,$E80="MID"),AY80,"")</f>
        <v/>
      </c>
      <c r="BF80">
        <f>IF(AND($G80=TRUE,$E80="FWD"),AY80,"")</f>
        <v/>
      </c>
      <c r="BG80" t="n">
        <v>2</v>
      </c>
      <c r="BH80" t="n">
        <v>2</v>
      </c>
      <c r="BI80" t="n">
        <v>4</v>
      </c>
      <c r="BJ80" t="n">
        <v>6</v>
      </c>
    </row>
    <row r="81">
      <c r="A81" t="inlineStr">
        <is>
          <t>Ismaïla Sarr</t>
        </is>
      </c>
      <c r="B81" t="inlineStr">
        <is>
          <t>CRY</t>
        </is>
      </c>
      <c r="C81" t="inlineStr">
        <is>
          <t>CRY</t>
        </is>
      </c>
      <c r="D81" t="b">
        <v>0</v>
      </c>
      <c r="E81" t="inlineStr">
        <is>
          <t>MID</t>
        </is>
      </c>
      <c r="F81" t="inlineStr">
        <is>
          <t>MID</t>
        </is>
      </c>
      <c r="G81" t="b">
        <v>1</v>
      </c>
      <c r="H81" s="2" t="n">
        <v>6.5</v>
      </c>
      <c r="I81" t="inlineStr">
        <is>
          <t>a</t>
        </is>
      </c>
      <c r="K81" s="2" t="n">
        <v>2173</v>
      </c>
      <c r="L81" t="n">
        <v>117</v>
      </c>
      <c r="M81" s="3" t="n">
        <v>3135</v>
      </c>
      <c r="N81" s="4" t="n">
        <v>2250</v>
      </c>
      <c r="O81" s="4" t="n">
        <v>-885</v>
      </c>
      <c r="P81" s="5" t="inlineStr">
        <is>
          <t>medium</t>
        </is>
      </c>
      <c r="Q81" t="inlineStr">
        <is>
          <t>flat</t>
        </is>
      </c>
      <c r="R81" s="6" t="n">
        <v>2250</v>
      </c>
      <c r="S81" t="inlineStr">
        <is>
          <t>research</t>
        </is>
      </c>
      <c r="T81" s="5" t="inlineStr">
        <is>
          <t>Solio projects a 962-minute jump on his 2173 last season, and that projection predates three August arrivals who all land in the wide and attacking areas: McNeil on 11 August, Guessand on 12 August and Khalaili on 15 August. Palace also play in the Europa League league phase this season, which forces domestic rotation. Proposed figure still sits slightly above his 2025/26 total.</t>
        </is>
      </c>
      <c r="U81" s="6" t="n">
        <v>83.59999999999999</v>
      </c>
      <c r="V81" s="2" t="n">
        <v>24</v>
      </c>
      <c r="W81" s="7">
        <f>IF(N(U81)&lt;=0,0,MIN(Assumptions!$B$15,N(R81)/N(U81)))</f>
        <v/>
      </c>
      <c r="X81" s="6" t="n">
        <v>0.216</v>
      </c>
      <c r="Y81" s="3" t="n">
        <v>0.3601</v>
      </c>
      <c r="Z81" t="inlineStr">
        <is>
          <t>adjusted xGOT</t>
        </is>
      </c>
      <c r="AA81" s="3" t="n">
        <v>0.802</v>
      </c>
      <c r="AB81" s="3" t="n">
        <v>0.992</v>
      </c>
      <c r="AC81" s="3" t="n">
        <v>21.8</v>
      </c>
      <c r="AD81" s="3" t="n">
        <v>0.0698</v>
      </c>
      <c r="AE81" s="3" t="n">
        <v>6.397</v>
      </c>
      <c r="AF81" s="3" t="n">
        <v>0.01881876944529104</v>
      </c>
      <c r="AG81" s="3" t="n">
        <v>0.4142</v>
      </c>
      <c r="AH81" s="3" t="n">
        <v>50</v>
      </c>
      <c r="AI81" s="3" t="n">
        <v>3.2035</v>
      </c>
      <c r="AJ81" s="3" t="n">
        <v>1.5923</v>
      </c>
      <c r="AK81" s="3" t="n">
        <v>-0.1470613343008995</v>
      </c>
      <c r="AL81" s="6" t="n">
        <v>1.139107750193497</v>
      </c>
      <c r="AM81" s="3" t="n">
        <v>0</v>
      </c>
      <c r="AN81" s="3" t="n">
        <v>1.8005</v>
      </c>
      <c r="AO81" s="3" t="n">
        <v>0.276408</v>
      </c>
      <c r="AP81" s="3">
        <f>N(X81)*N(BI81)</f>
        <v/>
      </c>
      <c r="AQ81" s="3" t="n">
        <v>0.4142</v>
      </c>
      <c r="AR81" s="3" t="n">
        <v>0</v>
      </c>
      <c r="AS81" s="3" t="n">
        <v>-0</v>
      </c>
      <c r="AT81" s="3" t="n">
        <v>-0.1470613343008995</v>
      </c>
      <c r="AU81" s="3">
        <f>SUM(AN81:AT81)</f>
        <v/>
      </c>
      <c r="AV81" s="7">
        <f>IF(OR(N(W81)&lt;=0,N(BG81)=0),0,N(W81)*IF(N(R81)/N(W81)&gt;=60,N(BG81),1))</f>
        <v/>
      </c>
      <c r="AW81" s="7">
        <f>N(W81)*N(AF81)*N(BH81)</f>
        <v/>
      </c>
      <c r="AX81" s="7">
        <f>N(AL81)*(Assumptions!$B$13*N(BJ81)-(1-Assumptions!$B$13)*Assumptions!$B$14)+N(AM81)</f>
        <v/>
      </c>
      <c r="AY81" s="7">
        <f>N(AU81)*N(R81)/90+N(AV81)+N(AW81)+N(AX81)</f>
        <v/>
      </c>
      <c r="AZ81" s="3">
        <f>IF(N(R81)&lt;=0,0,(N(AY81)-N(AX81))*90/N(R81))</f>
        <v/>
      </c>
      <c r="BA81" s="7">
        <f>IFERROR(AY81-VLOOKUP($E81,Assumptions!$A$40:$C$43,3,FALSE),"")</f>
        <v/>
      </c>
      <c r="BB81" s="3">
        <f>IFERROR(BA81/H81,"")</f>
        <v/>
      </c>
      <c r="BC81">
        <f>IF(AND($G81=TRUE,$E81="GKP"),AY81,"")</f>
        <v/>
      </c>
      <c r="BD81">
        <f>IF(AND($G81=TRUE,$E81="DEF"),AY81,"")</f>
        <v/>
      </c>
      <c r="BE81">
        <f>IF(AND($G81=TRUE,$E81="MID"),AY81,"")</f>
        <v/>
      </c>
      <c r="BF81">
        <f>IF(AND($G81=TRUE,$E81="FWD"),AY81,"")</f>
        <v/>
      </c>
      <c r="BG81" t="n">
        <v>2</v>
      </c>
      <c r="BH81" t="n">
        <v>2</v>
      </c>
      <c r="BI81" t="n">
        <v>1</v>
      </c>
      <c r="BJ81" t="n">
        <v>5</v>
      </c>
    </row>
    <row r="82">
      <c r="A82" t="inlineStr">
        <is>
          <t>Yankuba Minteh</t>
        </is>
      </c>
      <c r="B82" t="inlineStr">
        <is>
          <t>BHA</t>
        </is>
      </c>
      <c r="C82" t="inlineStr">
        <is>
          <t>BHA</t>
        </is>
      </c>
      <c r="D82" t="b">
        <v>0</v>
      </c>
      <c r="E82" t="inlineStr">
        <is>
          <t>MID</t>
        </is>
      </c>
      <c r="F82" t="inlineStr">
        <is>
          <t>MID</t>
        </is>
      </c>
      <c r="G82" t="b">
        <v>1</v>
      </c>
      <c r="H82" s="2" t="n">
        <v>6</v>
      </c>
      <c r="I82" t="inlineStr">
        <is>
          <t>i</t>
        </is>
      </c>
      <c r="J82" t="inlineStr">
        <is>
          <t>Leg injury - Expected back 28 Nov</t>
        </is>
      </c>
      <c r="K82" s="2" t="n">
        <v>2389</v>
      </c>
      <c r="L82" t="n">
        <v>117</v>
      </c>
      <c r="M82" s="3" t="n">
        <v>2713</v>
      </c>
      <c r="N82" s="4" t="n">
        <v>1550</v>
      </c>
      <c r="O82" s="4" t="n">
        <v>-1163</v>
      </c>
      <c r="P82" s="5" t="inlineStr">
        <is>
          <t>high</t>
        </is>
      </c>
      <c r="Q82" t="inlineStr">
        <is>
          <t>ramp-up (injury / late WC return)</t>
        </is>
      </c>
      <c r="R82" s="6" t="n">
        <v>1550</v>
      </c>
      <c r="S82" t="inlineStr">
        <is>
          <t>research</t>
        </is>
      </c>
      <c r="T82" s="5" t="inlineStr">
        <is>
          <t>Suffered a right-leg injury in the Roma friendly on 8 Aug 2026. Hurzeler said Brighton expect to be without him for two to three months; FPL's flag (added 2026-08-14) says 'Expected back 28 Nov', which is roughly Gameweek 14. Solio projects 2713, an INCREASE on his 2389 minutes last season, so it clearly predates the injury. Allowing ~24 gameweeks from a late-November return, at his 83.2 mins/start with a fitness ramp and no guarantee against setbacks, lands near 1550.</t>
        </is>
      </c>
      <c r="U82" s="6" t="n">
        <v>82.3</v>
      </c>
      <c r="V82" s="2" t="n">
        <v>26</v>
      </c>
      <c r="W82" s="7">
        <f>IF(N(U82)&lt;=0,0,MIN(Assumptions!$B$15,N(R82)/N(U82)))</f>
        <v/>
      </c>
      <c r="X82" s="6" t="n">
        <v>0.252</v>
      </c>
      <c r="Y82" s="3" t="n">
        <v>0.1513</v>
      </c>
      <c r="Z82" t="inlineStr">
        <is>
          <t>adjusted xGOT</t>
        </is>
      </c>
      <c r="AA82" s="3" t="n">
        <v>1</v>
      </c>
      <c r="AB82" s="3" t="n">
        <v>1.054</v>
      </c>
      <c r="AC82" s="3" t="n">
        <v>7.9</v>
      </c>
      <c r="AD82" s="3" t="n">
        <v>0.2053</v>
      </c>
      <c r="AE82" s="3" t="n">
        <v>7.342</v>
      </c>
      <c r="AF82" s="3" t="n">
        <v>0.04146106156218199</v>
      </c>
      <c r="AG82" s="3" t="n">
        <v>0.3767</v>
      </c>
      <c r="AH82" s="3" t="n">
        <v>59</v>
      </c>
      <c r="AI82" s="3" t="n">
        <v>2.8404</v>
      </c>
      <c r="AJ82" s="3" t="n">
        <v>1.439</v>
      </c>
      <c r="AK82" s="3" t="n">
        <v>-0.1954537232895024</v>
      </c>
      <c r="AL82" s="6" t="n">
        <v>0</v>
      </c>
      <c r="AM82" s="3" t="n">
        <v>0</v>
      </c>
      <c r="AN82" s="3" t="n">
        <v>0.7565</v>
      </c>
      <c r="AO82" s="3" t="n">
        <v>0.812988</v>
      </c>
      <c r="AP82" s="3">
        <f>N(X82)*N(BI82)</f>
        <v/>
      </c>
      <c r="AQ82" s="3" t="n">
        <v>0.3767</v>
      </c>
      <c r="AR82" s="3" t="n">
        <v>0</v>
      </c>
      <c r="AS82" s="3" t="n">
        <v>-0</v>
      </c>
      <c r="AT82" s="3" t="n">
        <v>-0.1954537232895024</v>
      </c>
      <c r="AU82" s="3">
        <f>SUM(AN82:AT82)</f>
        <v/>
      </c>
      <c r="AV82" s="7">
        <f>IF(OR(N(W82)&lt;=0,N(BG82)=0),0,N(W82)*IF(N(R82)/N(W82)&gt;=60,N(BG82),1))</f>
        <v/>
      </c>
      <c r="AW82" s="7">
        <f>N(W82)*N(AF82)*N(BH82)</f>
        <v/>
      </c>
      <c r="AX82" s="7">
        <f>N(AL82)*(Assumptions!$B$13*N(BJ82)-(1-Assumptions!$B$13)*Assumptions!$B$14)+N(AM82)</f>
        <v/>
      </c>
      <c r="AY82" s="7">
        <f>N(AU82)*N(R82)/90+N(AV82)+N(AW82)+N(AX82)</f>
        <v/>
      </c>
      <c r="AZ82" s="3">
        <f>IF(N(R82)&lt;=0,0,(N(AY82)-N(AX82))*90/N(R82))</f>
        <v/>
      </c>
      <c r="BA82" s="7">
        <f>IFERROR(AY82-VLOOKUP($E82,Assumptions!$A$40:$C$43,3,FALSE),"")</f>
        <v/>
      </c>
      <c r="BB82" s="3">
        <f>IFERROR(BA82/H82,"")</f>
        <v/>
      </c>
      <c r="BC82">
        <f>IF(AND($G82=TRUE,$E82="GKP"),AY82,"")</f>
        <v/>
      </c>
      <c r="BD82">
        <f>IF(AND($G82=TRUE,$E82="DEF"),AY82,"")</f>
        <v/>
      </c>
      <c r="BE82">
        <f>IF(AND($G82=TRUE,$E82="MID"),AY82,"")</f>
        <v/>
      </c>
      <c r="BF82">
        <f>IF(AND($G82=TRUE,$E82="FWD"),AY82,"")</f>
        <v/>
      </c>
      <c r="BG82" t="n">
        <v>2</v>
      </c>
      <c r="BH82" t="n">
        <v>2</v>
      </c>
      <c r="BI82" t="n">
        <v>1</v>
      </c>
      <c r="BJ82" t="n">
        <v>5</v>
      </c>
    </row>
    <row r="83">
      <c r="A83" t="inlineStr">
        <is>
          <t>Pedro Porro</t>
        </is>
      </c>
      <c r="B83" t="inlineStr">
        <is>
          <t>TOT</t>
        </is>
      </c>
      <c r="C83" t="inlineStr">
        <is>
          <t>TOT</t>
        </is>
      </c>
      <c r="D83" t="b">
        <v>0</v>
      </c>
      <c r="E83" t="inlineStr">
        <is>
          <t>DEF</t>
        </is>
      </c>
      <c r="F83" t="inlineStr">
        <is>
          <t>DEF</t>
        </is>
      </c>
      <c r="G83" t="b">
        <v>1</v>
      </c>
      <c r="H83" s="2" t="n">
        <v>5.5</v>
      </c>
      <c r="I83" t="inlineStr">
        <is>
          <t>a</t>
        </is>
      </c>
      <c r="K83" s="2" t="n">
        <v>2793</v>
      </c>
      <c r="L83" t="n">
        <v>117</v>
      </c>
      <c r="M83" s="3" t="n">
        <v>3084</v>
      </c>
      <c r="N83" s="8" t="n">
        <v>3084</v>
      </c>
      <c r="O83" s="8" t="n">
        <v>0</v>
      </c>
      <c r="Q83" t="inlineStr">
        <is>
          <t>flat</t>
        </is>
      </c>
      <c r="R83" s="6" t="n">
        <v>3084</v>
      </c>
      <c r="S83" t="inlineStr">
        <is>
          <t>Solio</t>
        </is>
      </c>
      <c r="U83" s="6" t="n">
        <v>85.90000000000001</v>
      </c>
      <c r="V83" s="2" t="n">
        <v>32</v>
      </c>
      <c r="W83" s="7">
        <f>IF(N(U83)&lt;=0,0,MIN(Assumptions!$B$15,N(R83)/N(U83)))</f>
        <v/>
      </c>
      <c r="X83" s="6" t="n">
        <v>0.286</v>
      </c>
      <c r="Y83" s="3" t="n">
        <v>0.0338</v>
      </c>
      <c r="Z83" t="inlineStr">
        <is>
          <t>adjusted xGOT</t>
        </is>
      </c>
      <c r="AA83" s="3" t="n">
        <v>1</v>
      </c>
      <c r="AB83" s="3" t="n">
        <v>0.999</v>
      </c>
      <c r="AC83" s="3" t="n">
        <v>7.4</v>
      </c>
      <c r="AD83" s="3" t="n">
        <v>0.1388</v>
      </c>
      <c r="AE83" s="3" t="n">
        <v>7.16</v>
      </c>
      <c r="AF83" s="3" t="n">
        <v>0.1530605475256215</v>
      </c>
      <c r="AG83" s="3" t="n">
        <v>0.29</v>
      </c>
      <c r="AH83" s="3" t="n">
        <v>65</v>
      </c>
      <c r="AI83" s="3" t="n">
        <v>2.5739</v>
      </c>
      <c r="AJ83" s="3" t="n">
        <v>1.3096</v>
      </c>
      <c r="AK83" s="3" t="n">
        <v>-0.240461622393701</v>
      </c>
      <c r="AL83" s="6" t="n">
        <v>0</v>
      </c>
      <c r="AM83" s="3" t="n">
        <v>0</v>
      </c>
      <c r="AN83" s="3" t="n">
        <v>0.2028</v>
      </c>
      <c r="AO83" s="3" t="n">
        <v>0.549648</v>
      </c>
      <c r="AP83" s="3">
        <f>N(X83)*N(BI83)</f>
        <v/>
      </c>
      <c r="AQ83" s="3" t="n">
        <v>0.29</v>
      </c>
      <c r="AR83" s="3" t="n">
        <v>0</v>
      </c>
      <c r="AS83" s="3" t="n">
        <v>-0.4230152821052008</v>
      </c>
      <c r="AT83" s="3" t="n">
        <v>-0.240461622393701</v>
      </c>
      <c r="AU83" s="3">
        <f>SUM(AN83:AT83)</f>
        <v/>
      </c>
      <c r="AV83" s="7">
        <f>IF(OR(N(W83)&lt;=0,N(BG83)=0),0,N(W83)*IF(N(R83)/N(W83)&gt;=60,N(BG83),1))</f>
        <v/>
      </c>
      <c r="AW83" s="7">
        <f>N(W83)*N(AF83)*N(BH83)</f>
        <v/>
      </c>
      <c r="AX83" s="7">
        <f>N(AL83)*(Assumptions!$B$13*N(BJ83)-(1-Assumptions!$B$13)*Assumptions!$B$14)+N(AM83)</f>
        <v/>
      </c>
      <c r="AY83" s="7">
        <f>N(AU83)*N(R83)/90+N(AV83)+N(AW83)+N(AX83)</f>
        <v/>
      </c>
      <c r="AZ83" s="3">
        <f>IF(N(R83)&lt;=0,0,(N(AY83)-N(AX83))*90/N(R83))</f>
        <v/>
      </c>
      <c r="BA83" s="7">
        <f>IFERROR(AY83-VLOOKUP($E83,Assumptions!$A$40:$C$43,3,FALSE),"")</f>
        <v/>
      </c>
      <c r="BB83" s="3">
        <f>IFERROR(BA83/H83,"")</f>
        <v/>
      </c>
      <c r="BC83">
        <f>IF(AND($G83=TRUE,$E83="GKP"),AY83,"")</f>
        <v/>
      </c>
      <c r="BD83">
        <f>IF(AND($G83=TRUE,$E83="DEF"),AY83,"")</f>
        <v/>
      </c>
      <c r="BE83">
        <f>IF(AND($G83=TRUE,$E83="MID"),AY83,"")</f>
        <v/>
      </c>
      <c r="BF83">
        <f>IF(AND($G83=TRUE,$E83="FWD"),AY83,"")</f>
        <v/>
      </c>
      <c r="BG83" t="n">
        <v>2</v>
      </c>
      <c r="BH83" t="n">
        <v>2</v>
      </c>
      <c r="BI83" t="n">
        <v>4</v>
      </c>
      <c r="BJ83" t="n">
        <v>6</v>
      </c>
    </row>
    <row r="84">
      <c r="A84" t="inlineStr">
        <is>
          <t>Matty Cash</t>
        </is>
      </c>
      <c r="B84" t="inlineStr">
        <is>
          <t>AVL</t>
        </is>
      </c>
      <c r="C84" t="inlineStr">
        <is>
          <t>AVL</t>
        </is>
      </c>
      <c r="D84" t="b">
        <v>0</v>
      </c>
      <c r="E84" t="inlineStr">
        <is>
          <t>DEF</t>
        </is>
      </c>
      <c r="F84" t="inlineStr">
        <is>
          <t>DEF</t>
        </is>
      </c>
      <c r="G84" t="b">
        <v>1</v>
      </c>
      <c r="H84" s="2" t="n">
        <v>4.5</v>
      </c>
      <c r="I84" t="inlineStr">
        <is>
          <t>a</t>
        </is>
      </c>
      <c r="K84" s="2" t="n">
        <v>3016</v>
      </c>
      <c r="L84" t="n">
        <v>117</v>
      </c>
      <c r="M84" s="3" t="n">
        <v>3342</v>
      </c>
      <c r="N84" s="4" t="n">
        <v>3000</v>
      </c>
      <c r="O84" s="4" t="n">
        <v>-342</v>
      </c>
      <c r="P84" s="5" t="inlineStr">
        <is>
          <t>medium</t>
        </is>
      </c>
      <c r="Q84" t="inlineStr">
        <is>
          <t>flat</t>
        </is>
      </c>
      <c r="R84" s="6" t="n">
        <v>3000</v>
      </c>
      <c r="S84" t="inlineStr">
        <is>
          <t>research</t>
        </is>
      </c>
      <c r="T84" s="5" t="inlineStr">
        <is>
          <t>Solio's 3,342 is 97.7% of every available minute, above his 3,016 in 2025/26 in a season with the same four-competition load. Nedeljkovic is back from RB Leipzig and started at right-back against Monchengladbach, and Villa are in concrete pursuit of Aaron Wan-Bissaka because Emery 'wants more certainty in the position'. Anchored to last season's actual rather than raised above it.</t>
        </is>
      </c>
      <c r="U84" s="6" t="n">
        <v>87</v>
      </c>
      <c r="V84" s="2" t="n">
        <v>34</v>
      </c>
      <c r="W84" s="7">
        <f>IF(N(U84)&lt;=0,0,MIN(Assumptions!$B$15,N(R84)/N(U84)))</f>
        <v/>
      </c>
      <c r="X84" s="6" t="n">
        <v>0.273</v>
      </c>
      <c r="Y84" s="3" t="n">
        <v>0.0354</v>
      </c>
      <c r="Z84" t="inlineStr">
        <is>
          <t>adjusted xGOT</t>
        </is>
      </c>
      <c r="AA84" s="3" t="n">
        <v>1</v>
      </c>
      <c r="AB84" s="3" t="n">
        <v>1.04</v>
      </c>
      <c r="AC84" s="3" t="n">
        <v>6.2</v>
      </c>
      <c r="AD84" s="3" t="n">
        <v>0.09180000000000001</v>
      </c>
      <c r="AE84" s="3" t="n">
        <v>5.962</v>
      </c>
      <c r="AF84" s="3" t="n">
        <v>0.06859062568190599</v>
      </c>
      <c r="AG84" s="3" t="n">
        <v>0.2089</v>
      </c>
      <c r="AH84" s="3" t="n">
        <v>68</v>
      </c>
      <c r="AI84" s="3" t="n">
        <v>2.7451</v>
      </c>
      <c r="AJ84" s="3" t="n">
        <v>1.3575</v>
      </c>
      <c r="AK84" s="3" t="n">
        <v>-0.2867403568316323</v>
      </c>
      <c r="AL84" s="6" t="n">
        <v>0</v>
      </c>
      <c r="AM84" s="3" t="n">
        <v>0</v>
      </c>
      <c r="AN84" s="3" t="n">
        <v>0.2124</v>
      </c>
      <c r="AO84" s="3" t="n">
        <v>0.3635280000000001</v>
      </c>
      <c r="AP84" s="3">
        <f>N(X84)*N(BI84)</f>
        <v/>
      </c>
      <c r="AQ84" s="3" t="n">
        <v>0.2089</v>
      </c>
      <c r="AR84" s="3" t="n">
        <v>0</v>
      </c>
      <c r="AS84" s="3" t="n">
        <v>-0.4453012382517575</v>
      </c>
      <c r="AT84" s="3" t="n">
        <v>-0.2867403568316323</v>
      </c>
      <c r="AU84" s="3">
        <f>SUM(AN84:AT84)</f>
        <v/>
      </c>
      <c r="AV84" s="7">
        <f>IF(OR(N(W84)&lt;=0,N(BG84)=0),0,N(W84)*IF(N(R84)/N(W84)&gt;=60,N(BG84),1))</f>
        <v/>
      </c>
      <c r="AW84" s="7">
        <f>N(W84)*N(AF84)*N(BH84)</f>
        <v/>
      </c>
      <c r="AX84" s="7">
        <f>N(AL84)*(Assumptions!$B$13*N(BJ84)-(1-Assumptions!$B$13)*Assumptions!$B$14)+N(AM84)</f>
        <v/>
      </c>
      <c r="AY84" s="7">
        <f>N(AU84)*N(R84)/90+N(AV84)+N(AW84)+N(AX84)</f>
        <v/>
      </c>
      <c r="AZ84" s="3">
        <f>IF(N(R84)&lt;=0,0,(N(AY84)-N(AX84))*90/N(R84))</f>
        <v/>
      </c>
      <c r="BA84" s="7">
        <f>IFERROR(AY84-VLOOKUP($E84,Assumptions!$A$40:$C$43,3,FALSE),"")</f>
        <v/>
      </c>
      <c r="BB84" s="3">
        <f>IFERROR(BA84/H84,"")</f>
        <v/>
      </c>
      <c r="BC84">
        <f>IF(AND($G84=TRUE,$E84="GKP"),AY84,"")</f>
        <v/>
      </c>
      <c r="BD84">
        <f>IF(AND($G84=TRUE,$E84="DEF"),AY84,"")</f>
        <v/>
      </c>
      <c r="BE84">
        <f>IF(AND($G84=TRUE,$E84="MID"),AY84,"")</f>
        <v/>
      </c>
      <c r="BF84">
        <f>IF(AND($G84=TRUE,$E84="FWD"),AY84,"")</f>
        <v/>
      </c>
      <c r="BG84" t="n">
        <v>2</v>
      </c>
      <c r="BH84" t="n">
        <v>2</v>
      </c>
      <c r="BI84" t="n">
        <v>4</v>
      </c>
      <c r="BJ84" t="n">
        <v>6</v>
      </c>
    </row>
    <row r="85">
      <c r="A85" t="inlineStr">
        <is>
          <t>Dan Ballard</t>
        </is>
      </c>
      <c r="B85" t="inlineStr">
        <is>
          <t>SUN</t>
        </is>
      </c>
      <c r="C85" t="inlineStr">
        <is>
          <t>SUN</t>
        </is>
      </c>
      <c r="D85" t="b">
        <v>0</v>
      </c>
      <c r="E85" t="inlineStr">
        <is>
          <t>DEF</t>
        </is>
      </c>
      <c r="F85" t="inlineStr">
        <is>
          <t>DEF</t>
        </is>
      </c>
      <c r="G85" t="b">
        <v>1</v>
      </c>
      <c r="H85" s="2" t="n">
        <v>5</v>
      </c>
      <c r="I85" t="inlineStr">
        <is>
          <t>a</t>
        </is>
      </c>
      <c r="K85" s="2" t="n">
        <v>2144</v>
      </c>
      <c r="L85" t="n">
        <v>116</v>
      </c>
      <c r="M85" s="3" t="n">
        <v>2867</v>
      </c>
      <c r="N85" s="4" t="n">
        <v>2500</v>
      </c>
      <c r="O85" s="4" t="n">
        <v>-367</v>
      </c>
      <c r="P85" s="5" t="inlineStr">
        <is>
          <t>medium</t>
        </is>
      </c>
      <c r="Q85" t="inlineStr">
        <is>
          <t>flat</t>
        </is>
      </c>
      <c r="R85" s="6" t="n">
        <v>2500</v>
      </c>
      <c r="S85" t="inlineStr">
        <is>
          <t>research</t>
        </is>
      </c>
      <c r="T85" s="5" t="inlineStr">
        <is>
          <t>A smaller trim from the same back-four correction. Ballard is the most secure centre-back — he started both August friendlies and is 'poised to start' the opener — but he managed only 2,144 Premier League minutes last season and now faces the same five-into-two competition plus eight guaranteed Europa League fixtures. Reduced least of the centre-backs precisely because his claim is the strongest.</t>
        </is>
      </c>
      <c r="U85" s="6" t="n">
        <v>85</v>
      </c>
      <c r="V85" s="2" t="n">
        <v>23</v>
      </c>
      <c r="W85" s="7">
        <f>IF(N(U85)&lt;=0,0,MIN(Assumptions!$B$15,N(R85)/N(U85)))</f>
        <v/>
      </c>
      <c r="X85" s="6" t="n">
        <v>0.204</v>
      </c>
      <c r="Y85" s="3" t="n">
        <v>0.1017</v>
      </c>
      <c r="Z85" t="inlineStr">
        <is>
          <t>adjusted xGOT</t>
        </is>
      </c>
      <c r="AA85" s="3" t="n">
        <v>1</v>
      </c>
      <c r="AB85" s="3" t="n">
        <v>0.985</v>
      </c>
      <c r="AC85" s="3" t="n">
        <v>2.5</v>
      </c>
      <c r="AD85" s="3" t="n">
        <v>0.0464</v>
      </c>
      <c r="AE85" s="3" t="n">
        <v>10.228</v>
      </c>
      <c r="AF85" s="3" t="n">
        <v>0.4988497195487406</v>
      </c>
      <c r="AG85" s="3" t="n">
        <v>0.3358</v>
      </c>
      <c r="AH85" s="3" t="n">
        <v>51</v>
      </c>
      <c r="AI85" s="3" t="n">
        <v>3.3348</v>
      </c>
      <c r="AJ85" s="3" t="n">
        <v>1.6498</v>
      </c>
      <c r="AK85" s="3" t="n">
        <v>-0.1953022783528675</v>
      </c>
      <c r="AL85" s="6" t="n">
        <v>0</v>
      </c>
      <c r="AM85" s="3" t="n">
        <v>0</v>
      </c>
      <c r="AN85" s="3" t="n">
        <v>0.6102</v>
      </c>
      <c r="AO85" s="3" t="n">
        <v>0.183744</v>
      </c>
      <c r="AP85" s="3">
        <f>N(X85)*N(BI85)</f>
        <v/>
      </c>
      <c r="AQ85" s="3" t="n">
        <v>0.3358</v>
      </c>
      <c r="AR85" s="3" t="n">
        <v>0</v>
      </c>
      <c r="AS85" s="3" t="n">
        <v>-0.5841244809045405</v>
      </c>
      <c r="AT85" s="3" t="n">
        <v>-0.1953022783528675</v>
      </c>
      <c r="AU85" s="3">
        <f>SUM(AN85:AT85)</f>
        <v/>
      </c>
      <c r="AV85" s="7">
        <f>IF(OR(N(W85)&lt;=0,N(BG85)=0),0,N(W85)*IF(N(R85)/N(W85)&gt;=60,N(BG85),1))</f>
        <v/>
      </c>
      <c r="AW85" s="7">
        <f>N(W85)*N(AF85)*N(BH85)</f>
        <v/>
      </c>
      <c r="AX85" s="7">
        <f>N(AL85)*(Assumptions!$B$13*N(BJ85)-(1-Assumptions!$B$13)*Assumptions!$B$14)+N(AM85)</f>
        <v/>
      </c>
      <c r="AY85" s="7">
        <f>N(AU85)*N(R85)/90+N(AV85)+N(AW85)+N(AX85)</f>
        <v/>
      </c>
      <c r="AZ85" s="3">
        <f>IF(N(R85)&lt;=0,0,(N(AY85)-N(AX85))*90/N(R85))</f>
        <v/>
      </c>
      <c r="BA85" s="7">
        <f>IFERROR(AY85-VLOOKUP($E85,Assumptions!$A$40:$C$43,3,FALSE),"")</f>
        <v/>
      </c>
      <c r="BB85" s="3">
        <f>IFERROR(BA85/H85,"")</f>
        <v/>
      </c>
      <c r="BC85">
        <f>IF(AND($G85=TRUE,$E85="GKP"),AY85,"")</f>
        <v/>
      </c>
      <c r="BD85">
        <f>IF(AND($G85=TRUE,$E85="DEF"),AY85,"")</f>
        <v/>
      </c>
      <c r="BE85">
        <f>IF(AND($G85=TRUE,$E85="MID"),AY85,"")</f>
        <v/>
      </c>
      <c r="BF85">
        <f>IF(AND($G85=TRUE,$E85="FWD"),AY85,"")</f>
        <v/>
      </c>
      <c r="BG85" t="n">
        <v>2</v>
      </c>
      <c r="BH85" t="n">
        <v>2</v>
      </c>
      <c r="BI85" t="n">
        <v>4</v>
      </c>
      <c r="BJ85" t="n">
        <v>6</v>
      </c>
    </row>
    <row r="86">
      <c r="A86" t="inlineStr">
        <is>
          <t>Jake O'Brien</t>
        </is>
      </c>
      <c r="B86" t="inlineStr">
        <is>
          <t>EVE</t>
        </is>
      </c>
      <c r="C86" t="inlineStr">
        <is>
          <t>EVE</t>
        </is>
      </c>
      <c r="D86" t="b">
        <v>0</v>
      </c>
      <c r="E86" t="inlineStr">
        <is>
          <t>DEF</t>
        </is>
      </c>
      <c r="F86" t="inlineStr">
        <is>
          <t>DEF</t>
        </is>
      </c>
      <c r="G86" t="b">
        <v>1</v>
      </c>
      <c r="H86" s="2" t="n">
        <v>5</v>
      </c>
      <c r="I86" t="inlineStr">
        <is>
          <t>a</t>
        </is>
      </c>
      <c r="K86" s="2" t="n">
        <v>3118</v>
      </c>
      <c r="L86" t="n">
        <v>116</v>
      </c>
      <c r="M86" s="3" t="n">
        <v>3164</v>
      </c>
      <c r="N86" s="8" t="n">
        <v>3164</v>
      </c>
      <c r="O86" s="8" t="n">
        <v>0</v>
      </c>
      <c r="Q86" t="inlineStr">
        <is>
          <t>flat</t>
        </is>
      </c>
      <c r="R86" s="6" t="n">
        <v>3164</v>
      </c>
      <c r="S86" t="inlineStr">
        <is>
          <t>Solio</t>
        </is>
      </c>
      <c r="U86" s="6" t="n">
        <v>86.90000000000001</v>
      </c>
      <c r="V86" s="2" t="n">
        <v>34</v>
      </c>
      <c r="W86" s="7">
        <f>IF(N(U86)&lt;=0,0,MIN(Assumptions!$B$15,N(R86)/N(U86)))</f>
        <v/>
      </c>
      <c r="X86" s="6" t="n">
        <v>0.231</v>
      </c>
      <c r="Y86" s="3" t="n">
        <v>0.0554</v>
      </c>
      <c r="Z86" t="inlineStr">
        <is>
          <t>adjusted xGOT</t>
        </is>
      </c>
      <c r="AA86" s="3" t="n">
        <v>1</v>
      </c>
      <c r="AB86" s="3" t="n">
        <v>1.149</v>
      </c>
      <c r="AC86" s="3" t="n">
        <v>2.4</v>
      </c>
      <c r="AD86" s="3" t="n">
        <v>0.0249</v>
      </c>
      <c r="AE86" s="3" t="n">
        <v>6.859</v>
      </c>
      <c r="AF86" s="3" t="n">
        <v>0.1333956794188871</v>
      </c>
      <c r="AG86" s="3" t="n">
        <v>0.1155</v>
      </c>
      <c r="AH86" s="3" t="n">
        <v>73</v>
      </c>
      <c r="AI86" s="3" t="n">
        <v>3.0311</v>
      </c>
      <c r="AJ86" s="3" t="n">
        <v>1.5252</v>
      </c>
      <c r="AK86" s="3" t="n">
        <v>-0.2165118397552843</v>
      </c>
      <c r="AL86" s="6" t="n">
        <v>0</v>
      </c>
      <c r="AM86" s="3" t="n">
        <v>0</v>
      </c>
      <c r="AN86" s="3" t="n">
        <v>0.3324</v>
      </c>
      <c r="AO86" s="3" t="n">
        <v>0.09860399999999998</v>
      </c>
      <c r="AP86" s="3">
        <f>N(X86)*N(BI86)</f>
        <v/>
      </c>
      <c r="AQ86" s="3" t="n">
        <v>0.1155</v>
      </c>
      <c r="AR86" s="3" t="n">
        <v>0</v>
      </c>
      <c r="AS86" s="3" t="n">
        <v>-0.524434996152324</v>
      </c>
      <c r="AT86" s="3" t="n">
        <v>-0.2165118397552843</v>
      </c>
      <c r="AU86" s="3">
        <f>SUM(AN86:AT86)</f>
        <v/>
      </c>
      <c r="AV86" s="7">
        <f>IF(OR(N(W86)&lt;=0,N(BG86)=0),0,N(W86)*IF(N(R86)/N(W86)&gt;=60,N(BG86),1))</f>
        <v/>
      </c>
      <c r="AW86" s="7">
        <f>N(W86)*N(AF86)*N(BH86)</f>
        <v/>
      </c>
      <c r="AX86" s="7">
        <f>N(AL86)*(Assumptions!$B$13*N(BJ86)-(1-Assumptions!$B$13)*Assumptions!$B$14)+N(AM86)</f>
        <v/>
      </c>
      <c r="AY86" s="7">
        <f>N(AU86)*N(R86)/90+N(AV86)+N(AW86)+N(AX86)</f>
        <v/>
      </c>
      <c r="AZ86" s="3">
        <f>IF(N(R86)&lt;=0,0,(N(AY86)-N(AX86))*90/N(R86))</f>
        <v/>
      </c>
      <c r="BA86" s="7">
        <f>IFERROR(AY86-VLOOKUP($E86,Assumptions!$A$40:$C$43,3,FALSE),"")</f>
        <v/>
      </c>
      <c r="BB86" s="3">
        <f>IFERROR(BA86/H86,"")</f>
        <v/>
      </c>
      <c r="BC86">
        <f>IF(AND($G86=TRUE,$E86="GKP"),AY86,"")</f>
        <v/>
      </c>
      <c r="BD86">
        <f>IF(AND($G86=TRUE,$E86="DEF"),AY86,"")</f>
        <v/>
      </c>
      <c r="BE86">
        <f>IF(AND($G86=TRUE,$E86="MID"),AY86,"")</f>
        <v/>
      </c>
      <c r="BF86">
        <f>IF(AND($G86=TRUE,$E86="FWD"),AY86,"")</f>
        <v/>
      </c>
      <c r="BG86" t="n">
        <v>2</v>
      </c>
      <c r="BH86" t="n">
        <v>2</v>
      </c>
      <c r="BI86" t="n">
        <v>4</v>
      </c>
      <c r="BJ86" t="n">
        <v>6</v>
      </c>
    </row>
    <row r="87">
      <c r="A87" t="inlineStr">
        <is>
          <t>Micky van de Ven</t>
        </is>
      </c>
      <c r="B87" t="inlineStr">
        <is>
          <t>TOT</t>
        </is>
      </c>
      <c r="C87" t="inlineStr">
        <is>
          <t>TOT</t>
        </is>
      </c>
      <c r="D87" t="b">
        <v>0</v>
      </c>
      <c r="E87" t="inlineStr">
        <is>
          <t>DEF</t>
        </is>
      </c>
      <c r="F87" t="inlineStr">
        <is>
          <t>DEF</t>
        </is>
      </c>
      <c r="G87" t="b">
        <v>1</v>
      </c>
      <c r="H87" s="2" t="n">
        <v>5</v>
      </c>
      <c r="I87" t="inlineStr">
        <is>
          <t>a</t>
        </is>
      </c>
      <c r="K87" s="2" t="n">
        <v>3041</v>
      </c>
      <c r="L87" t="n">
        <v>116</v>
      </c>
      <c r="M87" s="3" t="n">
        <v>3089</v>
      </c>
      <c r="N87" s="4" t="n">
        <v>2700</v>
      </c>
      <c r="O87" s="4" t="n">
        <v>-389</v>
      </c>
      <c r="P87" s="5" t="inlineStr">
        <is>
          <t>medium</t>
        </is>
      </c>
      <c r="Q87" t="inlineStr">
        <is>
          <t>flat</t>
        </is>
      </c>
      <c r="R87" s="6" t="n">
        <v>2700</v>
      </c>
      <c r="S87" t="inlineStr">
        <is>
          <t>research</t>
        </is>
      </c>
      <c r="T87" s="5" t="inlineStr">
        <is>
          <t>Van de Ven has not played a single pre-season minute and was in normal clothes at the training session Gold attended on 13 August; De Zerbi said he was 'not yet ready to play without risk' and van Hecke is expected to start opening day. Reported as load management rather than a diagnosed injury, so this is a modest haircut for a delayed start plus his hamstring history, not a demotion - he remains a first-choice centre-back.</t>
        </is>
      </c>
      <c r="U87" s="6" t="n">
        <v>87.7</v>
      </c>
      <c r="V87" s="2" t="n">
        <v>34</v>
      </c>
      <c r="W87" s="7">
        <f>IF(N(U87)&lt;=0,0,MIN(Assumptions!$B$15,N(R87)/N(U87)))</f>
        <v/>
      </c>
      <c r="X87" s="6" t="n">
        <v>0.286</v>
      </c>
      <c r="Y87" s="3" t="n">
        <v>0.09760000000000001</v>
      </c>
      <c r="Z87" t="inlineStr">
        <is>
          <t>adjusted xGOT</t>
        </is>
      </c>
      <c r="AA87" s="3" t="n">
        <v>1</v>
      </c>
      <c r="AB87" s="3" t="n">
        <v>1.17</v>
      </c>
      <c r="AC87" s="3" t="n">
        <v>4</v>
      </c>
      <c r="AD87" s="3" t="n">
        <v>0.0206</v>
      </c>
      <c r="AE87" s="3" t="n">
        <v>6.544</v>
      </c>
      <c r="AF87" s="3" t="n">
        <v>0.1122932399115759</v>
      </c>
      <c r="AG87" s="3" t="n">
        <v>0.2664</v>
      </c>
      <c r="AH87" s="3" t="n">
        <v>68</v>
      </c>
      <c r="AI87" s="3" t="n">
        <v>2.5739</v>
      </c>
      <c r="AJ87" s="3" t="n">
        <v>1.3096</v>
      </c>
      <c r="AK87" s="3" t="n">
        <v>-0.2651477319551837</v>
      </c>
      <c r="AL87" s="6" t="n">
        <v>0</v>
      </c>
      <c r="AM87" s="3" t="n">
        <v>0</v>
      </c>
      <c r="AN87" s="3" t="n">
        <v>0.5856</v>
      </c>
      <c r="AO87" s="3" t="n">
        <v>0.08157600000000001</v>
      </c>
      <c r="AP87" s="3">
        <f>N(X87)*N(BI87)</f>
        <v/>
      </c>
      <c r="AQ87" s="3" t="n">
        <v>0.2664</v>
      </c>
      <c r="AR87" s="3" t="n">
        <v>0</v>
      </c>
      <c r="AS87" s="3" t="n">
        <v>-0.4230152821052008</v>
      </c>
      <c r="AT87" s="3" t="n">
        <v>-0.2651477319551837</v>
      </c>
      <c r="AU87" s="3">
        <f>SUM(AN87:AT87)</f>
        <v/>
      </c>
      <c r="AV87" s="7">
        <f>IF(OR(N(W87)&lt;=0,N(BG87)=0),0,N(W87)*IF(N(R87)/N(W87)&gt;=60,N(BG87),1))</f>
        <v/>
      </c>
      <c r="AW87" s="7">
        <f>N(W87)*N(AF87)*N(BH87)</f>
        <v/>
      </c>
      <c r="AX87" s="7">
        <f>N(AL87)*(Assumptions!$B$13*N(BJ87)-(1-Assumptions!$B$13)*Assumptions!$B$14)+N(AM87)</f>
        <v/>
      </c>
      <c r="AY87" s="7">
        <f>N(AU87)*N(R87)/90+N(AV87)+N(AW87)+N(AX87)</f>
        <v/>
      </c>
      <c r="AZ87" s="3">
        <f>IF(N(R87)&lt;=0,0,(N(AY87)-N(AX87))*90/N(R87))</f>
        <v/>
      </c>
      <c r="BA87" s="7">
        <f>IFERROR(AY87-VLOOKUP($E87,Assumptions!$A$40:$C$43,3,FALSE),"")</f>
        <v/>
      </c>
      <c r="BB87" s="3">
        <f>IFERROR(BA87/H87,"")</f>
        <v/>
      </c>
      <c r="BC87">
        <f>IF(AND($G87=TRUE,$E87="GKP"),AY87,"")</f>
        <v/>
      </c>
      <c r="BD87">
        <f>IF(AND($G87=TRUE,$E87="DEF"),AY87,"")</f>
        <v/>
      </c>
      <c r="BE87">
        <f>IF(AND($G87=TRUE,$E87="MID"),AY87,"")</f>
        <v/>
      </c>
      <c r="BF87">
        <f>IF(AND($G87=TRUE,$E87="FWD"),AY87,"")</f>
        <v/>
      </c>
      <c r="BG87" t="n">
        <v>2</v>
      </c>
      <c r="BH87" t="n">
        <v>2</v>
      </c>
      <c r="BI87" t="n">
        <v>4</v>
      </c>
      <c r="BJ87" t="n">
        <v>6</v>
      </c>
    </row>
    <row r="88">
      <c r="A88" t="inlineStr">
        <is>
          <t>Reece James</t>
        </is>
      </c>
      <c r="B88" t="inlineStr">
        <is>
          <t>CHE</t>
        </is>
      </c>
      <c r="C88" t="inlineStr">
        <is>
          <t>CHE</t>
        </is>
      </c>
      <c r="D88" t="b">
        <v>0</v>
      </c>
      <c r="E88" t="inlineStr">
        <is>
          <t>DEF</t>
        </is>
      </c>
      <c r="F88" t="inlineStr">
        <is>
          <t>DEF</t>
        </is>
      </c>
      <c r="G88" t="b">
        <v>1</v>
      </c>
      <c r="H88" s="2" t="n">
        <v>5.5</v>
      </c>
      <c r="I88" t="inlineStr">
        <is>
          <t>a</t>
        </is>
      </c>
      <c r="K88" s="2" t="n">
        <v>1957</v>
      </c>
      <c r="L88" t="n">
        <v>115</v>
      </c>
      <c r="M88" s="3" t="n">
        <v>2400</v>
      </c>
      <c r="N88" s="8" t="n">
        <v>2400</v>
      </c>
      <c r="O88" s="8" t="n">
        <v>0</v>
      </c>
      <c r="Q88" t="inlineStr">
        <is>
          <t>flat</t>
        </is>
      </c>
      <c r="R88" s="6" t="n">
        <v>2400</v>
      </c>
      <c r="S88" t="inlineStr">
        <is>
          <t>Solio</t>
        </is>
      </c>
      <c r="U88" s="6" t="n">
        <v>86</v>
      </c>
      <c r="V88" s="2" t="n">
        <v>20</v>
      </c>
      <c r="W88" s="7">
        <f>IF(N(U88)&lt;=0,0,MIN(Assumptions!$B$15,N(R88)/N(U88)))</f>
        <v/>
      </c>
      <c r="X88" s="6" t="n">
        <v>0.322</v>
      </c>
      <c r="Y88" s="3" t="n">
        <v>0.0538</v>
      </c>
      <c r="Z88" t="inlineStr">
        <is>
          <t>adjusted xGOT</t>
        </is>
      </c>
      <c r="AA88" s="3" t="n">
        <v>1</v>
      </c>
      <c r="AB88" s="3" t="n">
        <v>1.124</v>
      </c>
      <c r="AC88" s="3" t="n">
        <v>2.8</v>
      </c>
      <c r="AD88" s="3" t="n">
        <v>0.1654</v>
      </c>
      <c r="AE88" s="3" t="n">
        <v>6.37</v>
      </c>
      <c r="AF88" s="3" t="n">
        <v>0.0900352166997177</v>
      </c>
      <c r="AG88" s="3" t="n">
        <v>0.5518999999999999</v>
      </c>
      <c r="AH88" s="3" t="n">
        <v>48</v>
      </c>
      <c r="AI88" s="3" t="n">
        <v>2.4232</v>
      </c>
      <c r="AJ88" s="3" t="n">
        <v>1.1851</v>
      </c>
      <c r="AK88" s="3" t="n">
        <v>-0.182716576620074</v>
      </c>
      <c r="AL88" s="6" t="n">
        <v>0</v>
      </c>
      <c r="AM88" s="3" t="n">
        <v>0</v>
      </c>
      <c r="AN88" s="3" t="n">
        <v>0.3228</v>
      </c>
      <c r="AO88" s="3" t="n">
        <v>0.654984</v>
      </c>
      <c r="AP88" s="3">
        <f>N(X88)*N(BI88)</f>
        <v/>
      </c>
      <c r="AQ88" s="3" t="n">
        <v>0.5518999999999999</v>
      </c>
      <c r="AR88" s="3" t="n">
        <v>0</v>
      </c>
      <c r="AS88" s="3" t="n">
        <v>-0.365915508000572</v>
      </c>
      <c r="AT88" s="3" t="n">
        <v>-0.182716576620074</v>
      </c>
      <c r="AU88" s="3">
        <f>SUM(AN88:AT88)</f>
        <v/>
      </c>
      <c r="AV88" s="7">
        <f>IF(OR(N(W88)&lt;=0,N(BG88)=0),0,N(W88)*IF(N(R88)/N(W88)&gt;=60,N(BG88),1))</f>
        <v/>
      </c>
      <c r="AW88" s="7">
        <f>N(W88)*N(AF88)*N(BH88)</f>
        <v/>
      </c>
      <c r="AX88" s="7">
        <f>N(AL88)*(Assumptions!$B$13*N(BJ88)-(1-Assumptions!$B$13)*Assumptions!$B$14)+N(AM88)</f>
        <v/>
      </c>
      <c r="AY88" s="7">
        <f>N(AU88)*N(R88)/90+N(AV88)+N(AW88)+N(AX88)</f>
        <v/>
      </c>
      <c r="AZ88" s="3">
        <f>IF(N(R88)&lt;=0,0,(N(AY88)-N(AX88))*90/N(R88))</f>
        <v/>
      </c>
      <c r="BA88" s="7">
        <f>IFERROR(AY88-VLOOKUP($E88,Assumptions!$A$40:$C$43,3,FALSE),"")</f>
        <v/>
      </c>
      <c r="BB88" s="3">
        <f>IFERROR(BA88/H88,"")</f>
        <v/>
      </c>
      <c r="BC88">
        <f>IF(AND($G88=TRUE,$E88="GKP"),AY88,"")</f>
        <v/>
      </c>
      <c r="BD88">
        <f>IF(AND($G88=TRUE,$E88="DEF"),AY88,"")</f>
        <v/>
      </c>
      <c r="BE88">
        <f>IF(AND($G88=TRUE,$E88="MID"),AY88,"")</f>
        <v/>
      </c>
      <c r="BF88">
        <f>IF(AND($G88=TRUE,$E88="FWD"),AY88,"")</f>
        <v/>
      </c>
      <c r="BG88" t="n">
        <v>2</v>
      </c>
      <c r="BH88" t="n">
        <v>2</v>
      </c>
      <c r="BI88" t="n">
        <v>4</v>
      </c>
      <c r="BJ88" t="n">
        <v>6</v>
      </c>
    </row>
    <row r="89">
      <c r="A89" t="inlineStr">
        <is>
          <t>Evanilson</t>
        </is>
      </c>
      <c r="B89" t="inlineStr">
        <is>
          <t>BOU</t>
        </is>
      </c>
      <c r="C89" t="inlineStr">
        <is>
          <t>BOU</t>
        </is>
      </c>
      <c r="D89" t="b">
        <v>0</v>
      </c>
      <c r="E89" t="inlineStr">
        <is>
          <t>FWD</t>
        </is>
      </c>
      <c r="F89" t="inlineStr">
        <is>
          <t>FWD</t>
        </is>
      </c>
      <c r="G89" t="b">
        <v>1</v>
      </c>
      <c r="H89" s="2" t="n">
        <v>6</v>
      </c>
      <c r="I89" t="inlineStr">
        <is>
          <t>a</t>
        </is>
      </c>
      <c r="K89" s="2" t="n">
        <v>2741</v>
      </c>
      <c r="L89" t="n">
        <v>115</v>
      </c>
      <c r="M89" s="3" t="n">
        <v>2662</v>
      </c>
      <c r="N89" s="4" t="n">
        <v>2350</v>
      </c>
      <c r="O89" s="4" t="n">
        <v>-312</v>
      </c>
      <c r="P89" s="5" t="inlineStr">
        <is>
          <t>low</t>
        </is>
      </c>
      <c r="Q89" t="inlineStr">
        <is>
          <t>flat</t>
        </is>
      </c>
      <c r="R89" s="6" t="n">
        <v>2350</v>
      </c>
      <c r="S89" t="inlineStr">
        <is>
          <t>research</t>
        </is>
      </c>
      <c r="T89" s="5" t="inlineStr">
        <is>
          <t>Still the clear starting striker - he led the line in both friendlies. Trimmed because his competition has genuinely improved since Solio's data: Alvaro Rodriguez arrived for c.GBP 25.7m specifically as striker competition, and Bournemouth have around eight extra Europa League fixtures to spread across the same squad, which is the classic route to a starting forward losing a few hundred league minutes.</t>
        </is>
      </c>
      <c r="U89" s="6" t="n">
        <v>80.59999999999999</v>
      </c>
      <c r="V89" s="2" t="n">
        <v>32</v>
      </c>
      <c r="W89" s="7">
        <f>IF(N(U89)&lt;=0,0,MIN(Assumptions!$B$15,N(R89)/N(U89)))</f>
        <v/>
      </c>
      <c r="X89" s="6" t="n">
        <v>0.23</v>
      </c>
      <c r="Y89" s="3" t="n">
        <v>0.2942</v>
      </c>
      <c r="Z89" t="inlineStr">
        <is>
          <t>adjusted xGOT</t>
        </is>
      </c>
      <c r="AA89" s="3" t="n">
        <v>1</v>
      </c>
      <c r="AB89" s="3" t="n">
        <v>0.842</v>
      </c>
      <c r="AC89" s="3" t="n">
        <v>23.1</v>
      </c>
      <c r="AD89" s="3" t="n">
        <v>0.0747</v>
      </c>
      <c r="AE89" s="3" t="n">
        <v>4.508</v>
      </c>
      <c r="AF89" s="3" t="n">
        <v>0.0009891188116711858</v>
      </c>
      <c r="AG89" s="3" t="n">
        <v>0.197</v>
      </c>
      <c r="AH89" s="3" t="n">
        <v>66</v>
      </c>
      <c r="AI89" s="3" t="n">
        <v>3.0957</v>
      </c>
      <c r="AJ89" s="3" t="n">
        <v>1.53</v>
      </c>
      <c r="AK89" s="3" t="n">
        <v>-0.0957757161144514</v>
      </c>
      <c r="AL89" s="6" t="n">
        <v>0</v>
      </c>
      <c r="AM89" s="3" t="n">
        <v>0</v>
      </c>
      <c r="AN89" s="3" t="n">
        <v>1.1768</v>
      </c>
      <c r="AO89" s="3" t="n">
        <v>0.295812</v>
      </c>
      <c r="AP89" s="3">
        <f>N(X89)*N(BI89)</f>
        <v/>
      </c>
      <c r="AQ89" s="3" t="n">
        <v>0.197</v>
      </c>
      <c r="AR89" s="3" t="n">
        <v>0</v>
      </c>
      <c r="AS89" s="3" t="n">
        <v>-0</v>
      </c>
      <c r="AT89" s="3" t="n">
        <v>-0.0957757161144514</v>
      </c>
      <c r="AU89" s="3">
        <f>SUM(AN89:AT89)</f>
        <v/>
      </c>
      <c r="AV89" s="7">
        <f>IF(OR(N(W89)&lt;=0,N(BG89)=0),0,N(W89)*IF(N(R89)/N(W89)&gt;=60,N(BG89),1))</f>
        <v/>
      </c>
      <c r="AW89" s="7">
        <f>N(W89)*N(AF89)*N(BH89)</f>
        <v/>
      </c>
      <c r="AX89" s="7">
        <f>N(AL89)*(Assumptions!$B$13*N(BJ89)-(1-Assumptions!$B$13)*Assumptions!$B$14)+N(AM89)</f>
        <v/>
      </c>
      <c r="AY89" s="7">
        <f>N(AU89)*N(R89)/90+N(AV89)+N(AW89)+N(AX89)</f>
        <v/>
      </c>
      <c r="AZ89" s="3">
        <f>IF(N(R89)&lt;=0,0,(N(AY89)-N(AX89))*90/N(R89))</f>
        <v/>
      </c>
      <c r="BA89" s="7">
        <f>IFERROR(AY89-VLOOKUP($E89,Assumptions!$A$40:$C$43,3,FALSE),"")</f>
        <v/>
      </c>
      <c r="BB89" s="3">
        <f>IFERROR(BA89/H89,"")</f>
        <v/>
      </c>
      <c r="BC89">
        <f>IF(AND($G89=TRUE,$E89="GKP"),AY89,"")</f>
        <v/>
      </c>
      <c r="BD89">
        <f>IF(AND($G89=TRUE,$E89="DEF"),AY89,"")</f>
        <v/>
      </c>
      <c r="BE89">
        <f>IF(AND($G89=TRUE,$E89="MID"),AY89,"")</f>
        <v/>
      </c>
      <c r="BF89">
        <f>IF(AND($G89=TRUE,$E89="FWD"),AY89,"")</f>
        <v/>
      </c>
      <c r="BG89" t="n">
        <v>2</v>
      </c>
      <c r="BH89" t="n">
        <v>2</v>
      </c>
      <c r="BI89" t="n">
        <v>0</v>
      </c>
      <c r="BJ89" t="n">
        <v>4</v>
      </c>
    </row>
    <row r="90">
      <c r="A90" t="inlineStr">
        <is>
          <t>Keane Lewis-Potter</t>
        </is>
      </c>
      <c r="B90" t="inlineStr">
        <is>
          <t>BRE</t>
        </is>
      </c>
      <c r="C90" t="inlineStr">
        <is>
          <t>BRE</t>
        </is>
      </c>
      <c r="D90" t="b">
        <v>0</v>
      </c>
      <c r="E90" t="inlineStr">
        <is>
          <t>MID</t>
        </is>
      </c>
      <c r="F90" t="inlineStr">
        <is>
          <t>DEF</t>
        </is>
      </c>
      <c r="G90" t="b">
        <v>1</v>
      </c>
      <c r="H90" s="2" t="n">
        <v>5.5</v>
      </c>
      <c r="I90" t="inlineStr">
        <is>
          <t>a</t>
        </is>
      </c>
      <c r="K90" s="2" t="n">
        <v>1960</v>
      </c>
      <c r="L90" t="n">
        <v>115</v>
      </c>
      <c r="M90" s="3" t="n">
        <v>1659</v>
      </c>
      <c r="N90" s="4" t="n">
        <v>2150</v>
      </c>
      <c r="O90" s="4" t="n">
        <v>491</v>
      </c>
      <c r="P90" s="5" t="inlineStr">
        <is>
          <t>medium</t>
        </is>
      </c>
      <c r="Q90" t="inlineStr">
        <is>
          <t>flat</t>
        </is>
      </c>
      <c r="R90" s="6" t="n">
        <v>2150</v>
      </c>
      <c r="S90" t="inlineStr">
        <is>
          <t>research</t>
        </is>
      </c>
      <c r="T90" s="5" t="inlineStr">
        <is>
          <t>Started at left-back in both August friendlies - against Rennes on 8 Aug in a back four of Hickey, Collins, Pinnock, Lewis-Potter, and against Frankfurt on 15 Aug behind Kayode, Ajer, Collins - and scored in both the Wycombe and Frankfurt matches. Solio's 1659 treats him as a rotation forward; the evidence has him as the incumbent left-back. Held below a fully nailed number because van den Berg previously covered both full-back berths, so the role may revert in October.</t>
        </is>
      </c>
      <c r="U90" s="6" t="n">
        <v>82.2</v>
      </c>
      <c r="V90" s="2" t="n">
        <v>22</v>
      </c>
      <c r="W90" s="7">
        <f>IF(N(U90)&lt;=0,0,MIN(Assumptions!$B$15,N(R90)/N(U90)))</f>
        <v/>
      </c>
      <c r="X90" s="6" t="n">
        <v>0.228</v>
      </c>
      <c r="Y90" s="3" t="n">
        <v>0.1357</v>
      </c>
      <c r="Z90" t="inlineStr">
        <is>
          <t>adjusted xGOT</t>
        </is>
      </c>
      <c r="AA90" s="3" t="n">
        <v>1</v>
      </c>
      <c r="AB90" s="3" t="n">
        <v>0.982</v>
      </c>
      <c r="AC90" s="3" t="n">
        <v>12.9</v>
      </c>
      <c r="AD90" s="3" t="n">
        <v>0.1199</v>
      </c>
      <c r="AE90" s="3" t="n">
        <v>4.55</v>
      </c>
      <c r="AF90" s="3" t="n">
        <v>0.001258594115861822</v>
      </c>
      <c r="AG90" s="3" t="n">
        <v>0.2755</v>
      </c>
      <c r="AH90" s="3" t="n">
        <v>57</v>
      </c>
      <c r="AI90" s="3" t="n">
        <v>3.2371</v>
      </c>
      <c r="AJ90" s="3" t="n">
        <v>1.5396</v>
      </c>
      <c r="AK90" s="3" t="n">
        <v>-0.146242800454487</v>
      </c>
      <c r="AL90" s="6" t="n">
        <v>0</v>
      </c>
      <c r="AM90" s="3" t="n">
        <v>0</v>
      </c>
      <c r="AN90" s="3" t="n">
        <v>0.6784999999999999</v>
      </c>
      <c r="AO90" s="3" t="n">
        <v>0.4748040000000001</v>
      </c>
      <c r="AP90" s="3">
        <f>N(X90)*N(BI90)</f>
        <v/>
      </c>
      <c r="AQ90" s="3" t="n">
        <v>0.2755</v>
      </c>
      <c r="AR90" s="3" t="n">
        <v>0</v>
      </c>
      <c r="AS90" s="3" t="n">
        <v>-0</v>
      </c>
      <c r="AT90" s="3" t="n">
        <v>-0.146242800454487</v>
      </c>
      <c r="AU90" s="3">
        <f>SUM(AN90:AT90)</f>
        <v/>
      </c>
      <c r="AV90" s="7">
        <f>IF(OR(N(W90)&lt;=0,N(BG90)=0),0,N(W90)*IF(N(R90)/N(W90)&gt;=60,N(BG90),1))</f>
        <v/>
      </c>
      <c r="AW90" s="7">
        <f>N(W90)*N(AF90)*N(BH90)</f>
        <v/>
      </c>
      <c r="AX90" s="7">
        <f>N(AL90)*(Assumptions!$B$13*N(BJ90)-(1-Assumptions!$B$13)*Assumptions!$B$14)+N(AM90)</f>
        <v/>
      </c>
      <c r="AY90" s="7">
        <f>N(AU90)*N(R90)/90+N(AV90)+N(AW90)+N(AX90)</f>
        <v/>
      </c>
      <c r="AZ90" s="3">
        <f>IF(N(R90)&lt;=0,0,(N(AY90)-N(AX90))*90/N(R90))</f>
        <v/>
      </c>
      <c r="BA90" s="7">
        <f>IFERROR(AY90-VLOOKUP($E90,Assumptions!$A$40:$C$43,3,FALSE),"")</f>
        <v/>
      </c>
      <c r="BB90" s="3">
        <f>IFERROR(BA90/H90,"")</f>
        <v/>
      </c>
      <c r="BC90">
        <f>IF(AND($G90=TRUE,$E90="GKP"),AY90,"")</f>
        <v/>
      </c>
      <c r="BD90">
        <f>IF(AND($G90=TRUE,$E90="DEF"),AY90,"")</f>
        <v/>
      </c>
      <c r="BE90">
        <f>IF(AND($G90=TRUE,$E90="MID"),AY90,"")</f>
        <v/>
      </c>
      <c r="BF90">
        <f>IF(AND($G90=TRUE,$E90="FWD"),AY90,"")</f>
        <v/>
      </c>
      <c r="BG90" t="n">
        <v>2</v>
      </c>
      <c r="BH90" t="n">
        <v>2</v>
      </c>
      <c r="BI90" t="n">
        <v>1</v>
      </c>
      <c r="BJ90" t="n">
        <v>5</v>
      </c>
    </row>
    <row r="91">
      <c r="A91" t="inlineStr">
        <is>
          <t>Cole Palmer</t>
        </is>
      </c>
      <c r="B91" t="inlineStr">
        <is>
          <t>CHE</t>
        </is>
      </c>
      <c r="C91" t="inlineStr">
        <is>
          <t>CHE</t>
        </is>
      </c>
      <c r="D91" t="b">
        <v>0</v>
      </c>
      <c r="E91" t="inlineStr">
        <is>
          <t>MID</t>
        </is>
      </c>
      <c r="F91" t="inlineStr">
        <is>
          <t>MID</t>
        </is>
      </c>
      <c r="G91" t="b">
        <v>1</v>
      </c>
      <c r="H91" s="2" t="n">
        <v>9.5</v>
      </c>
      <c r="I91" t="inlineStr">
        <is>
          <t>a</t>
        </is>
      </c>
      <c r="K91" s="2" t="n">
        <v>1954</v>
      </c>
      <c r="L91" t="n">
        <v>114</v>
      </c>
      <c r="M91" s="3" t="n">
        <v>2884</v>
      </c>
      <c r="N91" s="8" t="n">
        <v>2884</v>
      </c>
      <c r="O91" s="8" t="n">
        <v>0</v>
      </c>
      <c r="Q91" t="inlineStr">
        <is>
          <t>flat</t>
        </is>
      </c>
      <c r="R91" s="6" t="n">
        <v>2884</v>
      </c>
      <c r="S91" t="inlineStr">
        <is>
          <t>Solio</t>
        </is>
      </c>
      <c r="U91" s="6" t="n">
        <v>79.2</v>
      </c>
      <c r="V91" s="2" t="n">
        <v>24</v>
      </c>
      <c r="W91" s="7">
        <f>IF(N(U91)&lt;=0,0,MIN(Assumptions!$B$15,N(R91)/N(U91)))</f>
        <v/>
      </c>
      <c r="X91" s="6" t="n">
        <v>0.322</v>
      </c>
      <c r="Y91" s="3" t="n">
        <v>0.28</v>
      </c>
      <c r="Z91" t="inlineStr">
        <is>
          <t>adjusted xGOT</t>
        </is>
      </c>
      <c r="AA91" s="3" t="n">
        <v>0.555</v>
      </c>
      <c r="AB91" s="3" t="n">
        <v>1.039</v>
      </c>
      <c r="AC91" s="3" t="n">
        <v>45</v>
      </c>
      <c r="AD91" s="3" t="n">
        <v>0.1062</v>
      </c>
      <c r="AE91" s="3" t="n">
        <v>6.853</v>
      </c>
      <c r="AF91" s="3" t="n">
        <v>0.02079110547654883</v>
      </c>
      <c r="AG91" s="3" t="n">
        <v>0.5067</v>
      </c>
      <c r="AH91" s="3" t="n">
        <v>47</v>
      </c>
      <c r="AI91" s="3" t="n">
        <v>2.4232</v>
      </c>
      <c r="AJ91" s="3" t="n">
        <v>1.1851</v>
      </c>
      <c r="AK91" s="3" t="n">
        <v>-0.2317101564875854</v>
      </c>
      <c r="AL91" s="6" t="n">
        <v>4.934297250429631</v>
      </c>
      <c r="AM91" s="3" t="n">
        <v>0</v>
      </c>
      <c r="AN91" s="3" t="n">
        <v>1.4</v>
      </c>
      <c r="AO91" s="3" t="n">
        <v>0.420552</v>
      </c>
      <c r="AP91" s="3">
        <f>N(X91)*N(BI91)</f>
        <v/>
      </c>
      <c r="AQ91" s="3" t="n">
        <v>0.5067</v>
      </c>
      <c r="AR91" s="3" t="n">
        <v>0</v>
      </c>
      <c r="AS91" s="3" t="n">
        <v>-0</v>
      </c>
      <c r="AT91" s="3" t="n">
        <v>-0.2317101564875854</v>
      </c>
      <c r="AU91" s="3">
        <f>SUM(AN91:AT91)</f>
        <v/>
      </c>
      <c r="AV91" s="7">
        <f>IF(OR(N(W91)&lt;=0,N(BG91)=0),0,N(W91)*IF(N(R91)/N(W91)&gt;=60,N(BG91),1))</f>
        <v/>
      </c>
      <c r="AW91" s="7">
        <f>N(W91)*N(AF91)*N(BH91)</f>
        <v/>
      </c>
      <c r="AX91" s="7">
        <f>N(AL91)*(Assumptions!$B$13*N(BJ91)-(1-Assumptions!$B$13)*Assumptions!$B$14)+N(AM91)</f>
        <v/>
      </c>
      <c r="AY91" s="7">
        <f>N(AU91)*N(R91)/90+N(AV91)+N(AW91)+N(AX91)</f>
        <v/>
      </c>
      <c r="AZ91" s="3">
        <f>IF(N(R91)&lt;=0,0,(N(AY91)-N(AX91))*90/N(R91))</f>
        <v/>
      </c>
      <c r="BA91" s="7">
        <f>IFERROR(AY91-VLOOKUP($E91,Assumptions!$A$40:$C$43,3,FALSE),"")</f>
        <v/>
      </c>
      <c r="BB91" s="3">
        <f>IFERROR(BA91/H91,"")</f>
        <v/>
      </c>
      <c r="BC91">
        <f>IF(AND($G91=TRUE,$E91="GKP"),AY91,"")</f>
        <v/>
      </c>
      <c r="BD91">
        <f>IF(AND($G91=TRUE,$E91="DEF"),AY91,"")</f>
        <v/>
      </c>
      <c r="BE91">
        <f>IF(AND($G91=TRUE,$E91="MID"),AY91,"")</f>
        <v/>
      </c>
      <c r="BF91">
        <f>IF(AND($G91=TRUE,$E91="FWD"),AY91,"")</f>
        <v/>
      </c>
      <c r="BG91" t="n">
        <v>2</v>
      </c>
      <c r="BH91" t="n">
        <v>2</v>
      </c>
      <c r="BI91" t="n">
        <v>1</v>
      </c>
      <c r="BJ91" t="n">
        <v>5</v>
      </c>
    </row>
    <row r="92">
      <c r="A92" t="inlineStr">
        <is>
          <t>Jean-Philippe Mateta</t>
        </is>
      </c>
      <c r="B92" t="inlineStr">
        <is>
          <t>CRY</t>
        </is>
      </c>
      <c r="C92" t="inlineStr">
        <is>
          <t>CRY</t>
        </is>
      </c>
      <c r="D92" t="b">
        <v>0</v>
      </c>
      <c r="E92" t="inlineStr">
        <is>
          <t>FWD</t>
        </is>
      </c>
      <c r="F92" t="inlineStr">
        <is>
          <t>FWD</t>
        </is>
      </c>
      <c r="G92" t="b">
        <v>1</v>
      </c>
      <c r="H92" s="2" t="n">
        <v>6.5</v>
      </c>
      <c r="I92" t="inlineStr">
        <is>
          <t>a</t>
        </is>
      </c>
      <c r="K92" s="2" t="n">
        <v>2210</v>
      </c>
      <c r="L92" t="n">
        <v>114</v>
      </c>
      <c r="M92" s="3" t="n">
        <v>2422</v>
      </c>
      <c r="N92" s="4" t="n">
        <v>1500</v>
      </c>
      <c r="O92" s="4" t="n">
        <v>-922</v>
      </c>
      <c r="P92" s="5" t="inlineStr">
        <is>
          <t>medium</t>
        </is>
      </c>
      <c r="Q92" t="inlineStr">
        <is>
          <t>flat</t>
        </is>
      </c>
      <c r="R92" s="6" t="n">
        <v>1500</v>
      </c>
      <c r="S92" t="inlineStr">
        <is>
          <t>research</t>
        </is>
      </c>
      <c r="T92" s="5" t="inlineStr">
        <is>
          <t>The other side of the striker split. Sage's system uses one number nine and Palace hold three Premier League strikers; Mateta did not start the final friendly. His exit situation is unresolved: a January move to AC Milan collapsed on medical grounds, Juventus interest was reported through May and June at a EUR 20-30m valuation, and reporting says his contract is running down with Palace preferring not to sell cheaply. The window is open until 1 September. Not zeroed, because he is registered, fit and available today.</t>
        </is>
      </c>
      <c r="U92" s="6" t="n">
        <v>80.5</v>
      </c>
      <c r="V92" s="2" t="n">
        <v>25</v>
      </c>
      <c r="W92" s="7">
        <f>IF(N(U92)&lt;=0,0,MIN(Assumptions!$B$15,N(R92)/N(U92)))</f>
        <v/>
      </c>
      <c r="X92" s="6" t="n">
        <v>0.216</v>
      </c>
      <c r="Y92" s="3" t="n">
        <v>0.4643</v>
      </c>
      <c r="Z92" t="inlineStr">
        <is>
          <t>adjusted xGOT</t>
        </is>
      </c>
      <c r="AA92" s="3" t="n">
        <v>0.8090000000000001</v>
      </c>
      <c r="AB92" s="3" t="n">
        <v>0.977</v>
      </c>
      <c r="AC92" s="3" t="n">
        <v>42.5</v>
      </c>
      <c r="AD92" s="3" t="n">
        <v>0.0523</v>
      </c>
      <c r="AE92" s="3" t="n">
        <v>5.017</v>
      </c>
      <c r="AF92" s="3" t="n">
        <v>0.002351155358793933</v>
      </c>
      <c r="AG92" s="3" t="n">
        <v>0.5701000000000001</v>
      </c>
      <c r="AH92" s="3" t="n">
        <v>55</v>
      </c>
      <c r="AI92" s="3" t="n">
        <v>3.2035</v>
      </c>
      <c r="AJ92" s="3" t="n">
        <v>1.5923</v>
      </c>
      <c r="AK92" s="3" t="n">
        <v>-0.1142843485541425</v>
      </c>
      <c r="AL92" s="6" t="n">
        <v>3.015761309129515</v>
      </c>
      <c r="AM92" s="3" t="n">
        <v>0</v>
      </c>
      <c r="AN92" s="3" t="n">
        <v>1.8572</v>
      </c>
      <c r="AO92" s="3" t="n">
        <v>0.207108</v>
      </c>
      <c r="AP92" s="3">
        <f>N(X92)*N(BI92)</f>
        <v/>
      </c>
      <c r="AQ92" s="3" t="n">
        <v>0.5701000000000001</v>
      </c>
      <c r="AR92" s="3" t="n">
        <v>0</v>
      </c>
      <c r="AS92" s="3" t="n">
        <v>-0</v>
      </c>
      <c r="AT92" s="3" t="n">
        <v>-0.1142843485541425</v>
      </c>
      <c r="AU92" s="3">
        <f>SUM(AN92:AT92)</f>
        <v/>
      </c>
      <c r="AV92" s="7">
        <f>IF(OR(N(W92)&lt;=0,N(BG92)=0),0,N(W92)*IF(N(R92)/N(W92)&gt;=60,N(BG92),1))</f>
        <v/>
      </c>
      <c r="AW92" s="7">
        <f>N(W92)*N(AF92)*N(BH92)</f>
        <v/>
      </c>
      <c r="AX92" s="7">
        <f>N(AL92)*(Assumptions!$B$13*N(BJ92)-(1-Assumptions!$B$13)*Assumptions!$B$14)+N(AM92)</f>
        <v/>
      </c>
      <c r="AY92" s="7">
        <f>N(AU92)*N(R92)/90+N(AV92)+N(AW92)+N(AX92)</f>
        <v/>
      </c>
      <c r="AZ92" s="3">
        <f>IF(N(R92)&lt;=0,0,(N(AY92)-N(AX92))*90/N(R92))</f>
        <v/>
      </c>
      <c r="BA92" s="7">
        <f>IFERROR(AY92-VLOOKUP($E92,Assumptions!$A$40:$C$43,3,FALSE),"")</f>
        <v/>
      </c>
      <c r="BB92" s="3">
        <f>IFERROR(BA92/H92,"")</f>
        <v/>
      </c>
      <c r="BC92">
        <f>IF(AND($G92=TRUE,$E92="GKP"),AY92,"")</f>
        <v/>
      </c>
      <c r="BD92">
        <f>IF(AND($G92=TRUE,$E92="DEF"),AY92,"")</f>
        <v/>
      </c>
      <c r="BE92">
        <f>IF(AND($G92=TRUE,$E92="MID"),AY92,"")</f>
        <v/>
      </c>
      <c r="BF92">
        <f>IF(AND($G92=TRUE,$E92="FWD"),AY92,"")</f>
        <v/>
      </c>
      <c r="BG92" t="n">
        <v>2</v>
      </c>
      <c r="BH92" t="n">
        <v>2</v>
      </c>
      <c r="BI92" t="n">
        <v>0</v>
      </c>
      <c r="BJ92" t="n">
        <v>4</v>
      </c>
    </row>
    <row r="93">
      <c r="A93" t="inlineStr">
        <is>
          <t>Igor Jesus</t>
        </is>
      </c>
      <c r="B93" t="inlineStr">
        <is>
          <t>NFO</t>
        </is>
      </c>
      <c r="C93" t="inlineStr">
        <is>
          <t>NFO</t>
        </is>
      </c>
      <c r="D93" t="b">
        <v>0</v>
      </c>
      <c r="E93" t="inlineStr">
        <is>
          <t>FWD</t>
        </is>
      </c>
      <c r="F93" t="inlineStr">
        <is>
          <t>FWD</t>
        </is>
      </c>
      <c r="G93" t="b">
        <v>1</v>
      </c>
      <c r="H93" s="2" t="n">
        <v>6</v>
      </c>
      <c r="I93" t="inlineStr">
        <is>
          <t>a</t>
        </is>
      </c>
      <c r="K93" s="2" t="n">
        <v>2293</v>
      </c>
      <c r="L93" t="n">
        <v>114</v>
      </c>
      <c r="M93" s="3" t="n">
        <v>2764</v>
      </c>
      <c r="N93" s="4" t="n">
        <v>2430</v>
      </c>
      <c r="O93" s="4" t="n">
        <v>-334</v>
      </c>
      <c r="P93" s="5" t="inlineStr">
        <is>
          <t>medium</t>
        </is>
      </c>
      <c r="Q93" t="inlineStr">
        <is>
          <t>flat</t>
        </is>
      </c>
      <c r="R93" s="6" t="n">
        <v>2430</v>
      </c>
      <c r="S93" t="inlineStr">
        <is>
          <t>research</t>
        </is>
      </c>
      <c r="T93" s="5" t="inlineStr">
        <is>
          <t>In a 3-4-2-1 there is exactly one striker slot, worth about 3,420 minutes. Solio gives Igor Jesus 81% of it while Kalimuendo, Awoniyi and Wood are all fit and three of the four scored in pre-season. He is the starter, but that share leaves almost nothing for injury, rotation or the cups.</t>
        </is>
      </c>
      <c r="U93" s="6" t="n">
        <v>75.5</v>
      </c>
      <c r="V93" s="2" t="n">
        <v>28</v>
      </c>
      <c r="W93" s="7">
        <f>IF(N(U93)&lt;=0,0,MIN(Assumptions!$B$15,N(R93)/N(U93)))</f>
        <v/>
      </c>
      <c r="X93" s="6" t="n">
        <v>0.224</v>
      </c>
      <c r="Y93" s="3" t="n">
        <v>0.2042</v>
      </c>
      <c r="Z93" t="inlineStr">
        <is>
          <t>adjusted xGOT</t>
        </is>
      </c>
      <c r="AA93" s="3" t="n">
        <v>0.894</v>
      </c>
      <c r="AB93" s="3" t="n">
        <v>0.898</v>
      </c>
      <c r="AC93" s="3" t="n">
        <v>6.5</v>
      </c>
      <c r="AD93" s="3" t="n">
        <v>0.06950000000000001</v>
      </c>
      <c r="AE93" s="3" t="n">
        <v>4.819</v>
      </c>
      <c r="AF93" s="3" t="n">
        <v>0.001000341382915493</v>
      </c>
      <c r="AG93" s="3" t="n">
        <v>0.5102</v>
      </c>
      <c r="AH93" s="3" t="n">
        <v>61</v>
      </c>
      <c r="AI93" s="3" t="n">
        <v>3.1134</v>
      </c>
      <c r="AJ93" s="3" t="n">
        <v>1.5588</v>
      </c>
      <c r="AK93" s="3" t="n">
        <v>-0.1227469504838277</v>
      </c>
      <c r="AL93" s="6" t="n">
        <v>0.1045620982258107</v>
      </c>
      <c r="AM93" s="3" t="n">
        <v>0</v>
      </c>
      <c r="AN93" s="3" t="n">
        <v>0.8168</v>
      </c>
      <c r="AO93" s="3" t="n">
        <v>0.27522</v>
      </c>
      <c r="AP93" s="3">
        <f>N(X93)*N(BI93)</f>
        <v/>
      </c>
      <c r="AQ93" s="3" t="n">
        <v>0.5102</v>
      </c>
      <c r="AR93" s="3" t="n">
        <v>0</v>
      </c>
      <c r="AS93" s="3" t="n">
        <v>-0</v>
      </c>
      <c r="AT93" s="3" t="n">
        <v>-0.1227469504838277</v>
      </c>
      <c r="AU93" s="3">
        <f>SUM(AN93:AT93)</f>
        <v/>
      </c>
      <c r="AV93" s="7">
        <f>IF(OR(N(W93)&lt;=0,N(BG93)=0),0,N(W93)*IF(N(R93)/N(W93)&gt;=60,N(BG93),1))</f>
        <v/>
      </c>
      <c r="AW93" s="7">
        <f>N(W93)*N(AF93)*N(BH93)</f>
        <v/>
      </c>
      <c r="AX93" s="7">
        <f>N(AL93)*(Assumptions!$B$13*N(BJ93)-(1-Assumptions!$B$13)*Assumptions!$B$14)+N(AM93)</f>
        <v/>
      </c>
      <c r="AY93" s="7">
        <f>N(AU93)*N(R93)/90+N(AV93)+N(AW93)+N(AX93)</f>
        <v/>
      </c>
      <c r="AZ93" s="3">
        <f>IF(N(R93)&lt;=0,0,(N(AY93)-N(AX93))*90/N(R93))</f>
        <v/>
      </c>
      <c r="BA93" s="7">
        <f>IFERROR(AY93-VLOOKUP($E93,Assumptions!$A$40:$C$43,3,FALSE),"")</f>
        <v/>
      </c>
      <c r="BB93" s="3">
        <f>IFERROR(BA93/H93,"")</f>
        <v/>
      </c>
      <c r="BC93">
        <f>IF(AND($G93=TRUE,$E93="GKP"),AY93,"")</f>
        <v/>
      </c>
      <c r="BD93">
        <f>IF(AND($G93=TRUE,$E93="DEF"),AY93,"")</f>
        <v/>
      </c>
      <c r="BE93">
        <f>IF(AND($G93=TRUE,$E93="MID"),AY93,"")</f>
        <v/>
      </c>
      <c r="BF93">
        <f>IF(AND($G93=TRUE,$E93="FWD"),AY93,"")</f>
        <v/>
      </c>
      <c r="BG93" t="n">
        <v>2</v>
      </c>
      <c r="BH93" t="n">
        <v>2</v>
      </c>
      <c r="BI93" t="n">
        <v>0</v>
      </c>
      <c r="BJ93" t="n">
        <v>4</v>
      </c>
    </row>
    <row r="94">
      <c r="A94" t="inlineStr">
        <is>
          <t>Junior Kroupi</t>
        </is>
      </c>
      <c r="B94" t="inlineStr">
        <is>
          <t>BOU</t>
        </is>
      </c>
      <c r="C94" t="inlineStr">
        <is>
          <t>BOU</t>
        </is>
      </c>
      <c r="D94" t="b">
        <v>0</v>
      </c>
      <c r="E94" t="inlineStr">
        <is>
          <t>MID</t>
        </is>
      </c>
      <c r="F94" t="inlineStr">
        <is>
          <t>FWD</t>
        </is>
      </c>
      <c r="G94" t="b">
        <v>1</v>
      </c>
      <c r="H94" s="2" t="n">
        <v>7.5</v>
      </c>
      <c r="I94" t="inlineStr">
        <is>
          <t>i</t>
        </is>
      </c>
      <c r="J94" t="inlineStr">
        <is>
          <t>Foot injury - Unknown return date</t>
        </is>
      </c>
      <c r="K94" s="2" t="n">
        <v>1663</v>
      </c>
      <c r="L94" t="n">
        <v>113</v>
      </c>
      <c r="M94" s="3" t="n">
        <v>2594</v>
      </c>
      <c r="N94" s="4" t="n">
        <v>1100</v>
      </c>
      <c r="O94" s="4" t="n">
        <v>-1494</v>
      </c>
      <c r="P94" s="5" t="inlineStr">
        <is>
          <t>high</t>
        </is>
      </c>
      <c r="Q94" t="inlineStr">
        <is>
          <t>ramp-up (injury / late WC return)</t>
        </is>
      </c>
      <c r="R94" s="6" t="n">
        <v>1100</v>
      </c>
      <c r="S94" t="inlineStr">
        <is>
          <t>research</t>
        </is>
      </c>
      <c r="T94" s="5" t="inlineStr">
        <is>
          <t>Fractured a fifth metatarsal in a pre-season training drill in Austria and had surgery; reported as a 3-4 month layoff, with the club hoping he returns before the end of 2026. That is roughly the first 15-18 gameweeks gone from a 23 Aug start, followed by a build-up rather than an immediate full workload, and he returns into a striker group that now also contains a GBP 25.7m signing plus a Europa League schedule. Solio's 2594 already carried a 'ramp-up' flag but is far too generous for a layoff of this length.</t>
        </is>
      </c>
      <c r="U94" s="6" t="n">
        <v>73.3</v>
      </c>
      <c r="V94" s="2" t="n">
        <v>21</v>
      </c>
      <c r="W94" s="7">
        <f>IF(N(U94)&lt;=0,0,MIN(Assumptions!$B$15,N(R94)/N(U94)))</f>
        <v/>
      </c>
      <c r="X94" s="6" t="n">
        <v>0.23</v>
      </c>
      <c r="Y94" s="3" t="n">
        <v>0.4064</v>
      </c>
      <c r="Z94" t="inlineStr">
        <is>
          <t>adjusted xGOT</t>
        </is>
      </c>
      <c r="AA94" s="3" t="n">
        <v>0.828</v>
      </c>
      <c r="AB94" s="3" t="n">
        <v>1.091</v>
      </c>
      <c r="AC94" s="3" t="n">
        <v>8.300000000000001</v>
      </c>
      <c r="AD94" s="3" t="n">
        <v>0.09</v>
      </c>
      <c r="AE94" s="3" t="n">
        <v>5.678</v>
      </c>
      <c r="AF94" s="3" t="n">
        <v>0.002984663627920936</v>
      </c>
      <c r="AG94" s="3" t="n">
        <v>0.7577</v>
      </c>
      <c r="AH94" s="3" t="n">
        <v>53</v>
      </c>
      <c r="AI94" s="3" t="n">
        <v>3.0957</v>
      </c>
      <c r="AJ94" s="3" t="n">
        <v>1.53</v>
      </c>
      <c r="AK94" s="3" t="n">
        <v>-0.2541946690581745</v>
      </c>
      <c r="AL94" s="6" t="n">
        <v>3.414665718204978</v>
      </c>
      <c r="AM94" s="3" t="n">
        <v>0</v>
      </c>
      <c r="AN94" s="3" t="n">
        <v>2.032</v>
      </c>
      <c r="AO94" s="3" t="n">
        <v>0.3564000000000001</v>
      </c>
      <c r="AP94" s="3">
        <f>N(X94)*N(BI94)</f>
        <v/>
      </c>
      <c r="AQ94" s="3" t="n">
        <v>0.7577</v>
      </c>
      <c r="AR94" s="3" t="n">
        <v>0</v>
      </c>
      <c r="AS94" s="3" t="n">
        <v>-0</v>
      </c>
      <c r="AT94" s="3" t="n">
        <v>-0.2541946690581745</v>
      </c>
      <c r="AU94" s="3">
        <f>SUM(AN94:AT94)</f>
        <v/>
      </c>
      <c r="AV94" s="7">
        <f>IF(OR(N(W94)&lt;=0,N(BG94)=0),0,N(W94)*IF(N(R94)/N(W94)&gt;=60,N(BG94),1))</f>
        <v/>
      </c>
      <c r="AW94" s="7">
        <f>N(W94)*N(AF94)*N(BH94)</f>
        <v/>
      </c>
      <c r="AX94" s="7">
        <f>N(AL94)*(Assumptions!$B$13*N(BJ94)-(1-Assumptions!$B$13)*Assumptions!$B$14)+N(AM94)</f>
        <v/>
      </c>
      <c r="AY94" s="7">
        <f>N(AU94)*N(R94)/90+N(AV94)+N(AW94)+N(AX94)</f>
        <v/>
      </c>
      <c r="AZ94" s="3">
        <f>IF(N(R94)&lt;=0,0,(N(AY94)-N(AX94))*90/N(R94))</f>
        <v/>
      </c>
      <c r="BA94" s="7">
        <f>IFERROR(AY94-VLOOKUP($E94,Assumptions!$A$40:$C$43,3,FALSE),"")</f>
        <v/>
      </c>
      <c r="BB94" s="3">
        <f>IFERROR(BA94/H94,"")</f>
        <v/>
      </c>
      <c r="BC94">
        <f>IF(AND($G94=TRUE,$E94="GKP"),AY94,"")</f>
        <v/>
      </c>
      <c r="BD94">
        <f>IF(AND($G94=TRUE,$E94="DEF"),AY94,"")</f>
        <v/>
      </c>
      <c r="BE94">
        <f>IF(AND($G94=TRUE,$E94="MID"),AY94,"")</f>
        <v/>
      </c>
      <c r="BF94">
        <f>IF(AND($G94=TRUE,$E94="FWD"),AY94,"")</f>
        <v/>
      </c>
      <c r="BG94" t="n">
        <v>2</v>
      </c>
      <c r="BH94" t="n">
        <v>2</v>
      </c>
      <c r="BI94" t="n">
        <v>1</v>
      </c>
      <c r="BJ94" t="n">
        <v>5</v>
      </c>
    </row>
    <row r="95">
      <c r="A95" t="inlineStr">
        <is>
          <t>Sepp van den Berg</t>
        </is>
      </c>
      <c r="B95" t="inlineStr">
        <is>
          <t>BRE</t>
        </is>
      </c>
      <c r="C95" t="inlineStr">
        <is>
          <t>BRE</t>
        </is>
      </c>
      <c r="D95" t="b">
        <v>0</v>
      </c>
      <c r="E95" t="inlineStr">
        <is>
          <t>DEF</t>
        </is>
      </c>
      <c r="F95" t="inlineStr">
        <is>
          <t>DEF</t>
        </is>
      </c>
      <c r="G95" t="b">
        <v>1</v>
      </c>
      <c r="H95" s="2" t="n">
        <v>5</v>
      </c>
      <c r="I95" t="inlineStr">
        <is>
          <t>a</t>
        </is>
      </c>
      <c r="K95" s="2" t="n">
        <v>2761</v>
      </c>
      <c r="L95" t="n">
        <v>113</v>
      </c>
      <c r="M95" s="3" t="n">
        <v>2947</v>
      </c>
      <c r="N95" s="4" t="n">
        <v>1800</v>
      </c>
      <c r="O95" s="4" t="n">
        <v>-1147</v>
      </c>
      <c r="P95" s="5" t="inlineStr">
        <is>
          <t>high</t>
        </is>
      </c>
      <c r="Q95" t="inlineStr">
        <is>
          <t>ramp-up (injury / late WC return)</t>
        </is>
      </c>
      <c r="R95" s="6" t="n">
        <v>1800</v>
      </c>
      <c r="S95" t="inlineStr">
        <is>
          <t>research</t>
        </is>
      </c>
      <c r="T95" s="5" t="inlineStr">
        <is>
          <t>The single biggest error in Solio's allocation. FPL flagged him status 'i' with chance_of_playing_next_round = 0 and 'Unspecified injury - Unknown return date', news added 2026-08-15T15:30Z - after the brief's snapshot was taken, which still shows him as status 'a'. He was absent from the entire 22-man matchday squad for the 15 Aug friendly. BeSoccer puts the expected return at mid-October 2026; RotoWire, citing Uzzi Majid of the Richmond and Twickenham Times, reports three months. Against the FPL calendar that means he misses GW1-GW5 at minimum (deadlines 21 Aug to 18 Sep) and plausibly through GW6-GW10 (10 Oct to 7 Nov). He then has to take his place back from Ajer. 1800 assumes roughly 8 gameweeks missed and around 20 full starts thereafter.</t>
        </is>
      </c>
      <c r="U95" s="6" t="n">
        <v>88.90000000000001</v>
      </c>
      <c r="V95" s="2" t="n">
        <v>30</v>
      </c>
      <c r="W95" s="7">
        <f>IF(N(U95)&lt;=0,0,MIN(Assumptions!$B$15,N(R95)/N(U95)))</f>
        <v/>
      </c>
      <c r="X95" s="6" t="n">
        <v>0.228</v>
      </c>
      <c r="Y95" s="3" t="n">
        <v>0.0871</v>
      </c>
      <c r="Z95" t="inlineStr">
        <is>
          <t>adjusted xGOT</t>
        </is>
      </c>
      <c r="AA95" s="3" t="n">
        <v>1</v>
      </c>
      <c r="AB95" s="3" t="n">
        <v>0.796</v>
      </c>
      <c r="AC95" s="3" t="n">
        <v>5.4</v>
      </c>
      <c r="AD95" s="3" t="n">
        <v>0.0594</v>
      </c>
      <c r="AE95" s="3" t="n">
        <v>8.622</v>
      </c>
      <c r="AF95" s="3" t="n">
        <v>0.3491858013416843</v>
      </c>
      <c r="AG95" s="3" t="n">
        <v>0.0326</v>
      </c>
      <c r="AH95" s="3" t="n">
        <v>62</v>
      </c>
      <c r="AI95" s="3" t="n">
        <v>3.2371</v>
      </c>
      <c r="AJ95" s="3" t="n">
        <v>1.5396</v>
      </c>
      <c r="AK95" s="3" t="n">
        <v>-0.1265622603536469</v>
      </c>
      <c r="AL95" s="6" t="n">
        <v>0</v>
      </c>
      <c r="AM95" s="3" t="n">
        <v>0</v>
      </c>
      <c r="AN95" s="3" t="n">
        <v>0.5226</v>
      </c>
      <c r="AO95" s="3" t="n">
        <v>0.235224</v>
      </c>
      <c r="AP95" s="3">
        <f>N(X95)*N(BI95)</f>
        <v/>
      </c>
      <c r="AQ95" s="3" t="n">
        <v>0.0326</v>
      </c>
      <c r="AR95" s="3" t="n">
        <v>0</v>
      </c>
      <c r="AS95" s="3" t="n">
        <v>-0.5312990096912251</v>
      </c>
      <c r="AT95" s="3" t="n">
        <v>-0.1265622603536469</v>
      </c>
      <c r="AU95" s="3">
        <f>SUM(AN95:AT95)</f>
        <v/>
      </c>
      <c r="AV95" s="7">
        <f>IF(OR(N(W95)&lt;=0,N(BG95)=0),0,N(W95)*IF(N(R95)/N(W95)&gt;=60,N(BG95),1))</f>
        <v/>
      </c>
      <c r="AW95" s="7">
        <f>N(W95)*N(AF95)*N(BH95)</f>
        <v/>
      </c>
      <c r="AX95" s="7">
        <f>N(AL95)*(Assumptions!$B$13*N(BJ95)-(1-Assumptions!$B$13)*Assumptions!$B$14)+N(AM95)</f>
        <v/>
      </c>
      <c r="AY95" s="7">
        <f>N(AU95)*N(R95)/90+N(AV95)+N(AW95)+N(AX95)</f>
        <v/>
      </c>
      <c r="AZ95" s="3">
        <f>IF(N(R95)&lt;=0,0,(N(AY95)-N(AX95))*90/N(R95))</f>
        <v/>
      </c>
      <c r="BA95" s="7">
        <f>IFERROR(AY95-VLOOKUP($E95,Assumptions!$A$40:$C$43,3,FALSE),"")</f>
        <v/>
      </c>
      <c r="BB95" s="3">
        <f>IFERROR(BA95/H95,"")</f>
        <v/>
      </c>
      <c r="BC95">
        <f>IF(AND($G95=TRUE,$E95="GKP"),AY95,"")</f>
        <v/>
      </c>
      <c r="BD95">
        <f>IF(AND($G95=TRUE,$E95="DEF"),AY95,"")</f>
        <v/>
      </c>
      <c r="BE95">
        <f>IF(AND($G95=TRUE,$E95="MID"),AY95,"")</f>
        <v/>
      </c>
      <c r="BF95">
        <f>IF(AND($G95=TRUE,$E95="FWD"),AY95,"")</f>
        <v/>
      </c>
      <c r="BG95" t="n">
        <v>2</v>
      </c>
      <c r="BH95" t="n">
        <v>2</v>
      </c>
      <c r="BI95" t="n">
        <v>4</v>
      </c>
      <c r="BJ95" t="n">
        <v>6</v>
      </c>
    </row>
    <row r="96">
      <c r="A96" t="inlineStr">
        <is>
          <t>Michael Kayode</t>
        </is>
      </c>
      <c r="B96" t="inlineStr">
        <is>
          <t>BRE</t>
        </is>
      </c>
      <c r="C96" t="inlineStr">
        <is>
          <t>BRE</t>
        </is>
      </c>
      <c r="D96" t="b">
        <v>0</v>
      </c>
      <c r="E96" t="inlineStr">
        <is>
          <t>DEF</t>
        </is>
      </c>
      <c r="F96" t="inlineStr">
        <is>
          <t>DEF</t>
        </is>
      </c>
      <c r="G96" t="b">
        <v>1</v>
      </c>
      <c r="H96" s="2" t="n">
        <v>4.5</v>
      </c>
      <c r="I96" t="inlineStr">
        <is>
          <t>a</t>
        </is>
      </c>
      <c r="K96" s="2" t="n">
        <v>3258</v>
      </c>
      <c r="L96" t="n">
        <v>113</v>
      </c>
      <c r="M96" s="3" t="n">
        <v>3192</v>
      </c>
      <c r="N96" s="8" t="n">
        <v>3192</v>
      </c>
      <c r="O96" s="8" t="n">
        <v>0</v>
      </c>
      <c r="Q96" t="inlineStr">
        <is>
          <t>flat</t>
        </is>
      </c>
      <c r="R96" s="6" t="n">
        <v>3192</v>
      </c>
      <c r="S96" t="inlineStr">
        <is>
          <t>Solio</t>
        </is>
      </c>
      <c r="U96" s="6" t="n">
        <v>87.5</v>
      </c>
      <c r="V96" s="2" t="n">
        <v>37</v>
      </c>
      <c r="W96" s="7">
        <f>IF(N(U96)&lt;=0,0,MIN(Assumptions!$B$15,N(R96)/N(U96)))</f>
        <v/>
      </c>
      <c r="X96" s="6" t="n">
        <v>0.228</v>
      </c>
      <c r="Y96" s="3" t="n">
        <v>0.0351</v>
      </c>
      <c r="Z96" t="inlineStr">
        <is>
          <t>adjusted xGOT</t>
        </is>
      </c>
      <c r="AA96" s="3" t="n">
        <v>1</v>
      </c>
      <c r="AB96" s="3" t="n">
        <v>0.993</v>
      </c>
      <c r="AC96" s="3" t="n">
        <v>1.5</v>
      </c>
      <c r="AD96" s="3" t="n">
        <v>0.0839</v>
      </c>
      <c r="AE96" s="3" t="n">
        <v>6.346</v>
      </c>
      <c r="AF96" s="3" t="n">
        <v>0.09610277597067474</v>
      </c>
      <c r="AG96" s="3" t="n">
        <v>0.2486</v>
      </c>
      <c r="AH96" s="3" t="n">
        <v>74</v>
      </c>
      <c r="AI96" s="3" t="n">
        <v>3.2371</v>
      </c>
      <c r="AJ96" s="3" t="n">
        <v>1.5396</v>
      </c>
      <c r="AK96" s="3" t="n">
        <v>-0.2390820399124237</v>
      </c>
      <c r="AL96" s="6" t="n">
        <v>0</v>
      </c>
      <c r="AM96" s="3" t="n">
        <v>0</v>
      </c>
      <c r="AN96" s="3" t="n">
        <v>0.2106</v>
      </c>
      <c r="AO96" s="3" t="n">
        <v>0.332244</v>
      </c>
      <c r="AP96" s="3">
        <f>N(X96)*N(BI96)</f>
        <v/>
      </c>
      <c r="AQ96" s="3" t="n">
        <v>0.2486</v>
      </c>
      <c r="AR96" s="3" t="n">
        <v>0</v>
      </c>
      <c r="AS96" s="3" t="n">
        <v>-0.5312990096912251</v>
      </c>
      <c r="AT96" s="3" t="n">
        <v>-0.2390820399124237</v>
      </c>
      <c r="AU96" s="3">
        <f>SUM(AN96:AT96)</f>
        <v/>
      </c>
      <c r="AV96" s="7">
        <f>IF(OR(N(W96)&lt;=0,N(BG96)=0),0,N(W96)*IF(N(R96)/N(W96)&gt;=60,N(BG96),1))</f>
        <v/>
      </c>
      <c r="AW96" s="7">
        <f>N(W96)*N(AF96)*N(BH96)</f>
        <v/>
      </c>
      <c r="AX96" s="7">
        <f>N(AL96)*(Assumptions!$B$13*N(BJ96)-(1-Assumptions!$B$13)*Assumptions!$B$14)+N(AM96)</f>
        <v/>
      </c>
      <c r="AY96" s="7">
        <f>N(AU96)*N(R96)/90+N(AV96)+N(AW96)+N(AX96)</f>
        <v/>
      </c>
      <c r="AZ96" s="3">
        <f>IF(N(R96)&lt;=0,0,(N(AY96)-N(AX96))*90/N(R96))</f>
        <v/>
      </c>
      <c r="BA96" s="7">
        <f>IFERROR(AY96-VLOOKUP($E96,Assumptions!$A$40:$C$43,3,FALSE),"")</f>
        <v/>
      </c>
      <c r="BB96" s="3">
        <f>IFERROR(BA96/H96,"")</f>
        <v/>
      </c>
      <c r="BC96">
        <f>IF(AND($G96=TRUE,$E96="GKP"),AY96,"")</f>
        <v/>
      </c>
      <c r="BD96">
        <f>IF(AND($G96=TRUE,$E96="DEF"),AY96,"")</f>
        <v/>
      </c>
      <c r="BE96">
        <f>IF(AND($G96=TRUE,$E96="MID"),AY96,"")</f>
        <v/>
      </c>
      <c r="BF96">
        <f>IF(AND($G96=TRUE,$E96="FWD"),AY96,"")</f>
        <v/>
      </c>
      <c r="BG96" t="n">
        <v>2</v>
      </c>
      <c r="BH96" t="n">
        <v>2</v>
      </c>
      <c r="BI96" t="n">
        <v>4</v>
      </c>
      <c r="BJ96" t="n">
        <v>6</v>
      </c>
    </row>
    <row r="97">
      <c r="A97" t="inlineStr">
        <is>
          <t>Luke Shaw</t>
        </is>
      </c>
      <c r="B97" t="inlineStr">
        <is>
          <t>MUN</t>
        </is>
      </c>
      <c r="C97" t="inlineStr">
        <is>
          <t>MUN</t>
        </is>
      </c>
      <c r="D97" t="b">
        <v>0</v>
      </c>
      <c r="E97" t="inlineStr">
        <is>
          <t>DEF</t>
        </is>
      </c>
      <c r="F97" t="inlineStr">
        <is>
          <t>DEF</t>
        </is>
      </c>
      <c r="G97" t="b">
        <v>1</v>
      </c>
      <c r="H97" s="2" t="n">
        <v>4.5</v>
      </c>
      <c r="I97" t="inlineStr">
        <is>
          <t>a</t>
        </is>
      </c>
      <c r="K97" s="2" t="n">
        <v>3220</v>
      </c>
      <c r="L97" t="n">
        <v>113</v>
      </c>
      <c r="M97" s="3" t="n">
        <v>2992</v>
      </c>
      <c r="N97" s="4" t="n">
        <v>2600</v>
      </c>
      <c r="O97" s="4" t="n">
        <v>-392</v>
      </c>
      <c r="P97" s="5" t="inlineStr">
        <is>
          <t>medium</t>
        </is>
      </c>
      <c r="Q97" t="inlineStr">
        <is>
          <t>flat</t>
        </is>
      </c>
      <c r="R97" s="6" t="n">
        <v>2600</v>
      </c>
      <c r="S97" t="inlineStr">
        <is>
          <t>research</t>
        </is>
      </c>
      <c r="T97" s="5" t="inlineStr">
        <is>
          <t>Left-back is the position United are most actively trying to reinforce before the window shuts on 1 September: ESPN reports work done on the feasibility of a deal for Lewis Hall and interest in Antonee Robinson. Shaw remains the incumbent and started the last two friendlies, so this is a modest haircut for signing risk, not a demotion. His 3,220 minutes last season also came in a one-game-a-week campaign; United are back in the Champions League.</t>
        </is>
      </c>
      <c r="U97" s="6" t="n">
        <v>84.90000000000001</v>
      </c>
      <c r="V97" s="2" t="n">
        <v>38</v>
      </c>
      <c r="W97" s="7">
        <f>IF(N(U97)&lt;=0,0,MIN(Assumptions!$B$15,N(R97)/N(U97)))</f>
        <v/>
      </c>
      <c r="X97" s="6" t="n">
        <v>0.334</v>
      </c>
      <c r="Y97" s="3" t="n">
        <v>0.021</v>
      </c>
      <c r="Z97" t="inlineStr">
        <is>
          <t>adjusted xGOT</t>
        </is>
      </c>
      <c r="AA97" s="3" t="n">
        <v>1</v>
      </c>
      <c r="AB97" s="3" t="n">
        <v>1.042</v>
      </c>
      <c r="AC97" s="3" t="n">
        <v>1.9</v>
      </c>
      <c r="AD97" s="3" t="n">
        <v>0.0485</v>
      </c>
      <c r="AE97" s="3" t="n">
        <v>6.521</v>
      </c>
      <c r="AF97" s="3" t="n">
        <v>0.09474606818539777</v>
      </c>
      <c r="AG97" s="3" t="n">
        <v>0.0559</v>
      </c>
      <c r="AH97" s="3" t="n">
        <v>75</v>
      </c>
      <c r="AI97" s="3" t="n">
        <v>2.2165</v>
      </c>
      <c r="AJ97" s="3" t="n">
        <v>1.1467</v>
      </c>
      <c r="AK97" s="3" t="n">
        <v>-0.2771183828849873</v>
      </c>
      <c r="AL97" s="6" t="n">
        <v>0</v>
      </c>
      <c r="AM97" s="3" t="n">
        <v>0</v>
      </c>
      <c r="AN97" s="3" t="n">
        <v>0.126</v>
      </c>
      <c r="AO97" s="3" t="n">
        <v>0.19206</v>
      </c>
      <c r="AP97" s="3">
        <f>N(X97)*N(BI97)</f>
        <v/>
      </c>
      <c r="AQ97" s="3" t="n">
        <v>0.0559</v>
      </c>
      <c r="AR97" s="3" t="n">
        <v>0</v>
      </c>
      <c r="AS97" s="3" t="n">
        <v>-0.348580685135232</v>
      </c>
      <c r="AT97" s="3" t="n">
        <v>-0.2771183828849873</v>
      </c>
      <c r="AU97" s="3">
        <f>SUM(AN97:AT97)</f>
        <v/>
      </c>
      <c r="AV97" s="7">
        <f>IF(OR(N(W97)&lt;=0,N(BG97)=0),0,N(W97)*IF(N(R97)/N(W97)&gt;=60,N(BG97),1))</f>
        <v/>
      </c>
      <c r="AW97" s="7">
        <f>N(W97)*N(AF97)*N(BH97)</f>
        <v/>
      </c>
      <c r="AX97" s="7">
        <f>N(AL97)*(Assumptions!$B$13*N(BJ97)-(1-Assumptions!$B$13)*Assumptions!$B$14)+N(AM97)</f>
        <v/>
      </c>
      <c r="AY97" s="7">
        <f>N(AU97)*N(R97)/90+N(AV97)+N(AW97)+N(AX97)</f>
        <v/>
      </c>
      <c r="AZ97" s="3">
        <f>IF(N(R97)&lt;=0,0,(N(AY97)-N(AX97))*90/N(R97))</f>
        <v/>
      </c>
      <c r="BA97" s="7">
        <f>IFERROR(AY97-VLOOKUP($E97,Assumptions!$A$40:$C$43,3,FALSE),"")</f>
        <v/>
      </c>
      <c r="BB97" s="3">
        <f>IFERROR(BA97/H97,"")</f>
        <v/>
      </c>
      <c r="BC97">
        <f>IF(AND($G97=TRUE,$E97="GKP"),AY97,"")</f>
        <v/>
      </c>
      <c r="BD97">
        <f>IF(AND($G97=TRUE,$E97="DEF"),AY97,"")</f>
        <v/>
      </c>
      <c r="BE97">
        <f>IF(AND($G97=TRUE,$E97="MID"),AY97,"")</f>
        <v/>
      </c>
      <c r="BF97">
        <f>IF(AND($G97=TRUE,$E97="FWD"),AY97,"")</f>
        <v/>
      </c>
      <c r="BG97" t="n">
        <v>2</v>
      </c>
      <c r="BH97" t="n">
        <v>2</v>
      </c>
      <c r="BI97" t="n">
        <v>4</v>
      </c>
      <c r="BJ97" t="n">
        <v>6</v>
      </c>
    </row>
    <row r="98">
      <c r="A98" t="inlineStr">
        <is>
          <t>Rúben Dias</t>
        </is>
      </c>
      <c r="B98" t="inlineStr">
        <is>
          <t>MCI</t>
        </is>
      </c>
      <c r="C98" t="inlineStr">
        <is>
          <t>MCI</t>
        </is>
      </c>
      <c r="D98" t="b">
        <v>0</v>
      </c>
      <c r="E98" t="inlineStr">
        <is>
          <t>DEF</t>
        </is>
      </c>
      <c r="F98" t="inlineStr">
        <is>
          <t>DEF</t>
        </is>
      </c>
      <c r="G98" t="b">
        <v>1</v>
      </c>
      <c r="H98" s="2" t="n">
        <v>5.5</v>
      </c>
      <c r="I98" t="inlineStr">
        <is>
          <t>a</t>
        </is>
      </c>
      <c r="K98" s="2" t="n">
        <v>2139</v>
      </c>
      <c r="L98" t="n">
        <v>113</v>
      </c>
      <c r="M98" s="3" t="n">
        <v>1569</v>
      </c>
      <c r="N98" s="4" t="n">
        <v>1750</v>
      </c>
      <c r="O98" s="4" t="n">
        <v>181</v>
      </c>
      <c r="P98" s="5" t="inlineStr">
        <is>
          <t>medium</t>
        </is>
      </c>
      <c r="Q98" t="inlineStr">
        <is>
          <t>flat</t>
        </is>
      </c>
      <c r="R98" s="6" t="n">
        <v>1750</v>
      </c>
      <c r="S98" t="inlineStr">
        <is>
          <t>research</t>
        </is>
      </c>
      <c r="T98" s="5" t="inlineStr">
        <is>
          <t>Named as one of Maresca's captains for the new season, started the final pre-season match and starts in the Community Shield predicted XIs. 1,569 minutes is roughly 17 full matches for a club captain in a four-man centre-back rotation that has just lost three bodies. Only a modest raise because the rotation is real and he is 29 with a mixed injury record — the argument is that he is under-weighted, not that he is nailed.</t>
        </is>
      </c>
      <c r="U98" s="6" t="n">
        <v>87.09999999999999</v>
      </c>
      <c r="V98" s="2" t="n">
        <v>24</v>
      </c>
      <c r="W98" s="7">
        <f>IF(N(U98)&lt;=0,0,MIN(Assumptions!$B$15,N(R98)/N(U98)))</f>
        <v/>
      </c>
      <c r="X98" s="6" t="n">
        <v>0.371</v>
      </c>
      <c r="Y98" s="3" t="n">
        <v>0.0213</v>
      </c>
      <c r="Z98" t="inlineStr">
        <is>
          <t>adjusted xGOT</t>
        </is>
      </c>
      <c r="AA98" s="3" t="n">
        <v>1</v>
      </c>
      <c r="AB98" s="3" t="n">
        <v>0.887</v>
      </c>
      <c r="AC98" s="3" t="n">
        <v>4.8</v>
      </c>
      <c r="AD98" s="3" t="n">
        <v>0.0226</v>
      </c>
      <c r="AE98" s="3" t="n">
        <v>7.192</v>
      </c>
      <c r="AF98" s="3" t="n">
        <v>0.1654970036702939</v>
      </c>
      <c r="AG98" s="3" t="n">
        <v>0.1262</v>
      </c>
      <c r="AH98" s="3" t="n">
        <v>49</v>
      </c>
      <c r="AI98" s="3" t="n">
        <v>1.9737</v>
      </c>
      <c r="AJ98" s="3" t="n">
        <v>1.0365</v>
      </c>
      <c r="AK98" s="3" t="n">
        <v>-0.1469680947737017</v>
      </c>
      <c r="AL98" s="6" t="n">
        <v>0</v>
      </c>
      <c r="AM98" s="3" t="n">
        <v>0</v>
      </c>
      <c r="AN98" s="3" t="n">
        <v>0.1278</v>
      </c>
      <c r="AO98" s="3" t="n">
        <v>0.08949600000000001</v>
      </c>
      <c r="AP98" s="3">
        <f>N(X98)*N(BI98)</f>
        <v/>
      </c>
      <c r="AQ98" s="3" t="n">
        <v>0.1262</v>
      </c>
      <c r="AR98" s="3" t="n">
        <v>0</v>
      </c>
      <c r="AS98" s="3" t="n">
        <v>-0.2997019479071323</v>
      </c>
      <c r="AT98" s="3" t="n">
        <v>-0.1469680947737017</v>
      </c>
      <c r="AU98" s="3">
        <f>SUM(AN98:AT98)</f>
        <v/>
      </c>
      <c r="AV98" s="7">
        <f>IF(OR(N(W98)&lt;=0,N(BG98)=0),0,N(W98)*IF(N(R98)/N(W98)&gt;=60,N(BG98),1))</f>
        <v/>
      </c>
      <c r="AW98" s="7">
        <f>N(W98)*N(AF98)*N(BH98)</f>
        <v/>
      </c>
      <c r="AX98" s="7">
        <f>N(AL98)*(Assumptions!$B$13*N(BJ98)-(1-Assumptions!$B$13)*Assumptions!$B$14)+N(AM98)</f>
        <v/>
      </c>
      <c r="AY98" s="7">
        <f>N(AU98)*N(R98)/90+N(AV98)+N(AW98)+N(AX98)</f>
        <v/>
      </c>
      <c r="AZ98" s="3">
        <f>IF(N(R98)&lt;=0,0,(N(AY98)-N(AX98))*90/N(R98))</f>
        <v/>
      </c>
      <c r="BA98" s="7">
        <f>IFERROR(AY98-VLOOKUP($E98,Assumptions!$A$40:$C$43,3,FALSE),"")</f>
        <v/>
      </c>
      <c r="BB98" s="3">
        <f>IFERROR(BA98/H98,"")</f>
        <v/>
      </c>
      <c r="BC98">
        <f>IF(AND($G98=TRUE,$E98="GKP"),AY98,"")</f>
        <v/>
      </c>
      <c r="BD98">
        <f>IF(AND($G98=TRUE,$E98="DEF"),AY98,"")</f>
        <v/>
      </c>
      <c r="BE98">
        <f>IF(AND($G98=TRUE,$E98="MID"),AY98,"")</f>
        <v/>
      </c>
      <c r="BF98">
        <f>IF(AND($G98=TRUE,$E98="FWD"),AY98,"")</f>
        <v/>
      </c>
      <c r="BG98" t="n">
        <v>2</v>
      </c>
      <c r="BH98" t="n">
        <v>2</v>
      </c>
      <c r="BI98" t="n">
        <v>4</v>
      </c>
      <c r="BJ98" t="n">
        <v>6</v>
      </c>
    </row>
    <row r="99">
      <c r="A99" t="inlineStr">
        <is>
          <t>Robert Sánchez</t>
        </is>
      </c>
      <c r="B99" t="inlineStr">
        <is>
          <t>CHE</t>
        </is>
      </c>
      <c r="C99" t="inlineStr">
        <is>
          <t>CHE</t>
        </is>
      </c>
      <c r="D99" t="b">
        <v>0</v>
      </c>
      <c r="E99" t="inlineStr">
        <is>
          <t>GKP</t>
        </is>
      </c>
      <c r="F99" t="inlineStr">
        <is>
          <t>GKP</t>
        </is>
      </c>
      <c r="G99" t="b">
        <v>1</v>
      </c>
      <c r="H99" s="2" t="n">
        <v>5</v>
      </c>
      <c r="I99" t="inlineStr">
        <is>
          <t>a</t>
        </is>
      </c>
      <c r="K99" s="2" t="n">
        <v>3040</v>
      </c>
      <c r="L99" t="n">
        <v>113</v>
      </c>
      <c r="M99" s="3" t="n">
        <v>3181</v>
      </c>
      <c r="N99" s="8" t="n">
        <v>3181</v>
      </c>
      <c r="O99" s="8" t="n">
        <v>0</v>
      </c>
      <c r="Q99" t="inlineStr">
        <is>
          <t>flat</t>
        </is>
      </c>
      <c r="R99" s="6" t="n">
        <v>3181</v>
      </c>
      <c r="S99" t="inlineStr">
        <is>
          <t>Solio</t>
        </is>
      </c>
      <c r="U99" s="6" t="n">
        <v>89.40000000000001</v>
      </c>
      <c r="V99" s="2" t="n">
        <v>34</v>
      </c>
      <c r="W99" s="7">
        <f>IF(N(U99)&lt;=0,0,MIN(Assumptions!$B$15,N(R99)/N(U99)))</f>
        <v/>
      </c>
      <c r="X99" s="6" t="n">
        <v>0.322</v>
      </c>
      <c r="Y99" s="3" t="n">
        <v>0</v>
      </c>
      <c r="Z99" t="inlineStr">
        <is>
          <t>blended xG</t>
        </is>
      </c>
      <c r="AA99" s="3" t="n">
        <v>1</v>
      </c>
      <c r="AB99" s="3" t="n">
        <v>1</v>
      </c>
      <c r="AC99" s="3" t="n">
        <v>0</v>
      </c>
      <c r="AD99" s="3" t="n">
        <v>0.0137</v>
      </c>
      <c r="AE99" s="3" t="n">
        <v>0</v>
      </c>
      <c r="AF99" s="3" t="n">
        <v>0</v>
      </c>
      <c r="AG99" s="3" t="n">
        <v>0.2368</v>
      </c>
      <c r="AH99" s="3" t="n">
        <v>69</v>
      </c>
      <c r="AI99" s="3" t="n">
        <v>2.4232</v>
      </c>
      <c r="AJ99" s="3" t="n">
        <v>1.1851</v>
      </c>
      <c r="AK99" s="3" t="n">
        <v>-0.108788584519348</v>
      </c>
      <c r="AL99" s="6" t="n">
        <v>0</v>
      </c>
      <c r="AM99" s="3" t="n">
        <v>2.35312144194812</v>
      </c>
      <c r="AN99" s="3" t="n">
        <v>0</v>
      </c>
      <c r="AO99" s="3" t="n">
        <v>0.054252</v>
      </c>
      <c r="AP99" s="3">
        <f>N(X99)*N(BI99)</f>
        <v/>
      </c>
      <c r="AQ99" s="3" t="n">
        <v>0.2368</v>
      </c>
      <c r="AR99" s="3" t="n">
        <v>0.474357769926339</v>
      </c>
      <c r="AS99" s="3" t="n">
        <v>-0.365915508000572</v>
      </c>
      <c r="AT99" s="3" t="n">
        <v>-0.108788584519348</v>
      </c>
      <c r="AU99" s="3">
        <f>SUM(AN99:AT99)</f>
        <v/>
      </c>
      <c r="AV99" s="7">
        <f>IF(OR(N(W99)&lt;=0,N(BG99)=0),0,N(W99)*IF(N(R99)/N(W99)&gt;=60,N(BG99),1))</f>
        <v/>
      </c>
      <c r="AW99" s="7">
        <f>N(W99)*N(AF99)*N(BH99)</f>
        <v/>
      </c>
      <c r="AX99" s="7">
        <f>N(AL99)*(Assumptions!$B$13*N(BJ99)-(1-Assumptions!$B$13)*Assumptions!$B$14)+N(AM99)</f>
        <v/>
      </c>
      <c r="AY99" s="7">
        <f>N(AU99)*N(R99)/90+N(AV99)+N(AW99)+N(AX99)</f>
        <v/>
      </c>
      <c r="AZ99" s="3">
        <f>IF(N(R99)&lt;=0,0,(N(AY99)-N(AX99))*90/N(R99))</f>
        <v/>
      </c>
      <c r="BA99" s="7">
        <f>IFERROR(AY99-VLOOKUP($E99,Assumptions!$A$40:$C$43,3,FALSE),"")</f>
        <v/>
      </c>
      <c r="BB99" s="3">
        <f>IFERROR(BA99/H99,"")</f>
        <v/>
      </c>
      <c r="BC99">
        <f>IF(AND($G99=TRUE,$E99="GKP"),AY99,"")</f>
        <v/>
      </c>
      <c r="BD99">
        <f>IF(AND($G99=TRUE,$E99="DEF"),AY99,"")</f>
        <v/>
      </c>
      <c r="BE99">
        <f>IF(AND($G99=TRUE,$E99="MID"),AY99,"")</f>
        <v/>
      </c>
      <c r="BF99">
        <f>IF(AND($G99=TRUE,$E99="FWD"),AY99,"")</f>
        <v/>
      </c>
      <c r="BG99" t="n">
        <v>2</v>
      </c>
      <c r="BH99" t="n">
        <v>0</v>
      </c>
      <c r="BI99" t="n">
        <v>4</v>
      </c>
      <c r="BJ99" t="n">
        <v>10</v>
      </c>
    </row>
    <row r="100">
      <c r="A100" t="inlineStr">
        <is>
          <t>Mikkel Damsgaard</t>
        </is>
      </c>
      <c r="B100" t="inlineStr">
        <is>
          <t>BRE</t>
        </is>
      </c>
      <c r="C100" t="inlineStr">
        <is>
          <t>BRE</t>
        </is>
      </c>
      <c r="D100" t="b">
        <v>0</v>
      </c>
      <c r="E100" t="inlineStr">
        <is>
          <t>MID</t>
        </is>
      </c>
      <c r="F100" t="inlineStr">
        <is>
          <t>MID</t>
        </is>
      </c>
      <c r="G100" t="b">
        <v>1</v>
      </c>
      <c r="H100" s="2" t="n">
        <v>5.5</v>
      </c>
      <c r="I100" t="inlineStr">
        <is>
          <t>a</t>
        </is>
      </c>
      <c r="K100" s="2" t="n">
        <v>2046</v>
      </c>
      <c r="L100" t="n">
        <v>113</v>
      </c>
      <c r="M100" s="3" t="n">
        <v>1915</v>
      </c>
      <c r="N100" s="8" t="n">
        <v>1915</v>
      </c>
      <c r="O100" s="8" t="n">
        <v>0</v>
      </c>
      <c r="Q100" t="inlineStr">
        <is>
          <t>flat</t>
        </is>
      </c>
      <c r="R100" s="6" t="n">
        <v>1915</v>
      </c>
      <c r="S100" t="inlineStr">
        <is>
          <t>Solio</t>
        </is>
      </c>
      <c r="U100" s="6" t="n">
        <v>78.59999999999999</v>
      </c>
      <c r="V100" s="2" t="n">
        <v>24</v>
      </c>
      <c r="W100" s="7">
        <f>IF(N(U100)&lt;=0,0,MIN(Assumptions!$B$15,N(R100)/N(U100)))</f>
        <v/>
      </c>
      <c r="X100" s="6" t="n">
        <v>0.228</v>
      </c>
      <c r="Y100" s="3" t="n">
        <v>0.1149</v>
      </c>
      <c r="Z100" t="inlineStr">
        <is>
          <t>adjusted xGOT</t>
        </is>
      </c>
      <c r="AA100" s="3" t="n">
        <v>1</v>
      </c>
      <c r="AB100" s="3" t="n">
        <v>1.001</v>
      </c>
      <c r="AC100" s="3" t="n">
        <v>8.6</v>
      </c>
      <c r="AD100" s="3" t="n">
        <v>0.2617</v>
      </c>
      <c r="AE100" s="3" t="n">
        <v>10.074</v>
      </c>
      <c r="AF100" s="3" t="n">
        <v>0.1778409087464298</v>
      </c>
      <c r="AG100" s="3" t="n">
        <v>0.3959</v>
      </c>
      <c r="AH100" s="3" t="n">
        <v>55</v>
      </c>
      <c r="AI100" s="3" t="n">
        <v>3.2371</v>
      </c>
      <c r="AJ100" s="3" t="n">
        <v>1.5396</v>
      </c>
      <c r="AK100" s="3" t="n">
        <v>-0.1005908179385081</v>
      </c>
      <c r="AL100" s="6" t="n">
        <v>0</v>
      </c>
      <c r="AM100" s="3" t="n">
        <v>0</v>
      </c>
      <c r="AN100" s="3" t="n">
        <v>0.5745</v>
      </c>
      <c r="AO100" s="3" t="n">
        <v>1.036332</v>
      </c>
      <c r="AP100" s="3">
        <f>N(X100)*N(BI100)</f>
        <v/>
      </c>
      <c r="AQ100" s="3" t="n">
        <v>0.3959</v>
      </c>
      <c r="AR100" s="3" t="n">
        <v>0</v>
      </c>
      <c r="AS100" s="3" t="n">
        <v>-0</v>
      </c>
      <c r="AT100" s="3" t="n">
        <v>-0.1005908179385081</v>
      </c>
      <c r="AU100" s="3">
        <f>SUM(AN100:AT100)</f>
        <v/>
      </c>
      <c r="AV100" s="7">
        <f>IF(OR(N(W100)&lt;=0,N(BG100)=0),0,N(W100)*IF(N(R100)/N(W100)&gt;=60,N(BG100),1))</f>
        <v/>
      </c>
      <c r="AW100" s="7">
        <f>N(W100)*N(AF100)*N(BH100)</f>
        <v/>
      </c>
      <c r="AX100" s="7">
        <f>N(AL100)*(Assumptions!$B$13*N(BJ100)-(1-Assumptions!$B$13)*Assumptions!$B$14)+N(AM100)</f>
        <v/>
      </c>
      <c r="AY100" s="7">
        <f>N(AU100)*N(R100)/90+N(AV100)+N(AW100)+N(AX100)</f>
        <v/>
      </c>
      <c r="AZ100" s="3">
        <f>IF(N(R100)&lt;=0,0,(N(AY100)-N(AX100))*90/N(R100))</f>
        <v/>
      </c>
      <c r="BA100" s="7">
        <f>IFERROR(AY100-VLOOKUP($E100,Assumptions!$A$40:$C$43,3,FALSE),"")</f>
        <v/>
      </c>
      <c r="BB100" s="3">
        <f>IFERROR(BA100/H100,"")</f>
        <v/>
      </c>
      <c r="BC100">
        <f>IF(AND($G100=TRUE,$E100="GKP"),AY100,"")</f>
        <v/>
      </c>
      <c r="BD100">
        <f>IF(AND($G100=TRUE,$E100="DEF"),AY100,"")</f>
        <v/>
      </c>
      <c r="BE100">
        <f>IF(AND($G100=TRUE,$E100="MID"),AY100,"")</f>
        <v/>
      </c>
      <c r="BF100">
        <f>IF(AND($G100=TRUE,$E100="FWD"),AY100,"")</f>
        <v/>
      </c>
      <c r="BG100" t="n">
        <v>2</v>
      </c>
      <c r="BH100" t="n">
        <v>2</v>
      </c>
      <c r="BI100" t="n">
        <v>1</v>
      </c>
      <c r="BJ100" t="n">
        <v>5</v>
      </c>
    </row>
    <row r="101">
      <c r="A101" t="inlineStr">
        <is>
          <t>Eberechi Eze</t>
        </is>
      </c>
      <c r="B101" t="inlineStr">
        <is>
          <t>ARS</t>
        </is>
      </c>
      <c r="C101" t="inlineStr">
        <is>
          <t>ARS</t>
        </is>
      </c>
      <c r="D101" t="b">
        <v>0</v>
      </c>
      <c r="E101" t="inlineStr">
        <is>
          <t>MID</t>
        </is>
      </c>
      <c r="F101" t="inlineStr">
        <is>
          <t>MID</t>
        </is>
      </c>
      <c r="G101" t="b">
        <v>1</v>
      </c>
      <c r="H101" s="2" t="n">
        <v>6.5</v>
      </c>
      <c r="I101" t="inlineStr">
        <is>
          <t>a</t>
        </is>
      </c>
      <c r="K101" s="2" t="n">
        <v>1885</v>
      </c>
      <c r="L101" t="n">
        <v>113</v>
      </c>
      <c r="M101" s="3" t="n">
        <v>1328</v>
      </c>
      <c r="N101" s="8" t="n">
        <v>1328</v>
      </c>
      <c r="O101" s="8" t="n">
        <v>0</v>
      </c>
      <c r="Q101" t="inlineStr">
        <is>
          <t>flat</t>
        </is>
      </c>
      <c r="R101" s="6" t="n">
        <v>1328</v>
      </c>
      <c r="S101" t="inlineStr">
        <is>
          <t>Solio</t>
        </is>
      </c>
      <c r="U101" s="6" t="n">
        <v>75.90000000000001</v>
      </c>
      <c r="V101" s="2" t="n">
        <v>22</v>
      </c>
      <c r="W101" s="7">
        <f>IF(N(U101)&lt;=0,0,MIN(Assumptions!$B$15,N(R101)/N(U101)))</f>
        <v/>
      </c>
      <c r="X101" s="6" t="n">
        <v>0.391</v>
      </c>
      <c r="Y101" s="3" t="n">
        <v>0.2755</v>
      </c>
      <c r="Z101" t="inlineStr">
        <is>
          <t>adjusted xGOT</t>
        </is>
      </c>
      <c r="AA101" s="3" t="n">
        <v>1</v>
      </c>
      <c r="AB101" s="3" t="n">
        <v>1.114</v>
      </c>
      <c r="AC101" s="3" t="n">
        <v>31.9</v>
      </c>
      <c r="AD101" s="3" t="n">
        <v>0.1264</v>
      </c>
      <c r="AE101" s="3" t="n">
        <v>6.516</v>
      </c>
      <c r="AF101" s="3" t="n">
        <v>0.01091927449816144</v>
      </c>
      <c r="AG101" s="3" t="n">
        <v>0.382</v>
      </c>
      <c r="AH101" s="3" t="n">
        <v>51</v>
      </c>
      <c r="AI101" s="3" t="n">
        <v>2.067</v>
      </c>
      <c r="AJ101" s="3" t="n">
        <v>0.9838</v>
      </c>
      <c r="AK101" s="3" t="n">
        <v>-0.1112321372810775</v>
      </c>
      <c r="AL101" s="6" t="n">
        <v>0</v>
      </c>
      <c r="AM101" s="3" t="n">
        <v>0</v>
      </c>
      <c r="AN101" s="3" t="n">
        <v>1.3775</v>
      </c>
      <c r="AO101" s="3" t="n">
        <v>0.5005440000000001</v>
      </c>
      <c r="AP101" s="3">
        <f>N(X101)*N(BI101)</f>
        <v/>
      </c>
      <c r="AQ101" s="3" t="n">
        <v>0.382</v>
      </c>
      <c r="AR101" s="3" t="n">
        <v>0</v>
      </c>
      <c r="AS101" s="3" t="n">
        <v>-0</v>
      </c>
      <c r="AT101" s="3" t="n">
        <v>-0.1112321372810775</v>
      </c>
      <c r="AU101" s="3">
        <f>SUM(AN101:AT101)</f>
        <v/>
      </c>
      <c r="AV101" s="7">
        <f>IF(OR(N(W101)&lt;=0,N(BG101)=0),0,N(W101)*IF(N(R101)/N(W101)&gt;=60,N(BG101),1))</f>
        <v/>
      </c>
      <c r="AW101" s="7">
        <f>N(W101)*N(AF101)*N(BH101)</f>
        <v/>
      </c>
      <c r="AX101" s="7">
        <f>N(AL101)*(Assumptions!$B$13*N(BJ101)-(1-Assumptions!$B$13)*Assumptions!$B$14)+N(AM101)</f>
        <v/>
      </c>
      <c r="AY101" s="7">
        <f>N(AU101)*N(R101)/90+N(AV101)+N(AW101)+N(AX101)</f>
        <v/>
      </c>
      <c r="AZ101" s="3">
        <f>IF(N(R101)&lt;=0,0,(N(AY101)-N(AX101))*90/N(R101))</f>
        <v/>
      </c>
      <c r="BA101" s="7">
        <f>IFERROR(AY101-VLOOKUP($E101,Assumptions!$A$40:$C$43,3,FALSE),"")</f>
        <v/>
      </c>
      <c r="BB101" s="3">
        <f>IFERROR(BA101/H101,"")</f>
        <v/>
      </c>
      <c r="BC101">
        <f>IF(AND($G101=TRUE,$E101="GKP"),AY101,"")</f>
        <v/>
      </c>
      <c r="BD101">
        <f>IF(AND($G101=TRUE,$E101="DEF"),AY101,"")</f>
        <v/>
      </c>
      <c r="BE101">
        <f>IF(AND($G101=TRUE,$E101="MID"),AY101,"")</f>
        <v/>
      </c>
      <c r="BF101">
        <f>IF(AND($G101=TRUE,$E101="FWD"),AY101,"")</f>
        <v/>
      </c>
      <c r="BG101" t="n">
        <v>2</v>
      </c>
      <c r="BH101" t="n">
        <v>2</v>
      </c>
      <c r="BI101" t="n">
        <v>1</v>
      </c>
      <c r="BJ101" t="n">
        <v>5</v>
      </c>
    </row>
    <row r="102">
      <c r="A102" t="inlineStr">
        <is>
          <t>Adam Wharton</t>
        </is>
      </c>
      <c r="B102" t="inlineStr">
        <is>
          <t>CRY</t>
        </is>
      </c>
      <c r="C102" t="inlineStr">
        <is>
          <t>CRY</t>
        </is>
      </c>
      <c r="D102" t="b">
        <v>0</v>
      </c>
      <c r="E102" t="inlineStr">
        <is>
          <t>MID</t>
        </is>
      </c>
      <c r="F102" t="inlineStr">
        <is>
          <t>MID</t>
        </is>
      </c>
      <c r="G102" t="b">
        <v>1</v>
      </c>
      <c r="H102" s="2" t="n">
        <v>5.5</v>
      </c>
      <c r="I102" t="inlineStr">
        <is>
          <t>a</t>
        </is>
      </c>
      <c r="K102" s="2" t="n">
        <v>2552</v>
      </c>
      <c r="L102" t="n">
        <v>112</v>
      </c>
      <c r="M102" s="3" t="n">
        <v>3158</v>
      </c>
      <c r="N102" s="4" t="n">
        <v>2700</v>
      </c>
      <c r="O102" s="4" t="n">
        <v>-458</v>
      </c>
      <c r="P102" s="5" t="inlineStr">
        <is>
          <t>low</t>
        </is>
      </c>
      <c r="Q102" t="inlineStr">
        <is>
          <t>flat</t>
        </is>
      </c>
      <c r="R102" s="6" t="n">
        <v>2700</v>
      </c>
      <c r="S102" t="inlineStr">
        <is>
          <t>research</t>
        </is>
      </c>
      <c r="T102" s="5" t="inlineStr">
        <is>
          <t>Small haircut on two grounds, not a demotion. He remains a starter and started at Freiburg. First, an unresolved transfer situation with Chelsea holding face-to-face talks with Palace as of 12 August and Man Utd also circling, with the window open until 1 September. Second, he missed the July Swindon friendly with a knock and has never exceeded 2552 Premier League minutes in a season, so Solio's 3158 is above his established ceiling in a year with Europa League football.</t>
        </is>
      </c>
      <c r="U102" s="6" t="n">
        <v>82.5</v>
      </c>
      <c r="V102" s="2" t="n">
        <v>28</v>
      </c>
      <c r="W102" s="7">
        <f>IF(N(U102)&lt;=0,0,MIN(Assumptions!$B$15,N(R102)/N(U102)))</f>
        <v/>
      </c>
      <c r="X102" s="6" t="n">
        <v>0.216</v>
      </c>
      <c r="Y102" s="3" t="n">
        <v>0.0475</v>
      </c>
      <c r="Z102" t="inlineStr">
        <is>
          <t>adjusted xGOT</t>
        </is>
      </c>
      <c r="AA102" s="3" t="n">
        <v>1</v>
      </c>
      <c r="AB102" s="3" t="n">
        <v>0.885</v>
      </c>
      <c r="AC102" s="3" t="n">
        <v>2.3</v>
      </c>
      <c r="AD102" s="3" t="n">
        <v>0.2485</v>
      </c>
      <c r="AE102" s="3" t="n">
        <v>10.222</v>
      </c>
      <c r="AF102" s="3" t="n">
        <v>0.2343078937535134</v>
      </c>
      <c r="AG102" s="3" t="n">
        <v>0.2821</v>
      </c>
      <c r="AH102" s="3" t="n">
        <v>62</v>
      </c>
      <c r="AI102" s="3" t="n">
        <v>3.2035</v>
      </c>
      <c r="AJ102" s="3" t="n">
        <v>1.5923</v>
      </c>
      <c r="AK102" s="3" t="n">
        <v>-0.1727358222007214</v>
      </c>
      <c r="AL102" s="6" t="n">
        <v>0</v>
      </c>
      <c r="AM102" s="3" t="n">
        <v>0</v>
      </c>
      <c r="AN102" s="3" t="n">
        <v>0.2375</v>
      </c>
      <c r="AO102" s="3" t="n">
        <v>0.9840600000000002</v>
      </c>
      <c r="AP102" s="3">
        <f>N(X102)*N(BI102)</f>
        <v/>
      </c>
      <c r="AQ102" s="3" t="n">
        <v>0.2821</v>
      </c>
      <c r="AR102" s="3" t="n">
        <v>0</v>
      </c>
      <c r="AS102" s="3" t="n">
        <v>-0</v>
      </c>
      <c r="AT102" s="3" t="n">
        <v>-0.1727358222007214</v>
      </c>
      <c r="AU102" s="3">
        <f>SUM(AN102:AT102)</f>
        <v/>
      </c>
      <c r="AV102" s="7">
        <f>IF(OR(N(W102)&lt;=0,N(BG102)=0),0,N(W102)*IF(N(R102)/N(W102)&gt;=60,N(BG102),1))</f>
        <v/>
      </c>
      <c r="AW102" s="7">
        <f>N(W102)*N(AF102)*N(BH102)</f>
        <v/>
      </c>
      <c r="AX102" s="7">
        <f>N(AL102)*(Assumptions!$B$13*N(BJ102)-(1-Assumptions!$B$13)*Assumptions!$B$14)+N(AM102)</f>
        <v/>
      </c>
      <c r="AY102" s="7">
        <f>N(AU102)*N(R102)/90+N(AV102)+N(AW102)+N(AX102)</f>
        <v/>
      </c>
      <c r="AZ102" s="3">
        <f>IF(N(R102)&lt;=0,0,(N(AY102)-N(AX102))*90/N(R102))</f>
        <v/>
      </c>
      <c r="BA102" s="7">
        <f>IFERROR(AY102-VLOOKUP($E102,Assumptions!$A$40:$C$43,3,FALSE),"")</f>
        <v/>
      </c>
      <c r="BB102" s="3">
        <f>IFERROR(BA102/H102,"")</f>
        <v/>
      </c>
      <c r="BC102">
        <f>IF(AND($G102=TRUE,$E102="GKP"),AY102,"")</f>
        <v/>
      </c>
      <c r="BD102">
        <f>IF(AND($G102=TRUE,$E102="DEF"),AY102,"")</f>
        <v/>
      </c>
      <c r="BE102">
        <f>IF(AND($G102=TRUE,$E102="MID"),AY102,"")</f>
        <v/>
      </c>
      <c r="BF102">
        <f>IF(AND($G102=TRUE,$E102="FWD"),AY102,"")</f>
        <v/>
      </c>
      <c r="BG102" t="n">
        <v>2</v>
      </c>
      <c r="BH102" t="n">
        <v>2</v>
      </c>
      <c r="BI102" t="n">
        <v>1</v>
      </c>
      <c r="BJ102" t="n">
        <v>5</v>
      </c>
    </row>
    <row r="103">
      <c r="A103" t="inlineStr">
        <is>
          <t>Benjamin Sesko</t>
        </is>
      </c>
      <c r="B103" t="inlineStr">
        <is>
          <t>MUN</t>
        </is>
      </c>
      <c r="C103" t="inlineStr">
        <is>
          <t>MUN</t>
        </is>
      </c>
      <c r="D103" t="b">
        <v>0</v>
      </c>
      <c r="E103" t="inlineStr">
        <is>
          <t>FWD</t>
        </is>
      </c>
      <c r="F103" t="inlineStr">
        <is>
          <t>FWD</t>
        </is>
      </c>
      <c r="G103" t="b">
        <v>1</v>
      </c>
      <c r="H103" s="2" t="n">
        <v>7</v>
      </c>
      <c r="I103" t="inlineStr">
        <is>
          <t>d</t>
        </is>
      </c>
      <c r="J103" t="inlineStr">
        <is>
          <t>Shin injury - 75% chance of playing</t>
        </is>
      </c>
      <c r="K103" s="2" t="n">
        <v>1630</v>
      </c>
      <c r="L103" t="n">
        <v>111</v>
      </c>
      <c r="M103" s="3" t="n">
        <v>2274</v>
      </c>
      <c r="N103" s="4" t="n">
        <v>1800</v>
      </c>
      <c r="O103" s="4" t="n">
        <v>-474</v>
      </c>
      <c r="P103" s="5" t="inlineStr">
        <is>
          <t>medium</t>
        </is>
      </c>
      <c r="Q103" t="inlineStr">
        <is>
          <t>flat</t>
        </is>
      </c>
      <c r="R103" s="6" t="n">
        <v>1800</v>
      </c>
      <c r="S103" t="inlineStr">
        <is>
          <t>research</t>
        </is>
      </c>
      <c r="T103" s="5" t="inlineStr">
        <is>
          <t>Has not played a minute of pre-season. The shin problem that ended his 2025/26 against Liverpool on 3 May was thought minor and has repeatedly slipped: he missed the Wrexham, Rosenborg, Atletico, PSG, Leeds and AC Milan matches. United say they are confident he is fit for 22 August, but a striker starting the season with zero match minutes, in a squad where Cunha started at centre-forward in the dress rehearsal and Mbeumo replaced him there, carries both a slow-start risk and a re-injury risk.</t>
        </is>
      </c>
      <c r="U103" s="6" t="n">
        <v>78.7</v>
      </c>
      <c r="V103" s="2" t="n">
        <v>17</v>
      </c>
      <c r="W103" s="7">
        <f>IF(N(U103)&lt;=0,0,MIN(Assumptions!$B$15,N(R103)/N(U103)))</f>
        <v/>
      </c>
      <c r="X103" s="6" t="n">
        <v>0.334</v>
      </c>
      <c r="Y103" s="3" t="n">
        <v>0.5673</v>
      </c>
      <c r="Z103" t="inlineStr">
        <is>
          <t>adjusted xGOT</t>
        </is>
      </c>
      <c r="AA103" s="3" t="n">
        <v>1</v>
      </c>
      <c r="AB103" s="3" t="n">
        <v>1.116</v>
      </c>
      <c r="AC103" s="3" t="n">
        <v>9.199999999999999</v>
      </c>
      <c r="AD103" s="3" t="n">
        <v>0.0242</v>
      </c>
      <c r="AE103" s="3" t="n">
        <v>3.92</v>
      </c>
      <c r="AF103" s="3" t="n">
        <v>0.0002401849979577486</v>
      </c>
      <c r="AG103" s="3" t="n">
        <v>1.0491</v>
      </c>
      <c r="AH103" s="3" t="n">
        <v>44</v>
      </c>
      <c r="AI103" s="3" t="n">
        <v>2.2165</v>
      </c>
      <c r="AJ103" s="3" t="n">
        <v>1.1467</v>
      </c>
      <c r="AK103" s="3" t="n">
        <v>-0.1467446864486378</v>
      </c>
      <c r="AL103" s="6" t="n">
        <v>0</v>
      </c>
      <c r="AM103" s="3" t="n">
        <v>0</v>
      </c>
      <c r="AN103" s="3" t="n">
        <v>2.2692</v>
      </c>
      <c r="AO103" s="3" t="n">
        <v>0.095832</v>
      </c>
      <c r="AP103" s="3">
        <f>N(X103)*N(BI103)</f>
        <v/>
      </c>
      <c r="AQ103" s="3" t="n">
        <v>1.0491</v>
      </c>
      <c r="AR103" s="3" t="n">
        <v>0</v>
      </c>
      <c r="AS103" s="3" t="n">
        <v>-0</v>
      </c>
      <c r="AT103" s="3" t="n">
        <v>-0.1467446864486378</v>
      </c>
      <c r="AU103" s="3">
        <f>SUM(AN103:AT103)</f>
        <v/>
      </c>
      <c r="AV103" s="7">
        <f>IF(OR(N(W103)&lt;=0,N(BG103)=0),0,N(W103)*IF(N(R103)/N(W103)&gt;=60,N(BG103),1))</f>
        <v/>
      </c>
      <c r="AW103" s="7">
        <f>N(W103)*N(AF103)*N(BH103)</f>
        <v/>
      </c>
      <c r="AX103" s="7">
        <f>N(AL103)*(Assumptions!$B$13*N(BJ103)-(1-Assumptions!$B$13)*Assumptions!$B$14)+N(AM103)</f>
        <v/>
      </c>
      <c r="AY103" s="7">
        <f>N(AU103)*N(R103)/90+N(AV103)+N(AW103)+N(AX103)</f>
        <v/>
      </c>
      <c r="AZ103" s="3">
        <f>IF(N(R103)&lt;=0,0,(N(AY103)-N(AX103))*90/N(R103))</f>
        <v/>
      </c>
      <c r="BA103" s="7">
        <f>IFERROR(AY103-VLOOKUP($E103,Assumptions!$A$40:$C$43,3,FALSE),"")</f>
        <v/>
      </c>
      <c r="BB103" s="3">
        <f>IFERROR(BA103/H103,"")</f>
        <v/>
      </c>
      <c r="BC103">
        <f>IF(AND($G103=TRUE,$E103="GKP"),AY103,"")</f>
        <v/>
      </c>
      <c r="BD103">
        <f>IF(AND($G103=TRUE,$E103="DEF"),AY103,"")</f>
        <v/>
      </c>
      <c r="BE103">
        <f>IF(AND($G103=TRUE,$E103="MID"),AY103,"")</f>
        <v/>
      </c>
      <c r="BF103">
        <f>IF(AND($G103=TRUE,$E103="FWD"),AY103,"")</f>
        <v/>
      </c>
      <c r="BG103" t="n">
        <v>2</v>
      </c>
      <c r="BH103" t="n">
        <v>2</v>
      </c>
      <c r="BI103" t="n">
        <v>0</v>
      </c>
      <c r="BJ103" t="n">
        <v>4</v>
      </c>
    </row>
    <row r="104">
      <c r="A104" t="inlineStr">
        <is>
          <t>Diogo Dalot</t>
        </is>
      </c>
      <c r="B104" t="inlineStr">
        <is>
          <t>MUN</t>
        </is>
      </c>
      <c r="C104" t="inlineStr">
        <is>
          <t>MUN</t>
        </is>
      </c>
      <c r="D104" t="b">
        <v>0</v>
      </c>
      <c r="E104" t="inlineStr">
        <is>
          <t>DEF</t>
        </is>
      </c>
      <c r="F104" t="inlineStr">
        <is>
          <t>DEF</t>
        </is>
      </c>
      <c r="G104" t="b">
        <v>1</v>
      </c>
      <c r="H104" s="2" t="n">
        <v>5</v>
      </c>
      <c r="I104" t="inlineStr">
        <is>
          <t>a</t>
        </is>
      </c>
      <c r="K104" s="2" t="n">
        <v>2609</v>
      </c>
      <c r="L104" t="n">
        <v>111</v>
      </c>
      <c r="M104" s="3" t="n">
        <v>2594</v>
      </c>
      <c r="N104" s="4" t="n">
        <v>2100</v>
      </c>
      <c r="O104" s="4" t="n">
        <v>-494</v>
      </c>
      <c r="P104" s="5" t="inlineStr">
        <is>
          <t>medium</t>
        </is>
      </c>
      <c r="Q104" t="inlineStr">
        <is>
          <t>flat</t>
        </is>
      </c>
      <c r="R104" s="6" t="n">
        <v>2100</v>
      </c>
      <c r="S104" t="inlineStr">
        <is>
          <t>research</t>
        </is>
      </c>
      <c r="T104" s="5" t="inlineStr">
        <is>
          <t>Solio splits right-back roughly 76/24 in Dalot's favour. Mazraoui started the dress rehearsal against Milan with Dalot only introduced on 61', and Yoro also covered the position in pre-season. Dalot's case is real — Carrick never lost a match with him starting — but the slot is genuinely contested, so the split moves to roughly 62/38. This is paired with the offsetting Mazraoui delta and is close to minutes-neutral for the club.</t>
        </is>
      </c>
      <c r="U104" s="6" t="n">
        <v>85.5</v>
      </c>
      <c r="V104" s="2" t="n">
        <v>29</v>
      </c>
      <c r="W104" s="7">
        <f>IF(N(U104)&lt;=0,0,MIN(Assumptions!$B$15,N(R104)/N(U104)))</f>
        <v/>
      </c>
      <c r="X104" s="6" t="n">
        <v>0.334</v>
      </c>
      <c r="Y104" s="3" t="n">
        <v>0.0527</v>
      </c>
      <c r="Z104" t="inlineStr">
        <is>
          <t>adjusted xGOT</t>
        </is>
      </c>
      <c r="AA104" s="3" t="n">
        <v>1</v>
      </c>
      <c r="AB104" s="3" t="n">
        <v>0.791</v>
      </c>
      <c r="AC104" s="3" t="n">
        <v>8</v>
      </c>
      <c r="AD104" s="3" t="n">
        <v>0.1048</v>
      </c>
      <c r="AE104" s="3" t="n">
        <v>6.528</v>
      </c>
      <c r="AF104" s="3" t="n">
        <v>0.09850051054912889</v>
      </c>
      <c r="AG104" s="3" t="n">
        <v>0.345</v>
      </c>
      <c r="AH104" s="3" t="n">
        <v>62</v>
      </c>
      <c r="AI104" s="3" t="n">
        <v>2.2165</v>
      </c>
      <c r="AJ104" s="3" t="n">
        <v>1.1467</v>
      </c>
      <c r="AK104" s="3" t="n">
        <v>-0.1822064962082101</v>
      </c>
      <c r="AL104" s="6" t="n">
        <v>0</v>
      </c>
      <c r="AM104" s="3" t="n">
        <v>0</v>
      </c>
      <c r="AN104" s="3" t="n">
        <v>0.3162</v>
      </c>
      <c r="AO104" s="3" t="n">
        <v>0.415008</v>
      </c>
      <c r="AP104" s="3">
        <f>N(X104)*N(BI104)</f>
        <v/>
      </c>
      <c r="AQ104" s="3" t="n">
        <v>0.345</v>
      </c>
      <c r="AR104" s="3" t="n">
        <v>0</v>
      </c>
      <c r="AS104" s="3" t="n">
        <v>-0.348580685135232</v>
      </c>
      <c r="AT104" s="3" t="n">
        <v>-0.1822064962082101</v>
      </c>
      <c r="AU104" s="3">
        <f>SUM(AN104:AT104)</f>
        <v/>
      </c>
      <c r="AV104" s="7">
        <f>IF(OR(N(W104)&lt;=0,N(BG104)=0),0,N(W104)*IF(N(R104)/N(W104)&gt;=60,N(BG104),1))</f>
        <v/>
      </c>
      <c r="AW104" s="7">
        <f>N(W104)*N(AF104)*N(BH104)</f>
        <v/>
      </c>
      <c r="AX104" s="7">
        <f>N(AL104)*(Assumptions!$B$13*N(BJ104)-(1-Assumptions!$B$13)*Assumptions!$B$14)+N(AM104)</f>
        <v/>
      </c>
      <c r="AY104" s="7">
        <f>N(AU104)*N(R104)/90+N(AV104)+N(AW104)+N(AX104)</f>
        <v/>
      </c>
      <c r="AZ104" s="3">
        <f>IF(N(R104)&lt;=0,0,(N(AY104)-N(AX104))*90/N(R104))</f>
        <v/>
      </c>
      <c r="BA104" s="7">
        <f>IFERROR(AY104-VLOOKUP($E104,Assumptions!$A$40:$C$43,3,FALSE),"")</f>
        <v/>
      </c>
      <c r="BB104" s="3">
        <f>IFERROR(BA104/H104,"")</f>
        <v/>
      </c>
      <c r="BC104">
        <f>IF(AND($G104=TRUE,$E104="GKP"),AY104,"")</f>
        <v/>
      </c>
      <c r="BD104">
        <f>IF(AND($G104=TRUE,$E104="DEF"),AY104,"")</f>
        <v/>
      </c>
      <c r="BE104">
        <f>IF(AND($G104=TRUE,$E104="MID"),AY104,"")</f>
        <v/>
      </c>
      <c r="BF104">
        <f>IF(AND($G104=TRUE,$E104="FWD"),AY104,"")</f>
        <v/>
      </c>
      <c r="BG104" t="n">
        <v>2</v>
      </c>
      <c r="BH104" t="n">
        <v>2</v>
      </c>
      <c r="BI104" t="n">
        <v>4</v>
      </c>
      <c r="BJ104" t="n">
        <v>6</v>
      </c>
    </row>
    <row r="105">
      <c r="A105" t="inlineStr">
        <is>
          <t>Trai Hume</t>
        </is>
      </c>
      <c r="B105" t="inlineStr">
        <is>
          <t>SUN</t>
        </is>
      </c>
      <c r="C105" t="inlineStr">
        <is>
          <t>SUN</t>
        </is>
      </c>
      <c r="D105" t="b">
        <v>0</v>
      </c>
      <c r="E105" t="inlineStr">
        <is>
          <t>DEF</t>
        </is>
      </c>
      <c r="F105" t="inlineStr">
        <is>
          <t>DEF</t>
        </is>
      </c>
      <c r="G105" t="b">
        <v>1</v>
      </c>
      <c r="H105" s="2" t="n">
        <v>4.5</v>
      </c>
      <c r="I105" t="inlineStr">
        <is>
          <t>a</t>
        </is>
      </c>
      <c r="K105" s="2" t="n">
        <v>3032</v>
      </c>
      <c r="L105" t="n">
        <v>110</v>
      </c>
      <c r="M105" s="3" t="n">
        <v>2668</v>
      </c>
      <c r="N105" s="4" t="n">
        <v>2950</v>
      </c>
      <c r="O105" s="4" t="n">
        <v>282</v>
      </c>
      <c r="P105" s="5" t="inlineStr">
        <is>
          <t>medium</t>
        </is>
      </c>
      <c r="Q105" t="inlineStr">
        <is>
          <t>flat</t>
        </is>
      </c>
      <c r="R105" s="6" t="n">
        <v>2950</v>
      </c>
      <c r="S105" t="inlineStr">
        <is>
          <t>research</t>
        </is>
      </c>
      <c r="T105" s="5" t="inlineStr">
        <is>
          <t>Solio drops Hume to 2,668 from the 3,032 he actually played in 2025/26, which implies he loses ground. The evidence points the other way: he started the final pre-season friendly at right-back and scored, and his only direct competition is 34-year-old free signing Thomas Meunier, who was withdrawn at half-time on his debut against Lens. Modest upward move rather than a large one, because the 11 Aug preview did have Meunier starting at right-back with Hume moved forward, so the position is not fully settled.</t>
        </is>
      </c>
      <c r="U105" s="6" t="n">
        <v>86.5</v>
      </c>
      <c r="V105" s="2" t="n">
        <v>34</v>
      </c>
      <c r="W105" s="7">
        <f>IF(N(U105)&lt;=0,0,MIN(Assumptions!$B$15,N(R105)/N(U105)))</f>
        <v/>
      </c>
      <c r="X105" s="6" t="n">
        <v>0.204</v>
      </c>
      <c r="Y105" s="3" t="n">
        <v>0.0669</v>
      </c>
      <c r="Z105" t="inlineStr">
        <is>
          <t>adjusted xGOT</t>
        </is>
      </c>
      <c r="AA105" s="3" t="n">
        <v>1</v>
      </c>
      <c r="AB105" s="3" t="n">
        <v>0.993</v>
      </c>
      <c r="AC105" s="3" t="n">
        <v>2.3</v>
      </c>
      <c r="AD105" s="3" t="n">
        <v>0.0614</v>
      </c>
      <c r="AE105" s="3" t="n">
        <v>6.344</v>
      </c>
      <c r="AF105" s="3" t="n">
        <v>0.09078408556180839</v>
      </c>
      <c r="AG105" s="3" t="n">
        <v>0.1781</v>
      </c>
      <c r="AH105" s="3" t="n">
        <v>70</v>
      </c>
      <c r="AI105" s="3" t="n">
        <v>3.3348</v>
      </c>
      <c r="AJ105" s="3" t="n">
        <v>1.6498</v>
      </c>
      <c r="AK105" s="3" t="n">
        <v>-0.261356914364491</v>
      </c>
      <c r="AL105" s="6" t="n">
        <v>0</v>
      </c>
      <c r="AM105" s="3" t="n">
        <v>0</v>
      </c>
      <c r="AN105" s="3" t="n">
        <v>0.4014</v>
      </c>
      <c r="AO105" s="3" t="n">
        <v>0.243144</v>
      </c>
      <c r="AP105" s="3">
        <f>N(X105)*N(BI105)</f>
        <v/>
      </c>
      <c r="AQ105" s="3" t="n">
        <v>0.1781</v>
      </c>
      <c r="AR105" s="3" t="n">
        <v>0</v>
      </c>
      <c r="AS105" s="3" t="n">
        <v>-0.5841244809045405</v>
      </c>
      <c r="AT105" s="3" t="n">
        <v>-0.261356914364491</v>
      </c>
      <c r="AU105" s="3">
        <f>SUM(AN105:AT105)</f>
        <v/>
      </c>
      <c r="AV105" s="7">
        <f>IF(OR(N(W105)&lt;=0,N(BG105)=0),0,N(W105)*IF(N(R105)/N(W105)&gt;=60,N(BG105),1))</f>
        <v/>
      </c>
      <c r="AW105" s="7">
        <f>N(W105)*N(AF105)*N(BH105)</f>
        <v/>
      </c>
      <c r="AX105" s="7">
        <f>N(AL105)*(Assumptions!$B$13*N(BJ105)-(1-Assumptions!$B$13)*Assumptions!$B$14)+N(AM105)</f>
        <v/>
      </c>
      <c r="AY105" s="7">
        <f>N(AU105)*N(R105)/90+N(AV105)+N(AW105)+N(AX105)</f>
        <v/>
      </c>
      <c r="AZ105" s="3">
        <f>IF(N(R105)&lt;=0,0,(N(AY105)-N(AX105))*90/N(R105))</f>
        <v/>
      </c>
      <c r="BA105" s="7">
        <f>IFERROR(AY105-VLOOKUP($E105,Assumptions!$A$40:$C$43,3,FALSE),"")</f>
        <v/>
      </c>
      <c r="BB105" s="3">
        <f>IFERROR(BA105/H105,"")</f>
        <v/>
      </c>
      <c r="BC105">
        <f>IF(AND($G105=TRUE,$E105="GKP"),AY105,"")</f>
        <v/>
      </c>
      <c r="BD105">
        <f>IF(AND($G105=TRUE,$E105="DEF"),AY105,"")</f>
        <v/>
      </c>
      <c r="BE105">
        <f>IF(AND($G105=TRUE,$E105="MID"),AY105,"")</f>
        <v/>
      </c>
      <c r="BF105">
        <f>IF(AND($G105=TRUE,$E105="FWD"),AY105,"")</f>
        <v/>
      </c>
      <c r="BG105" t="n">
        <v>2</v>
      </c>
      <c r="BH105" t="n">
        <v>2</v>
      </c>
      <c r="BI105" t="n">
        <v>4</v>
      </c>
      <c r="BJ105" t="n">
        <v>6</v>
      </c>
    </row>
    <row r="106">
      <c r="A106" t="inlineStr">
        <is>
          <t>James Hill</t>
        </is>
      </c>
      <c r="B106" t="inlineStr">
        <is>
          <t>BOU</t>
        </is>
      </c>
      <c r="C106" t="inlineStr">
        <is>
          <t>BOU</t>
        </is>
      </c>
      <c r="D106" t="b">
        <v>0</v>
      </c>
      <c r="E106" t="inlineStr">
        <is>
          <t>DEF</t>
        </is>
      </c>
      <c r="F106" t="inlineStr">
        <is>
          <t>DEF</t>
        </is>
      </c>
      <c r="G106" t="b">
        <v>1</v>
      </c>
      <c r="H106" s="2" t="n">
        <v>5.5</v>
      </c>
      <c r="I106" t="inlineStr">
        <is>
          <t>a</t>
        </is>
      </c>
      <c r="K106" s="2" t="n">
        <v>2102</v>
      </c>
      <c r="L106" t="n">
        <v>110</v>
      </c>
      <c r="M106" s="3" t="n">
        <v>3340</v>
      </c>
      <c r="N106" s="4" t="n">
        <v>2700</v>
      </c>
      <c r="O106" s="4" t="n">
        <v>-640</v>
      </c>
      <c r="P106" s="5" t="inlineStr">
        <is>
          <t>low</t>
        </is>
      </c>
      <c r="Q106" t="inlineStr">
        <is>
          <t>flat</t>
        </is>
      </c>
      <c r="R106" s="6" t="n">
        <v>2700</v>
      </c>
      <c r="S106" t="inlineStr">
        <is>
          <t>research</t>
        </is>
      </c>
      <c r="T106" s="5" t="inlineStr">
        <is>
          <t>Hill did start both friendlies and remains a first-choice centre-back, so this is a trim rather than a demotion. Solio's 3340 is 98% of the position and reads as if Hill inherits Senesi's minutes wholesale; in fact Bournemouth spent c.GBP 25.7m on Antonio Silva and still have a fit Diakite, giving three senior centre-backs for two slots across a Premier League and Europa League double programme.</t>
        </is>
      </c>
      <c r="U106" s="6" t="n">
        <v>87.5</v>
      </c>
      <c r="V106" s="2" t="n">
        <v>22</v>
      </c>
      <c r="W106" s="7">
        <f>IF(N(U106)&lt;=0,0,MIN(Assumptions!$B$15,N(R106)/N(U106)))</f>
        <v/>
      </c>
      <c r="X106" s="6" t="n">
        <v>0.23</v>
      </c>
      <c r="Y106" s="3" t="n">
        <v>0.0345</v>
      </c>
      <c r="Z106" t="inlineStr">
        <is>
          <t>adjusted xGOT</t>
        </is>
      </c>
      <c r="AA106" s="3" t="n">
        <v>1</v>
      </c>
      <c r="AB106" s="3" t="n">
        <v>0.904</v>
      </c>
      <c r="AC106" s="3" t="n">
        <v>1.2</v>
      </c>
      <c r="AD106" s="3" t="n">
        <v>0.0554</v>
      </c>
      <c r="AE106" s="3" t="n">
        <v>10.253</v>
      </c>
      <c r="AF106" s="3" t="n">
        <v>0.5380848172178812</v>
      </c>
      <c r="AG106" s="3" t="n">
        <v>0.1284</v>
      </c>
      <c r="AH106" s="3" t="n">
        <v>52</v>
      </c>
      <c r="AI106" s="3" t="n">
        <v>3.0957</v>
      </c>
      <c r="AJ106" s="3" t="n">
        <v>1.53</v>
      </c>
      <c r="AK106" s="3" t="n">
        <v>-0.2213309023316314</v>
      </c>
      <c r="AL106" s="6" t="n">
        <v>0</v>
      </c>
      <c r="AM106" s="3" t="n">
        <v>0</v>
      </c>
      <c r="AN106" s="3" t="n">
        <v>0.207</v>
      </c>
      <c r="AO106" s="3" t="n">
        <v>0.219384</v>
      </c>
      <c r="AP106" s="3">
        <f>N(X106)*N(BI106)</f>
        <v/>
      </c>
      <c r="AQ106" s="3" t="n">
        <v>0.1284</v>
      </c>
      <c r="AR106" s="3" t="n">
        <v>0</v>
      </c>
      <c r="AS106" s="3" t="n">
        <v>-0.5267219238049191</v>
      </c>
      <c r="AT106" s="3" t="n">
        <v>-0.2213309023316314</v>
      </c>
      <c r="AU106" s="3">
        <f>SUM(AN106:AT106)</f>
        <v/>
      </c>
      <c r="AV106" s="7">
        <f>IF(OR(N(W106)&lt;=0,N(BG106)=0),0,N(W106)*IF(N(R106)/N(W106)&gt;=60,N(BG106),1))</f>
        <v/>
      </c>
      <c r="AW106" s="7">
        <f>N(W106)*N(AF106)*N(BH106)</f>
        <v/>
      </c>
      <c r="AX106" s="7">
        <f>N(AL106)*(Assumptions!$B$13*N(BJ106)-(1-Assumptions!$B$13)*Assumptions!$B$14)+N(AM106)</f>
        <v/>
      </c>
      <c r="AY106" s="7">
        <f>N(AU106)*N(R106)/90+N(AV106)+N(AW106)+N(AX106)</f>
        <v/>
      </c>
      <c r="AZ106" s="3">
        <f>IF(N(R106)&lt;=0,0,(N(AY106)-N(AX106))*90/N(R106))</f>
        <v/>
      </c>
      <c r="BA106" s="7">
        <f>IFERROR(AY106-VLOOKUP($E106,Assumptions!$A$40:$C$43,3,FALSE),"")</f>
        <v/>
      </c>
      <c r="BB106" s="3">
        <f>IFERROR(BA106/H106,"")</f>
        <v/>
      </c>
      <c r="BC106">
        <f>IF(AND($G106=TRUE,$E106="GKP"),AY106,"")</f>
        <v/>
      </c>
      <c r="BD106">
        <f>IF(AND($G106=TRUE,$E106="DEF"),AY106,"")</f>
        <v/>
      </c>
      <c r="BE106">
        <f>IF(AND($G106=TRUE,$E106="MID"),AY106,"")</f>
        <v/>
      </c>
      <c r="BF106">
        <f>IF(AND($G106=TRUE,$E106="FWD"),AY106,"")</f>
        <v/>
      </c>
      <c r="BG106" t="n">
        <v>2</v>
      </c>
      <c r="BH106" t="n">
        <v>2</v>
      </c>
      <c r="BI106" t="n">
        <v>4</v>
      </c>
      <c r="BJ106" t="n">
        <v>6</v>
      </c>
    </row>
    <row r="107">
      <c r="A107" t="inlineStr">
        <is>
          <t>Moisés Caicedo</t>
        </is>
      </c>
      <c r="B107" t="inlineStr">
        <is>
          <t>CHE</t>
        </is>
      </c>
      <c r="C107" t="inlineStr">
        <is>
          <t>CHE</t>
        </is>
      </c>
      <c r="D107" t="b">
        <v>0</v>
      </c>
      <c r="E107" t="inlineStr">
        <is>
          <t>MID</t>
        </is>
      </c>
      <c r="F107" t="inlineStr">
        <is>
          <t>MID</t>
        </is>
      </c>
      <c r="G107" t="b">
        <v>1</v>
      </c>
      <c r="H107" s="2" t="n">
        <v>5.5</v>
      </c>
      <c r="I107" t="inlineStr">
        <is>
          <t>a</t>
        </is>
      </c>
      <c r="K107" s="2" t="n">
        <v>2796</v>
      </c>
      <c r="L107" t="n">
        <v>110</v>
      </c>
      <c r="M107" s="3" t="n">
        <v>3089</v>
      </c>
      <c r="N107" s="8" t="n">
        <v>3089</v>
      </c>
      <c r="O107" s="8" t="n">
        <v>0</v>
      </c>
      <c r="Q107" t="inlineStr">
        <is>
          <t>flat</t>
        </is>
      </c>
      <c r="R107" s="6" t="n">
        <v>3089</v>
      </c>
      <c r="S107" t="inlineStr">
        <is>
          <t>Solio</t>
        </is>
      </c>
      <c r="U107" s="6" t="n">
        <v>85.7</v>
      </c>
      <c r="V107" s="2" t="n">
        <v>31</v>
      </c>
      <c r="W107" s="7">
        <f>IF(N(U107)&lt;=0,0,MIN(Assumptions!$B$15,N(R107)/N(U107)))</f>
        <v/>
      </c>
      <c r="X107" s="6" t="n">
        <v>0.322</v>
      </c>
      <c r="Y107" s="3" t="n">
        <v>0.0454</v>
      </c>
      <c r="Z107" t="inlineStr">
        <is>
          <t>adjusted xGOT</t>
        </is>
      </c>
      <c r="AA107" s="3" t="n">
        <v>1</v>
      </c>
      <c r="AB107" s="3" t="n">
        <v>0.972</v>
      </c>
      <c r="AC107" s="3" t="n">
        <v>4.4</v>
      </c>
      <c r="AD107" s="3" t="n">
        <v>0.0806</v>
      </c>
      <c r="AE107" s="3" t="n">
        <v>11.125</v>
      </c>
      <c r="AF107" s="3" t="n">
        <v>0.3723262721167817</v>
      </c>
      <c r="AG107" s="3" t="n">
        <v>0.3219</v>
      </c>
      <c r="AH107" s="3" t="n">
        <v>64</v>
      </c>
      <c r="AI107" s="3" t="n">
        <v>2.4232</v>
      </c>
      <c r="AJ107" s="3" t="n">
        <v>1.1851</v>
      </c>
      <c r="AK107" s="3" t="n">
        <v>-0.3233128195628788</v>
      </c>
      <c r="AL107" s="6" t="n">
        <v>0</v>
      </c>
      <c r="AM107" s="3" t="n">
        <v>0</v>
      </c>
      <c r="AN107" s="3" t="n">
        <v>0.227</v>
      </c>
      <c r="AO107" s="3" t="n">
        <v>0.319176</v>
      </c>
      <c r="AP107" s="3">
        <f>N(X107)*N(BI107)</f>
        <v/>
      </c>
      <c r="AQ107" s="3" t="n">
        <v>0.3219</v>
      </c>
      <c r="AR107" s="3" t="n">
        <v>0</v>
      </c>
      <c r="AS107" s="3" t="n">
        <v>-0</v>
      </c>
      <c r="AT107" s="3" t="n">
        <v>-0.3233128195628788</v>
      </c>
      <c r="AU107" s="3">
        <f>SUM(AN107:AT107)</f>
        <v/>
      </c>
      <c r="AV107" s="7">
        <f>IF(OR(N(W107)&lt;=0,N(BG107)=0),0,N(W107)*IF(N(R107)/N(W107)&gt;=60,N(BG107),1))</f>
        <v/>
      </c>
      <c r="AW107" s="7">
        <f>N(W107)*N(AF107)*N(BH107)</f>
        <v/>
      </c>
      <c r="AX107" s="7">
        <f>N(AL107)*(Assumptions!$B$13*N(BJ107)-(1-Assumptions!$B$13)*Assumptions!$B$14)+N(AM107)</f>
        <v/>
      </c>
      <c r="AY107" s="7">
        <f>N(AU107)*N(R107)/90+N(AV107)+N(AW107)+N(AX107)</f>
        <v/>
      </c>
      <c r="AZ107" s="3">
        <f>IF(N(R107)&lt;=0,0,(N(AY107)-N(AX107))*90/N(R107))</f>
        <v/>
      </c>
      <c r="BA107" s="7">
        <f>IFERROR(AY107-VLOOKUP($E107,Assumptions!$A$40:$C$43,3,FALSE),"")</f>
        <v/>
      </c>
      <c r="BB107" s="3">
        <f>IFERROR(BA107/H107,"")</f>
        <v/>
      </c>
      <c r="BC107">
        <f>IF(AND($G107=TRUE,$E107="GKP"),AY107,"")</f>
        <v/>
      </c>
      <c r="BD107">
        <f>IF(AND($G107=TRUE,$E107="DEF"),AY107,"")</f>
        <v/>
      </c>
      <c r="BE107">
        <f>IF(AND($G107=TRUE,$E107="MID"),AY107,"")</f>
        <v/>
      </c>
      <c r="BF107">
        <f>IF(AND($G107=TRUE,$E107="FWD"),AY107,"")</f>
        <v/>
      </c>
      <c r="BG107" t="n">
        <v>2</v>
      </c>
      <c r="BH107" t="n">
        <v>2</v>
      </c>
      <c r="BI107" t="n">
        <v>1</v>
      </c>
      <c r="BJ107" t="n">
        <v>5</v>
      </c>
    </row>
    <row r="108">
      <c r="A108" t="inlineStr">
        <is>
          <t>Senne Lammens</t>
        </is>
      </c>
      <c r="B108" t="inlineStr">
        <is>
          <t>MUN</t>
        </is>
      </c>
      <c r="C108" t="inlineStr">
        <is>
          <t>MUN</t>
        </is>
      </c>
      <c r="D108" t="b">
        <v>0</v>
      </c>
      <c r="E108" t="inlineStr">
        <is>
          <t>GKP</t>
        </is>
      </c>
      <c r="F108" t="inlineStr">
        <is>
          <t>GKP</t>
        </is>
      </c>
      <c r="G108" t="b">
        <v>1</v>
      </c>
      <c r="H108" s="2" t="n">
        <v>5</v>
      </c>
      <c r="I108" t="inlineStr">
        <is>
          <t>a</t>
        </is>
      </c>
      <c r="K108" s="2" t="n">
        <v>2880</v>
      </c>
      <c r="L108" t="n">
        <v>109</v>
      </c>
      <c r="M108" s="3" t="n">
        <v>3385</v>
      </c>
      <c r="N108" s="8" t="n">
        <v>3385</v>
      </c>
      <c r="O108" s="8" t="n">
        <v>0</v>
      </c>
      <c r="Q108" t="inlineStr">
        <is>
          <t>flat</t>
        </is>
      </c>
      <c r="R108" s="6" t="n">
        <v>3385</v>
      </c>
      <c r="S108" t="inlineStr">
        <is>
          <t>Solio</t>
        </is>
      </c>
      <c r="U108" s="6" t="n">
        <v>90</v>
      </c>
      <c r="V108" s="2" t="n">
        <v>32</v>
      </c>
      <c r="W108" s="7">
        <f>IF(N(U108)&lt;=0,0,MIN(Assumptions!$B$15,N(R108)/N(U108)))</f>
        <v/>
      </c>
      <c r="X108" s="6" t="n">
        <v>0.334</v>
      </c>
      <c r="Y108" s="3" t="n">
        <v>0</v>
      </c>
      <c r="Z108" t="inlineStr">
        <is>
          <t>blended xG</t>
        </is>
      </c>
      <c r="AA108" s="3" t="n">
        <v>1</v>
      </c>
      <c r="AB108" s="3" t="n">
        <v>1</v>
      </c>
      <c r="AC108" s="3" t="n">
        <v>0</v>
      </c>
      <c r="AD108" s="3" t="n">
        <v>0</v>
      </c>
      <c r="AE108" s="3" t="n">
        <v>0</v>
      </c>
      <c r="AF108" s="3" t="n">
        <v>0</v>
      </c>
      <c r="AG108" s="3" t="n">
        <v>0.3438</v>
      </c>
      <c r="AH108" s="3" t="n">
        <v>64</v>
      </c>
      <c r="AI108" s="3" t="n">
        <v>2.2165</v>
      </c>
      <c r="AJ108" s="3" t="n">
        <v>1.1467</v>
      </c>
      <c r="AK108" s="3" t="n">
        <v>-0.0274143848760321</v>
      </c>
      <c r="AL108" s="6" t="n">
        <v>0</v>
      </c>
      <c r="AM108" s="3" t="n">
        <v>2.423011666671952</v>
      </c>
      <c r="AN108" s="3" t="n">
        <v>0</v>
      </c>
      <c r="AO108" s="3" t="n">
        <v>0</v>
      </c>
      <c r="AP108" s="3">
        <f>N(X108)*N(BI108)</f>
        <v/>
      </c>
      <c r="AQ108" s="3" t="n">
        <v>0.3438</v>
      </c>
      <c r="AR108" s="3" t="n">
        <v>0.407909225741714</v>
      </c>
      <c r="AS108" s="3" t="n">
        <v>-0.348580685135232</v>
      </c>
      <c r="AT108" s="3" t="n">
        <v>-0.0274143848760321</v>
      </c>
      <c r="AU108" s="3">
        <f>SUM(AN108:AT108)</f>
        <v/>
      </c>
      <c r="AV108" s="7">
        <f>IF(OR(N(W108)&lt;=0,N(BG108)=0),0,N(W108)*IF(N(R108)/N(W108)&gt;=60,N(BG108),1))</f>
        <v/>
      </c>
      <c r="AW108" s="7">
        <f>N(W108)*N(AF108)*N(BH108)</f>
        <v/>
      </c>
      <c r="AX108" s="7">
        <f>N(AL108)*(Assumptions!$B$13*N(BJ108)-(1-Assumptions!$B$13)*Assumptions!$B$14)+N(AM108)</f>
        <v/>
      </c>
      <c r="AY108" s="7">
        <f>N(AU108)*N(R108)/90+N(AV108)+N(AW108)+N(AX108)</f>
        <v/>
      </c>
      <c r="AZ108" s="3">
        <f>IF(N(R108)&lt;=0,0,(N(AY108)-N(AX108))*90/N(R108))</f>
        <v/>
      </c>
      <c r="BA108" s="7">
        <f>IFERROR(AY108-VLOOKUP($E108,Assumptions!$A$40:$C$43,3,FALSE),"")</f>
        <v/>
      </c>
      <c r="BB108" s="3">
        <f>IFERROR(BA108/H108,"")</f>
        <v/>
      </c>
      <c r="BC108">
        <f>IF(AND($G108=TRUE,$E108="GKP"),AY108,"")</f>
        <v/>
      </c>
      <c r="BD108">
        <f>IF(AND($G108=TRUE,$E108="DEF"),AY108,"")</f>
        <v/>
      </c>
      <c r="BE108">
        <f>IF(AND($G108=TRUE,$E108="MID"),AY108,"")</f>
        <v/>
      </c>
      <c r="BF108">
        <f>IF(AND($G108=TRUE,$E108="FWD"),AY108,"")</f>
        <v/>
      </c>
      <c r="BG108" t="n">
        <v>2</v>
      </c>
      <c r="BH108" t="n">
        <v>0</v>
      </c>
      <c r="BI108" t="n">
        <v>4</v>
      </c>
      <c r="BJ108" t="n">
        <v>10</v>
      </c>
    </row>
    <row r="109">
      <c r="A109" t="inlineStr">
        <is>
          <t>Joe Rodon</t>
        </is>
      </c>
      <c r="B109" t="inlineStr">
        <is>
          <t>LEE</t>
        </is>
      </c>
      <c r="C109" t="inlineStr">
        <is>
          <t>LEE</t>
        </is>
      </c>
      <c r="D109" t="b">
        <v>0</v>
      </c>
      <c r="E109" t="inlineStr">
        <is>
          <t>DEF</t>
        </is>
      </c>
      <c r="F109" t="inlineStr">
        <is>
          <t>DEF</t>
        </is>
      </c>
      <c r="G109" t="b">
        <v>1</v>
      </c>
      <c r="H109" s="2" t="n">
        <v>4.5</v>
      </c>
      <c r="I109" t="inlineStr">
        <is>
          <t>a</t>
        </is>
      </c>
      <c r="K109" s="2" t="n">
        <v>2952</v>
      </c>
      <c r="L109" t="n">
        <v>109</v>
      </c>
      <c r="M109" s="3" t="n">
        <v>3272</v>
      </c>
      <c r="N109" s="8" t="n">
        <v>3272</v>
      </c>
      <c r="O109" s="8" t="n">
        <v>0</v>
      </c>
      <c r="Q109" t="inlineStr">
        <is>
          <t>flat</t>
        </is>
      </c>
      <c r="R109" s="6" t="n">
        <v>3272</v>
      </c>
      <c r="S109" t="inlineStr">
        <is>
          <t>Solio</t>
        </is>
      </c>
      <c r="U109" s="6" t="n">
        <v>87.5</v>
      </c>
      <c r="V109" s="2" t="n">
        <v>33</v>
      </c>
      <c r="W109" s="7">
        <f>IF(N(U109)&lt;=0,0,MIN(Assumptions!$B$15,N(R109)/N(U109)))</f>
        <v/>
      </c>
      <c r="X109" s="6" t="n">
        <v>0.218</v>
      </c>
      <c r="Y109" s="3" t="n">
        <v>0.0477</v>
      </c>
      <c r="Z109" t="inlineStr">
        <is>
          <t>adjusted xGOT</t>
        </is>
      </c>
      <c r="AA109" s="3" t="n">
        <v>1</v>
      </c>
      <c r="AB109" s="3" t="n">
        <v>1.117</v>
      </c>
      <c r="AC109" s="3" t="n">
        <v>1.4</v>
      </c>
      <c r="AD109" s="3" t="n">
        <v>0.0156</v>
      </c>
      <c r="AE109" s="3" t="n">
        <v>8.223000000000001</v>
      </c>
      <c r="AF109" s="3" t="n">
        <v>0.282703885909951</v>
      </c>
      <c r="AG109" s="3" t="n">
        <v>0.122</v>
      </c>
      <c r="AH109" s="3" t="n">
        <v>67</v>
      </c>
      <c r="AI109" s="3" t="n">
        <v>3.0611</v>
      </c>
      <c r="AJ109" s="3" t="n">
        <v>1.5875</v>
      </c>
      <c r="AK109" s="3" t="n">
        <v>-0.1427805549012233</v>
      </c>
      <c r="AL109" s="6" t="n">
        <v>0</v>
      </c>
      <c r="AM109" s="3" t="n">
        <v>0</v>
      </c>
      <c r="AN109" s="3" t="n">
        <v>0.2862</v>
      </c>
      <c r="AO109" s="3" t="n">
        <v>0.061776</v>
      </c>
      <c r="AP109" s="3">
        <f>N(X109)*N(BI109)</f>
        <v/>
      </c>
      <c r="AQ109" s="3" t="n">
        <v>0.122</v>
      </c>
      <c r="AR109" s="3" t="n">
        <v>0</v>
      </c>
      <c r="AS109" s="3" t="n">
        <v>-0.5541985260210861</v>
      </c>
      <c r="AT109" s="3" t="n">
        <v>-0.1427805549012233</v>
      </c>
      <c r="AU109" s="3">
        <f>SUM(AN109:AT109)</f>
        <v/>
      </c>
      <c r="AV109" s="7">
        <f>IF(OR(N(W109)&lt;=0,N(BG109)=0),0,N(W109)*IF(N(R109)/N(W109)&gt;=60,N(BG109),1))</f>
        <v/>
      </c>
      <c r="AW109" s="7">
        <f>N(W109)*N(AF109)*N(BH109)</f>
        <v/>
      </c>
      <c r="AX109" s="7">
        <f>N(AL109)*(Assumptions!$B$13*N(BJ109)-(1-Assumptions!$B$13)*Assumptions!$B$14)+N(AM109)</f>
        <v/>
      </c>
      <c r="AY109" s="7">
        <f>N(AU109)*N(R109)/90+N(AV109)+N(AW109)+N(AX109)</f>
        <v/>
      </c>
      <c r="AZ109" s="3">
        <f>IF(N(R109)&lt;=0,0,(N(AY109)-N(AX109))*90/N(R109))</f>
        <v/>
      </c>
      <c r="BA109" s="7">
        <f>IFERROR(AY109-VLOOKUP($E109,Assumptions!$A$40:$C$43,3,FALSE),"")</f>
        <v/>
      </c>
      <c r="BB109" s="3">
        <f>IFERROR(BA109/H109,"")</f>
        <v/>
      </c>
      <c r="BC109">
        <f>IF(AND($G109=TRUE,$E109="GKP"),AY109,"")</f>
        <v/>
      </c>
      <c r="BD109">
        <f>IF(AND($G109=TRUE,$E109="DEF"),AY109,"")</f>
        <v/>
      </c>
      <c r="BE109">
        <f>IF(AND($G109=TRUE,$E109="MID"),AY109,"")</f>
        <v/>
      </c>
      <c r="BF109">
        <f>IF(AND($G109=TRUE,$E109="FWD"),AY109,"")</f>
        <v/>
      </c>
      <c r="BG109" t="n">
        <v>2</v>
      </c>
      <c r="BH109" t="n">
        <v>2</v>
      </c>
      <c r="BI109" t="n">
        <v>4</v>
      </c>
      <c r="BJ109" t="n">
        <v>6</v>
      </c>
    </row>
    <row r="110">
      <c r="A110" t="inlineStr">
        <is>
          <t>Noah Okafor</t>
        </is>
      </c>
      <c r="B110" t="inlineStr">
        <is>
          <t>LEE</t>
        </is>
      </c>
      <c r="C110" t="inlineStr">
        <is>
          <t>LEE</t>
        </is>
      </c>
      <c r="D110" t="b">
        <v>0</v>
      </c>
      <c r="E110" t="inlineStr">
        <is>
          <t>MID</t>
        </is>
      </c>
      <c r="F110" t="inlineStr">
        <is>
          <t>MID</t>
        </is>
      </c>
      <c r="G110" t="b">
        <v>1</v>
      </c>
      <c r="H110" s="2" t="n">
        <v>6</v>
      </c>
      <c r="I110" t="inlineStr">
        <is>
          <t>a</t>
        </is>
      </c>
      <c r="K110" s="2" t="n">
        <v>1553</v>
      </c>
      <c r="L110" t="n">
        <v>109</v>
      </c>
      <c r="M110" s="3" t="n">
        <v>2229</v>
      </c>
      <c r="N110" s="4" t="n">
        <v>1900</v>
      </c>
      <c r="O110" s="4" t="n">
        <v>-329</v>
      </c>
      <c r="P110" s="5" t="inlineStr">
        <is>
          <t>medium</t>
        </is>
      </c>
      <c r="Q110" t="inlineStr">
        <is>
          <t>flat</t>
        </is>
      </c>
      <c r="R110" s="6" t="n">
        <v>1900</v>
      </c>
      <c r="S110" t="inlineStr">
        <is>
          <t>research</t>
        </is>
      </c>
      <c r="T110" s="5" t="inlineStr">
        <is>
          <t>Fitness deficit at the start of the season. Okafor was given an extended summer break after Switzerland's run to the World Cup quarter-finals, reported back late, and got his first pre-season minutes as a half-time substitute on 12 Aug. Farke on 13 Aug: he 'needs time to be there at full fitness', 'it's important he has a proper pre-season' and 'a start at Nottingham comes too soon'. He came off the bench rather than starting the 15 Aug dress rehearsal. He also only managed 1553 minutes last season. The cut is modest because he should be the preferred option once fit.</t>
        </is>
      </c>
      <c r="U110" s="6" t="n">
        <v>74.59999999999999</v>
      </c>
      <c r="V110" s="2" t="n">
        <v>19</v>
      </c>
      <c r="W110" s="7">
        <f>IF(N(U110)&lt;=0,0,MIN(Assumptions!$B$15,N(R110)/N(U110)))</f>
        <v/>
      </c>
      <c r="X110" s="6" t="n">
        <v>0.218</v>
      </c>
      <c r="Y110" s="3" t="n">
        <v>0.3444</v>
      </c>
      <c r="Z110" t="inlineStr">
        <is>
          <t>adjusted xGOT</t>
        </is>
      </c>
      <c r="AA110" s="3" t="n">
        <v>1</v>
      </c>
      <c r="AB110" s="3" t="n">
        <v>1.132</v>
      </c>
      <c r="AC110" s="3" t="n">
        <v>5.2</v>
      </c>
      <c r="AD110" s="3" t="n">
        <v>0.1037</v>
      </c>
      <c r="AE110" s="3" t="n">
        <v>7.191</v>
      </c>
      <c r="AF110" s="3" t="n">
        <v>0.01921749739369616</v>
      </c>
      <c r="AG110" s="3" t="n">
        <v>0.6954</v>
      </c>
      <c r="AH110" s="3" t="n">
        <v>46</v>
      </c>
      <c r="AI110" s="3" t="n">
        <v>3.0611</v>
      </c>
      <c r="AJ110" s="3" t="n">
        <v>1.5875</v>
      </c>
      <c r="AK110" s="3" t="n">
        <v>-0.2027852452278596</v>
      </c>
      <c r="AL110" s="6" t="n">
        <v>0</v>
      </c>
      <c r="AM110" s="3" t="n">
        <v>0</v>
      </c>
      <c r="AN110" s="3" t="n">
        <v>1.722</v>
      </c>
      <c r="AO110" s="3" t="n">
        <v>0.410652</v>
      </c>
      <c r="AP110" s="3">
        <f>N(X110)*N(BI110)</f>
        <v/>
      </c>
      <c r="AQ110" s="3" t="n">
        <v>0.6954</v>
      </c>
      <c r="AR110" s="3" t="n">
        <v>0</v>
      </c>
      <c r="AS110" s="3" t="n">
        <v>-0</v>
      </c>
      <c r="AT110" s="3" t="n">
        <v>-0.2027852452278596</v>
      </c>
      <c r="AU110" s="3">
        <f>SUM(AN110:AT110)</f>
        <v/>
      </c>
      <c r="AV110" s="7">
        <f>IF(OR(N(W110)&lt;=0,N(BG110)=0),0,N(W110)*IF(N(R110)/N(W110)&gt;=60,N(BG110),1))</f>
        <v/>
      </c>
      <c r="AW110" s="7">
        <f>N(W110)*N(AF110)*N(BH110)</f>
        <v/>
      </c>
      <c r="AX110" s="7">
        <f>N(AL110)*(Assumptions!$B$13*N(BJ110)-(1-Assumptions!$B$13)*Assumptions!$B$14)+N(AM110)</f>
        <v/>
      </c>
      <c r="AY110" s="7">
        <f>N(AU110)*N(R110)/90+N(AV110)+N(AW110)+N(AX110)</f>
        <v/>
      </c>
      <c r="AZ110" s="3">
        <f>IF(N(R110)&lt;=0,0,(N(AY110)-N(AX110))*90/N(R110))</f>
        <v/>
      </c>
      <c r="BA110" s="7">
        <f>IFERROR(AY110-VLOOKUP($E110,Assumptions!$A$40:$C$43,3,FALSE),"")</f>
        <v/>
      </c>
      <c r="BB110" s="3">
        <f>IFERROR(BA110/H110,"")</f>
        <v/>
      </c>
      <c r="BC110">
        <f>IF(AND($G110=TRUE,$E110="GKP"),AY110,"")</f>
        <v/>
      </c>
      <c r="BD110">
        <f>IF(AND($G110=TRUE,$E110="DEF"),AY110,"")</f>
        <v/>
      </c>
      <c r="BE110">
        <f>IF(AND($G110=TRUE,$E110="MID"),AY110,"")</f>
        <v/>
      </c>
      <c r="BF110">
        <f>IF(AND($G110=TRUE,$E110="FWD"),AY110,"")</f>
        <v/>
      </c>
      <c r="BG110" t="n">
        <v>2</v>
      </c>
      <c r="BH110" t="n">
        <v>2</v>
      </c>
      <c r="BI110" t="n">
        <v>1</v>
      </c>
      <c r="BJ110" t="n">
        <v>5</v>
      </c>
    </row>
    <row r="111">
      <c r="A111" t="inlineStr">
        <is>
          <t>Riccardo Calafiori</t>
        </is>
      </c>
      <c r="B111" t="inlineStr">
        <is>
          <t>ARS</t>
        </is>
      </c>
      <c r="C111" t="inlineStr">
        <is>
          <t>ARS</t>
        </is>
      </c>
      <c r="D111" t="b">
        <v>0</v>
      </c>
      <c r="E111" t="inlineStr">
        <is>
          <t>DEF</t>
        </is>
      </c>
      <c r="F111" t="inlineStr">
        <is>
          <t>DEF</t>
        </is>
      </c>
      <c r="G111" t="b">
        <v>1</v>
      </c>
      <c r="H111" s="2" t="n">
        <v>5.5</v>
      </c>
      <c r="I111" t="inlineStr">
        <is>
          <t>a</t>
        </is>
      </c>
      <c r="K111" s="2" t="n">
        <v>1697</v>
      </c>
      <c r="L111" t="n">
        <v>109</v>
      </c>
      <c r="M111" s="3" t="n">
        <v>2371</v>
      </c>
      <c r="N111" s="8" t="n">
        <v>2371</v>
      </c>
      <c r="O111" s="8" t="n">
        <v>0</v>
      </c>
      <c r="Q111" t="inlineStr">
        <is>
          <t>flat</t>
        </is>
      </c>
      <c r="R111" s="6" t="n">
        <v>2371</v>
      </c>
      <c r="S111" t="inlineStr">
        <is>
          <t>Solio</t>
        </is>
      </c>
      <c r="U111" s="6" t="n">
        <v>78.2</v>
      </c>
      <c r="V111" s="2" t="n">
        <v>22</v>
      </c>
      <c r="W111" s="7">
        <f>IF(N(U111)&lt;=0,0,MIN(Assumptions!$B$15,N(R111)/N(U111)))</f>
        <v/>
      </c>
      <c r="X111" s="6" t="n">
        <v>0.391</v>
      </c>
      <c r="Y111" s="3" t="n">
        <v>0.1779</v>
      </c>
      <c r="Z111" t="inlineStr">
        <is>
          <t>adjusted xGOT</t>
        </is>
      </c>
      <c r="AA111" s="3" t="n">
        <v>1</v>
      </c>
      <c r="AB111" s="3" t="n">
        <v>0.998</v>
      </c>
      <c r="AC111" s="3" t="n">
        <v>4.2</v>
      </c>
      <c r="AD111" s="3" t="n">
        <v>0.0373</v>
      </c>
      <c r="AE111" s="3" t="n">
        <v>6.087</v>
      </c>
      <c r="AF111" s="3" t="n">
        <v>0.04355561627628191</v>
      </c>
      <c r="AG111" s="3" t="n">
        <v>0.3182</v>
      </c>
      <c r="AH111" s="3" t="n">
        <v>45</v>
      </c>
      <c r="AI111" s="3" t="n">
        <v>2.067</v>
      </c>
      <c r="AJ111" s="3" t="n">
        <v>0.9838</v>
      </c>
      <c r="AK111" s="3" t="n">
        <v>-0.2709401666718413</v>
      </c>
      <c r="AL111" s="6" t="n">
        <v>0</v>
      </c>
      <c r="AM111" s="3" t="n">
        <v>0</v>
      </c>
      <c r="AN111" s="3" t="n">
        <v>1.0674</v>
      </c>
      <c r="AO111" s="3" t="n">
        <v>0.147708</v>
      </c>
      <c r="AP111" s="3">
        <f>N(X111)*N(BI111)</f>
        <v/>
      </c>
      <c r="AQ111" s="3" t="n">
        <v>0.3182</v>
      </c>
      <c r="AR111" s="3" t="n">
        <v>0</v>
      </c>
      <c r="AS111" s="3" t="n">
        <v>-0.2768479886568037</v>
      </c>
      <c r="AT111" s="3" t="n">
        <v>-0.2709401666718413</v>
      </c>
      <c r="AU111" s="3">
        <f>SUM(AN111:AT111)</f>
        <v/>
      </c>
      <c r="AV111" s="7">
        <f>IF(OR(N(W111)&lt;=0,N(BG111)=0),0,N(W111)*IF(N(R111)/N(W111)&gt;=60,N(BG111),1))</f>
        <v/>
      </c>
      <c r="AW111" s="7">
        <f>N(W111)*N(AF111)*N(BH111)</f>
        <v/>
      </c>
      <c r="AX111" s="7">
        <f>N(AL111)*(Assumptions!$B$13*N(BJ111)-(1-Assumptions!$B$13)*Assumptions!$B$14)+N(AM111)</f>
        <v/>
      </c>
      <c r="AY111" s="7">
        <f>N(AU111)*N(R111)/90+N(AV111)+N(AW111)+N(AX111)</f>
        <v/>
      </c>
      <c r="AZ111" s="3">
        <f>IF(N(R111)&lt;=0,0,(N(AY111)-N(AX111))*90/N(R111))</f>
        <v/>
      </c>
      <c r="BA111" s="7">
        <f>IFERROR(AY111-VLOOKUP($E111,Assumptions!$A$40:$C$43,3,FALSE),"")</f>
        <v/>
      </c>
      <c r="BB111" s="3">
        <f>IFERROR(BA111/H111,"")</f>
        <v/>
      </c>
      <c r="BC111">
        <f>IF(AND($G111=TRUE,$E111="GKP"),AY111,"")</f>
        <v/>
      </c>
      <c r="BD111">
        <f>IF(AND($G111=TRUE,$E111="DEF"),AY111,"")</f>
        <v/>
      </c>
      <c r="BE111">
        <f>IF(AND($G111=TRUE,$E111="MID"),AY111,"")</f>
        <v/>
      </c>
      <c r="BF111">
        <f>IF(AND($G111=TRUE,$E111="FWD"),AY111,"")</f>
        <v/>
      </c>
      <c r="BG111" t="n">
        <v>2</v>
      </c>
      <c r="BH111" t="n">
        <v>2</v>
      </c>
      <c r="BI111" t="n">
        <v>4</v>
      </c>
      <c r="BJ111" t="n">
        <v>6</v>
      </c>
    </row>
    <row r="112">
      <c r="A112" s="9" t="inlineStr">
        <is>
          <t>Pascal Struijk</t>
        </is>
      </c>
      <c r="B112" t="inlineStr">
        <is>
          <t>BHA</t>
        </is>
      </c>
      <c r="C112" s="9" t="inlineStr">
        <is>
          <t>LEE</t>
        </is>
      </c>
      <c r="D112" t="b">
        <v>1</v>
      </c>
      <c r="E112" t="inlineStr">
        <is>
          <t>DEF</t>
        </is>
      </c>
      <c r="F112" t="inlineStr">
        <is>
          <t>DEF</t>
        </is>
      </c>
      <c r="G112" t="b">
        <v>1</v>
      </c>
      <c r="H112" s="2" t="n">
        <v>5</v>
      </c>
      <c r="I112" t="inlineStr">
        <is>
          <t>a</t>
        </is>
      </c>
      <c r="K112" s="2" t="n">
        <v>2935</v>
      </c>
      <c r="L112" t="n">
        <v>108</v>
      </c>
      <c r="M112" s="3" t="n">
        <v>2548</v>
      </c>
      <c r="N112" s="4" t="n">
        <v>1600</v>
      </c>
      <c r="O112" s="4" t="n">
        <v>-948</v>
      </c>
      <c r="P112" s="5" t="inlineStr">
        <is>
          <t>medium</t>
        </is>
      </c>
      <c r="Q112" t="inlineStr">
        <is>
          <t>flat</t>
        </is>
      </c>
      <c r="R112" s="6" t="n">
        <v>1600</v>
      </c>
      <c r="S112" t="inlineStr">
        <is>
          <t>research</t>
        </is>
      </c>
      <c r="T112" s="5" t="inlineStr">
        <is>
          <t>Signed from Leeds on 30 Jun 2026, but appeared in neither August friendly while Vuskovic and Boscagli started both, and FPL added a 'Knock - 75% chance of playing' flag on 2026-08-15. Solio's 2548 is anchored to his 2935 minutes as a Leeds regular; at Brighton he is currently behind two other centre-backs and short of match sharpness. Left with a substantial allocation because five centre-backs across four competitions guarantees him minutes, and the knock is minor.</t>
        </is>
      </c>
      <c r="U112" s="6" t="n">
        <v>88</v>
      </c>
      <c r="V112" s="2" t="n">
        <v>33</v>
      </c>
      <c r="W112" s="7">
        <f>IF(N(U112)&lt;=0,0,MIN(Assumptions!$B$15,N(R112)/N(U112)))</f>
        <v/>
      </c>
      <c r="X112" s="6" t="n">
        <v>0.252</v>
      </c>
      <c r="Y112" s="10" t="n">
        <v>0.0877</v>
      </c>
      <c r="Z112" t="inlineStr">
        <is>
          <t>adjusted xGOT</t>
        </is>
      </c>
      <c r="AA112" s="3" t="n">
        <v>1</v>
      </c>
      <c r="AB112" s="3" t="n">
        <v>0.9350000000000001</v>
      </c>
      <c r="AC112" s="3" t="n">
        <v>4.4</v>
      </c>
      <c r="AD112" s="10" t="n">
        <v>0.0284</v>
      </c>
      <c r="AE112" s="3" t="n">
        <v>8.827</v>
      </c>
      <c r="AF112" s="3" t="n">
        <v>0.3640784637222881</v>
      </c>
      <c r="AG112" s="3" t="n">
        <v>0.1227</v>
      </c>
      <c r="AH112" s="3" t="n">
        <v>66</v>
      </c>
      <c r="AI112" s="3" t="n">
        <v>2.8404</v>
      </c>
      <c r="AJ112" s="3" t="n">
        <v>1.439</v>
      </c>
      <c r="AK112" s="3" t="n">
        <v>-0.1843958430388362</v>
      </c>
      <c r="AL112" s="6" t="n">
        <v>0</v>
      </c>
      <c r="AM112" s="3" t="n">
        <v>0</v>
      </c>
      <c r="AN112" s="10" t="n">
        <v>0.5262</v>
      </c>
      <c r="AO112" s="10" t="n">
        <v>0.112464</v>
      </c>
      <c r="AP112" s="3">
        <f>N(X112)*N(BI112)</f>
        <v/>
      </c>
      <c r="AQ112" s="3" t="n">
        <v>0.1227</v>
      </c>
      <c r="AR112" s="3" t="n">
        <v>0</v>
      </c>
      <c r="AS112" s="3" t="n">
        <v>-0.4835617861760246</v>
      </c>
      <c r="AT112" s="3" t="n">
        <v>-0.1843958430388362</v>
      </c>
      <c r="AU112" s="3">
        <f>SUM(AN112:AT112)</f>
        <v/>
      </c>
      <c r="AV112" s="7">
        <f>IF(OR(N(W112)&lt;=0,N(BG112)=0),0,N(W112)*IF(N(R112)/N(W112)&gt;=60,N(BG112),1))</f>
        <v/>
      </c>
      <c r="AW112" s="7">
        <f>N(W112)*N(AF112)*N(BH112)</f>
        <v/>
      </c>
      <c r="AX112" s="7">
        <f>N(AL112)*(Assumptions!$B$13*N(BJ112)-(1-Assumptions!$B$13)*Assumptions!$B$14)+N(AM112)</f>
        <v/>
      </c>
      <c r="AY112" s="7">
        <f>N(AU112)*N(R112)/90+N(AV112)+N(AW112)+N(AX112)</f>
        <v/>
      </c>
      <c r="AZ112" s="3">
        <f>IF(N(R112)&lt;=0,0,(N(AY112)-N(AX112))*90/N(R112))</f>
        <v/>
      </c>
      <c r="BA112" s="7">
        <f>IFERROR(AY112-VLOOKUP($E112,Assumptions!$A$40:$C$43,3,FALSE),"")</f>
        <v/>
      </c>
      <c r="BB112" s="3">
        <f>IFERROR(BA112/H112,"")</f>
        <v/>
      </c>
      <c r="BC112">
        <f>IF(AND($G112=TRUE,$E112="GKP"),AY112,"")</f>
        <v/>
      </c>
      <c r="BD112">
        <f>IF(AND($G112=TRUE,$E112="DEF"),AY112,"")</f>
        <v/>
      </c>
      <c r="BE112">
        <f>IF(AND($G112=TRUE,$E112="MID"),AY112,"")</f>
        <v/>
      </c>
      <c r="BF112">
        <f>IF(AND($G112=TRUE,$E112="FWD"),AY112,"")</f>
        <v/>
      </c>
      <c r="BG112" t="n">
        <v>2</v>
      </c>
      <c r="BH112" t="n">
        <v>2</v>
      </c>
      <c r="BI112" t="n">
        <v>4</v>
      </c>
      <c r="BJ112" t="n">
        <v>6</v>
      </c>
    </row>
    <row r="113">
      <c r="A113" t="inlineStr">
        <is>
          <t>Alexis Mac Allister</t>
        </is>
      </c>
      <c r="B113" t="inlineStr">
        <is>
          <t>LIV</t>
        </is>
      </c>
      <c r="C113" t="inlineStr">
        <is>
          <t>LIV</t>
        </is>
      </c>
      <c r="D113" t="b">
        <v>0</v>
      </c>
      <c r="E113" t="inlineStr">
        <is>
          <t>MID</t>
        </is>
      </c>
      <c r="F113" t="inlineStr">
        <is>
          <t>MID</t>
        </is>
      </c>
      <c r="G113" t="b">
        <v>1</v>
      </c>
      <c r="H113" s="2" t="n">
        <v>5.5</v>
      </c>
      <c r="I113" t="inlineStr">
        <is>
          <t>a</t>
        </is>
      </c>
      <c r="K113" s="2" t="n">
        <v>2654</v>
      </c>
      <c r="L113" t="n">
        <v>108</v>
      </c>
      <c r="M113" s="3" t="n">
        <v>1604</v>
      </c>
      <c r="N113" s="8" t="n">
        <v>1604</v>
      </c>
      <c r="O113" s="8" t="n">
        <v>0</v>
      </c>
      <c r="Q113" t="inlineStr">
        <is>
          <t>flat</t>
        </is>
      </c>
      <c r="R113" s="6" t="n">
        <v>1604</v>
      </c>
      <c r="S113" t="inlineStr">
        <is>
          <t>Solio</t>
        </is>
      </c>
      <c r="U113" s="6" t="n">
        <v>81.5</v>
      </c>
      <c r="V113" s="2" t="n">
        <v>31</v>
      </c>
      <c r="W113" s="7">
        <f>IF(N(U113)&lt;=0,0,MIN(Assumptions!$B$15,N(R113)/N(U113)))</f>
        <v/>
      </c>
      <c r="X113" s="6" t="n">
        <v>0.342</v>
      </c>
      <c r="Y113" s="3" t="n">
        <v>0.1366</v>
      </c>
      <c r="Z113" t="inlineStr">
        <is>
          <t>adjusted xGOT</t>
        </is>
      </c>
      <c r="AA113" s="3" t="n">
        <v>1</v>
      </c>
      <c r="AB113" s="3" t="n">
        <v>1.036</v>
      </c>
      <c r="AC113" s="3" t="n">
        <v>22.4</v>
      </c>
      <c r="AD113" s="3" t="n">
        <v>0.077</v>
      </c>
      <c r="AE113" s="3" t="n">
        <v>7.939</v>
      </c>
      <c r="AF113" s="3" t="n">
        <v>0.06236315434708062</v>
      </c>
      <c r="AG113" s="3" t="n">
        <v>0.3052</v>
      </c>
      <c r="AH113" s="3" t="n">
        <v>66</v>
      </c>
      <c r="AI113" s="3" t="n">
        <v>2.409</v>
      </c>
      <c r="AJ113" s="3" t="n">
        <v>1.1228</v>
      </c>
      <c r="AK113" s="3" t="n">
        <v>-0.2397524569675943</v>
      </c>
      <c r="AL113" s="6" t="n">
        <v>0.0009846507981227999</v>
      </c>
      <c r="AM113" s="3" t="n">
        <v>0</v>
      </c>
      <c r="AN113" s="3" t="n">
        <v>0.6830000000000001</v>
      </c>
      <c r="AO113" s="3" t="n">
        <v>0.30492</v>
      </c>
      <c r="AP113" s="3">
        <f>N(X113)*N(BI113)</f>
        <v/>
      </c>
      <c r="AQ113" s="3" t="n">
        <v>0.3052</v>
      </c>
      <c r="AR113" s="3" t="n">
        <v>0</v>
      </c>
      <c r="AS113" s="3" t="n">
        <v>-0</v>
      </c>
      <c r="AT113" s="3" t="n">
        <v>-0.2397524569675943</v>
      </c>
      <c r="AU113" s="3">
        <f>SUM(AN113:AT113)</f>
        <v/>
      </c>
      <c r="AV113" s="7">
        <f>IF(OR(N(W113)&lt;=0,N(BG113)=0),0,N(W113)*IF(N(R113)/N(W113)&gt;=60,N(BG113),1))</f>
        <v/>
      </c>
      <c r="AW113" s="7">
        <f>N(W113)*N(AF113)*N(BH113)</f>
        <v/>
      </c>
      <c r="AX113" s="7">
        <f>N(AL113)*(Assumptions!$B$13*N(BJ113)-(1-Assumptions!$B$13)*Assumptions!$B$14)+N(AM113)</f>
        <v/>
      </c>
      <c r="AY113" s="7">
        <f>N(AU113)*N(R113)/90+N(AV113)+N(AW113)+N(AX113)</f>
        <v/>
      </c>
      <c r="AZ113" s="3">
        <f>IF(N(R113)&lt;=0,0,(N(AY113)-N(AX113))*90/N(R113))</f>
        <v/>
      </c>
      <c r="BA113" s="7">
        <f>IFERROR(AY113-VLOOKUP($E113,Assumptions!$A$40:$C$43,3,FALSE),"")</f>
        <v/>
      </c>
      <c r="BB113" s="3">
        <f>IFERROR(BA113/H113,"")</f>
        <v/>
      </c>
      <c r="BC113">
        <f>IF(AND($G113=TRUE,$E113="GKP"),AY113,"")</f>
        <v/>
      </c>
      <c r="BD113">
        <f>IF(AND($G113=TRUE,$E113="DEF"),AY113,"")</f>
        <v/>
      </c>
      <c r="BE113">
        <f>IF(AND($G113=TRUE,$E113="MID"),AY113,"")</f>
        <v/>
      </c>
      <c r="BF113">
        <f>IF(AND($G113=TRUE,$E113="FWD"),AY113,"")</f>
        <v/>
      </c>
      <c r="BG113" t="n">
        <v>2</v>
      </c>
      <c r="BH113" t="n">
        <v>2</v>
      </c>
      <c r="BI113" t="n">
        <v>1</v>
      </c>
      <c r="BJ113" t="n">
        <v>5</v>
      </c>
    </row>
    <row r="114">
      <c r="A114" t="inlineStr">
        <is>
          <t>Nick Woltemade</t>
        </is>
      </c>
      <c r="B114" t="inlineStr">
        <is>
          <t>NEW</t>
        </is>
      </c>
      <c r="C114" t="inlineStr">
        <is>
          <t>NEW</t>
        </is>
      </c>
      <c r="D114" t="b">
        <v>0</v>
      </c>
      <c r="E114" t="inlineStr">
        <is>
          <t>FWD</t>
        </is>
      </c>
      <c r="F114" t="inlineStr">
        <is>
          <t>FWD</t>
        </is>
      </c>
      <c r="G114" t="b">
        <v>1</v>
      </c>
      <c r="H114" s="2" t="n">
        <v>6</v>
      </c>
      <c r="I114" t="inlineStr">
        <is>
          <t>a</t>
        </is>
      </c>
      <c r="K114" s="2" t="n">
        <v>1896</v>
      </c>
      <c r="L114" t="n">
        <v>108</v>
      </c>
      <c r="M114" s="3" t="n">
        <v>2371</v>
      </c>
      <c r="N114" s="4" t="n">
        <v>2100</v>
      </c>
      <c r="O114" s="4" t="n">
        <v>-271</v>
      </c>
      <c r="P114" s="5" t="inlineStr">
        <is>
          <t>low</t>
        </is>
      </c>
      <c r="Q114" t="inlineStr">
        <is>
          <t>flat</t>
        </is>
      </c>
      <c r="R114" s="6" t="n">
        <v>2100</v>
      </c>
      <c r="S114" t="inlineStr">
        <is>
          <t>research</t>
        </is>
      </c>
      <c r="T114" s="5" t="inlineStr">
        <is>
          <t>Solio gives him the largest share of the three strikers. The Athletic reported on 14 Jul that Osula, not Woltemade, is the leading No.9 and that Woltemade's system fit is uncertain, and Newcastle told interested clubs he was available for sale this summer. Against that, Jaissle has publicly backed him and started him as the No.10 v Leverkusen, so this is a small trim rather than a demotion.</t>
        </is>
      </c>
      <c r="U114" s="6" t="n">
        <v>74.8</v>
      </c>
      <c r="V114" s="2" t="n">
        <v>24</v>
      </c>
      <c r="W114" s="7">
        <f>IF(N(U114)&lt;=0,0,MIN(Assumptions!$B$15,N(R114)/N(U114)))</f>
        <v/>
      </c>
      <c r="X114" s="6" t="n">
        <v>0.248</v>
      </c>
      <c r="Y114" s="3" t="n">
        <v>0.3095</v>
      </c>
      <c r="Z114" t="inlineStr">
        <is>
          <t>adjusted xGOT</t>
        </is>
      </c>
      <c r="AA114" s="3" t="n">
        <v>0.908</v>
      </c>
      <c r="AB114" s="3" t="n">
        <v>1.09</v>
      </c>
      <c r="AC114" s="3" t="n">
        <v>6.6</v>
      </c>
      <c r="AD114" s="3" t="n">
        <v>0.1052</v>
      </c>
      <c r="AE114" s="3" t="n">
        <v>4.932</v>
      </c>
      <c r="AF114" s="3" t="n">
        <v>0.00112310948056904</v>
      </c>
      <c r="AG114" s="3" t="n">
        <v>0.5696</v>
      </c>
      <c r="AH114" s="3" t="n">
        <v>54</v>
      </c>
      <c r="AI114" s="3" t="n">
        <v>3.0912</v>
      </c>
      <c r="AJ114" s="3" t="n">
        <v>1.4534</v>
      </c>
      <c r="AK114" s="3" t="n">
        <v>-0.08201401674780789</v>
      </c>
      <c r="AL114" s="6" t="n">
        <v>3.329038966319989</v>
      </c>
      <c r="AM114" s="3" t="n">
        <v>0</v>
      </c>
      <c r="AN114" s="3" t="n">
        <v>1.238</v>
      </c>
      <c r="AO114" s="3" t="n">
        <v>0.416592</v>
      </c>
      <c r="AP114" s="3">
        <f>N(X114)*N(BI114)</f>
        <v/>
      </c>
      <c r="AQ114" s="3" t="n">
        <v>0.5696</v>
      </c>
      <c r="AR114" s="3" t="n">
        <v>0</v>
      </c>
      <c r="AS114" s="3" t="n">
        <v>-0</v>
      </c>
      <c r="AT114" s="3" t="n">
        <v>-0.08201401674780789</v>
      </c>
      <c r="AU114" s="3">
        <f>SUM(AN114:AT114)</f>
        <v/>
      </c>
      <c r="AV114" s="7">
        <f>IF(OR(N(W114)&lt;=0,N(BG114)=0),0,N(W114)*IF(N(R114)/N(W114)&gt;=60,N(BG114),1))</f>
        <v/>
      </c>
      <c r="AW114" s="7">
        <f>N(W114)*N(AF114)*N(BH114)</f>
        <v/>
      </c>
      <c r="AX114" s="7">
        <f>N(AL114)*(Assumptions!$B$13*N(BJ114)-(1-Assumptions!$B$13)*Assumptions!$B$14)+N(AM114)</f>
        <v/>
      </c>
      <c r="AY114" s="7">
        <f>N(AU114)*N(R114)/90+N(AV114)+N(AW114)+N(AX114)</f>
        <v/>
      </c>
      <c r="AZ114" s="3">
        <f>IF(N(R114)&lt;=0,0,(N(AY114)-N(AX114))*90/N(R114))</f>
        <v/>
      </c>
      <c r="BA114" s="7">
        <f>IFERROR(AY114-VLOOKUP($E114,Assumptions!$A$40:$C$43,3,FALSE),"")</f>
        <v/>
      </c>
      <c r="BB114" s="3">
        <f>IFERROR(BA114/H114,"")</f>
        <v/>
      </c>
      <c r="BC114">
        <f>IF(AND($G114=TRUE,$E114="GKP"),AY114,"")</f>
        <v/>
      </c>
      <c r="BD114">
        <f>IF(AND($G114=TRUE,$E114="DEF"),AY114,"")</f>
        <v/>
      </c>
      <c r="BE114">
        <f>IF(AND($G114=TRUE,$E114="MID"),AY114,"")</f>
        <v/>
      </c>
      <c r="BF114">
        <f>IF(AND($G114=TRUE,$E114="FWD"),AY114,"")</f>
        <v/>
      </c>
      <c r="BG114" t="n">
        <v>2</v>
      </c>
      <c r="BH114" t="n">
        <v>2</v>
      </c>
      <c r="BI114" t="n">
        <v>0</v>
      </c>
      <c r="BJ114" t="n">
        <v>4</v>
      </c>
    </row>
    <row r="115">
      <c r="A115" s="9" t="inlineStr">
        <is>
          <t>João Gomes</t>
        </is>
      </c>
      <c r="B115" t="inlineStr">
        <is>
          <t>AVL</t>
        </is>
      </c>
      <c r="C115" s="9" t="inlineStr">
        <is>
          <t>WOL</t>
        </is>
      </c>
      <c r="D115" t="b">
        <v>1</v>
      </c>
      <c r="E115" t="inlineStr">
        <is>
          <t>MID</t>
        </is>
      </c>
      <c r="F115" t="inlineStr">
        <is>
          <t>MID</t>
        </is>
      </c>
      <c r="G115" t="b">
        <v>1</v>
      </c>
      <c r="H115" s="2" t="n">
        <v>5.5</v>
      </c>
      <c r="I115" t="inlineStr">
        <is>
          <t>a</t>
        </is>
      </c>
      <c r="K115" s="2" t="n">
        <v>2829</v>
      </c>
      <c r="L115" t="n">
        <v>107</v>
      </c>
      <c r="M115" s="3" t="n">
        <v>3067</v>
      </c>
      <c r="N115" s="4" t="n">
        <v>2770</v>
      </c>
      <c r="O115" s="4" t="n">
        <v>-297</v>
      </c>
      <c r="P115" s="5" t="inlineStr">
        <is>
          <t>high</t>
        </is>
      </c>
      <c r="Q115" t="inlineStr">
        <is>
          <t>ramp-up (injury / late WC return)</t>
        </is>
      </c>
      <c r="R115" s="6" t="n">
        <v>2770</v>
      </c>
      <c r="S115" t="inlineStr">
        <is>
          <t>research</t>
        </is>
      </c>
      <c r="T115" s="5" t="inlineStr">
        <is>
          <t>Picked up a calf/physical issue in the Super Cup on 12 August and is sidelined for 2-4 weeks, so he misses the Brighton opener and probably the Arsenal and following fixtures, then needs a phased return. Roughly three games plus ramp-up.</t>
        </is>
      </c>
      <c r="U115" s="6" t="n">
        <v>84.8</v>
      </c>
      <c r="V115" s="2" t="n">
        <v>32</v>
      </c>
      <c r="W115" s="7">
        <f>IF(N(U115)&lt;=0,0,MIN(Assumptions!$B$15,N(R115)/N(U115)))</f>
        <v/>
      </c>
      <c r="X115" s="6" t="n">
        <v>0.273</v>
      </c>
      <c r="Y115" s="10" t="n">
        <v>0.0395</v>
      </c>
      <c r="Z115" t="inlineStr">
        <is>
          <t>adjusted xGOT</t>
        </is>
      </c>
      <c r="AA115" s="3" t="n">
        <v>1</v>
      </c>
      <c r="AB115" s="3" t="n">
        <v>0.962</v>
      </c>
      <c r="AC115" s="3" t="n">
        <v>6.4</v>
      </c>
      <c r="AD115" s="10" t="n">
        <v>0.0562</v>
      </c>
      <c r="AE115" s="3" t="n">
        <v>11.554</v>
      </c>
      <c r="AF115" s="3" t="n">
        <v>0.4071787964358731</v>
      </c>
      <c r="AG115" s="3" t="n">
        <v>0.1909</v>
      </c>
      <c r="AH115" s="3" t="n">
        <v>66</v>
      </c>
      <c r="AI115" s="3" t="n">
        <v>2.7451</v>
      </c>
      <c r="AJ115" s="3" t="n">
        <v>1.3575</v>
      </c>
      <c r="AK115" s="3" t="n">
        <v>-0.3075560010065471</v>
      </c>
      <c r="AL115" s="6" t="n">
        <v>0</v>
      </c>
      <c r="AM115" s="3" t="n">
        <v>0</v>
      </c>
      <c r="AN115" s="10" t="n">
        <v>0.1975</v>
      </c>
      <c r="AO115" s="10" t="n">
        <v>0.222552</v>
      </c>
      <c r="AP115" s="3">
        <f>N(X115)*N(BI115)</f>
        <v/>
      </c>
      <c r="AQ115" s="3" t="n">
        <v>0.1909</v>
      </c>
      <c r="AR115" s="3" t="n">
        <v>0</v>
      </c>
      <c r="AS115" s="3" t="n">
        <v>-0</v>
      </c>
      <c r="AT115" s="3" t="n">
        <v>-0.3075560010065471</v>
      </c>
      <c r="AU115" s="3">
        <f>SUM(AN115:AT115)</f>
        <v/>
      </c>
      <c r="AV115" s="7">
        <f>IF(OR(N(W115)&lt;=0,N(BG115)=0),0,N(W115)*IF(N(R115)/N(W115)&gt;=60,N(BG115),1))</f>
        <v/>
      </c>
      <c r="AW115" s="7">
        <f>N(W115)*N(AF115)*N(BH115)</f>
        <v/>
      </c>
      <c r="AX115" s="7">
        <f>N(AL115)*(Assumptions!$B$13*N(BJ115)-(1-Assumptions!$B$13)*Assumptions!$B$14)+N(AM115)</f>
        <v/>
      </c>
      <c r="AY115" s="7">
        <f>N(AU115)*N(R115)/90+N(AV115)+N(AW115)+N(AX115)</f>
        <v/>
      </c>
      <c r="AZ115" s="3">
        <f>IF(N(R115)&lt;=0,0,(N(AY115)-N(AX115))*90/N(R115))</f>
        <v/>
      </c>
      <c r="BA115" s="7">
        <f>IFERROR(AY115-VLOOKUP($E115,Assumptions!$A$40:$C$43,3,FALSE),"")</f>
        <v/>
      </c>
      <c r="BB115" s="3">
        <f>IFERROR(BA115/H115,"")</f>
        <v/>
      </c>
      <c r="BC115">
        <f>IF(AND($G115=TRUE,$E115="GKP"),AY115,"")</f>
        <v/>
      </c>
      <c r="BD115">
        <f>IF(AND($G115=TRUE,$E115="DEF"),AY115,"")</f>
        <v/>
      </c>
      <c r="BE115">
        <f>IF(AND($G115=TRUE,$E115="MID"),AY115,"")</f>
        <v/>
      </c>
      <c r="BF115">
        <f>IF(AND($G115=TRUE,$E115="FWD"),AY115,"")</f>
        <v/>
      </c>
      <c r="BG115" t="n">
        <v>2</v>
      </c>
      <c r="BH115" t="n">
        <v>2</v>
      </c>
      <c r="BI115" t="n">
        <v>1</v>
      </c>
      <c r="BJ115" t="n">
        <v>5</v>
      </c>
    </row>
    <row r="116">
      <c r="A116" t="inlineStr">
        <is>
          <t>Harvey Barnes</t>
        </is>
      </c>
      <c r="B116" t="inlineStr">
        <is>
          <t>NEW</t>
        </is>
      </c>
      <c r="C116" t="inlineStr">
        <is>
          <t>NEW</t>
        </is>
      </c>
      <c r="D116" t="b">
        <v>0</v>
      </c>
      <c r="E116" t="inlineStr">
        <is>
          <t>MID</t>
        </is>
      </c>
      <c r="F116" t="inlineStr">
        <is>
          <t>MID</t>
        </is>
      </c>
      <c r="G116" t="b">
        <v>1</v>
      </c>
      <c r="H116" s="2" t="n">
        <v>6</v>
      </c>
      <c r="I116" t="inlineStr">
        <is>
          <t>a</t>
        </is>
      </c>
      <c r="K116" s="2" t="n">
        <v>1951</v>
      </c>
      <c r="L116" t="n">
        <v>106</v>
      </c>
      <c r="M116" s="3" t="n">
        <v>2308</v>
      </c>
      <c r="N116" s="8" t="n">
        <v>2308</v>
      </c>
      <c r="O116" s="8" t="n">
        <v>0</v>
      </c>
      <c r="Q116" t="inlineStr">
        <is>
          <t>flat</t>
        </is>
      </c>
      <c r="R116" s="6" t="n">
        <v>2308</v>
      </c>
      <c r="S116" t="inlineStr">
        <is>
          <t>Solio</t>
        </is>
      </c>
      <c r="U116" s="6" t="n">
        <v>79.5</v>
      </c>
      <c r="V116" s="2" t="n">
        <v>19</v>
      </c>
      <c r="W116" s="7">
        <f>IF(N(U116)&lt;=0,0,MIN(Assumptions!$B$15,N(R116)/N(U116)))</f>
        <v/>
      </c>
      <c r="X116" s="6" t="n">
        <v>0.248</v>
      </c>
      <c r="Y116" s="3" t="n">
        <v>0.3586</v>
      </c>
      <c r="Z116" t="inlineStr">
        <is>
          <t>adjusted xGOT</t>
        </is>
      </c>
      <c r="AA116" s="3" t="n">
        <v>1</v>
      </c>
      <c r="AB116" s="3" t="n">
        <v>1.136</v>
      </c>
      <c r="AC116" s="3" t="n">
        <v>26.1</v>
      </c>
      <c r="AD116" s="3" t="n">
        <v>0.1344</v>
      </c>
      <c r="AE116" s="3" t="n">
        <v>5.682</v>
      </c>
      <c r="AF116" s="3" t="n">
        <v>0.0056123311710774</v>
      </c>
      <c r="AG116" s="3" t="n">
        <v>0.4613</v>
      </c>
      <c r="AH116" s="3" t="n">
        <v>55</v>
      </c>
      <c r="AI116" s="3" t="n">
        <v>3.0912</v>
      </c>
      <c r="AJ116" s="3" t="n">
        <v>1.4534</v>
      </c>
      <c r="AK116" s="3" t="n">
        <v>-0.1111167177144415</v>
      </c>
      <c r="AL116" s="6" t="n">
        <v>0</v>
      </c>
      <c r="AM116" s="3" t="n">
        <v>0</v>
      </c>
      <c r="AN116" s="3" t="n">
        <v>1.793</v>
      </c>
      <c r="AO116" s="3" t="n">
        <v>0.532224</v>
      </c>
      <c r="AP116" s="3">
        <f>N(X116)*N(BI116)</f>
        <v/>
      </c>
      <c r="AQ116" s="3" t="n">
        <v>0.4613</v>
      </c>
      <c r="AR116" s="3" t="n">
        <v>0</v>
      </c>
      <c r="AS116" s="3" t="n">
        <v>-0</v>
      </c>
      <c r="AT116" s="3" t="n">
        <v>-0.1111167177144415</v>
      </c>
      <c r="AU116" s="3">
        <f>SUM(AN116:AT116)</f>
        <v/>
      </c>
      <c r="AV116" s="7">
        <f>IF(OR(N(W116)&lt;=0,N(BG116)=0),0,N(W116)*IF(N(R116)/N(W116)&gt;=60,N(BG116),1))</f>
        <v/>
      </c>
      <c r="AW116" s="7">
        <f>N(W116)*N(AF116)*N(BH116)</f>
        <v/>
      </c>
      <c r="AX116" s="7">
        <f>N(AL116)*(Assumptions!$B$13*N(BJ116)-(1-Assumptions!$B$13)*Assumptions!$B$14)+N(AM116)</f>
        <v/>
      </c>
      <c r="AY116" s="7">
        <f>N(AU116)*N(R116)/90+N(AV116)+N(AW116)+N(AX116)</f>
        <v/>
      </c>
      <c r="AZ116" s="3">
        <f>IF(N(R116)&lt;=0,0,(N(AY116)-N(AX116))*90/N(R116))</f>
        <v/>
      </c>
      <c r="BA116" s="7">
        <f>IFERROR(AY116-VLOOKUP($E116,Assumptions!$A$40:$C$43,3,FALSE),"")</f>
        <v/>
      </c>
      <c r="BB116" s="3">
        <f>IFERROR(BA116/H116,"")</f>
        <v/>
      </c>
      <c r="BC116">
        <f>IF(AND($G116=TRUE,$E116="GKP"),AY116,"")</f>
        <v/>
      </c>
      <c r="BD116">
        <f>IF(AND($G116=TRUE,$E116="DEF"),AY116,"")</f>
        <v/>
      </c>
      <c r="BE116">
        <f>IF(AND($G116=TRUE,$E116="MID"),AY116,"")</f>
        <v/>
      </c>
      <c r="BF116">
        <f>IF(AND($G116=TRUE,$E116="FWD"),AY116,"")</f>
        <v/>
      </c>
      <c r="BG116" t="n">
        <v>2</v>
      </c>
      <c r="BH116" t="n">
        <v>2</v>
      </c>
      <c r="BI116" t="n">
        <v>1</v>
      </c>
      <c r="BJ116" t="n">
        <v>5</v>
      </c>
    </row>
    <row r="117">
      <c r="A117" t="inlineStr">
        <is>
          <t>Matz Sels</t>
        </is>
      </c>
      <c r="B117" t="inlineStr">
        <is>
          <t>NFO</t>
        </is>
      </c>
      <c r="C117" t="inlineStr">
        <is>
          <t>NFO</t>
        </is>
      </c>
      <c r="D117" t="b">
        <v>0</v>
      </c>
      <c r="E117" t="inlineStr">
        <is>
          <t>GKP</t>
        </is>
      </c>
      <c r="F117" t="inlineStr">
        <is>
          <t>GKP</t>
        </is>
      </c>
      <c r="G117" t="b">
        <v>1</v>
      </c>
      <c r="H117" s="2" t="n">
        <v>5</v>
      </c>
      <c r="I117" t="inlineStr">
        <is>
          <t>a</t>
        </is>
      </c>
      <c r="K117" s="2" t="n">
        <v>2667</v>
      </c>
      <c r="L117" t="n">
        <v>105</v>
      </c>
      <c r="M117" s="3" t="n">
        <v>3385</v>
      </c>
      <c r="N117" s="4" t="n">
        <v>3250</v>
      </c>
      <c r="O117" s="4" t="n">
        <v>-135</v>
      </c>
      <c r="P117" s="5" t="inlineStr">
        <is>
          <t>medium</t>
        </is>
      </c>
      <c r="Q117" t="inlineStr">
        <is>
          <t>flat</t>
        </is>
      </c>
      <c r="R117" s="6" t="n">
        <v>3250</v>
      </c>
      <c r="S117" t="inlineStr">
        <is>
          <t>research</t>
        </is>
      </c>
      <c r="T117" s="5" t="inlineStr">
        <is>
          <t>Solio gives Sels 99% of available minutes, but he played only 2,667 league minutes in 2025-26 with John Victor taking 437, so Forest have changed keeper mid-season within the last year. Steven Benda was also added on a free on 15 Aug 2026.</t>
        </is>
      </c>
      <c r="U117" s="6" t="n">
        <v>88.8</v>
      </c>
      <c r="V117" s="2" t="n">
        <v>30</v>
      </c>
      <c r="W117" s="7">
        <f>IF(N(U117)&lt;=0,0,MIN(Assumptions!$B$15,N(R117)/N(U117)))</f>
        <v/>
      </c>
      <c r="X117" s="6" t="n">
        <v>0.224</v>
      </c>
      <c r="Y117" s="3" t="n">
        <v>0</v>
      </c>
      <c r="Z117" t="inlineStr">
        <is>
          <t>blended xG</t>
        </is>
      </c>
      <c r="AA117" s="3" t="n">
        <v>1</v>
      </c>
      <c r="AB117" s="3" t="n">
        <v>1</v>
      </c>
      <c r="AC117" s="3" t="n">
        <v>0</v>
      </c>
      <c r="AD117" s="3" t="n">
        <v>0.001</v>
      </c>
      <c r="AE117" s="3" t="n">
        <v>0</v>
      </c>
      <c r="AF117" s="3" t="n">
        <v>0</v>
      </c>
      <c r="AG117" s="3" t="n">
        <v>0.135</v>
      </c>
      <c r="AH117" s="3" t="n">
        <v>60</v>
      </c>
      <c r="AI117" s="3" t="n">
        <v>3.1134</v>
      </c>
      <c r="AJ117" s="3" t="n">
        <v>1.5588</v>
      </c>
      <c r="AK117" s="3" t="n">
        <v>-0.0827884725356831</v>
      </c>
      <c r="AL117" s="6" t="n">
        <v>0</v>
      </c>
      <c r="AM117" s="3" t="n">
        <v>3.293683305840039</v>
      </c>
      <c r="AN117" s="3" t="n">
        <v>0</v>
      </c>
      <c r="AO117" s="3" t="n">
        <v>0.00396</v>
      </c>
      <c r="AP117" s="3">
        <f>N(X117)*N(BI117)</f>
        <v/>
      </c>
      <c r="AQ117" s="3" t="n">
        <v>0.135</v>
      </c>
      <c r="AR117" s="3" t="n">
        <v>0.7024243676191486</v>
      </c>
      <c r="AS117" s="3" t="n">
        <v>-0.5404658182244797</v>
      </c>
      <c r="AT117" s="3" t="n">
        <v>-0.0827884725356831</v>
      </c>
      <c r="AU117" s="3">
        <f>SUM(AN117:AT117)</f>
        <v/>
      </c>
      <c r="AV117" s="7">
        <f>IF(OR(N(W117)&lt;=0,N(BG117)=0),0,N(W117)*IF(N(R117)/N(W117)&gt;=60,N(BG117),1))</f>
        <v/>
      </c>
      <c r="AW117" s="7">
        <f>N(W117)*N(AF117)*N(BH117)</f>
        <v/>
      </c>
      <c r="AX117" s="7">
        <f>N(AL117)*(Assumptions!$B$13*N(BJ117)-(1-Assumptions!$B$13)*Assumptions!$B$14)+N(AM117)</f>
        <v/>
      </c>
      <c r="AY117" s="7">
        <f>N(AU117)*N(R117)/90+N(AV117)+N(AW117)+N(AX117)</f>
        <v/>
      </c>
      <c r="AZ117" s="3">
        <f>IF(N(R117)&lt;=0,0,(N(AY117)-N(AX117))*90/N(R117))</f>
        <v/>
      </c>
      <c r="BA117" s="7">
        <f>IFERROR(AY117-VLOOKUP($E117,Assumptions!$A$40:$C$43,3,FALSE),"")</f>
        <v/>
      </c>
      <c r="BB117" s="3">
        <f>IFERROR(BA117/H117,"")</f>
        <v/>
      </c>
      <c r="BC117">
        <f>IF(AND($G117=TRUE,$E117="GKP"),AY117,"")</f>
        <v/>
      </c>
      <c r="BD117">
        <f>IF(AND($G117=TRUE,$E117="DEF"),AY117,"")</f>
        <v/>
      </c>
      <c r="BE117">
        <f>IF(AND($G117=TRUE,$E117="MID"),AY117,"")</f>
        <v/>
      </c>
      <c r="BF117">
        <f>IF(AND($G117=TRUE,$E117="FWD"),AY117,"")</f>
        <v/>
      </c>
      <c r="BG117" t="n">
        <v>2</v>
      </c>
      <c r="BH117" t="n">
        <v>0</v>
      </c>
      <c r="BI117" t="n">
        <v>4</v>
      </c>
      <c r="BJ117" t="n">
        <v>10</v>
      </c>
    </row>
    <row r="118">
      <c r="A118" t="inlineStr">
        <is>
          <t>Beto</t>
        </is>
      </c>
      <c r="B118" t="inlineStr">
        <is>
          <t>EVE</t>
        </is>
      </c>
      <c r="C118" t="inlineStr">
        <is>
          <t>EVE</t>
        </is>
      </c>
      <c r="D118" t="b">
        <v>0</v>
      </c>
      <c r="E118" t="inlineStr">
        <is>
          <t>FWD</t>
        </is>
      </c>
      <c r="F118" t="inlineStr">
        <is>
          <t>FWD</t>
        </is>
      </c>
      <c r="G118" t="b">
        <v>1</v>
      </c>
      <c r="H118" s="2" t="n">
        <v>5.5</v>
      </c>
      <c r="I118" t="inlineStr">
        <is>
          <t>a</t>
        </is>
      </c>
      <c r="K118" s="2" t="n">
        <v>1551</v>
      </c>
      <c r="L118" t="n">
        <v>104</v>
      </c>
      <c r="M118" s="3" t="n">
        <v>858</v>
      </c>
      <c r="N118" s="8" t="n">
        <v>858</v>
      </c>
      <c r="O118" s="8" t="n">
        <v>0</v>
      </c>
      <c r="Q118" t="inlineStr">
        <is>
          <t>flat</t>
        </is>
      </c>
      <c r="R118" s="6" t="n">
        <v>858</v>
      </c>
      <c r="S118" t="inlineStr">
        <is>
          <t>Solio</t>
        </is>
      </c>
      <c r="U118" s="6" t="n">
        <v>74</v>
      </c>
      <c r="V118" s="2" t="n">
        <v>17</v>
      </c>
      <c r="W118" s="7">
        <f>IF(N(U118)&lt;=0,0,MIN(Assumptions!$B$15,N(R118)/N(U118)))</f>
        <v/>
      </c>
      <c r="X118" s="6" t="n">
        <v>0.231</v>
      </c>
      <c r="Y118" s="3" t="n">
        <v>0.5123</v>
      </c>
      <c r="Z118" t="inlineStr">
        <is>
          <t>adjusted xGOT</t>
        </is>
      </c>
      <c r="AA118" s="3" t="n">
        <v>1</v>
      </c>
      <c r="AB118" s="3" t="n">
        <v>0.992</v>
      </c>
      <c r="AC118" s="3" t="n">
        <v>23.2</v>
      </c>
      <c r="AD118" s="3" t="n">
        <v>0.0358</v>
      </c>
      <c r="AE118" s="3" t="n">
        <v>5.047</v>
      </c>
      <c r="AF118" s="3" t="n">
        <v>0.001243848459158259</v>
      </c>
      <c r="AG118" s="3" t="n">
        <v>0.9284</v>
      </c>
      <c r="AH118" s="3" t="n">
        <v>53</v>
      </c>
      <c r="AI118" s="3" t="n">
        <v>3.0311</v>
      </c>
      <c r="AJ118" s="3" t="n">
        <v>1.5252</v>
      </c>
      <c r="AK118" s="3" t="n">
        <v>-0.1715995153376238</v>
      </c>
      <c r="AL118" s="6" t="n">
        <v>0.0006611948454638</v>
      </c>
      <c r="AM118" s="3" t="n">
        <v>0</v>
      </c>
      <c r="AN118" s="3" t="n">
        <v>2.0492</v>
      </c>
      <c r="AO118" s="3" t="n">
        <v>0.141768</v>
      </c>
      <c r="AP118" s="3">
        <f>N(X118)*N(BI118)</f>
        <v/>
      </c>
      <c r="AQ118" s="3" t="n">
        <v>0.9284</v>
      </c>
      <c r="AR118" s="3" t="n">
        <v>0</v>
      </c>
      <c r="AS118" s="3" t="n">
        <v>-0</v>
      </c>
      <c r="AT118" s="3" t="n">
        <v>-0.1715995153376238</v>
      </c>
      <c r="AU118" s="3">
        <f>SUM(AN118:AT118)</f>
        <v/>
      </c>
      <c r="AV118" s="7">
        <f>IF(OR(N(W118)&lt;=0,N(BG118)=0),0,N(W118)*IF(N(R118)/N(W118)&gt;=60,N(BG118),1))</f>
        <v/>
      </c>
      <c r="AW118" s="7">
        <f>N(W118)*N(AF118)*N(BH118)</f>
        <v/>
      </c>
      <c r="AX118" s="7">
        <f>N(AL118)*(Assumptions!$B$13*N(BJ118)-(1-Assumptions!$B$13)*Assumptions!$B$14)+N(AM118)</f>
        <v/>
      </c>
      <c r="AY118" s="7">
        <f>N(AU118)*N(R118)/90+N(AV118)+N(AW118)+N(AX118)</f>
        <v/>
      </c>
      <c r="AZ118" s="3">
        <f>IF(N(R118)&lt;=0,0,(N(AY118)-N(AX118))*90/N(R118))</f>
        <v/>
      </c>
      <c r="BA118" s="7">
        <f>IFERROR(AY118-VLOOKUP($E118,Assumptions!$A$40:$C$43,3,FALSE),"")</f>
        <v/>
      </c>
      <c r="BB118" s="3">
        <f>IFERROR(BA118/H118,"")</f>
        <v/>
      </c>
      <c r="BC118">
        <f>IF(AND($G118=TRUE,$E118="GKP"),AY118,"")</f>
        <v/>
      </c>
      <c r="BD118">
        <f>IF(AND($G118=TRUE,$E118="DEF"),AY118,"")</f>
        <v/>
      </c>
      <c r="BE118">
        <f>IF(AND($G118=TRUE,$E118="MID"),AY118,"")</f>
        <v/>
      </c>
      <c r="BF118">
        <f>IF(AND($G118=TRUE,$E118="FWD"),AY118,"")</f>
        <v/>
      </c>
      <c r="BG118" t="n">
        <v>2</v>
      </c>
      <c r="BH118" t="n">
        <v>2</v>
      </c>
      <c r="BI118" t="n">
        <v>0</v>
      </c>
      <c r="BJ118" t="n">
        <v>4</v>
      </c>
    </row>
    <row r="119">
      <c r="A119" t="inlineStr">
        <is>
          <t>Yehor Yarmoliuk</t>
        </is>
      </c>
      <c r="B119" t="inlineStr">
        <is>
          <t>BRE</t>
        </is>
      </c>
      <c r="C119" t="inlineStr">
        <is>
          <t>BRE</t>
        </is>
      </c>
      <c r="D119" t="b">
        <v>0</v>
      </c>
      <c r="E119" t="inlineStr">
        <is>
          <t>MID</t>
        </is>
      </c>
      <c r="F119" t="inlineStr">
        <is>
          <t>MID</t>
        </is>
      </c>
      <c r="G119" t="b">
        <v>1</v>
      </c>
      <c r="H119" s="2" t="n">
        <v>5</v>
      </c>
      <c r="I119" t="inlineStr">
        <is>
          <t>a</t>
        </is>
      </c>
      <c r="K119" s="2" t="n">
        <v>2652</v>
      </c>
      <c r="L119" t="n">
        <v>104</v>
      </c>
      <c r="M119" s="3" t="n">
        <v>2987</v>
      </c>
      <c r="N119" s="4" t="n">
        <v>2200</v>
      </c>
      <c r="O119" s="4" t="n">
        <v>-787</v>
      </c>
      <c r="P119" s="5" t="inlineStr">
        <is>
          <t>medium</t>
        </is>
      </c>
      <c r="Q119" t="inlineStr">
        <is>
          <t>flat</t>
        </is>
      </c>
      <c r="R119" s="6" t="n">
        <v>2200</v>
      </c>
      <c r="S119" t="inlineStr">
        <is>
          <t>research</t>
        </is>
      </c>
      <c r="T119" s="5" t="inlineStr">
        <is>
          <t>Solio projects him UP from 2652 to 2987 in the same window that the club spent a club-record fee on a central midfielder in his position. Sangare arrived from Lens on 1 August and started both subsequent friendlies; Yarmoliuk was named among the substitutes for the 15 Aug Frankfurt match while Janelt, Sangare and Jensen started. Transfermarkt also lists an unspecified injury since 23 May 2026. He remains a heavily used squad member, so this is a demotion from near-ever-present to a strong rotation starter, not a benching.</t>
        </is>
      </c>
      <c r="U119" s="6" t="n">
        <v>82</v>
      </c>
      <c r="V119" s="2" t="n">
        <v>30</v>
      </c>
      <c r="W119" s="7">
        <f>IF(N(U119)&lt;=0,0,MIN(Assumptions!$B$15,N(R119)/N(U119)))</f>
        <v/>
      </c>
      <c r="X119" s="6" t="n">
        <v>0.228</v>
      </c>
      <c r="Y119" s="3" t="n">
        <v>0.0403</v>
      </c>
      <c r="Z119" t="inlineStr">
        <is>
          <t>adjusted xGOT</t>
        </is>
      </c>
      <c r="AA119" s="3" t="n">
        <v>1</v>
      </c>
      <c r="AB119" s="3" t="n">
        <v>0.974</v>
      </c>
      <c r="AC119" s="3" t="n">
        <v>2.8</v>
      </c>
      <c r="AD119" s="3" t="n">
        <v>0.0449</v>
      </c>
      <c r="AE119" s="3" t="n">
        <v>10.853</v>
      </c>
      <c r="AF119" s="3" t="n">
        <v>0.2905918371817506</v>
      </c>
      <c r="AG119" s="3" t="n">
        <v>0.0339</v>
      </c>
      <c r="AH119" s="3" t="n">
        <v>66</v>
      </c>
      <c r="AI119" s="3" t="n">
        <v>3.2371</v>
      </c>
      <c r="AJ119" s="3" t="n">
        <v>1.5396</v>
      </c>
      <c r="AK119" s="3" t="n">
        <v>-0.2681475566974504</v>
      </c>
      <c r="AL119" s="6" t="n">
        <v>0</v>
      </c>
      <c r="AM119" s="3" t="n">
        <v>0</v>
      </c>
      <c r="AN119" s="3" t="n">
        <v>0.2015</v>
      </c>
      <c r="AO119" s="3" t="n">
        <v>0.177804</v>
      </c>
      <c r="AP119" s="3">
        <f>N(X119)*N(BI119)</f>
        <v/>
      </c>
      <c r="AQ119" s="3" t="n">
        <v>0.0339</v>
      </c>
      <c r="AR119" s="3" t="n">
        <v>0</v>
      </c>
      <c r="AS119" s="3" t="n">
        <v>-0</v>
      </c>
      <c r="AT119" s="3" t="n">
        <v>-0.2681475566974504</v>
      </c>
      <c r="AU119" s="3">
        <f>SUM(AN119:AT119)</f>
        <v/>
      </c>
      <c r="AV119" s="7">
        <f>IF(OR(N(W119)&lt;=0,N(BG119)=0),0,N(W119)*IF(N(R119)/N(W119)&gt;=60,N(BG119),1))</f>
        <v/>
      </c>
      <c r="AW119" s="7">
        <f>N(W119)*N(AF119)*N(BH119)</f>
        <v/>
      </c>
      <c r="AX119" s="7">
        <f>N(AL119)*(Assumptions!$B$13*N(BJ119)-(1-Assumptions!$B$13)*Assumptions!$B$14)+N(AM119)</f>
        <v/>
      </c>
      <c r="AY119" s="7">
        <f>N(AU119)*N(R119)/90+N(AV119)+N(AW119)+N(AX119)</f>
        <v/>
      </c>
      <c r="AZ119" s="3">
        <f>IF(N(R119)&lt;=0,0,(N(AY119)-N(AX119))*90/N(R119))</f>
        <v/>
      </c>
      <c r="BA119" s="7">
        <f>IFERROR(AY119-VLOOKUP($E119,Assumptions!$A$40:$C$43,3,FALSE),"")</f>
        <v/>
      </c>
      <c r="BB119" s="3">
        <f>IFERROR(BA119/H119,"")</f>
        <v/>
      </c>
      <c r="BC119">
        <f>IF(AND($G119=TRUE,$E119="GKP"),AY119,"")</f>
        <v/>
      </c>
      <c r="BD119">
        <f>IF(AND($G119=TRUE,$E119="DEF"),AY119,"")</f>
        <v/>
      </c>
      <c r="BE119">
        <f>IF(AND($G119=TRUE,$E119="MID"),AY119,"")</f>
        <v/>
      </c>
      <c r="BF119">
        <f>IF(AND($G119=TRUE,$E119="FWD"),AY119,"")</f>
        <v/>
      </c>
      <c r="BG119" t="n">
        <v>2</v>
      </c>
      <c r="BH119" t="n">
        <v>2</v>
      </c>
      <c r="BI119" t="n">
        <v>1</v>
      </c>
      <c r="BJ119" t="n">
        <v>5</v>
      </c>
    </row>
    <row r="120">
      <c r="A120" t="inlineStr">
        <is>
          <t>Alex Iwobi</t>
        </is>
      </c>
      <c r="B120" t="inlineStr">
        <is>
          <t>FUL</t>
        </is>
      </c>
      <c r="C120" t="inlineStr">
        <is>
          <t>FUL</t>
        </is>
      </c>
      <c r="D120" t="b">
        <v>0</v>
      </c>
      <c r="E120" t="inlineStr">
        <is>
          <t>MID</t>
        </is>
      </c>
      <c r="F120" t="inlineStr">
        <is>
          <t>MID</t>
        </is>
      </c>
      <c r="G120" t="b">
        <v>1</v>
      </c>
      <c r="H120" s="2" t="n">
        <v>5.5</v>
      </c>
      <c r="I120" t="inlineStr">
        <is>
          <t>a</t>
        </is>
      </c>
      <c r="K120" s="2" t="n">
        <v>2420</v>
      </c>
      <c r="L120" t="n">
        <v>103</v>
      </c>
      <c r="M120" s="3" t="n">
        <v>3152</v>
      </c>
      <c r="N120" s="8" t="n">
        <v>3152</v>
      </c>
      <c r="O120" s="8" t="n">
        <v>0</v>
      </c>
      <c r="Q120" t="inlineStr">
        <is>
          <t>flat</t>
        </is>
      </c>
      <c r="R120" s="6" t="n">
        <v>3152</v>
      </c>
      <c r="S120" t="inlineStr">
        <is>
          <t>Solio</t>
        </is>
      </c>
      <c r="U120" s="6" t="n">
        <v>82.59999999999999</v>
      </c>
      <c r="V120" s="2" t="n">
        <v>29</v>
      </c>
      <c r="W120" s="7">
        <f>IF(N(U120)&lt;=0,0,MIN(Assumptions!$B$15,N(R120)/N(U120)))</f>
        <v/>
      </c>
      <c r="X120" s="6" t="n">
        <v>0.214</v>
      </c>
      <c r="Y120" s="3" t="n">
        <v>0.0848</v>
      </c>
      <c r="Z120" t="inlineStr">
        <is>
          <t>adjusted xGOT</t>
        </is>
      </c>
      <c r="AA120" s="3" t="n">
        <v>1</v>
      </c>
      <c r="AB120" s="3" t="n">
        <v>1.194</v>
      </c>
      <c r="AC120" s="3" t="n">
        <v>14</v>
      </c>
      <c r="AD120" s="3" t="n">
        <v>0.1549</v>
      </c>
      <c r="AE120" s="3" t="n">
        <v>7.355</v>
      </c>
      <c r="AF120" s="3" t="n">
        <v>0.04286042950417901</v>
      </c>
      <c r="AG120" s="3" t="n">
        <v>0.5207000000000001</v>
      </c>
      <c r="AH120" s="3" t="n">
        <v>57</v>
      </c>
      <c r="AI120" s="3" t="n">
        <v>3.22</v>
      </c>
      <c r="AJ120" s="3" t="n">
        <v>1.6019</v>
      </c>
      <c r="AK120" s="3" t="n">
        <v>-0.120440907420585</v>
      </c>
      <c r="AL120" s="6" t="n">
        <v>0.3691433583482733</v>
      </c>
      <c r="AM120" s="3" t="n">
        <v>0</v>
      </c>
      <c r="AN120" s="3" t="n">
        <v>0.424</v>
      </c>
      <c r="AO120" s="3" t="n">
        <v>0.6134040000000001</v>
      </c>
      <c r="AP120" s="3">
        <f>N(X120)*N(BI120)</f>
        <v/>
      </c>
      <c r="AQ120" s="3" t="n">
        <v>0.5207000000000001</v>
      </c>
      <c r="AR120" s="3" t="n">
        <v>0</v>
      </c>
      <c r="AS120" s="3" t="n">
        <v>-0</v>
      </c>
      <c r="AT120" s="3" t="n">
        <v>-0.120440907420585</v>
      </c>
      <c r="AU120" s="3">
        <f>SUM(AN120:AT120)</f>
        <v/>
      </c>
      <c r="AV120" s="7">
        <f>IF(OR(N(W120)&lt;=0,N(BG120)=0),0,N(W120)*IF(N(R120)/N(W120)&gt;=60,N(BG120),1))</f>
        <v/>
      </c>
      <c r="AW120" s="7">
        <f>N(W120)*N(AF120)*N(BH120)</f>
        <v/>
      </c>
      <c r="AX120" s="7">
        <f>N(AL120)*(Assumptions!$B$13*N(BJ120)-(1-Assumptions!$B$13)*Assumptions!$B$14)+N(AM120)</f>
        <v/>
      </c>
      <c r="AY120" s="7">
        <f>N(AU120)*N(R120)/90+N(AV120)+N(AW120)+N(AX120)</f>
        <v/>
      </c>
      <c r="AZ120" s="3">
        <f>IF(N(R120)&lt;=0,0,(N(AY120)-N(AX120))*90/N(R120))</f>
        <v/>
      </c>
      <c r="BA120" s="7">
        <f>IFERROR(AY120-VLOOKUP($E120,Assumptions!$A$40:$C$43,3,FALSE),"")</f>
        <v/>
      </c>
      <c r="BB120" s="3">
        <f>IFERROR(BA120/H120,"")</f>
        <v/>
      </c>
      <c r="BC120">
        <f>IF(AND($G120=TRUE,$E120="GKP"),AY120,"")</f>
        <v/>
      </c>
      <c r="BD120">
        <f>IF(AND($G120=TRUE,$E120="DEF"),AY120,"")</f>
        <v/>
      </c>
      <c r="BE120">
        <f>IF(AND($G120=TRUE,$E120="MID"),AY120,"")</f>
        <v/>
      </c>
      <c r="BF120">
        <f>IF(AND($G120=TRUE,$E120="FWD"),AY120,"")</f>
        <v/>
      </c>
      <c r="BG120" t="n">
        <v>2</v>
      </c>
      <c r="BH120" t="n">
        <v>2</v>
      </c>
      <c r="BI120" t="n">
        <v>1</v>
      </c>
      <c r="BJ120" t="n">
        <v>5</v>
      </c>
    </row>
    <row r="121">
      <c r="A121" t="inlineStr">
        <is>
          <t>Calvin Bassey</t>
        </is>
      </c>
      <c r="B121" t="inlineStr">
        <is>
          <t>FUL</t>
        </is>
      </c>
      <c r="C121" t="inlineStr">
        <is>
          <t>FUL</t>
        </is>
      </c>
      <c r="D121" t="b">
        <v>0</v>
      </c>
      <c r="E121" t="inlineStr">
        <is>
          <t>DEF</t>
        </is>
      </c>
      <c r="F121" t="inlineStr">
        <is>
          <t>DEF</t>
        </is>
      </c>
      <c r="G121" t="b">
        <v>1</v>
      </c>
      <c r="H121" s="2" t="n">
        <v>4.5</v>
      </c>
      <c r="I121" t="inlineStr">
        <is>
          <t>a</t>
        </is>
      </c>
      <c r="K121" s="2" t="n">
        <v>2532</v>
      </c>
      <c r="L121" t="n">
        <v>103</v>
      </c>
      <c r="M121" s="3" t="n">
        <v>3141</v>
      </c>
      <c r="N121" s="8" t="n">
        <v>3141</v>
      </c>
      <c r="O121" s="8" t="n">
        <v>0</v>
      </c>
      <c r="Q121" t="inlineStr">
        <is>
          <t>flat</t>
        </is>
      </c>
      <c r="R121" s="6" t="n">
        <v>3141</v>
      </c>
      <c r="S121" t="inlineStr">
        <is>
          <t>Solio</t>
        </is>
      </c>
      <c r="U121" s="6" t="n">
        <v>88.8</v>
      </c>
      <c r="V121" s="2" t="n">
        <v>28</v>
      </c>
      <c r="W121" s="7">
        <f>IF(N(U121)&lt;=0,0,MIN(Assumptions!$B$15,N(R121)/N(U121)))</f>
        <v/>
      </c>
      <c r="X121" s="6" t="n">
        <v>0.214</v>
      </c>
      <c r="Y121" s="3" t="n">
        <v>0.0564</v>
      </c>
      <c r="Z121" t="inlineStr">
        <is>
          <t>adjusted xGOT</t>
        </is>
      </c>
      <c r="AA121" s="3" t="n">
        <v>1</v>
      </c>
      <c r="AB121" s="3" t="n">
        <v>0.928</v>
      </c>
      <c r="AC121" s="3" t="n">
        <v>3.1</v>
      </c>
      <c r="AD121" s="3" t="n">
        <v>0.0139</v>
      </c>
      <c r="AE121" s="3" t="n">
        <v>7.375</v>
      </c>
      <c r="AF121" s="3" t="n">
        <v>0.1986297417824545</v>
      </c>
      <c r="AG121" s="3" t="n">
        <v>0.3199</v>
      </c>
      <c r="AH121" s="3" t="n">
        <v>58</v>
      </c>
      <c r="AI121" s="3" t="n">
        <v>3.22</v>
      </c>
      <c r="AJ121" s="3" t="n">
        <v>1.6019</v>
      </c>
      <c r="AK121" s="3" t="n">
        <v>-0.204688653168472</v>
      </c>
      <c r="AL121" s="6" t="n">
        <v>0</v>
      </c>
      <c r="AM121" s="3" t="n">
        <v>0</v>
      </c>
      <c r="AN121" s="3" t="n">
        <v>0.3384</v>
      </c>
      <c r="AO121" s="3" t="n">
        <v>0.055044</v>
      </c>
      <c r="AP121" s="3">
        <f>N(X121)*N(BI121)</f>
        <v/>
      </c>
      <c r="AQ121" s="3" t="n">
        <v>0.3199</v>
      </c>
      <c r="AR121" s="3" t="n">
        <v>0</v>
      </c>
      <c r="AS121" s="3" t="n">
        <v>-0.5611019003833156</v>
      </c>
      <c r="AT121" s="3" t="n">
        <v>-0.204688653168472</v>
      </c>
      <c r="AU121" s="3">
        <f>SUM(AN121:AT121)</f>
        <v/>
      </c>
      <c r="AV121" s="7">
        <f>IF(OR(N(W121)&lt;=0,N(BG121)=0),0,N(W121)*IF(N(R121)/N(W121)&gt;=60,N(BG121),1))</f>
        <v/>
      </c>
      <c r="AW121" s="7">
        <f>N(W121)*N(AF121)*N(BH121)</f>
        <v/>
      </c>
      <c r="AX121" s="7">
        <f>N(AL121)*(Assumptions!$B$13*N(BJ121)-(1-Assumptions!$B$13)*Assumptions!$B$14)+N(AM121)</f>
        <v/>
      </c>
      <c r="AY121" s="7">
        <f>N(AU121)*N(R121)/90+N(AV121)+N(AW121)+N(AX121)</f>
        <v/>
      </c>
      <c r="AZ121" s="3">
        <f>IF(N(R121)&lt;=0,0,(N(AY121)-N(AX121))*90/N(R121))</f>
        <v/>
      </c>
      <c r="BA121" s="7">
        <f>IFERROR(AY121-VLOOKUP($E121,Assumptions!$A$40:$C$43,3,FALSE),"")</f>
        <v/>
      </c>
      <c r="BB121" s="3">
        <f>IFERROR(BA121/H121,"")</f>
        <v/>
      </c>
      <c r="BC121">
        <f>IF(AND($G121=TRUE,$E121="GKP"),AY121,"")</f>
        <v/>
      </c>
      <c r="BD121">
        <f>IF(AND($G121=TRUE,$E121="DEF"),AY121,"")</f>
        <v/>
      </c>
      <c r="BE121">
        <f>IF(AND($G121=TRUE,$E121="MID"),AY121,"")</f>
        <v/>
      </c>
      <c r="BF121">
        <f>IF(AND($G121=TRUE,$E121="FWD"),AY121,"")</f>
        <v/>
      </c>
      <c r="BG121" t="n">
        <v>2</v>
      </c>
      <c r="BH121" t="n">
        <v>2</v>
      </c>
      <c r="BI121" t="n">
        <v>4</v>
      </c>
      <c r="BJ121" t="n">
        <v>6</v>
      </c>
    </row>
    <row r="122">
      <c r="A122" t="inlineStr">
        <is>
          <t>John McGinn</t>
        </is>
      </c>
      <c r="B122" t="inlineStr">
        <is>
          <t>AVL</t>
        </is>
      </c>
      <c r="C122" t="inlineStr">
        <is>
          <t>AVL</t>
        </is>
      </c>
      <c r="D122" t="b">
        <v>0</v>
      </c>
      <c r="E122" t="inlineStr">
        <is>
          <t>MID</t>
        </is>
      </c>
      <c r="F122" t="inlineStr">
        <is>
          <t>MID</t>
        </is>
      </c>
      <c r="G122" t="b">
        <v>1</v>
      </c>
      <c r="H122" s="2" t="n">
        <v>5.5</v>
      </c>
      <c r="I122" t="inlineStr">
        <is>
          <t>a</t>
        </is>
      </c>
      <c r="K122" s="2" t="n">
        <v>2136</v>
      </c>
      <c r="L122" t="n">
        <v>103</v>
      </c>
      <c r="M122" s="3" t="n">
        <v>2844</v>
      </c>
      <c r="N122" s="8" t="n">
        <v>2844</v>
      </c>
      <c r="O122" s="8" t="n">
        <v>0</v>
      </c>
      <c r="Q122" t="inlineStr">
        <is>
          <t>flat</t>
        </is>
      </c>
      <c r="R122" s="6" t="n">
        <v>2844</v>
      </c>
      <c r="S122" t="inlineStr">
        <is>
          <t>Solio</t>
        </is>
      </c>
      <c r="U122" s="6" t="n">
        <v>76</v>
      </c>
      <c r="V122" s="2" t="n">
        <v>28</v>
      </c>
      <c r="W122" s="7">
        <f>IF(N(U122)&lt;=0,0,MIN(Assumptions!$B$15,N(R122)/N(U122)))</f>
        <v/>
      </c>
      <c r="X122" s="6" t="n">
        <v>0.273</v>
      </c>
      <c r="Y122" s="3" t="n">
        <v>0.1222</v>
      </c>
      <c r="Z122" t="inlineStr">
        <is>
          <t>adjusted xGOT</t>
        </is>
      </c>
      <c r="AA122" s="3" t="n">
        <v>1</v>
      </c>
      <c r="AB122" s="3" t="n">
        <v>0.967</v>
      </c>
      <c r="AC122" s="3" t="n">
        <v>13.5</v>
      </c>
      <c r="AD122" s="3" t="n">
        <v>0.189</v>
      </c>
      <c r="AE122" s="3" t="n">
        <v>6.889</v>
      </c>
      <c r="AF122" s="3" t="n">
        <v>0.01628176959757188</v>
      </c>
      <c r="AG122" s="3" t="n">
        <v>0.2949</v>
      </c>
      <c r="AH122" s="3" t="n">
        <v>55</v>
      </c>
      <c r="AI122" s="3" t="n">
        <v>2.7451</v>
      </c>
      <c r="AJ122" s="3" t="n">
        <v>1.3575</v>
      </c>
      <c r="AK122" s="3" t="n">
        <v>-0.252321156696781</v>
      </c>
      <c r="AL122" s="6" t="n">
        <v>0</v>
      </c>
      <c r="AM122" s="3" t="n">
        <v>0</v>
      </c>
      <c r="AN122" s="3" t="n">
        <v>0.611</v>
      </c>
      <c r="AO122" s="3" t="n">
        <v>0.74844</v>
      </c>
      <c r="AP122" s="3">
        <f>N(X122)*N(BI122)</f>
        <v/>
      </c>
      <c r="AQ122" s="3" t="n">
        <v>0.2949</v>
      </c>
      <c r="AR122" s="3" t="n">
        <v>0</v>
      </c>
      <c r="AS122" s="3" t="n">
        <v>-0</v>
      </c>
      <c r="AT122" s="3" t="n">
        <v>-0.252321156696781</v>
      </c>
      <c r="AU122" s="3">
        <f>SUM(AN122:AT122)</f>
        <v/>
      </c>
      <c r="AV122" s="7">
        <f>IF(OR(N(W122)&lt;=0,N(BG122)=0),0,N(W122)*IF(N(R122)/N(W122)&gt;=60,N(BG122),1))</f>
        <v/>
      </c>
      <c r="AW122" s="7">
        <f>N(W122)*N(AF122)*N(BH122)</f>
        <v/>
      </c>
      <c r="AX122" s="7">
        <f>N(AL122)*(Assumptions!$B$13*N(BJ122)-(1-Assumptions!$B$13)*Assumptions!$B$14)+N(AM122)</f>
        <v/>
      </c>
      <c r="AY122" s="7">
        <f>N(AU122)*N(R122)/90+N(AV122)+N(AW122)+N(AX122)</f>
        <v/>
      </c>
      <c r="AZ122" s="3">
        <f>IF(N(R122)&lt;=0,0,(N(AY122)-N(AX122))*90/N(R122))</f>
        <v/>
      </c>
      <c r="BA122" s="7">
        <f>IFERROR(AY122-VLOOKUP($E122,Assumptions!$A$40:$C$43,3,FALSE),"")</f>
        <v/>
      </c>
      <c r="BB122" s="3">
        <f>IFERROR(BA122/H122,"")</f>
        <v/>
      </c>
      <c r="BC122">
        <f>IF(AND($G122=TRUE,$E122="GKP"),AY122,"")</f>
        <v/>
      </c>
      <c r="BD122">
        <f>IF(AND($G122=TRUE,$E122="DEF"),AY122,"")</f>
        <v/>
      </c>
      <c r="BE122">
        <f>IF(AND($G122=TRUE,$E122="MID"),AY122,"")</f>
        <v/>
      </c>
      <c r="BF122">
        <f>IF(AND($G122=TRUE,$E122="FWD"),AY122,"")</f>
        <v/>
      </c>
      <c r="BG122" t="n">
        <v>2</v>
      </c>
      <c r="BH122" t="n">
        <v>2</v>
      </c>
      <c r="BI122" t="n">
        <v>1</v>
      </c>
      <c r="BJ122" t="n">
        <v>5</v>
      </c>
    </row>
    <row r="123">
      <c r="A123" t="inlineStr">
        <is>
          <t>Emiliano Buendía</t>
        </is>
      </c>
      <c r="B123" t="inlineStr">
        <is>
          <t>AVL</t>
        </is>
      </c>
      <c r="C123" t="inlineStr">
        <is>
          <t>AVL</t>
        </is>
      </c>
      <c r="D123" t="b">
        <v>0</v>
      </c>
      <c r="E123" t="inlineStr">
        <is>
          <t>MID</t>
        </is>
      </c>
      <c r="F123" t="inlineStr">
        <is>
          <t>MID</t>
        </is>
      </c>
      <c r="G123" t="b">
        <v>1</v>
      </c>
      <c r="H123" s="2" t="n">
        <v>6</v>
      </c>
      <c r="I123" t="inlineStr">
        <is>
          <t>a</t>
        </is>
      </c>
      <c r="K123" s="2" t="n">
        <v>1753</v>
      </c>
      <c r="L123" t="n">
        <v>102</v>
      </c>
      <c r="M123" s="3" t="n">
        <v>2776</v>
      </c>
      <c r="N123" s="8" t="n">
        <v>2776</v>
      </c>
      <c r="O123" s="8" t="n">
        <v>0</v>
      </c>
      <c r="Q123" t="inlineStr">
        <is>
          <t>flat</t>
        </is>
      </c>
      <c r="R123" s="6" t="n">
        <v>2776</v>
      </c>
      <c r="S123" t="inlineStr">
        <is>
          <t>Solio</t>
        </is>
      </c>
      <c r="U123" s="6" t="n">
        <v>71.8</v>
      </c>
      <c r="V123" s="2" t="n">
        <v>21</v>
      </c>
      <c r="W123" s="7">
        <f>IF(N(U123)&lt;=0,0,MIN(Assumptions!$B$15,N(R123)/N(U123)))</f>
        <v/>
      </c>
      <c r="X123" s="6" t="n">
        <v>0.273</v>
      </c>
      <c r="Y123" s="3" t="n">
        <v>0.157</v>
      </c>
      <c r="Z123" t="inlineStr">
        <is>
          <t>adjusted xGOT</t>
        </is>
      </c>
      <c r="AA123" s="3" t="n">
        <v>1</v>
      </c>
      <c r="AB123" s="3" t="n">
        <v>0.905</v>
      </c>
      <c r="AC123" s="3" t="n">
        <v>10.4</v>
      </c>
      <c r="AD123" s="3" t="n">
        <v>0.1503</v>
      </c>
      <c r="AE123" s="3" t="n">
        <v>9.667</v>
      </c>
      <c r="AF123" s="3" t="n">
        <v>0.09227044983751365</v>
      </c>
      <c r="AG123" s="3" t="n">
        <v>0.5134</v>
      </c>
      <c r="AH123" s="3" t="n">
        <v>51</v>
      </c>
      <c r="AI123" s="3" t="n">
        <v>2.7451</v>
      </c>
      <c r="AJ123" s="3" t="n">
        <v>1.3575</v>
      </c>
      <c r="AK123" s="3" t="n">
        <v>-0.2880579955741491</v>
      </c>
      <c r="AL123" s="6" t="n">
        <v>4.201881467969086</v>
      </c>
      <c r="AM123" s="3" t="n">
        <v>0</v>
      </c>
      <c r="AN123" s="3" t="n">
        <v>0.785</v>
      </c>
      <c r="AO123" s="3" t="n">
        <v>0.5951879999999999</v>
      </c>
      <c r="AP123" s="3">
        <f>N(X123)*N(BI123)</f>
        <v/>
      </c>
      <c r="AQ123" s="3" t="n">
        <v>0.5134</v>
      </c>
      <c r="AR123" s="3" t="n">
        <v>0</v>
      </c>
      <c r="AS123" s="3" t="n">
        <v>-0</v>
      </c>
      <c r="AT123" s="3" t="n">
        <v>-0.2880579955741491</v>
      </c>
      <c r="AU123" s="3">
        <f>SUM(AN123:AT123)</f>
        <v/>
      </c>
      <c r="AV123" s="7">
        <f>IF(OR(N(W123)&lt;=0,N(BG123)=0),0,N(W123)*IF(N(R123)/N(W123)&gt;=60,N(BG123),1))</f>
        <v/>
      </c>
      <c r="AW123" s="7">
        <f>N(W123)*N(AF123)*N(BH123)</f>
        <v/>
      </c>
      <c r="AX123" s="7">
        <f>N(AL123)*(Assumptions!$B$13*N(BJ123)-(1-Assumptions!$B$13)*Assumptions!$B$14)+N(AM123)</f>
        <v/>
      </c>
      <c r="AY123" s="7">
        <f>N(AU123)*N(R123)/90+N(AV123)+N(AW123)+N(AX123)</f>
        <v/>
      </c>
      <c r="AZ123" s="3">
        <f>IF(N(R123)&lt;=0,0,(N(AY123)-N(AX123))*90/N(R123))</f>
        <v/>
      </c>
      <c r="BA123" s="7">
        <f>IFERROR(AY123-VLOOKUP($E123,Assumptions!$A$40:$C$43,3,FALSE),"")</f>
        <v/>
      </c>
      <c r="BB123" s="3">
        <f>IFERROR(BA123/H123,"")</f>
        <v/>
      </c>
      <c r="BC123">
        <f>IF(AND($G123=TRUE,$E123="GKP"),AY123,"")</f>
        <v/>
      </c>
      <c r="BD123">
        <f>IF(AND($G123=TRUE,$E123="DEF"),AY123,"")</f>
        <v/>
      </c>
      <c r="BE123">
        <f>IF(AND($G123=TRUE,$E123="MID"),AY123,"")</f>
        <v/>
      </c>
      <c r="BF123">
        <f>IF(AND($G123=TRUE,$E123="FWD"),AY123,"")</f>
        <v/>
      </c>
      <c r="BG123" t="n">
        <v>2</v>
      </c>
      <c r="BH123" t="n">
        <v>2</v>
      </c>
      <c r="BI123" t="n">
        <v>1</v>
      </c>
      <c r="BJ123" t="n">
        <v>5</v>
      </c>
    </row>
    <row r="124">
      <c r="A124" t="inlineStr">
        <is>
          <t>Ezri Konsa</t>
        </is>
      </c>
      <c r="B124" t="inlineStr">
        <is>
          <t>AVL</t>
        </is>
      </c>
      <c r="C124" t="inlineStr">
        <is>
          <t>AVL</t>
        </is>
      </c>
      <c r="D124" t="b">
        <v>0</v>
      </c>
      <c r="E124" t="inlineStr">
        <is>
          <t>DEF</t>
        </is>
      </c>
      <c r="F124" t="inlineStr">
        <is>
          <t>DEF</t>
        </is>
      </c>
      <c r="G124" t="b">
        <v>1</v>
      </c>
      <c r="H124" s="2" t="n">
        <v>4.5</v>
      </c>
      <c r="I124" t="inlineStr">
        <is>
          <t>a</t>
        </is>
      </c>
      <c r="K124" s="2" t="n">
        <v>3035</v>
      </c>
      <c r="L124" t="n">
        <v>100</v>
      </c>
      <c r="M124" s="3" t="n">
        <v>3340</v>
      </c>
      <c r="N124" s="4" t="n">
        <v>3050</v>
      </c>
      <c r="O124" s="4" t="n">
        <v>-290</v>
      </c>
      <c r="P124" s="5" t="inlineStr">
        <is>
          <t>medium</t>
        </is>
      </c>
      <c r="Q124" t="inlineStr">
        <is>
          <t>flat</t>
        </is>
      </c>
      <c r="R124" s="6" t="n">
        <v>3050</v>
      </c>
      <c r="S124" t="inlineStr">
        <is>
          <t>research</t>
        </is>
      </c>
      <c r="T124" s="5" t="inlineStr">
        <is>
          <t>Played to England's World Cup third-place playoff on 19 July, was given four weeks off by Emery plus an extra week, and only returned to training in the week of 10 August. No pre-season minutes, missed the Super Cup. Emery said explicitly he is managing the load of the World Cup returnees. Set close to his actual 3,035 from 2025/26 rather than above it.</t>
        </is>
      </c>
      <c r="U124" s="6" t="n">
        <v>89</v>
      </c>
      <c r="V124" s="2" t="n">
        <v>33</v>
      </c>
      <c r="W124" s="7">
        <f>IF(N(U124)&lt;=0,0,MIN(Assumptions!$B$15,N(R124)/N(U124)))</f>
        <v/>
      </c>
      <c r="X124" s="6" t="n">
        <v>0.273</v>
      </c>
      <c r="Y124" s="3" t="n">
        <v>0.0313</v>
      </c>
      <c r="Z124" t="inlineStr">
        <is>
          <t>adjusted xGOT</t>
        </is>
      </c>
      <c r="AA124" s="3" t="n">
        <v>1</v>
      </c>
      <c r="AB124" s="3" t="n">
        <v>0.831</v>
      </c>
      <c r="AC124" s="3" t="n">
        <v>6.2</v>
      </c>
      <c r="AD124" s="3" t="n">
        <v>0.0177</v>
      </c>
      <c r="AE124" s="3" t="n">
        <v>6.171</v>
      </c>
      <c r="AF124" s="3" t="n">
        <v>0.09115589374114308</v>
      </c>
      <c r="AG124" s="3" t="n">
        <v>0.1186</v>
      </c>
      <c r="AH124" s="3" t="n">
        <v>68</v>
      </c>
      <c r="AI124" s="3" t="n">
        <v>2.7451</v>
      </c>
      <c r="AJ124" s="3" t="n">
        <v>1.3575</v>
      </c>
      <c r="AK124" s="3" t="n">
        <v>-0.0879156393384785</v>
      </c>
      <c r="AL124" s="6" t="n">
        <v>0</v>
      </c>
      <c r="AM124" s="3" t="n">
        <v>0</v>
      </c>
      <c r="AN124" s="3" t="n">
        <v>0.1878</v>
      </c>
      <c r="AO124" s="3" t="n">
        <v>0.070092</v>
      </c>
      <c r="AP124" s="3">
        <f>N(X124)*N(BI124)</f>
        <v/>
      </c>
      <c r="AQ124" s="3" t="n">
        <v>0.1186</v>
      </c>
      <c r="AR124" s="3" t="n">
        <v>0</v>
      </c>
      <c r="AS124" s="3" t="n">
        <v>-0.4453012382517575</v>
      </c>
      <c r="AT124" s="3" t="n">
        <v>-0.0879156393384785</v>
      </c>
      <c r="AU124" s="3">
        <f>SUM(AN124:AT124)</f>
        <v/>
      </c>
      <c r="AV124" s="7">
        <f>IF(OR(N(W124)&lt;=0,N(BG124)=0),0,N(W124)*IF(N(R124)/N(W124)&gt;=60,N(BG124),1))</f>
        <v/>
      </c>
      <c r="AW124" s="7">
        <f>N(W124)*N(AF124)*N(BH124)</f>
        <v/>
      </c>
      <c r="AX124" s="7">
        <f>N(AL124)*(Assumptions!$B$13*N(BJ124)-(1-Assumptions!$B$13)*Assumptions!$B$14)+N(AM124)</f>
        <v/>
      </c>
      <c r="AY124" s="7">
        <f>N(AU124)*N(R124)/90+N(AV124)+N(AW124)+N(AX124)</f>
        <v/>
      </c>
      <c r="AZ124" s="3">
        <f>IF(N(R124)&lt;=0,0,(N(AY124)-N(AX124))*90/N(R124))</f>
        <v/>
      </c>
      <c r="BA124" s="7">
        <f>IFERROR(AY124-VLOOKUP($E124,Assumptions!$A$40:$C$43,3,FALSE),"")</f>
        <v/>
      </c>
      <c r="BB124" s="3">
        <f>IFERROR(BA124/H124,"")</f>
        <v/>
      </c>
      <c r="BC124">
        <f>IF(AND($G124=TRUE,$E124="GKP"),AY124,"")</f>
        <v/>
      </c>
      <c r="BD124">
        <f>IF(AND($G124=TRUE,$E124="DEF"),AY124,"")</f>
        <v/>
      </c>
      <c r="BE124">
        <f>IF(AND($G124=TRUE,$E124="MID"),AY124,"")</f>
        <v/>
      </c>
      <c r="BF124">
        <f>IF(AND($G124=TRUE,$E124="FWD"),AY124,"")</f>
        <v/>
      </c>
      <c r="BG124" t="n">
        <v>2</v>
      </c>
      <c r="BH124" t="n">
        <v>2</v>
      </c>
      <c r="BI124" t="n">
        <v>4</v>
      </c>
      <c r="BJ124" t="n">
        <v>6</v>
      </c>
    </row>
    <row r="125">
      <c r="A125" t="inlineStr">
        <is>
          <t>Lewis Dunk</t>
        </is>
      </c>
      <c r="B125" t="inlineStr">
        <is>
          <t>BHA</t>
        </is>
      </c>
      <c r="C125" t="inlineStr">
        <is>
          <t>BHA</t>
        </is>
      </c>
      <c r="D125" t="b">
        <v>0</v>
      </c>
      <c r="E125" t="inlineStr">
        <is>
          <t>DEF</t>
        </is>
      </c>
      <c r="F125" t="inlineStr">
        <is>
          <t>DEF</t>
        </is>
      </c>
      <c r="G125" t="b">
        <v>1</v>
      </c>
      <c r="H125" s="2" t="n">
        <v>4.5</v>
      </c>
      <c r="I125" t="inlineStr">
        <is>
          <t>a</t>
        </is>
      </c>
      <c r="K125" s="2" t="n">
        <v>2837</v>
      </c>
      <c r="L125" t="n">
        <v>100</v>
      </c>
      <c r="M125" s="3" t="n">
        <v>1898</v>
      </c>
      <c r="N125" s="4" t="n">
        <v>1000</v>
      </c>
      <c r="O125" s="4" t="n">
        <v>-898</v>
      </c>
      <c r="P125" s="5" t="inlineStr">
        <is>
          <t>medium</t>
        </is>
      </c>
      <c r="Q125" t="inlineStr">
        <is>
          <t>flat</t>
        </is>
      </c>
      <c r="R125" s="6" t="n">
        <v>1000</v>
      </c>
      <c r="S125" t="inlineStr">
        <is>
          <t>research</t>
        </is>
      </c>
      <c r="T125" s="5" t="inlineStr">
        <is>
          <t>Came off the BENCH in both August friendlies (on at 45' v Roma, on at 66' v Bologna) while Vuskovic and Boscagli started. We Are Brighton's centre-back analysis (11 Aug) concludes this scenario 'would likely relegate Lewis Dunk to cup competitions'. He turns 35 in November and Brighton spent roughly GBP 65m on Vuskovic, Struijk and Svoboda this summer after selling van Hecke. Retained a meaningful figure because he is club captain and injuries in a five-CB group are certain.</t>
        </is>
      </c>
      <c r="U125" s="6" t="n">
        <v>88.90000000000001</v>
      </c>
      <c r="V125" s="2" t="n">
        <v>31</v>
      </c>
      <c r="W125" s="7">
        <f>IF(N(U125)&lt;=0,0,MIN(Assumptions!$B$15,N(R125)/N(U125)))</f>
        <v/>
      </c>
      <c r="X125" s="6" t="n">
        <v>0.252</v>
      </c>
      <c r="Y125" s="3" t="n">
        <v>0.0518</v>
      </c>
      <c r="Z125" t="inlineStr">
        <is>
          <t>adjusted xGOT</t>
        </is>
      </c>
      <c r="AA125" s="3" t="n">
        <v>1</v>
      </c>
      <c r="AB125" s="3" t="n">
        <v>0.893</v>
      </c>
      <c r="AC125" s="3" t="n">
        <v>7.5</v>
      </c>
      <c r="AD125" s="3" t="n">
        <v>0.0175</v>
      </c>
      <c r="AE125" s="3" t="n">
        <v>7.4</v>
      </c>
      <c r="AF125" s="3" t="n">
        <v>0.2022284073503849</v>
      </c>
      <c r="AG125" s="3" t="n">
        <v>0.1586</v>
      </c>
      <c r="AH125" s="3" t="n">
        <v>64</v>
      </c>
      <c r="AI125" s="3" t="n">
        <v>2.8404</v>
      </c>
      <c r="AJ125" s="3" t="n">
        <v>1.439</v>
      </c>
      <c r="AK125" s="3" t="n">
        <v>-0.2684546345789187</v>
      </c>
      <c r="AL125" s="6" t="n">
        <v>0</v>
      </c>
      <c r="AM125" s="3" t="n">
        <v>0</v>
      </c>
      <c r="AN125" s="3" t="n">
        <v>0.3108</v>
      </c>
      <c r="AO125" s="3" t="n">
        <v>0.06930000000000001</v>
      </c>
      <c r="AP125" s="3">
        <f>N(X125)*N(BI125)</f>
        <v/>
      </c>
      <c r="AQ125" s="3" t="n">
        <v>0.1586</v>
      </c>
      <c r="AR125" s="3" t="n">
        <v>0</v>
      </c>
      <c r="AS125" s="3" t="n">
        <v>-0.4835617861760246</v>
      </c>
      <c r="AT125" s="3" t="n">
        <v>-0.2684546345789187</v>
      </c>
      <c r="AU125" s="3">
        <f>SUM(AN125:AT125)</f>
        <v/>
      </c>
      <c r="AV125" s="7">
        <f>IF(OR(N(W125)&lt;=0,N(BG125)=0),0,N(W125)*IF(N(R125)/N(W125)&gt;=60,N(BG125),1))</f>
        <v/>
      </c>
      <c r="AW125" s="7">
        <f>N(W125)*N(AF125)*N(BH125)</f>
        <v/>
      </c>
      <c r="AX125" s="7">
        <f>N(AL125)*(Assumptions!$B$13*N(BJ125)-(1-Assumptions!$B$13)*Assumptions!$B$14)+N(AM125)</f>
        <v/>
      </c>
      <c r="AY125" s="7">
        <f>N(AU125)*N(R125)/90+N(AV125)+N(AW125)+N(AX125)</f>
        <v/>
      </c>
      <c r="AZ125" s="3">
        <f>IF(N(R125)&lt;=0,0,(N(AY125)-N(AX125))*90/N(R125))</f>
        <v/>
      </c>
      <c r="BA125" s="7">
        <f>IFERROR(AY125-VLOOKUP($E125,Assumptions!$A$40:$C$43,3,FALSE),"")</f>
        <v/>
      </c>
      <c r="BB125" s="3">
        <f>IFERROR(BA125/H125,"")</f>
        <v/>
      </c>
      <c r="BC125">
        <f>IF(AND($G125=TRUE,$E125="GKP"),AY125,"")</f>
        <v/>
      </c>
      <c r="BD125">
        <f>IF(AND($G125=TRUE,$E125="DEF"),AY125,"")</f>
        <v/>
      </c>
      <c r="BE125">
        <f>IF(AND($G125=TRUE,$E125="MID"),AY125,"")</f>
        <v/>
      </c>
      <c r="BF125">
        <f>IF(AND($G125=TRUE,$E125="FWD"),AY125,"")</f>
        <v/>
      </c>
      <c r="BG125" t="n">
        <v>2</v>
      </c>
      <c r="BH125" t="n">
        <v>2</v>
      </c>
      <c r="BI125" t="n">
        <v>4</v>
      </c>
      <c r="BJ125" t="n">
        <v>6</v>
      </c>
    </row>
    <row r="126">
      <c r="A126" t="inlineStr">
        <is>
          <t>Jaka Bijol</t>
        </is>
      </c>
      <c r="B126" t="inlineStr">
        <is>
          <t>LEE</t>
        </is>
      </c>
      <c r="C126" t="inlineStr">
        <is>
          <t>LEE</t>
        </is>
      </c>
      <c r="D126" t="b">
        <v>0</v>
      </c>
      <c r="E126" t="inlineStr">
        <is>
          <t>DEF</t>
        </is>
      </c>
      <c r="F126" t="inlineStr">
        <is>
          <t>DEF</t>
        </is>
      </c>
      <c r="G126" t="b">
        <v>1</v>
      </c>
      <c r="H126" s="2" t="n">
        <v>5</v>
      </c>
      <c r="I126" t="inlineStr">
        <is>
          <t>a</t>
        </is>
      </c>
      <c r="K126" s="2" t="n">
        <v>1888</v>
      </c>
      <c r="L126" t="n">
        <v>99</v>
      </c>
      <c r="M126" s="3" t="n">
        <v>2046</v>
      </c>
      <c r="N126" s="4" t="n">
        <v>2500</v>
      </c>
      <c r="O126" s="4" t="n">
        <v>454</v>
      </c>
      <c r="P126" s="5" t="inlineStr">
        <is>
          <t>medium</t>
        </is>
      </c>
      <c r="Q126" t="inlineStr">
        <is>
          <t>flat</t>
        </is>
      </c>
      <c r="R126" s="6" t="n">
        <v>2500</v>
      </c>
      <c r="S126" t="inlineStr">
        <is>
          <t>research</t>
        </is>
      </c>
      <c r="T126" s="5" t="inlineStr">
        <is>
          <t>Solio appears to be carrying forward last season's 1888 minutes, which were suppressed by rotation with Pascal Struijk. Struijk has been sold to Brighton (Transfermarkt: EUR 23.2m; Wikipedia: GBP 15m), removing a direct competitor for the third centre-back slot. Bijol started the final friendly in the back three alongside Rodon and Muharemovic, and the only other senior centre-back, Bornauw, is being courted by HSV. Held back from a full starter's allocation because Elvedi's arrival is reported close.</t>
        </is>
      </c>
      <c r="U126" s="6" t="n">
        <v>85.3</v>
      </c>
      <c r="V126" s="2" t="n">
        <v>21</v>
      </c>
      <c r="W126" s="7">
        <f>IF(N(U126)&lt;=0,0,MIN(Assumptions!$B$15,N(R126)/N(U126)))</f>
        <v/>
      </c>
      <c r="X126" s="6" t="n">
        <v>0.218</v>
      </c>
      <c r="Y126" s="3" t="n">
        <v>0.0424</v>
      </c>
      <c r="Z126" t="inlineStr">
        <is>
          <t>adjusted xGOT</t>
        </is>
      </c>
      <c r="AA126" s="3" t="n">
        <v>1</v>
      </c>
      <c r="AB126" s="3" t="n">
        <v>0.989</v>
      </c>
      <c r="AC126" s="3" t="n">
        <v>0.9</v>
      </c>
      <c r="AD126" s="3" t="n">
        <v>0.0512</v>
      </c>
      <c r="AE126" s="3" t="n">
        <v>9.679</v>
      </c>
      <c r="AF126" s="3" t="n">
        <v>0.4354441515097367</v>
      </c>
      <c r="AG126" s="3" t="n">
        <v>0.143</v>
      </c>
      <c r="AH126" s="3" t="n">
        <v>46</v>
      </c>
      <c r="AI126" s="3" t="n">
        <v>3.0611</v>
      </c>
      <c r="AJ126" s="3" t="n">
        <v>1.5875</v>
      </c>
      <c r="AK126" s="3" t="n">
        <v>-0.2086948344647888</v>
      </c>
      <c r="AL126" s="6" t="n">
        <v>0</v>
      </c>
      <c r="AM126" s="3" t="n">
        <v>0</v>
      </c>
      <c r="AN126" s="3" t="n">
        <v>0.2544</v>
      </c>
      <c r="AO126" s="3" t="n">
        <v>0.202752</v>
      </c>
      <c r="AP126" s="3">
        <f>N(X126)*N(BI126)</f>
        <v/>
      </c>
      <c r="AQ126" s="3" t="n">
        <v>0.143</v>
      </c>
      <c r="AR126" s="3" t="n">
        <v>0</v>
      </c>
      <c r="AS126" s="3" t="n">
        <v>-0.5541985260210861</v>
      </c>
      <c r="AT126" s="3" t="n">
        <v>-0.2086948344647888</v>
      </c>
      <c r="AU126" s="3">
        <f>SUM(AN126:AT126)</f>
        <v/>
      </c>
      <c r="AV126" s="7">
        <f>IF(OR(N(W126)&lt;=0,N(BG126)=0),0,N(W126)*IF(N(R126)/N(W126)&gt;=60,N(BG126),1))</f>
        <v/>
      </c>
      <c r="AW126" s="7">
        <f>N(W126)*N(AF126)*N(BH126)</f>
        <v/>
      </c>
      <c r="AX126" s="7">
        <f>N(AL126)*(Assumptions!$B$13*N(BJ126)-(1-Assumptions!$B$13)*Assumptions!$B$14)+N(AM126)</f>
        <v/>
      </c>
      <c r="AY126" s="7">
        <f>N(AU126)*N(R126)/90+N(AV126)+N(AW126)+N(AX126)</f>
        <v/>
      </c>
      <c r="AZ126" s="3">
        <f>IF(N(R126)&lt;=0,0,(N(AY126)-N(AX126))*90/N(R126))</f>
        <v/>
      </c>
      <c r="BA126" s="7">
        <f>IFERROR(AY126-VLOOKUP($E126,Assumptions!$A$40:$C$43,3,FALSE),"")</f>
        <v/>
      </c>
      <c r="BB126" s="3">
        <f>IFERROR(BA126/H126,"")</f>
        <v/>
      </c>
      <c r="BC126">
        <f>IF(AND($G126=TRUE,$E126="GKP"),AY126,"")</f>
        <v/>
      </c>
      <c r="BD126">
        <f>IF(AND($G126=TRUE,$E126="DEF"),AY126,"")</f>
        <v/>
      </c>
      <c r="BE126">
        <f>IF(AND($G126=TRUE,$E126="MID"),AY126,"")</f>
        <v/>
      </c>
      <c r="BF126">
        <f>IF(AND($G126=TRUE,$E126="FWD"),AY126,"")</f>
        <v/>
      </c>
      <c r="BG126" t="n">
        <v>2</v>
      </c>
      <c r="BH126" t="n">
        <v>2</v>
      </c>
      <c r="BI126" t="n">
        <v>4</v>
      </c>
      <c r="BJ126" t="n">
        <v>6</v>
      </c>
    </row>
    <row r="127">
      <c r="A127" t="inlineStr">
        <is>
          <t>Yasin Ayari</t>
        </is>
      </c>
      <c r="B127" t="inlineStr">
        <is>
          <t>BHA</t>
        </is>
      </c>
      <c r="C127" t="inlineStr">
        <is>
          <t>BHA</t>
        </is>
      </c>
      <c r="D127" t="b">
        <v>0</v>
      </c>
      <c r="E127" t="inlineStr">
        <is>
          <t>MID</t>
        </is>
      </c>
      <c r="F127" t="inlineStr">
        <is>
          <t>MID</t>
        </is>
      </c>
      <c r="G127" t="b">
        <v>1</v>
      </c>
      <c r="H127" s="2" t="n">
        <v>5.5</v>
      </c>
      <c r="I127" t="inlineStr">
        <is>
          <t>a</t>
        </is>
      </c>
      <c r="K127" s="2" t="n">
        <v>1921</v>
      </c>
      <c r="L127" t="n">
        <v>98</v>
      </c>
      <c r="M127" s="3" t="n">
        <v>1402</v>
      </c>
      <c r="N127" s="4" t="n">
        <v>2000</v>
      </c>
      <c r="O127" s="4" t="n">
        <v>598</v>
      </c>
      <c r="P127" s="5" t="inlineStr">
        <is>
          <t>medium</t>
        </is>
      </c>
      <c r="Q127" t="inlineStr">
        <is>
          <t>fade (losing his place)</t>
        </is>
      </c>
      <c r="R127" s="6" t="n">
        <v>2000</v>
      </c>
      <c r="S127" t="inlineStr">
        <is>
          <t>research</t>
        </is>
      </c>
      <c r="T127" s="5" t="inlineStr">
        <is>
          <t>Solio flags 'fade (losing his place)' and cuts him from 1921 minutes to 1402, but he started in central midfield in both August friendlies and scored twice against Roma. Sports Mole's 14 Aug team news names him and Gross as the expected pivot. Capped at 2000 rather than higher because Baleba returns from an ankle injury around 23 Aug and directly competes for the same slot.</t>
        </is>
      </c>
      <c r="U127" s="6" t="n">
        <v>84.3</v>
      </c>
      <c r="V127" s="2" t="n">
        <v>20</v>
      </c>
      <c r="W127" s="7">
        <f>IF(N(U127)&lt;=0,0,MIN(Assumptions!$B$15,N(R127)/N(U127)))</f>
        <v/>
      </c>
      <c r="X127" s="6" t="n">
        <v>0.252</v>
      </c>
      <c r="Y127" s="3" t="n">
        <v>0.1272</v>
      </c>
      <c r="Z127" t="inlineStr">
        <is>
          <t>adjusted xGOT</t>
        </is>
      </c>
      <c r="AA127" s="3" t="n">
        <v>1</v>
      </c>
      <c r="AB127" s="3" t="n">
        <v>1.005</v>
      </c>
      <c r="AC127" s="3" t="n">
        <v>5.2</v>
      </c>
      <c r="AD127" s="3" t="n">
        <v>0.0598</v>
      </c>
      <c r="AE127" s="3" t="n">
        <v>10.006</v>
      </c>
      <c r="AF127" s="3" t="n">
        <v>0.234529238374678</v>
      </c>
      <c r="AG127" s="3" t="n">
        <v>0.328</v>
      </c>
      <c r="AH127" s="3" t="n">
        <v>49</v>
      </c>
      <c r="AI127" s="3" t="n">
        <v>2.8404</v>
      </c>
      <c r="AJ127" s="3" t="n">
        <v>1.439</v>
      </c>
      <c r="AK127" s="3" t="n">
        <v>-0.1474051509917553</v>
      </c>
      <c r="AL127" s="6" t="n">
        <v>0</v>
      </c>
      <c r="AM127" s="3" t="n">
        <v>0</v>
      </c>
      <c r="AN127" s="3" t="n">
        <v>0.636</v>
      </c>
      <c r="AO127" s="3" t="n">
        <v>0.236808</v>
      </c>
      <c r="AP127" s="3">
        <f>N(X127)*N(BI127)</f>
        <v/>
      </c>
      <c r="AQ127" s="3" t="n">
        <v>0.328</v>
      </c>
      <c r="AR127" s="3" t="n">
        <v>0</v>
      </c>
      <c r="AS127" s="3" t="n">
        <v>-0</v>
      </c>
      <c r="AT127" s="3" t="n">
        <v>-0.1474051509917553</v>
      </c>
      <c r="AU127" s="3">
        <f>SUM(AN127:AT127)</f>
        <v/>
      </c>
      <c r="AV127" s="7">
        <f>IF(OR(N(W127)&lt;=0,N(BG127)=0),0,N(W127)*IF(N(R127)/N(W127)&gt;=60,N(BG127),1))</f>
        <v/>
      </c>
      <c r="AW127" s="7">
        <f>N(W127)*N(AF127)*N(BH127)</f>
        <v/>
      </c>
      <c r="AX127" s="7">
        <f>N(AL127)*(Assumptions!$B$13*N(BJ127)-(1-Assumptions!$B$13)*Assumptions!$B$14)+N(AM127)</f>
        <v/>
      </c>
      <c r="AY127" s="7">
        <f>N(AU127)*N(R127)/90+N(AV127)+N(AW127)+N(AX127)</f>
        <v/>
      </c>
      <c r="AZ127" s="3">
        <f>IF(N(R127)&lt;=0,0,(N(AY127)-N(AX127))*90/N(R127))</f>
        <v/>
      </c>
      <c r="BA127" s="7">
        <f>IFERROR(AY127-VLOOKUP($E127,Assumptions!$A$40:$C$43,3,FALSE),"")</f>
        <v/>
      </c>
      <c r="BB127" s="3">
        <f>IFERROR(BA127/H127,"")</f>
        <v/>
      </c>
      <c r="BC127">
        <f>IF(AND($G127=TRUE,$E127="GKP"),AY127,"")</f>
        <v/>
      </c>
      <c r="BD127">
        <f>IF(AND($G127=TRUE,$E127="DEF"),AY127,"")</f>
        <v/>
      </c>
      <c r="BE127">
        <f>IF(AND($G127=TRUE,$E127="MID"),AY127,"")</f>
        <v/>
      </c>
      <c r="BF127">
        <f>IF(AND($G127=TRUE,$E127="FWD"),AY127,"")</f>
        <v/>
      </c>
      <c r="BG127" t="n">
        <v>2</v>
      </c>
      <c r="BH127" t="n">
        <v>2</v>
      </c>
      <c r="BI127" t="n">
        <v>1</v>
      </c>
      <c r="BJ127" t="n">
        <v>5</v>
      </c>
    </row>
    <row r="128">
      <c r="A128" t="inlineStr">
        <is>
          <t>Mathias Jensen</t>
        </is>
      </c>
      <c r="B128" t="inlineStr">
        <is>
          <t>BRE</t>
        </is>
      </c>
      <c r="C128" t="inlineStr">
        <is>
          <t>BRE</t>
        </is>
      </c>
      <c r="D128" t="b">
        <v>0</v>
      </c>
      <c r="E128" t="inlineStr">
        <is>
          <t>MID</t>
        </is>
      </c>
      <c r="F128" t="inlineStr">
        <is>
          <t>MID</t>
        </is>
      </c>
      <c r="G128" t="b">
        <v>1</v>
      </c>
      <c r="H128" s="2" t="n">
        <v>5.5</v>
      </c>
      <c r="I128" t="inlineStr">
        <is>
          <t>a</t>
        </is>
      </c>
      <c r="K128" s="2" t="n">
        <v>2239</v>
      </c>
      <c r="L128" t="n">
        <v>98</v>
      </c>
      <c r="M128" s="3" t="n">
        <v>1573</v>
      </c>
      <c r="N128" s="8" t="n">
        <v>1573</v>
      </c>
      <c r="O128" s="8" t="n">
        <v>0</v>
      </c>
      <c r="Q128" t="inlineStr">
        <is>
          <t>flat</t>
        </is>
      </c>
      <c r="R128" s="6" t="n">
        <v>1573</v>
      </c>
      <c r="S128" t="inlineStr">
        <is>
          <t>Solio</t>
        </is>
      </c>
      <c r="U128" s="6" t="n">
        <v>81</v>
      </c>
      <c r="V128" s="2" t="n">
        <v>26</v>
      </c>
      <c r="W128" s="7">
        <f>IF(N(U128)&lt;=0,0,MIN(Assumptions!$B$15,N(R128)/N(U128)))</f>
        <v/>
      </c>
      <c r="X128" s="6" t="n">
        <v>0.228</v>
      </c>
      <c r="Y128" s="3" t="n">
        <v>0.0882</v>
      </c>
      <c r="Z128" t="inlineStr">
        <is>
          <t>adjusted xGOT</t>
        </is>
      </c>
      <c r="AA128" s="3" t="n">
        <v>1</v>
      </c>
      <c r="AB128" s="3" t="n">
        <v>0.993</v>
      </c>
      <c r="AC128" s="3" t="n">
        <v>5.5</v>
      </c>
      <c r="AD128" s="3" t="n">
        <v>0.229</v>
      </c>
      <c r="AE128" s="3" t="n">
        <v>8.778</v>
      </c>
      <c r="AF128" s="3" t="n">
        <v>0.1048545787035969</v>
      </c>
      <c r="AG128" s="3" t="n">
        <v>0.0402</v>
      </c>
      <c r="AH128" s="3" t="n">
        <v>62</v>
      </c>
      <c r="AI128" s="3" t="n">
        <v>3.2371</v>
      </c>
      <c r="AJ128" s="3" t="n">
        <v>1.5396</v>
      </c>
      <c r="AK128" s="3" t="n">
        <v>-0.1834293757151458</v>
      </c>
      <c r="AL128" s="6" t="n">
        <v>0.0228187842591649</v>
      </c>
      <c r="AM128" s="3" t="n">
        <v>0</v>
      </c>
      <c r="AN128" s="3" t="n">
        <v>0.441</v>
      </c>
      <c r="AO128" s="3" t="n">
        <v>0.9068400000000001</v>
      </c>
      <c r="AP128" s="3">
        <f>N(X128)*N(BI128)</f>
        <v/>
      </c>
      <c r="AQ128" s="3" t="n">
        <v>0.0402</v>
      </c>
      <c r="AR128" s="3" t="n">
        <v>0</v>
      </c>
      <c r="AS128" s="3" t="n">
        <v>-0</v>
      </c>
      <c r="AT128" s="3" t="n">
        <v>-0.1834293757151458</v>
      </c>
      <c r="AU128" s="3">
        <f>SUM(AN128:AT128)</f>
        <v/>
      </c>
      <c r="AV128" s="7">
        <f>IF(OR(N(W128)&lt;=0,N(BG128)=0),0,N(W128)*IF(N(R128)/N(W128)&gt;=60,N(BG128),1))</f>
        <v/>
      </c>
      <c r="AW128" s="7">
        <f>N(W128)*N(AF128)*N(BH128)</f>
        <v/>
      </c>
      <c r="AX128" s="7">
        <f>N(AL128)*(Assumptions!$B$13*N(BJ128)-(1-Assumptions!$B$13)*Assumptions!$B$14)+N(AM128)</f>
        <v/>
      </c>
      <c r="AY128" s="7">
        <f>N(AU128)*N(R128)/90+N(AV128)+N(AW128)+N(AX128)</f>
        <v/>
      </c>
      <c r="AZ128" s="3">
        <f>IF(N(R128)&lt;=0,0,(N(AY128)-N(AX128))*90/N(R128))</f>
        <v/>
      </c>
      <c r="BA128" s="7">
        <f>IFERROR(AY128-VLOOKUP($E128,Assumptions!$A$40:$C$43,3,FALSE),"")</f>
        <v/>
      </c>
      <c r="BB128" s="3">
        <f>IFERROR(BA128/H128,"")</f>
        <v/>
      </c>
      <c r="BC128">
        <f>IF(AND($G128=TRUE,$E128="GKP"),AY128,"")</f>
        <v/>
      </c>
      <c r="BD128">
        <f>IF(AND($G128=TRUE,$E128="DEF"),AY128,"")</f>
        <v/>
      </c>
      <c r="BE128">
        <f>IF(AND($G128=TRUE,$E128="MID"),AY128,"")</f>
        <v/>
      </c>
      <c r="BF128">
        <f>IF(AND($G128=TRUE,$E128="FWD"),AY128,"")</f>
        <v/>
      </c>
      <c r="BG128" t="n">
        <v>2</v>
      </c>
      <c r="BH128" t="n">
        <v>2</v>
      </c>
      <c r="BI128" t="n">
        <v>1</v>
      </c>
      <c r="BJ128" t="n">
        <v>5</v>
      </c>
    </row>
    <row r="129">
      <c r="A129" t="inlineStr">
        <is>
          <t>Diego Gómez</t>
        </is>
      </c>
      <c r="B129" t="inlineStr">
        <is>
          <t>BHA</t>
        </is>
      </c>
      <c r="C129" t="inlineStr">
        <is>
          <t>BHA</t>
        </is>
      </c>
      <c r="D129" t="b">
        <v>0</v>
      </c>
      <c r="E129" t="inlineStr">
        <is>
          <t>MID</t>
        </is>
      </c>
      <c r="F129" t="inlineStr">
        <is>
          <t>MID</t>
        </is>
      </c>
      <c r="G129" t="b">
        <v>1</v>
      </c>
      <c r="H129" s="2" t="n">
        <v>5</v>
      </c>
      <c r="I129" t="inlineStr">
        <is>
          <t>a</t>
        </is>
      </c>
      <c r="K129" s="2" t="n">
        <v>2117</v>
      </c>
      <c r="L129" t="n">
        <v>97</v>
      </c>
      <c r="M129" s="3" t="n">
        <v>2605</v>
      </c>
      <c r="N129" s="8" t="n">
        <v>2605</v>
      </c>
      <c r="O129" s="8" t="n">
        <v>0</v>
      </c>
      <c r="Q129" t="inlineStr">
        <is>
          <t>flat</t>
        </is>
      </c>
      <c r="R129" s="6" t="n">
        <v>2605</v>
      </c>
      <c r="S129" t="inlineStr">
        <is>
          <t>Solio</t>
        </is>
      </c>
      <c r="U129" s="6" t="n">
        <v>76.5</v>
      </c>
      <c r="V129" s="2" t="n">
        <v>26</v>
      </c>
      <c r="W129" s="7">
        <f>IF(N(U129)&lt;=0,0,MIN(Assumptions!$B$15,N(R129)/N(U129)))</f>
        <v/>
      </c>
      <c r="X129" s="6" t="n">
        <v>0.252</v>
      </c>
      <c r="Y129" s="3" t="n">
        <v>0.2396</v>
      </c>
      <c r="Z129" t="inlineStr">
        <is>
          <t>adjusted xGOT</t>
        </is>
      </c>
      <c r="AA129" s="3" t="n">
        <v>1</v>
      </c>
      <c r="AB129" s="3" t="n">
        <v>0.903</v>
      </c>
      <c r="AC129" s="3" t="n">
        <v>7.1</v>
      </c>
      <c r="AD129" s="3" t="n">
        <v>0.081</v>
      </c>
      <c r="AE129" s="3" t="n">
        <v>9.727</v>
      </c>
      <c r="AF129" s="3" t="n">
        <v>0.132230453556892</v>
      </c>
      <c r="AG129" s="3" t="n">
        <v>0.3826</v>
      </c>
      <c r="AH129" s="3" t="n">
        <v>55</v>
      </c>
      <c r="AI129" s="3" t="n">
        <v>2.8404</v>
      </c>
      <c r="AJ129" s="3" t="n">
        <v>1.439</v>
      </c>
      <c r="AK129" s="3" t="n">
        <v>-0.300781752368114</v>
      </c>
      <c r="AL129" s="6" t="n">
        <v>0</v>
      </c>
      <c r="AM129" s="3" t="n">
        <v>0</v>
      </c>
      <c r="AN129" s="3" t="n">
        <v>1.198</v>
      </c>
      <c r="AO129" s="3" t="n">
        <v>0.32076</v>
      </c>
      <c r="AP129" s="3">
        <f>N(X129)*N(BI129)</f>
        <v/>
      </c>
      <c r="AQ129" s="3" t="n">
        <v>0.3826</v>
      </c>
      <c r="AR129" s="3" t="n">
        <v>0</v>
      </c>
      <c r="AS129" s="3" t="n">
        <v>-0</v>
      </c>
      <c r="AT129" s="3" t="n">
        <v>-0.300781752368114</v>
      </c>
      <c r="AU129" s="3">
        <f>SUM(AN129:AT129)</f>
        <v/>
      </c>
      <c r="AV129" s="7">
        <f>IF(OR(N(W129)&lt;=0,N(BG129)=0),0,N(W129)*IF(N(R129)/N(W129)&gt;=60,N(BG129),1))</f>
        <v/>
      </c>
      <c r="AW129" s="7">
        <f>N(W129)*N(AF129)*N(BH129)</f>
        <v/>
      </c>
      <c r="AX129" s="7">
        <f>N(AL129)*(Assumptions!$B$13*N(BJ129)-(1-Assumptions!$B$13)*Assumptions!$B$14)+N(AM129)</f>
        <v/>
      </c>
      <c r="AY129" s="7">
        <f>N(AU129)*N(R129)/90+N(AV129)+N(AW129)+N(AX129)</f>
        <v/>
      </c>
      <c r="AZ129" s="3">
        <f>IF(N(R129)&lt;=0,0,(N(AY129)-N(AX129))*90/N(R129))</f>
        <v/>
      </c>
      <c r="BA129" s="7">
        <f>IFERROR(AY129-VLOOKUP($E129,Assumptions!$A$40:$C$43,3,FALSE),"")</f>
        <v/>
      </c>
      <c r="BB129" s="3">
        <f>IFERROR(BA129/H129,"")</f>
        <v/>
      </c>
      <c r="BC129">
        <f>IF(AND($G129=TRUE,$E129="GKP"),AY129,"")</f>
        <v/>
      </c>
      <c r="BD129">
        <f>IF(AND($G129=TRUE,$E129="DEF"),AY129,"")</f>
        <v/>
      </c>
      <c r="BE129">
        <f>IF(AND($G129=TRUE,$E129="MID"),AY129,"")</f>
        <v/>
      </c>
      <c r="BF129">
        <f>IF(AND($G129=TRUE,$E129="FWD"),AY129,"")</f>
        <v/>
      </c>
      <c r="BG129" t="n">
        <v>2</v>
      </c>
      <c r="BH129" t="n">
        <v>2</v>
      </c>
      <c r="BI129" t="n">
        <v>1</v>
      </c>
      <c r="BJ129" t="n">
        <v>5</v>
      </c>
    </row>
    <row r="130">
      <c r="A130" t="inlineStr">
        <is>
          <t>Lucas Digne</t>
        </is>
      </c>
      <c r="B130" t="inlineStr">
        <is>
          <t>AVL</t>
        </is>
      </c>
      <c r="C130" t="inlineStr">
        <is>
          <t>AVL</t>
        </is>
      </c>
      <c r="D130" t="b">
        <v>0</v>
      </c>
      <c r="E130" t="inlineStr">
        <is>
          <t>DEF</t>
        </is>
      </c>
      <c r="F130" t="inlineStr">
        <is>
          <t>DEF</t>
        </is>
      </c>
      <c r="G130" t="b">
        <v>1</v>
      </c>
      <c r="H130" s="2" t="n">
        <v>4.5</v>
      </c>
      <c r="I130" t="inlineStr">
        <is>
          <t>u</t>
        </is>
      </c>
      <c r="J130" t="inlineStr">
        <is>
          <t>Has joined Paris Saint-Germain permanently</t>
        </is>
      </c>
      <c r="K130" s="2" t="n">
        <v>1842</v>
      </c>
      <c r="L130" t="n">
        <v>97</v>
      </c>
      <c r="M130" s="3" t="n"/>
      <c r="N130" s="4" t="n">
        <v>0</v>
      </c>
      <c r="O130" s="4" t="n">
        <v>-1842</v>
      </c>
      <c r="P130" s="5" t="inlineStr">
        <is>
          <t>high</t>
        </is>
      </c>
      <c r="R130" s="6" t="n">
        <v>0</v>
      </c>
      <c r="S130" t="inlineStr">
        <is>
          <t>research</t>
        </is>
      </c>
      <c r="T130" s="5" t="inlineStr">
        <is>
          <t>Left the club. Digne joined Paris Saint-Germain permanently for GBP 8.5m on 9 August 2026. Note the data artefact: his solio_xmins is exactly equal to his 2025/26 minutes and his pattern field is null, unlike every other player in the squad, so this is a back-filled prior-season figure rather than a Solio projection. Removing it is what reconciles Solio's 39,425 total with the club's real 37,620-minute budget.</t>
        </is>
      </c>
      <c r="U130" s="6" t="n">
        <v>82.09999999999999</v>
      </c>
      <c r="V130" s="2" t="n">
        <v>21</v>
      </c>
      <c r="W130" s="7">
        <f>IF(N(U130)&lt;=0,0,MIN(Assumptions!$B$15,N(R130)/N(U130)))</f>
        <v/>
      </c>
      <c r="X130" s="6" t="n">
        <v>0.273</v>
      </c>
      <c r="Y130" s="3" t="n">
        <v>0.0331</v>
      </c>
      <c r="Z130" t="inlineStr">
        <is>
          <t>adjusted xGOT</t>
        </is>
      </c>
      <c r="AA130" s="3" t="n">
        <v>1</v>
      </c>
      <c r="AB130" s="3" t="n">
        <v>1.01</v>
      </c>
      <c r="AC130" s="3" t="n">
        <v>2.9</v>
      </c>
      <c r="AD130" s="3" t="n">
        <v>0.1547</v>
      </c>
      <c r="AE130" s="3" t="n">
        <v>6.129</v>
      </c>
      <c r="AF130" s="3" t="n">
        <v>0.05863514018157512</v>
      </c>
      <c r="AG130" s="3" t="n">
        <v>0.1954</v>
      </c>
      <c r="AH130" s="3" t="n">
        <v>50</v>
      </c>
      <c r="AI130" s="3" t="n">
        <v>2.7451</v>
      </c>
      <c r="AJ130" s="3" t="n">
        <v>1.3575</v>
      </c>
      <c r="AK130" s="3" t="n">
        <v>-0.1984538561379551</v>
      </c>
      <c r="AL130" s="6" t="n">
        <v>0</v>
      </c>
      <c r="AM130" s="3" t="n">
        <v>0</v>
      </c>
      <c r="AN130" s="3" t="n">
        <v>0.1986</v>
      </c>
      <c r="AO130" s="3" t="n">
        <v>0.612612</v>
      </c>
      <c r="AP130" s="3">
        <f>N(X130)*N(BI130)</f>
        <v/>
      </c>
      <c r="AQ130" s="3" t="n">
        <v>0.1954</v>
      </c>
      <c r="AR130" s="3" t="n">
        <v>0</v>
      </c>
      <c r="AS130" s="3" t="n">
        <v>-0.4453012382517575</v>
      </c>
      <c r="AT130" s="3" t="n">
        <v>-0.1984538561379551</v>
      </c>
      <c r="AU130" s="3">
        <f>SUM(AN130:AT130)</f>
        <v/>
      </c>
      <c r="AV130" s="7">
        <f>IF(OR(N(W130)&lt;=0,N(BG130)=0),0,N(W130)*IF(N(R130)/N(W130)&gt;=60,N(BG130),1))</f>
        <v/>
      </c>
      <c r="AW130" s="7">
        <f>N(W130)*N(AF130)*N(BH130)</f>
        <v/>
      </c>
      <c r="AX130" s="7">
        <f>N(AL130)*(Assumptions!$B$13*N(BJ130)-(1-Assumptions!$B$13)*Assumptions!$B$14)+N(AM130)</f>
        <v/>
      </c>
      <c r="AY130" s="7">
        <f>N(AU130)*N(R130)/90+N(AV130)+N(AW130)+N(AX130)</f>
        <v/>
      </c>
      <c r="AZ130" s="3">
        <f>IF(N(R130)&lt;=0,0,(N(AY130)-N(AX130))*90/N(R130))</f>
        <v/>
      </c>
      <c r="BA130" s="7">
        <f>IFERROR(AY130-VLOOKUP($E130,Assumptions!$A$40:$C$43,3,FALSE),"")</f>
        <v/>
      </c>
      <c r="BB130" s="3">
        <f>IFERROR(BA130/H130,"")</f>
        <v/>
      </c>
      <c r="BC130">
        <f>IF(AND($G130=TRUE,$E130="GKP"),AY130,"")</f>
        <v/>
      </c>
      <c r="BD130">
        <f>IF(AND($G130=TRUE,$E130="DEF"),AY130,"")</f>
        <v/>
      </c>
      <c r="BE130">
        <f>IF(AND($G130=TRUE,$E130="MID"),AY130,"")</f>
        <v/>
      </c>
      <c r="BF130">
        <f>IF(AND($G130=TRUE,$E130="FWD"),AY130,"")</f>
        <v/>
      </c>
      <c r="BG130" t="n">
        <v>2</v>
      </c>
      <c r="BH130" t="n">
        <v>2</v>
      </c>
      <c r="BI130" t="n">
        <v>4</v>
      </c>
      <c r="BJ130" t="n">
        <v>6</v>
      </c>
    </row>
    <row r="131">
      <c r="A131" s="9" t="inlineStr">
        <is>
          <t>Martin Dúbravka</t>
        </is>
      </c>
      <c r="B131" t="inlineStr">
        <is>
          <t>TOT</t>
        </is>
      </c>
      <c r="C131" s="9" t="inlineStr">
        <is>
          <t>BUR</t>
        </is>
      </c>
      <c r="D131" t="b">
        <v>1</v>
      </c>
      <c r="E131" t="inlineStr">
        <is>
          <t>GKP</t>
        </is>
      </c>
      <c r="F131" t="inlineStr">
        <is>
          <t>GKP</t>
        </is>
      </c>
      <c r="G131" t="b">
        <v>1</v>
      </c>
      <c r="H131" s="2" t="n">
        <v>4</v>
      </c>
      <c r="I131" t="inlineStr">
        <is>
          <t>a</t>
        </is>
      </c>
      <c r="K131" s="2" t="n">
        <v>3150</v>
      </c>
      <c r="L131" t="n">
        <v>96</v>
      </c>
      <c r="M131" s="3" t="n">
        <v>35</v>
      </c>
      <c r="N131" s="8" t="n">
        <v>35</v>
      </c>
      <c r="O131" s="8" t="n">
        <v>0</v>
      </c>
      <c r="Q131" t="inlineStr">
        <is>
          <t>flat</t>
        </is>
      </c>
      <c r="R131" s="6" t="n">
        <v>35</v>
      </c>
      <c r="S131" t="inlineStr">
        <is>
          <t>Solio</t>
        </is>
      </c>
      <c r="U131" s="6" t="n">
        <v>90</v>
      </c>
      <c r="V131" s="2" t="n">
        <v>35</v>
      </c>
      <c r="W131" s="7">
        <f>IF(N(U131)&lt;=0,0,MIN(Assumptions!$B$15,N(R131)/N(U131)))</f>
        <v/>
      </c>
      <c r="X131" s="6" t="n">
        <v>0.286</v>
      </c>
      <c r="Y131" s="10" t="n">
        <v>0</v>
      </c>
      <c r="Z131" t="inlineStr">
        <is>
          <t>blended xG</t>
        </is>
      </c>
      <c r="AA131" s="3" t="n">
        <v>1</v>
      </c>
      <c r="AB131" s="3" t="n">
        <v>1</v>
      </c>
      <c r="AC131" s="3" t="n">
        <v>0</v>
      </c>
      <c r="AD131" s="10" t="n">
        <v>0.0005999999999999999</v>
      </c>
      <c r="AE131" s="3" t="n">
        <v>0</v>
      </c>
      <c r="AF131" s="3" t="n">
        <v>0</v>
      </c>
      <c r="AG131" s="3" t="n">
        <v>0.2</v>
      </c>
      <c r="AH131" s="3" t="n">
        <v>70</v>
      </c>
      <c r="AI131" s="3" t="n">
        <v>2.5739</v>
      </c>
      <c r="AJ131" s="3" t="n">
        <v>1.3096</v>
      </c>
      <c r="AK131" s="3" t="n">
        <v>-0.0420652993253894</v>
      </c>
      <c r="AL131" s="6" t="n">
        <v>0</v>
      </c>
      <c r="AM131" s="3" t="n">
        <v>0.028612790566365</v>
      </c>
      <c r="AN131" s="10" t="n">
        <v>0</v>
      </c>
      <c r="AO131" s="10" t="n">
        <v>0.002376</v>
      </c>
      <c r="AP131" s="3">
        <f>N(X131)*N(BI131)</f>
        <v/>
      </c>
      <c r="AQ131" s="3" t="n">
        <v>0.2</v>
      </c>
      <c r="AR131" s="3" t="n">
        <v>0.5235455255089686</v>
      </c>
      <c r="AS131" s="3" t="n">
        <v>-0.4230152821052008</v>
      </c>
      <c r="AT131" s="3" t="n">
        <v>-0.0420652993253894</v>
      </c>
      <c r="AU131" s="3">
        <f>SUM(AN131:AT131)</f>
        <v/>
      </c>
      <c r="AV131" s="7">
        <f>IF(OR(N(W131)&lt;=0,N(BG131)=0),0,N(W131)*IF(N(R131)/N(W131)&gt;=60,N(BG131),1))</f>
        <v/>
      </c>
      <c r="AW131" s="7">
        <f>N(W131)*N(AF131)*N(BH131)</f>
        <v/>
      </c>
      <c r="AX131" s="7">
        <f>N(AL131)*(Assumptions!$B$13*N(BJ131)-(1-Assumptions!$B$13)*Assumptions!$B$14)+N(AM131)</f>
        <v/>
      </c>
      <c r="AY131" s="7">
        <f>N(AU131)*N(R131)/90+N(AV131)+N(AW131)+N(AX131)</f>
        <v/>
      </c>
      <c r="AZ131" s="3">
        <f>IF(N(R131)&lt;=0,0,(N(AY131)-N(AX131))*90/N(R131))</f>
        <v/>
      </c>
      <c r="BA131" s="7">
        <f>IFERROR(AY131-VLOOKUP($E131,Assumptions!$A$40:$C$43,3,FALSE),"")</f>
        <v/>
      </c>
      <c r="BB131" s="3">
        <f>IFERROR(BA131/H131,"")</f>
        <v/>
      </c>
      <c r="BC131">
        <f>IF(AND($G131=TRUE,$E131="GKP"),AY131,"")</f>
        <v/>
      </c>
      <c r="BD131">
        <f>IF(AND($G131=TRUE,$E131="DEF"),AY131,"")</f>
        <v/>
      </c>
      <c r="BE131">
        <f>IF(AND($G131=TRUE,$E131="MID"),AY131,"")</f>
        <v/>
      </c>
      <c r="BF131">
        <f>IF(AND($G131=TRUE,$E131="FWD"),AY131,"")</f>
        <v/>
      </c>
      <c r="BG131" t="n">
        <v>2</v>
      </c>
      <c r="BH131" t="n">
        <v>0</v>
      </c>
      <c r="BI131" t="n">
        <v>4</v>
      </c>
      <c r="BJ131" t="n">
        <v>10</v>
      </c>
    </row>
    <row r="132">
      <c r="A132" t="inlineStr">
        <is>
          <t>Malo Gusto</t>
        </is>
      </c>
      <c r="B132" t="inlineStr">
        <is>
          <t>CHE</t>
        </is>
      </c>
      <c r="C132" t="inlineStr">
        <is>
          <t>CHE</t>
        </is>
      </c>
      <c r="D132" t="b">
        <v>0</v>
      </c>
      <c r="E132" t="inlineStr">
        <is>
          <t>DEF</t>
        </is>
      </c>
      <c r="F132" t="inlineStr">
        <is>
          <t>DEF</t>
        </is>
      </c>
      <c r="G132" t="b">
        <v>1</v>
      </c>
      <c r="H132" s="2" t="n">
        <v>5</v>
      </c>
      <c r="I132" t="inlineStr">
        <is>
          <t>a</t>
        </is>
      </c>
      <c r="K132" s="2" t="n">
        <v>2255</v>
      </c>
      <c r="L132" t="n">
        <v>96</v>
      </c>
      <c r="M132" s="3" t="n">
        <v>663</v>
      </c>
      <c r="N132" s="8" t="n">
        <v>663</v>
      </c>
      <c r="O132" s="8" t="n">
        <v>0</v>
      </c>
      <c r="Q132" t="inlineStr">
        <is>
          <t>flat</t>
        </is>
      </c>
      <c r="R132" s="6" t="n">
        <v>663</v>
      </c>
      <c r="S132" t="inlineStr">
        <is>
          <t>Solio</t>
        </is>
      </c>
      <c r="U132" s="6" t="n">
        <v>81.09999999999999</v>
      </c>
      <c r="V132" s="2" t="n">
        <v>25</v>
      </c>
      <c r="W132" s="7">
        <f>IF(N(U132)&lt;=0,0,MIN(Assumptions!$B$15,N(R132)/N(U132)))</f>
        <v/>
      </c>
      <c r="X132" s="6" t="n">
        <v>0.322</v>
      </c>
      <c r="Y132" s="3" t="n">
        <v>0.0555</v>
      </c>
      <c r="Z132" t="inlineStr">
        <is>
          <t>adjusted xGOT</t>
        </is>
      </c>
      <c r="AA132" s="3" t="n">
        <v>1</v>
      </c>
      <c r="AB132" s="3" t="n">
        <v>0.891</v>
      </c>
      <c r="AC132" s="3" t="n">
        <v>4</v>
      </c>
      <c r="AD132" s="3" t="n">
        <v>0.1352</v>
      </c>
      <c r="AE132" s="3" t="n">
        <v>5.672</v>
      </c>
      <c r="AF132" s="3" t="n">
        <v>0.03603857619028139</v>
      </c>
      <c r="AG132" s="3" t="n">
        <v>0.3193</v>
      </c>
      <c r="AH132" s="3" t="n">
        <v>57</v>
      </c>
      <c r="AI132" s="3" t="n">
        <v>2.4232</v>
      </c>
      <c r="AJ132" s="3" t="n">
        <v>1.1851</v>
      </c>
      <c r="AK132" s="3" t="n">
        <v>-0.2032062374408385</v>
      </c>
      <c r="AL132" s="6" t="n">
        <v>0</v>
      </c>
      <c r="AM132" s="3" t="n">
        <v>0</v>
      </c>
      <c r="AN132" s="3" t="n">
        <v>0.333</v>
      </c>
      <c r="AO132" s="3" t="n">
        <v>0.535392</v>
      </c>
      <c r="AP132" s="3">
        <f>N(X132)*N(BI132)</f>
        <v/>
      </c>
      <c r="AQ132" s="3" t="n">
        <v>0.3193</v>
      </c>
      <c r="AR132" s="3" t="n">
        <v>0</v>
      </c>
      <c r="AS132" s="3" t="n">
        <v>-0.365915508000572</v>
      </c>
      <c r="AT132" s="3" t="n">
        <v>-0.2032062374408385</v>
      </c>
      <c r="AU132" s="3">
        <f>SUM(AN132:AT132)</f>
        <v/>
      </c>
      <c r="AV132" s="7">
        <f>IF(OR(N(W132)&lt;=0,N(BG132)=0),0,N(W132)*IF(N(R132)/N(W132)&gt;=60,N(BG132),1))</f>
        <v/>
      </c>
      <c r="AW132" s="7">
        <f>N(W132)*N(AF132)*N(BH132)</f>
        <v/>
      </c>
      <c r="AX132" s="7">
        <f>N(AL132)*(Assumptions!$B$13*N(BJ132)-(1-Assumptions!$B$13)*Assumptions!$B$14)+N(AM132)</f>
        <v/>
      </c>
      <c r="AY132" s="7">
        <f>N(AU132)*N(R132)/90+N(AV132)+N(AW132)+N(AX132)</f>
        <v/>
      </c>
      <c r="AZ132" s="3">
        <f>IF(N(R132)&lt;=0,0,(N(AY132)-N(AX132))*90/N(R132))</f>
        <v/>
      </c>
      <c r="BA132" s="7">
        <f>IFERROR(AY132-VLOOKUP($E132,Assumptions!$A$40:$C$43,3,FALSE),"")</f>
        <v/>
      </c>
      <c r="BB132" s="3">
        <f>IFERROR(BA132/H132,"")</f>
        <v/>
      </c>
      <c r="BC132">
        <f>IF(AND($G132=TRUE,$E132="GKP"),AY132,"")</f>
        <v/>
      </c>
      <c r="BD132">
        <f>IF(AND($G132=TRUE,$E132="DEF"),AY132,"")</f>
        <v/>
      </c>
      <c r="BE132">
        <f>IF(AND($G132=TRUE,$E132="MID"),AY132,"")</f>
        <v/>
      </c>
      <c r="BF132">
        <f>IF(AND($G132=TRUE,$E132="FWD"),AY132,"")</f>
        <v/>
      </c>
      <c r="BG132" t="n">
        <v>2</v>
      </c>
      <c r="BH132" t="n">
        <v>2</v>
      </c>
      <c r="BI132" t="n">
        <v>4</v>
      </c>
      <c r="BJ132" t="n">
        <v>6</v>
      </c>
    </row>
    <row r="133">
      <c r="A133" t="inlineStr">
        <is>
          <t>Jayden Bogle</t>
        </is>
      </c>
      <c r="B133" t="inlineStr">
        <is>
          <t>LEE</t>
        </is>
      </c>
      <c r="C133" t="inlineStr">
        <is>
          <t>LEE</t>
        </is>
      </c>
      <c r="D133" t="b">
        <v>0</v>
      </c>
      <c r="E133" t="inlineStr">
        <is>
          <t>DEF</t>
        </is>
      </c>
      <c r="F133" t="inlineStr">
        <is>
          <t>DEF</t>
        </is>
      </c>
      <c r="G133" t="b">
        <v>1</v>
      </c>
      <c r="H133" s="2" t="n">
        <v>4.5</v>
      </c>
      <c r="I133" t="inlineStr">
        <is>
          <t>a</t>
        </is>
      </c>
      <c r="K133" s="2" t="n">
        <v>2795</v>
      </c>
      <c r="L133" t="n">
        <v>96</v>
      </c>
      <c r="M133" s="3" t="n">
        <v>2440</v>
      </c>
      <c r="N133" s="8" t="n">
        <v>2440</v>
      </c>
      <c r="O133" s="8" t="n">
        <v>0</v>
      </c>
      <c r="Q133" t="inlineStr">
        <is>
          <t>flat</t>
        </is>
      </c>
      <c r="R133" s="6" t="n">
        <v>2440</v>
      </c>
      <c r="S133" t="inlineStr">
        <is>
          <t>Solio</t>
        </is>
      </c>
      <c r="U133" s="6" t="n">
        <v>85.7</v>
      </c>
      <c r="V133" s="2" t="n">
        <v>32</v>
      </c>
      <c r="W133" s="7">
        <f>IF(N(U133)&lt;=0,0,MIN(Assumptions!$B$15,N(R133)/N(U133)))</f>
        <v/>
      </c>
      <c r="X133" s="6" t="n">
        <v>0.218</v>
      </c>
      <c r="Y133" s="3" t="n">
        <v>0.0625</v>
      </c>
      <c r="Z133" t="inlineStr">
        <is>
          <t>adjusted xGOT</t>
        </is>
      </c>
      <c r="AA133" s="3" t="n">
        <v>1</v>
      </c>
      <c r="AB133" s="3" t="n">
        <v>0.9320000000000001</v>
      </c>
      <c r="AC133" s="3" t="n">
        <v>4.4</v>
      </c>
      <c r="AD133" s="3" t="n">
        <v>0.1068</v>
      </c>
      <c r="AE133" s="3" t="n">
        <v>6.132</v>
      </c>
      <c r="AF133" s="3" t="n">
        <v>0.07328847801431904</v>
      </c>
      <c r="AG133" s="3" t="n">
        <v>0.0322</v>
      </c>
      <c r="AH133" s="3" t="n">
        <v>65</v>
      </c>
      <c r="AI133" s="3" t="n">
        <v>3.0611</v>
      </c>
      <c r="AJ133" s="3" t="n">
        <v>1.5875</v>
      </c>
      <c r="AK133" s="3" t="n">
        <v>-0.2320454308872428</v>
      </c>
      <c r="AL133" s="6" t="n">
        <v>0</v>
      </c>
      <c r="AM133" s="3" t="n">
        <v>0</v>
      </c>
      <c r="AN133" s="3" t="n">
        <v>0.375</v>
      </c>
      <c r="AO133" s="3" t="n">
        <v>0.422928</v>
      </c>
      <c r="AP133" s="3">
        <f>N(X133)*N(BI133)</f>
        <v/>
      </c>
      <c r="AQ133" s="3" t="n">
        <v>0.0322</v>
      </c>
      <c r="AR133" s="3" t="n">
        <v>0</v>
      </c>
      <c r="AS133" s="3" t="n">
        <v>-0.5541985260210861</v>
      </c>
      <c r="AT133" s="3" t="n">
        <v>-0.2320454308872428</v>
      </c>
      <c r="AU133" s="3">
        <f>SUM(AN133:AT133)</f>
        <v/>
      </c>
      <c r="AV133" s="7">
        <f>IF(OR(N(W133)&lt;=0,N(BG133)=0),0,N(W133)*IF(N(R133)/N(W133)&gt;=60,N(BG133),1))</f>
        <v/>
      </c>
      <c r="AW133" s="7">
        <f>N(W133)*N(AF133)*N(BH133)</f>
        <v/>
      </c>
      <c r="AX133" s="7">
        <f>N(AL133)*(Assumptions!$B$13*N(BJ133)-(1-Assumptions!$B$13)*Assumptions!$B$14)+N(AM133)</f>
        <v/>
      </c>
      <c r="AY133" s="7">
        <f>N(AU133)*N(R133)/90+N(AV133)+N(AW133)+N(AX133)</f>
        <v/>
      </c>
      <c r="AZ133" s="3">
        <f>IF(N(R133)&lt;=0,0,(N(AY133)-N(AX133))*90/N(R133))</f>
        <v/>
      </c>
      <c r="BA133" s="7">
        <f>IFERROR(AY133-VLOOKUP($E133,Assumptions!$A$40:$C$43,3,FALSE),"")</f>
        <v/>
      </c>
      <c r="BB133" s="3">
        <f>IFERROR(BA133/H133,"")</f>
        <v/>
      </c>
      <c r="BC133">
        <f>IF(AND($G133=TRUE,$E133="GKP"),AY133,"")</f>
        <v/>
      </c>
      <c r="BD133">
        <f>IF(AND($G133=TRUE,$E133="DEF"),AY133,"")</f>
        <v/>
      </c>
      <c r="BE133">
        <f>IF(AND($G133=TRUE,$E133="MID"),AY133,"")</f>
        <v/>
      </c>
      <c r="BF133">
        <f>IF(AND($G133=TRUE,$E133="FWD"),AY133,"")</f>
        <v/>
      </c>
      <c r="BG133" t="n">
        <v>2</v>
      </c>
      <c r="BH133" t="n">
        <v>2</v>
      </c>
      <c r="BI133" t="n">
        <v>4</v>
      </c>
      <c r="BJ133" t="n">
        <v>6</v>
      </c>
    </row>
    <row r="134">
      <c r="A134" t="inlineStr">
        <is>
          <t>Nick Pope</t>
        </is>
      </c>
      <c r="B134" t="inlineStr">
        <is>
          <t>NEW</t>
        </is>
      </c>
      <c r="C134" t="inlineStr">
        <is>
          <t>NEW</t>
        </is>
      </c>
      <c r="D134" t="b">
        <v>0</v>
      </c>
      <c r="E134" t="inlineStr">
        <is>
          <t>GKP</t>
        </is>
      </c>
      <c r="F134" t="inlineStr">
        <is>
          <t>GKP</t>
        </is>
      </c>
      <c r="G134" t="b">
        <v>1</v>
      </c>
      <c r="H134" s="2" t="n">
        <v>5</v>
      </c>
      <c r="I134" t="inlineStr">
        <is>
          <t>a</t>
        </is>
      </c>
      <c r="K134" s="2" t="n">
        <v>2416</v>
      </c>
      <c r="L134" t="n">
        <v>96</v>
      </c>
      <c r="M134" s="3" t="n">
        <v>4</v>
      </c>
      <c r="N134" s="8" t="n">
        <v>4</v>
      </c>
      <c r="O134" s="8" t="n">
        <v>0</v>
      </c>
      <c r="Q134" t="inlineStr">
        <is>
          <t>flat</t>
        </is>
      </c>
      <c r="R134" s="6" t="n">
        <v>4</v>
      </c>
      <c r="S134" t="inlineStr">
        <is>
          <t>Solio</t>
        </is>
      </c>
      <c r="U134" s="6" t="n">
        <v>89.59999999999999</v>
      </c>
      <c r="V134" s="2" t="n">
        <v>27</v>
      </c>
      <c r="W134" s="7">
        <f>IF(N(U134)&lt;=0,0,MIN(Assumptions!$B$15,N(R134)/N(U134)))</f>
        <v/>
      </c>
      <c r="X134" s="6" t="n">
        <v>0.248</v>
      </c>
      <c r="Y134" s="3" t="n">
        <v>0.006</v>
      </c>
      <c r="Z134" t="inlineStr">
        <is>
          <t>adjusted xGOT</t>
        </is>
      </c>
      <c r="AA134" s="3" t="n">
        <v>1</v>
      </c>
      <c r="AB134" s="3" t="n">
        <v>1.015</v>
      </c>
      <c r="AC134" s="3" t="n">
        <v>0.2</v>
      </c>
      <c r="AD134" s="3" t="n">
        <v>0</v>
      </c>
      <c r="AE134" s="3" t="n">
        <v>0</v>
      </c>
      <c r="AF134" s="3" t="n">
        <v>0</v>
      </c>
      <c r="AG134" s="3" t="n">
        <v>0.1863</v>
      </c>
      <c r="AH134" s="3" t="n">
        <v>54</v>
      </c>
      <c r="AI134" s="3" t="n">
        <v>3.0912</v>
      </c>
      <c r="AJ134" s="3" t="n">
        <v>1.4534</v>
      </c>
      <c r="AK134" s="3" t="n">
        <v>-0.0757070602473932</v>
      </c>
      <c r="AL134" s="6" t="n">
        <v>0</v>
      </c>
      <c r="AM134" s="3" t="n">
        <v>0.0036289312781513</v>
      </c>
      <c r="AN134" s="3" t="n">
        <v>0.06</v>
      </c>
      <c r="AO134" s="3" t="n">
        <v>0</v>
      </c>
      <c r="AP134" s="3">
        <f>N(X134)*N(BI134)</f>
        <v/>
      </c>
      <c r="AQ134" s="3" t="n">
        <v>0.1863</v>
      </c>
      <c r="AR134" s="3" t="n">
        <v>0.6950146973483665</v>
      </c>
      <c r="AS134" s="3" t="n">
        <v>-0.4903625828545308</v>
      </c>
      <c r="AT134" s="3" t="n">
        <v>-0.0757070602473932</v>
      </c>
      <c r="AU134" s="3">
        <f>SUM(AN134:AT134)</f>
        <v/>
      </c>
      <c r="AV134" s="7">
        <f>IF(OR(N(W134)&lt;=0,N(BG134)=0),0,N(W134)*IF(N(R134)/N(W134)&gt;=60,N(BG134),1))</f>
        <v/>
      </c>
      <c r="AW134" s="7">
        <f>N(W134)*N(AF134)*N(BH134)</f>
        <v/>
      </c>
      <c r="AX134" s="7">
        <f>N(AL134)*(Assumptions!$B$13*N(BJ134)-(1-Assumptions!$B$13)*Assumptions!$B$14)+N(AM134)</f>
        <v/>
      </c>
      <c r="AY134" s="7">
        <f>N(AU134)*N(R134)/90+N(AV134)+N(AW134)+N(AX134)</f>
        <v/>
      </c>
      <c r="AZ134" s="3">
        <f>IF(N(R134)&lt;=0,0,(N(AY134)-N(AX134))*90/N(R134))</f>
        <v/>
      </c>
      <c r="BA134" s="7">
        <f>IFERROR(AY134-VLOOKUP($E134,Assumptions!$A$40:$C$43,3,FALSE),"")</f>
        <v/>
      </c>
      <c r="BB134" s="3">
        <f>IFERROR(BA134/H134,"")</f>
        <v/>
      </c>
      <c r="BC134">
        <f>IF(AND($G134=TRUE,$E134="GKP"),AY134,"")</f>
        <v/>
      </c>
      <c r="BD134">
        <f>IF(AND($G134=TRUE,$E134="DEF"),AY134,"")</f>
        <v/>
      </c>
      <c r="BE134">
        <f>IF(AND($G134=TRUE,$E134="MID"),AY134,"")</f>
        <v/>
      </c>
      <c r="BF134">
        <f>IF(AND($G134=TRUE,$E134="FWD"),AY134,"")</f>
        <v/>
      </c>
      <c r="BG134" t="n">
        <v>2</v>
      </c>
      <c r="BH134" t="n">
        <v>0</v>
      </c>
      <c r="BI134" t="n">
        <v>4</v>
      </c>
      <c r="BJ134" t="n">
        <v>10</v>
      </c>
    </row>
    <row r="135">
      <c r="A135" t="inlineStr">
        <is>
          <t>Vitalii Mykolenko</t>
        </is>
      </c>
      <c r="B135" t="inlineStr">
        <is>
          <t>EVE</t>
        </is>
      </c>
      <c r="C135" t="inlineStr">
        <is>
          <t>EVE</t>
        </is>
      </c>
      <c r="D135" t="b">
        <v>0</v>
      </c>
      <c r="E135" t="inlineStr">
        <is>
          <t>DEF</t>
        </is>
      </c>
      <c r="F135" t="inlineStr">
        <is>
          <t>DEF</t>
        </is>
      </c>
      <c r="G135" t="b">
        <v>1</v>
      </c>
      <c r="H135" s="2" t="n">
        <v>4.5</v>
      </c>
      <c r="I135" t="inlineStr">
        <is>
          <t>a</t>
        </is>
      </c>
      <c r="K135" s="2" t="n">
        <v>2959</v>
      </c>
      <c r="L135" t="n">
        <v>95</v>
      </c>
      <c r="M135" s="3" t="n">
        <v>3004</v>
      </c>
      <c r="N135" s="4" t="n">
        <v>2450</v>
      </c>
      <c r="O135" s="4" t="n">
        <v>-554</v>
      </c>
      <c r="P135" s="5" t="inlineStr">
        <is>
          <t>medium</t>
        </is>
      </c>
      <c r="Q135" t="inlineStr">
        <is>
          <t>flat</t>
        </is>
      </c>
      <c r="R135" s="6" t="n">
        <v>2450</v>
      </c>
      <c r="S135" t="inlineStr">
        <is>
          <t>research</t>
        </is>
      </c>
      <c r="T135" s="5" t="inlineStr">
        <is>
          <t>The other side of the Aznou correction. Solio's 3,004 assumes essentially no competition; Read Everton's 15 August tracker has Aznou staying specifically to challenge for the shirt, and the injury tracker notes Mykolenko is 'back to full training and match fitness, though now facing competition for the left-back spot from Adam Aznou'. He remains the clear first choice - he started both of the last two friendlies - so this is a rotation haircut, not a demotion.</t>
        </is>
      </c>
      <c r="U135" s="6" t="n">
        <v>88.7</v>
      </c>
      <c r="V135" s="2" t="n">
        <v>33</v>
      </c>
      <c r="W135" s="7">
        <f>IF(N(U135)&lt;=0,0,MIN(Assumptions!$B$15,N(R135)/N(U135)))</f>
        <v/>
      </c>
      <c r="X135" s="6" t="n">
        <v>0.231</v>
      </c>
      <c r="Y135" s="3" t="n">
        <v>0.0081</v>
      </c>
      <c r="Z135" t="inlineStr">
        <is>
          <t>adjusted xGOT</t>
        </is>
      </c>
      <c r="AA135" s="3" t="n">
        <v>1</v>
      </c>
      <c r="AB135" s="3" t="n">
        <v>0.945</v>
      </c>
      <c r="AC135" s="3" t="n">
        <v>2.8</v>
      </c>
      <c r="AD135" s="3" t="n">
        <v>0.0548</v>
      </c>
      <c r="AE135" s="3" t="n">
        <v>7.155</v>
      </c>
      <c r="AF135" s="3" t="n">
        <v>0.1747800195244338</v>
      </c>
      <c r="AG135" s="3" t="n">
        <v>0.1217</v>
      </c>
      <c r="AH135" s="3" t="n">
        <v>66</v>
      </c>
      <c r="AI135" s="3" t="n">
        <v>3.0311</v>
      </c>
      <c r="AJ135" s="3" t="n">
        <v>1.5252</v>
      </c>
      <c r="AK135" s="3" t="n">
        <v>-0.1671381260374793</v>
      </c>
      <c r="AL135" s="6" t="n">
        <v>0</v>
      </c>
      <c r="AM135" s="3" t="n">
        <v>0</v>
      </c>
      <c r="AN135" s="3" t="n">
        <v>0.0486</v>
      </c>
      <c r="AO135" s="3" t="n">
        <v>0.217008</v>
      </c>
      <c r="AP135" s="3">
        <f>N(X135)*N(BI135)</f>
        <v/>
      </c>
      <c r="AQ135" s="3" t="n">
        <v>0.1217</v>
      </c>
      <c r="AR135" s="3" t="n">
        <v>0</v>
      </c>
      <c r="AS135" s="3" t="n">
        <v>-0.524434996152324</v>
      </c>
      <c r="AT135" s="3" t="n">
        <v>-0.1671381260374793</v>
      </c>
      <c r="AU135" s="3">
        <f>SUM(AN135:AT135)</f>
        <v/>
      </c>
      <c r="AV135" s="7">
        <f>IF(OR(N(W135)&lt;=0,N(BG135)=0),0,N(W135)*IF(N(R135)/N(W135)&gt;=60,N(BG135),1))</f>
        <v/>
      </c>
      <c r="AW135" s="7">
        <f>N(W135)*N(AF135)*N(BH135)</f>
        <v/>
      </c>
      <c r="AX135" s="7">
        <f>N(AL135)*(Assumptions!$B$13*N(BJ135)-(1-Assumptions!$B$13)*Assumptions!$B$14)+N(AM135)</f>
        <v/>
      </c>
      <c r="AY135" s="7">
        <f>N(AU135)*N(R135)/90+N(AV135)+N(AW135)+N(AX135)</f>
        <v/>
      </c>
      <c r="AZ135" s="3">
        <f>IF(N(R135)&lt;=0,0,(N(AY135)-N(AX135))*90/N(R135))</f>
        <v/>
      </c>
      <c r="BA135" s="7">
        <f>IFERROR(AY135-VLOOKUP($E135,Assumptions!$A$40:$C$43,3,FALSE),"")</f>
        <v/>
      </c>
      <c r="BB135" s="3">
        <f>IFERROR(BA135/H135,"")</f>
        <v/>
      </c>
      <c r="BC135">
        <f>IF(AND($G135=TRUE,$E135="GKP"),AY135,"")</f>
        <v/>
      </c>
      <c r="BD135">
        <f>IF(AND($G135=TRUE,$E135="DEF"),AY135,"")</f>
        <v/>
      </c>
      <c r="BE135">
        <f>IF(AND($G135=TRUE,$E135="MID"),AY135,"")</f>
        <v/>
      </c>
      <c r="BF135">
        <f>IF(AND($G135=TRUE,$E135="FWD"),AY135,"")</f>
        <v/>
      </c>
      <c r="BG135" t="n">
        <v>2</v>
      </c>
      <c r="BH135" t="n">
        <v>2</v>
      </c>
      <c r="BI135" t="n">
        <v>4</v>
      </c>
      <c r="BJ135" t="n">
        <v>6</v>
      </c>
    </row>
    <row r="136">
      <c r="A136" t="inlineStr">
        <is>
          <t>Patrick Dorgu</t>
        </is>
      </c>
      <c r="B136" t="inlineStr">
        <is>
          <t>MUN</t>
        </is>
      </c>
      <c r="C136" t="inlineStr">
        <is>
          <t>MUN</t>
        </is>
      </c>
      <c r="D136" t="b">
        <v>0</v>
      </c>
      <c r="E136" t="inlineStr">
        <is>
          <t>MID</t>
        </is>
      </c>
      <c r="F136" t="inlineStr">
        <is>
          <t>DEF</t>
        </is>
      </c>
      <c r="G136" t="b">
        <v>1</v>
      </c>
      <c r="H136" s="2" t="n">
        <v>6</v>
      </c>
      <c r="I136" t="inlineStr">
        <is>
          <t>a</t>
        </is>
      </c>
      <c r="K136" s="2" t="n">
        <v>1440</v>
      </c>
      <c r="L136" t="n">
        <v>95</v>
      </c>
      <c r="M136" s="3" t="n">
        <v>812</v>
      </c>
      <c r="N136" s="4" t="n">
        <v>1050</v>
      </c>
      <c r="O136" s="4" t="n">
        <v>238</v>
      </c>
      <c r="P136" s="5" t="inlineStr">
        <is>
          <t>low</t>
        </is>
      </c>
      <c r="Q136" t="inlineStr">
        <is>
          <t>fade (losing his place)</t>
        </is>
      </c>
      <c r="R136" s="6" t="n">
        <v>1050</v>
      </c>
      <c r="S136" t="inlineStr">
        <is>
          <t>research</t>
        </is>
      </c>
      <c r="T136" s="5" t="inlineStr">
        <is>
          <t>Started on the left wing in the dress rehearsal against Milan and scored. Carrick has preferred to use him further forward rather than at left-back, he has said he wants left wing as his primary position, and FPL has reclassified him from defender to midfielder. Kept small because the left wing is the most crowded slot at the club — Cunha, Rashford and Mbeumo are all alternatives — so a settled run of starts is far from assured.</t>
        </is>
      </c>
      <c r="U136" s="6" t="n">
        <v>84.59999999999999</v>
      </c>
      <c r="V136" s="2" t="n">
        <v>15</v>
      </c>
      <c r="W136" s="7">
        <f>IF(N(U136)&lt;=0,0,MIN(Assumptions!$B$15,N(R136)/N(U136)))</f>
        <v/>
      </c>
      <c r="X136" s="6" t="n">
        <v>0.334</v>
      </c>
      <c r="Y136" s="3" t="n">
        <v>0.1477</v>
      </c>
      <c r="Z136" t="inlineStr">
        <is>
          <t>adjusted xGOT</t>
        </is>
      </c>
      <c r="AA136" s="3" t="n">
        <v>1</v>
      </c>
      <c r="AB136" s="3" t="n">
        <v>0.989</v>
      </c>
      <c r="AC136" s="3" t="n">
        <v>2.8</v>
      </c>
      <c r="AD136" s="3" t="n">
        <v>0.1547</v>
      </c>
      <c r="AE136" s="3" t="n">
        <v>6.645</v>
      </c>
      <c r="AF136" s="3" t="n">
        <v>0.02623179266874187</v>
      </c>
      <c r="AG136" s="3" t="n">
        <v>0.6875</v>
      </c>
      <c r="AH136" s="3" t="n">
        <v>40</v>
      </c>
      <c r="AI136" s="3" t="n">
        <v>2.2165</v>
      </c>
      <c r="AJ136" s="3" t="n">
        <v>1.1467</v>
      </c>
      <c r="AK136" s="3" t="n">
        <v>-0.2823405479327748</v>
      </c>
      <c r="AL136" s="6" t="n">
        <v>0</v>
      </c>
      <c r="AM136" s="3" t="n">
        <v>0</v>
      </c>
      <c r="AN136" s="3" t="n">
        <v>0.7384999999999999</v>
      </c>
      <c r="AO136" s="3" t="n">
        <v>0.612612</v>
      </c>
      <c r="AP136" s="3">
        <f>N(X136)*N(BI136)</f>
        <v/>
      </c>
      <c r="AQ136" s="3" t="n">
        <v>0.6875</v>
      </c>
      <c r="AR136" s="3" t="n">
        <v>0</v>
      </c>
      <c r="AS136" s="3" t="n">
        <v>-0</v>
      </c>
      <c r="AT136" s="3" t="n">
        <v>-0.2823405479327748</v>
      </c>
      <c r="AU136" s="3">
        <f>SUM(AN136:AT136)</f>
        <v/>
      </c>
      <c r="AV136" s="7">
        <f>IF(OR(N(W136)&lt;=0,N(BG136)=0),0,N(W136)*IF(N(R136)/N(W136)&gt;=60,N(BG136),1))</f>
        <v/>
      </c>
      <c r="AW136" s="7">
        <f>N(W136)*N(AF136)*N(BH136)</f>
        <v/>
      </c>
      <c r="AX136" s="7">
        <f>N(AL136)*(Assumptions!$B$13*N(BJ136)-(1-Assumptions!$B$13)*Assumptions!$B$14)+N(AM136)</f>
        <v/>
      </c>
      <c r="AY136" s="7">
        <f>N(AU136)*N(R136)/90+N(AV136)+N(AW136)+N(AX136)</f>
        <v/>
      </c>
      <c r="AZ136" s="3">
        <f>IF(N(R136)&lt;=0,0,(N(AY136)-N(AX136))*90/N(R136))</f>
        <v/>
      </c>
      <c r="BA136" s="7">
        <f>IFERROR(AY136-VLOOKUP($E136,Assumptions!$A$40:$C$43,3,FALSE),"")</f>
        <v/>
      </c>
      <c r="BB136" s="3">
        <f>IFERROR(BA136/H136,"")</f>
        <v/>
      </c>
      <c r="BC136">
        <f>IF(AND($G136=TRUE,$E136="GKP"),AY136,"")</f>
        <v/>
      </c>
      <c r="BD136">
        <f>IF(AND($G136=TRUE,$E136="DEF"),AY136,"")</f>
        <v/>
      </c>
      <c r="BE136">
        <f>IF(AND($G136=TRUE,$E136="MID"),AY136,"")</f>
        <v/>
      </c>
      <c r="BF136">
        <f>IF(AND($G136=TRUE,$E136="FWD"),AY136,"")</f>
        <v/>
      </c>
      <c r="BG136" t="n">
        <v>2</v>
      </c>
      <c r="BH136" t="n">
        <v>2</v>
      </c>
      <c r="BI136" t="n">
        <v>1</v>
      </c>
      <c r="BJ136" t="n">
        <v>5</v>
      </c>
    </row>
    <row r="137">
      <c r="A137" t="inlineStr">
        <is>
          <t>Ryan Sessegnon</t>
        </is>
      </c>
      <c r="B137" t="inlineStr">
        <is>
          <t>FUL</t>
        </is>
      </c>
      <c r="C137" t="inlineStr">
        <is>
          <t>FUL</t>
        </is>
      </c>
      <c r="D137" t="b">
        <v>0</v>
      </c>
      <c r="E137" t="inlineStr">
        <is>
          <t>DEF</t>
        </is>
      </c>
      <c r="F137" t="inlineStr">
        <is>
          <t>MID</t>
        </is>
      </c>
      <c r="G137" t="b">
        <v>1</v>
      </c>
      <c r="H137" s="2" t="n">
        <v>4.5</v>
      </c>
      <c r="I137" t="inlineStr">
        <is>
          <t>a</t>
        </is>
      </c>
      <c r="K137" s="2" t="n">
        <v>1816</v>
      </c>
      <c r="L137" t="n">
        <v>95</v>
      </c>
      <c r="M137" s="3" t="n">
        <v>1525</v>
      </c>
      <c r="N137" s="4" t="n">
        <v>1150</v>
      </c>
      <c r="O137" s="4" t="n">
        <v>-375</v>
      </c>
      <c r="P137" s="5" t="inlineStr">
        <is>
          <t>medium</t>
        </is>
      </c>
      <c r="Q137" t="inlineStr">
        <is>
          <t>flat</t>
        </is>
      </c>
      <c r="R137" s="6" t="n">
        <v>1150</v>
      </c>
      <c r="S137" t="inlineStr">
        <is>
          <t>research</t>
        </is>
      </c>
      <c r="T137" s="5" t="inlineStr">
        <is>
          <t>Benched behind Robinson at left-back in the 7 Aug and 12 Aug friendlies and left out of the 15 Aug squad entirely. Season preview framing is that Sessegnon plays further forward only 'if Robinson's fitness allows him regular appearances at left-back' - i.e. his defensive minutes are contingent on Robinson breaking down.</t>
        </is>
      </c>
      <c r="U137" s="6" t="n">
        <v>83</v>
      </c>
      <c r="V137" s="2" t="n">
        <v>20</v>
      </c>
      <c r="W137" s="7">
        <f>IF(N(U137)&lt;=0,0,MIN(Assumptions!$B$15,N(R137)/N(U137)))</f>
        <v/>
      </c>
      <c r="X137" s="6" t="n">
        <v>0.214</v>
      </c>
      <c r="Y137" s="3" t="n">
        <v>0.0893</v>
      </c>
      <c r="Z137" t="inlineStr">
        <is>
          <t>adjusted xGOT</t>
        </is>
      </c>
      <c r="AA137" s="3" t="n">
        <v>1</v>
      </c>
      <c r="AB137" s="3" t="n">
        <v>1.126</v>
      </c>
      <c r="AC137" s="3" t="n">
        <v>4.9</v>
      </c>
      <c r="AD137" s="3" t="n">
        <v>0.0998</v>
      </c>
      <c r="AE137" s="3" t="n">
        <v>10.172</v>
      </c>
      <c r="AF137" s="3" t="n">
        <v>0.4626384731024534</v>
      </c>
      <c r="AG137" s="3" t="n">
        <v>0.3965</v>
      </c>
      <c r="AH137" s="3" t="n">
        <v>47</v>
      </c>
      <c r="AI137" s="3" t="n">
        <v>3.22</v>
      </c>
      <c r="AJ137" s="3" t="n">
        <v>1.6019</v>
      </c>
      <c r="AK137" s="3" t="n">
        <v>-0.1095186729303973</v>
      </c>
      <c r="AL137" s="6" t="n">
        <v>0</v>
      </c>
      <c r="AM137" s="3" t="n">
        <v>0</v>
      </c>
      <c r="AN137" s="3" t="n">
        <v>0.5358000000000001</v>
      </c>
      <c r="AO137" s="3" t="n">
        <v>0.395208</v>
      </c>
      <c r="AP137" s="3">
        <f>N(X137)*N(BI137)</f>
        <v/>
      </c>
      <c r="AQ137" s="3" t="n">
        <v>0.3965</v>
      </c>
      <c r="AR137" s="3" t="n">
        <v>0</v>
      </c>
      <c r="AS137" s="3" t="n">
        <v>-0.5611019003833156</v>
      </c>
      <c r="AT137" s="3" t="n">
        <v>-0.1095186729303973</v>
      </c>
      <c r="AU137" s="3">
        <f>SUM(AN137:AT137)</f>
        <v/>
      </c>
      <c r="AV137" s="7">
        <f>IF(OR(N(W137)&lt;=0,N(BG137)=0),0,N(W137)*IF(N(R137)/N(W137)&gt;=60,N(BG137),1))</f>
        <v/>
      </c>
      <c r="AW137" s="7">
        <f>N(W137)*N(AF137)*N(BH137)</f>
        <v/>
      </c>
      <c r="AX137" s="7">
        <f>N(AL137)*(Assumptions!$B$13*N(BJ137)-(1-Assumptions!$B$13)*Assumptions!$B$14)+N(AM137)</f>
        <v/>
      </c>
      <c r="AY137" s="7">
        <f>N(AU137)*N(R137)/90+N(AV137)+N(AW137)+N(AX137)</f>
        <v/>
      </c>
      <c r="AZ137" s="3">
        <f>IF(N(R137)&lt;=0,0,(N(AY137)-N(AX137))*90/N(R137))</f>
        <v/>
      </c>
      <c r="BA137" s="7">
        <f>IFERROR(AY137-VLOOKUP($E137,Assumptions!$A$40:$C$43,3,FALSE),"")</f>
        <v/>
      </c>
      <c r="BB137" s="3">
        <f>IFERROR(BA137/H137,"")</f>
        <v/>
      </c>
      <c r="BC137">
        <f>IF(AND($G137=TRUE,$E137="GKP"),AY137,"")</f>
        <v/>
      </c>
      <c r="BD137">
        <f>IF(AND($G137=TRUE,$E137="DEF"),AY137,"")</f>
        <v/>
      </c>
      <c r="BE137">
        <f>IF(AND($G137=TRUE,$E137="MID"),AY137,"")</f>
        <v/>
      </c>
      <c r="BF137">
        <f>IF(AND($G137=TRUE,$E137="FWD"),AY137,"")</f>
        <v/>
      </c>
      <c r="BG137" t="n">
        <v>2</v>
      </c>
      <c r="BH137" t="n">
        <v>2</v>
      </c>
      <c r="BI137" t="n">
        <v>4</v>
      </c>
      <c r="BJ137" t="n">
        <v>6</v>
      </c>
    </row>
    <row r="138">
      <c r="A138" t="inlineStr">
        <is>
          <t>Thierno Barry</t>
        </is>
      </c>
      <c r="B138" t="inlineStr">
        <is>
          <t>EVE</t>
        </is>
      </c>
      <c r="C138" t="inlineStr">
        <is>
          <t>EVE</t>
        </is>
      </c>
      <c r="D138" t="b">
        <v>0</v>
      </c>
      <c r="E138" t="inlineStr">
        <is>
          <t>FWD</t>
        </is>
      </c>
      <c r="F138" t="inlineStr">
        <is>
          <t>FWD</t>
        </is>
      </c>
      <c r="G138" t="b">
        <v>1</v>
      </c>
      <c r="H138" s="2" t="n">
        <v>5.5</v>
      </c>
      <c r="I138" t="inlineStr">
        <is>
          <t>a</t>
        </is>
      </c>
      <c r="K138" s="2" t="n">
        <v>1898</v>
      </c>
      <c r="L138" t="n">
        <v>95</v>
      </c>
      <c r="M138" s="3" t="n">
        <v>2514</v>
      </c>
      <c r="N138" s="8" t="n">
        <v>2514</v>
      </c>
      <c r="O138" s="8" t="n">
        <v>0</v>
      </c>
      <c r="Q138" t="inlineStr">
        <is>
          <t>flat</t>
        </is>
      </c>
      <c r="R138" s="6" t="n">
        <v>2514</v>
      </c>
      <c r="S138" t="inlineStr">
        <is>
          <t>Solio</t>
        </is>
      </c>
      <c r="U138" s="6" t="n">
        <v>76.59999999999999</v>
      </c>
      <c r="V138" s="2" t="n">
        <v>21</v>
      </c>
      <c r="W138" s="7">
        <f>IF(N(U138)&lt;=0,0,MIN(Assumptions!$B$15,N(R138)/N(U138)))</f>
        <v/>
      </c>
      <c r="X138" s="6" t="n">
        <v>0.231</v>
      </c>
      <c r="Y138" s="3" t="n">
        <v>0.333</v>
      </c>
      <c r="Z138" t="inlineStr">
        <is>
          <t>adjusted xGOT</t>
        </is>
      </c>
      <c r="AA138" s="3" t="n">
        <v>1</v>
      </c>
      <c r="AB138" s="3" t="n">
        <v>0.86</v>
      </c>
      <c r="AC138" s="3" t="n">
        <v>8.199999999999999</v>
      </c>
      <c r="AD138" s="3" t="n">
        <v>0.0342</v>
      </c>
      <c r="AE138" s="3" t="n">
        <v>3.862</v>
      </c>
      <c r="AF138" s="3" t="n">
        <v>0.0001648511147070986</v>
      </c>
      <c r="AG138" s="3" t="n">
        <v>0.4268</v>
      </c>
      <c r="AH138" s="3" t="n">
        <v>57</v>
      </c>
      <c r="AI138" s="3" t="n">
        <v>3.0311</v>
      </c>
      <c r="AJ138" s="3" t="n">
        <v>1.5252</v>
      </c>
      <c r="AK138" s="3" t="n">
        <v>-0.1628586016462849</v>
      </c>
      <c r="AL138" s="6" t="n">
        <v>0.227372938242642</v>
      </c>
      <c r="AM138" s="3" t="n">
        <v>0</v>
      </c>
      <c r="AN138" s="3" t="n">
        <v>1.332</v>
      </c>
      <c r="AO138" s="3" t="n">
        <v>0.135432</v>
      </c>
      <c r="AP138" s="3">
        <f>N(X138)*N(BI138)</f>
        <v/>
      </c>
      <c r="AQ138" s="3" t="n">
        <v>0.4268</v>
      </c>
      <c r="AR138" s="3" t="n">
        <v>0</v>
      </c>
      <c r="AS138" s="3" t="n">
        <v>-0</v>
      </c>
      <c r="AT138" s="3" t="n">
        <v>-0.1628586016462849</v>
      </c>
      <c r="AU138" s="3">
        <f>SUM(AN138:AT138)</f>
        <v/>
      </c>
      <c r="AV138" s="7">
        <f>IF(OR(N(W138)&lt;=0,N(BG138)=0),0,N(W138)*IF(N(R138)/N(W138)&gt;=60,N(BG138),1))</f>
        <v/>
      </c>
      <c r="AW138" s="7">
        <f>N(W138)*N(AF138)*N(BH138)</f>
        <v/>
      </c>
      <c r="AX138" s="7">
        <f>N(AL138)*(Assumptions!$B$13*N(BJ138)-(1-Assumptions!$B$13)*Assumptions!$B$14)+N(AM138)</f>
        <v/>
      </c>
      <c r="AY138" s="7">
        <f>N(AU138)*N(R138)/90+N(AV138)+N(AW138)+N(AX138)</f>
        <v/>
      </c>
      <c r="AZ138" s="3">
        <f>IF(N(R138)&lt;=0,0,(N(AY138)-N(AX138))*90/N(R138))</f>
        <v/>
      </c>
      <c r="BA138" s="7">
        <f>IFERROR(AY138-VLOOKUP($E138,Assumptions!$A$40:$C$43,3,FALSE),"")</f>
        <v/>
      </c>
      <c r="BB138" s="3">
        <f>IFERROR(BA138/H138,"")</f>
        <v/>
      </c>
      <c r="BC138">
        <f>IF(AND($G138=TRUE,$E138="GKP"),AY138,"")</f>
        <v/>
      </c>
      <c r="BD138">
        <f>IF(AND($G138=TRUE,$E138="DEF"),AY138,"")</f>
        <v/>
      </c>
      <c r="BE138">
        <f>IF(AND($G138=TRUE,$E138="MID"),AY138,"")</f>
        <v/>
      </c>
      <c r="BF138">
        <f>IF(AND($G138=TRUE,$E138="FWD"),AY138,"")</f>
        <v/>
      </c>
      <c r="BG138" t="n">
        <v>2</v>
      </c>
      <c r="BH138" t="n">
        <v>2</v>
      </c>
      <c r="BI138" t="n">
        <v>0</v>
      </c>
      <c r="BJ138" t="n">
        <v>4</v>
      </c>
    </row>
    <row r="139">
      <c r="A139" t="inlineStr">
        <is>
          <t>Mats Wieffer</t>
        </is>
      </c>
      <c r="B139" t="inlineStr">
        <is>
          <t>BHA</t>
        </is>
      </c>
      <c r="C139" t="inlineStr">
        <is>
          <t>BHA</t>
        </is>
      </c>
      <c r="D139" t="b">
        <v>0</v>
      </c>
      <c r="E139" t="inlineStr">
        <is>
          <t>DEF</t>
        </is>
      </c>
      <c r="F139" t="inlineStr">
        <is>
          <t>MID</t>
        </is>
      </c>
      <c r="G139" t="b">
        <v>1</v>
      </c>
      <c r="H139" s="2" t="n">
        <v>5</v>
      </c>
      <c r="I139" t="inlineStr">
        <is>
          <t>a</t>
        </is>
      </c>
      <c r="K139" s="2" t="n">
        <v>1901</v>
      </c>
      <c r="L139" t="n">
        <v>94</v>
      </c>
      <c r="M139" s="3" t="n">
        <v>2787</v>
      </c>
      <c r="N139" s="8" t="n">
        <v>2787</v>
      </c>
      <c r="O139" s="8" t="n">
        <v>0</v>
      </c>
      <c r="Q139" t="inlineStr">
        <is>
          <t>flat</t>
        </is>
      </c>
      <c r="R139" s="6" t="n">
        <v>2787</v>
      </c>
      <c r="S139" t="inlineStr">
        <is>
          <t>Solio</t>
        </is>
      </c>
      <c r="U139" s="6" t="n">
        <v>79.3</v>
      </c>
      <c r="V139" s="2" t="n">
        <v>23</v>
      </c>
      <c r="W139" s="7">
        <f>IF(N(U139)&lt;=0,0,MIN(Assumptions!$B$15,N(R139)/N(U139)))</f>
        <v/>
      </c>
      <c r="X139" s="6" t="n">
        <v>0.252</v>
      </c>
      <c r="Y139" s="3" t="n">
        <v>0.0984</v>
      </c>
      <c r="Z139" t="inlineStr">
        <is>
          <t>adjusted xGOT</t>
        </is>
      </c>
      <c r="AA139" s="3" t="n">
        <v>1</v>
      </c>
      <c r="AB139" s="3" t="n">
        <v>1.082</v>
      </c>
      <c r="AC139" s="3" t="n">
        <v>2.7</v>
      </c>
      <c r="AD139" s="3" t="n">
        <v>0.1119</v>
      </c>
      <c r="AE139" s="3" t="n">
        <v>11.593</v>
      </c>
      <c r="AF139" s="3" t="n">
        <v>0.568629616679645</v>
      </c>
      <c r="AG139" s="3" t="n">
        <v>0.2367</v>
      </c>
      <c r="AH139" s="3" t="n">
        <v>46</v>
      </c>
      <c r="AI139" s="3" t="n">
        <v>2.8404</v>
      </c>
      <c r="AJ139" s="3" t="n">
        <v>1.439</v>
      </c>
      <c r="AK139" s="3" t="n">
        <v>-0.3529394299384296</v>
      </c>
      <c r="AL139" s="6" t="n">
        <v>0</v>
      </c>
      <c r="AM139" s="3" t="n">
        <v>0</v>
      </c>
      <c r="AN139" s="3" t="n">
        <v>0.5904</v>
      </c>
      <c r="AO139" s="3" t="n">
        <v>0.443124</v>
      </c>
      <c r="AP139" s="3">
        <f>N(X139)*N(BI139)</f>
        <v/>
      </c>
      <c r="AQ139" s="3" t="n">
        <v>0.2367</v>
      </c>
      <c r="AR139" s="3" t="n">
        <v>0</v>
      </c>
      <c r="AS139" s="3" t="n">
        <v>-0.4835617861760246</v>
      </c>
      <c r="AT139" s="3" t="n">
        <v>-0.3529394299384296</v>
      </c>
      <c r="AU139" s="3">
        <f>SUM(AN139:AT139)</f>
        <v/>
      </c>
      <c r="AV139" s="7">
        <f>IF(OR(N(W139)&lt;=0,N(BG139)=0),0,N(W139)*IF(N(R139)/N(W139)&gt;=60,N(BG139),1))</f>
        <v/>
      </c>
      <c r="AW139" s="7">
        <f>N(W139)*N(AF139)*N(BH139)</f>
        <v/>
      </c>
      <c r="AX139" s="7">
        <f>N(AL139)*(Assumptions!$B$13*N(BJ139)-(1-Assumptions!$B$13)*Assumptions!$B$14)+N(AM139)</f>
        <v/>
      </c>
      <c r="AY139" s="7">
        <f>N(AU139)*N(R139)/90+N(AV139)+N(AW139)+N(AX139)</f>
        <v/>
      </c>
      <c r="AZ139" s="3">
        <f>IF(N(R139)&lt;=0,0,(N(AY139)-N(AX139))*90/N(R139))</f>
        <v/>
      </c>
      <c r="BA139" s="7">
        <f>IFERROR(AY139-VLOOKUP($E139,Assumptions!$A$40:$C$43,3,FALSE),"")</f>
        <v/>
      </c>
      <c r="BB139" s="3">
        <f>IFERROR(BA139/H139,"")</f>
        <v/>
      </c>
      <c r="BC139">
        <f>IF(AND($G139=TRUE,$E139="GKP"),AY139,"")</f>
        <v/>
      </c>
      <c r="BD139">
        <f>IF(AND($G139=TRUE,$E139="DEF"),AY139,"")</f>
        <v/>
      </c>
      <c r="BE139">
        <f>IF(AND($G139=TRUE,$E139="MID"),AY139,"")</f>
        <v/>
      </c>
      <c r="BF139">
        <f>IF(AND($G139=TRUE,$E139="FWD"),AY139,"")</f>
        <v/>
      </c>
      <c r="BG139" t="n">
        <v>2</v>
      </c>
      <c r="BH139" t="n">
        <v>2</v>
      </c>
      <c r="BI139" t="n">
        <v>4</v>
      </c>
      <c r="BJ139" t="n">
        <v>6</v>
      </c>
    </row>
    <row r="140">
      <c r="A140" t="inlineStr">
        <is>
          <t>James Justin</t>
        </is>
      </c>
      <c r="B140" t="inlineStr">
        <is>
          <t>LEE</t>
        </is>
      </c>
      <c r="C140" t="inlineStr">
        <is>
          <t>LEE</t>
        </is>
      </c>
      <c r="D140" t="b">
        <v>0</v>
      </c>
      <c r="E140" t="inlineStr">
        <is>
          <t>DEF</t>
        </is>
      </c>
      <c r="F140" t="inlineStr">
        <is>
          <t>DEF</t>
        </is>
      </c>
      <c r="G140" t="b">
        <v>1</v>
      </c>
      <c r="H140" s="2" t="n">
        <v>4.5</v>
      </c>
      <c r="I140" t="inlineStr">
        <is>
          <t>a</t>
        </is>
      </c>
      <c r="K140" s="2" t="n">
        <v>1893</v>
      </c>
      <c r="L140" t="n">
        <v>94</v>
      </c>
      <c r="M140" s="3" t="n">
        <v>2280</v>
      </c>
      <c r="N140" s="8" t="n">
        <v>2280</v>
      </c>
      <c r="O140" s="8" t="n">
        <v>0</v>
      </c>
      <c r="Q140" t="inlineStr">
        <is>
          <t>flat</t>
        </is>
      </c>
      <c r="R140" s="6" t="n">
        <v>2280</v>
      </c>
      <c r="S140" t="inlineStr">
        <is>
          <t>Solio</t>
        </is>
      </c>
      <c r="U140" s="6" t="n">
        <v>85.7</v>
      </c>
      <c r="V140" s="2" t="n">
        <v>21</v>
      </c>
      <c r="W140" s="7">
        <f>IF(N(U140)&lt;=0,0,MIN(Assumptions!$B$15,N(R140)/N(U140)))</f>
        <v/>
      </c>
      <c r="X140" s="6" t="n">
        <v>0.218</v>
      </c>
      <c r="Y140" s="3" t="n">
        <v>0.0727</v>
      </c>
      <c r="Z140" t="inlineStr">
        <is>
          <t>adjusted xGOT</t>
        </is>
      </c>
      <c r="AA140" s="3" t="n">
        <v>1</v>
      </c>
      <c r="AB140" s="3" t="n">
        <v>0.836</v>
      </c>
      <c r="AC140" s="3" t="n">
        <v>3.6</v>
      </c>
      <c r="AD140" s="3" t="n">
        <v>0.0887</v>
      </c>
      <c r="AE140" s="3" t="n">
        <v>8.420999999999999</v>
      </c>
      <c r="AF140" s="3" t="n">
        <v>0.2856941144800449</v>
      </c>
      <c r="AG140" s="3" t="n">
        <v>0.3803</v>
      </c>
      <c r="AH140" s="3" t="n">
        <v>49</v>
      </c>
      <c r="AI140" s="3" t="n">
        <v>3.0611</v>
      </c>
      <c r="AJ140" s="3" t="n">
        <v>1.5875</v>
      </c>
      <c r="AK140" s="3" t="n">
        <v>-0.2078031145580293</v>
      </c>
      <c r="AL140" s="6" t="n">
        <v>0</v>
      </c>
      <c r="AM140" s="3" t="n">
        <v>0</v>
      </c>
      <c r="AN140" s="3" t="n">
        <v>0.4362</v>
      </c>
      <c r="AO140" s="3" t="n">
        <v>0.351252</v>
      </c>
      <c r="AP140" s="3">
        <f>N(X140)*N(BI140)</f>
        <v/>
      </c>
      <c r="AQ140" s="3" t="n">
        <v>0.3803</v>
      </c>
      <c r="AR140" s="3" t="n">
        <v>0</v>
      </c>
      <c r="AS140" s="3" t="n">
        <v>-0.5541985260210861</v>
      </c>
      <c r="AT140" s="3" t="n">
        <v>-0.2078031145580293</v>
      </c>
      <c r="AU140" s="3">
        <f>SUM(AN140:AT140)</f>
        <v/>
      </c>
      <c r="AV140" s="7">
        <f>IF(OR(N(W140)&lt;=0,N(BG140)=0),0,N(W140)*IF(N(R140)/N(W140)&gt;=60,N(BG140),1))</f>
        <v/>
      </c>
      <c r="AW140" s="7">
        <f>N(W140)*N(AF140)*N(BH140)</f>
        <v/>
      </c>
      <c r="AX140" s="7">
        <f>N(AL140)*(Assumptions!$B$13*N(BJ140)-(1-Assumptions!$B$13)*Assumptions!$B$14)+N(AM140)</f>
        <v/>
      </c>
      <c r="AY140" s="7">
        <f>N(AU140)*N(R140)/90+N(AV140)+N(AW140)+N(AX140)</f>
        <v/>
      </c>
      <c r="AZ140" s="3">
        <f>IF(N(R140)&lt;=0,0,(N(AY140)-N(AX140))*90/N(R140))</f>
        <v/>
      </c>
      <c r="BA140" s="7">
        <f>IFERROR(AY140-VLOOKUP($E140,Assumptions!$A$40:$C$43,3,FALSE),"")</f>
        <v/>
      </c>
      <c r="BB140" s="3">
        <f>IFERROR(BA140/H140,"")</f>
        <v/>
      </c>
      <c r="BC140">
        <f>IF(AND($G140=TRUE,$E140="GKP"),AY140,"")</f>
        <v/>
      </c>
      <c r="BD140">
        <f>IF(AND($G140=TRUE,$E140="DEF"),AY140,"")</f>
        <v/>
      </c>
      <c r="BE140">
        <f>IF(AND($G140=TRUE,$E140="MID"),AY140,"")</f>
        <v/>
      </c>
      <c r="BF140">
        <f>IF(AND($G140=TRUE,$E140="FWD"),AY140,"")</f>
        <v/>
      </c>
      <c r="BG140" t="n">
        <v>2</v>
      </c>
      <c r="BH140" t="n">
        <v>2</v>
      </c>
      <c r="BI140" t="n">
        <v>4</v>
      </c>
      <c r="BJ140" t="n">
        <v>6</v>
      </c>
    </row>
    <row r="141">
      <c r="A141" t="inlineStr">
        <is>
          <t>Dan Burn</t>
        </is>
      </c>
      <c r="B141" t="inlineStr">
        <is>
          <t>NEW</t>
        </is>
      </c>
      <c r="C141" t="inlineStr">
        <is>
          <t>NEW</t>
        </is>
      </c>
      <c r="D141" t="b">
        <v>0</v>
      </c>
      <c r="E141" t="inlineStr">
        <is>
          <t>DEF</t>
        </is>
      </c>
      <c r="F141" t="inlineStr">
        <is>
          <t>DEF</t>
        </is>
      </c>
      <c r="G141" t="b">
        <v>1</v>
      </c>
      <c r="H141" s="2" t="n">
        <v>5</v>
      </c>
      <c r="I141" t="inlineStr">
        <is>
          <t>a</t>
        </is>
      </c>
      <c r="K141" s="2" t="n">
        <v>2195</v>
      </c>
      <c r="L141" t="n">
        <v>93</v>
      </c>
      <c r="M141" s="3" t="n">
        <v>1406</v>
      </c>
      <c r="N141" s="8" t="n">
        <v>1406</v>
      </c>
      <c r="O141" s="8" t="n">
        <v>0</v>
      </c>
      <c r="Q141" t="inlineStr">
        <is>
          <t>flat</t>
        </is>
      </c>
      <c r="R141" s="6" t="n">
        <v>1406</v>
      </c>
      <c r="S141" t="inlineStr">
        <is>
          <t>Solio</t>
        </is>
      </c>
      <c r="U141" s="6" t="n">
        <v>86.2</v>
      </c>
      <c r="V141" s="2" t="n">
        <v>24</v>
      </c>
      <c r="W141" s="7">
        <f>IF(N(U141)&lt;=0,0,MIN(Assumptions!$B$15,N(R141)/N(U141)))</f>
        <v/>
      </c>
      <c r="X141" s="6" t="n">
        <v>0.248</v>
      </c>
      <c r="Y141" s="3" t="n">
        <v>0.0397</v>
      </c>
      <c r="Z141" t="inlineStr">
        <is>
          <t>adjusted xGOT</t>
        </is>
      </c>
      <c r="AA141" s="3" t="n">
        <v>1</v>
      </c>
      <c r="AB141" s="3" t="n">
        <v>0.896</v>
      </c>
      <c r="AC141" s="3" t="n">
        <v>8.5</v>
      </c>
      <c r="AD141" s="3" t="n">
        <v>0.0158</v>
      </c>
      <c r="AE141" s="3" t="n">
        <v>8.845000000000001</v>
      </c>
      <c r="AF141" s="3" t="n">
        <v>0.3433340116847217</v>
      </c>
      <c r="AG141" s="3" t="n">
        <v>0.123</v>
      </c>
      <c r="AH141" s="3" t="n">
        <v>53</v>
      </c>
      <c r="AI141" s="3" t="n">
        <v>3.0912</v>
      </c>
      <c r="AJ141" s="3" t="n">
        <v>1.4534</v>
      </c>
      <c r="AK141" s="3" t="n">
        <v>-0.2907194972641908</v>
      </c>
      <c r="AL141" s="6" t="n">
        <v>0</v>
      </c>
      <c r="AM141" s="3" t="n">
        <v>0</v>
      </c>
      <c r="AN141" s="3" t="n">
        <v>0.2382</v>
      </c>
      <c r="AO141" s="3" t="n">
        <v>0.06256800000000001</v>
      </c>
      <c r="AP141" s="3">
        <f>N(X141)*N(BI141)</f>
        <v/>
      </c>
      <c r="AQ141" s="3" t="n">
        <v>0.123</v>
      </c>
      <c r="AR141" s="3" t="n">
        <v>0</v>
      </c>
      <c r="AS141" s="3" t="n">
        <v>-0.4903625828545308</v>
      </c>
      <c r="AT141" s="3" t="n">
        <v>-0.2907194972641908</v>
      </c>
      <c r="AU141" s="3">
        <f>SUM(AN141:AT141)</f>
        <v/>
      </c>
      <c r="AV141" s="7">
        <f>IF(OR(N(W141)&lt;=0,N(BG141)=0),0,N(W141)*IF(N(R141)/N(W141)&gt;=60,N(BG141),1))</f>
        <v/>
      </c>
      <c r="AW141" s="7">
        <f>N(W141)*N(AF141)*N(BH141)</f>
        <v/>
      </c>
      <c r="AX141" s="7">
        <f>N(AL141)*(Assumptions!$B$13*N(BJ141)-(1-Assumptions!$B$13)*Assumptions!$B$14)+N(AM141)</f>
        <v/>
      </c>
      <c r="AY141" s="7">
        <f>N(AU141)*N(R141)/90+N(AV141)+N(AW141)+N(AX141)</f>
        <v/>
      </c>
      <c r="AZ141" s="3">
        <f>IF(N(R141)&lt;=0,0,(N(AY141)-N(AX141))*90/N(R141))</f>
        <v/>
      </c>
      <c r="BA141" s="7">
        <f>IFERROR(AY141-VLOOKUP($E141,Assumptions!$A$40:$C$43,3,FALSE),"")</f>
        <v/>
      </c>
      <c r="BB141" s="3">
        <f>IFERROR(BA141/H141,"")</f>
        <v/>
      </c>
      <c r="BC141">
        <f>IF(AND($G141=TRUE,$E141="GKP"),AY141,"")</f>
        <v/>
      </c>
      <c r="BD141">
        <f>IF(AND($G141=TRUE,$E141="DEF"),AY141,"")</f>
        <v/>
      </c>
      <c r="BE141">
        <f>IF(AND($G141=TRUE,$E141="MID"),AY141,"")</f>
        <v/>
      </c>
      <c r="BF141">
        <f>IF(AND($G141=TRUE,$E141="FWD"),AY141,"")</f>
        <v/>
      </c>
      <c r="BG141" t="n">
        <v>2</v>
      </c>
      <c r="BH141" t="n">
        <v>2</v>
      </c>
      <c r="BI141" t="n">
        <v>4</v>
      </c>
      <c r="BJ141" t="n">
        <v>6</v>
      </c>
    </row>
    <row r="142">
      <c r="A142" t="inlineStr">
        <is>
          <t>Tijjani Reijnders</t>
        </is>
      </c>
      <c r="B142" t="inlineStr">
        <is>
          <t>MCI</t>
        </is>
      </c>
      <c r="C142" t="inlineStr">
        <is>
          <t>MCI</t>
        </is>
      </c>
      <c r="D142" t="b">
        <v>0</v>
      </c>
      <c r="E142" t="inlineStr">
        <is>
          <t>MID</t>
        </is>
      </c>
      <c r="F142" t="inlineStr">
        <is>
          <t>MID</t>
        </is>
      </c>
      <c r="G142" t="b">
        <v>1</v>
      </c>
      <c r="H142" s="2" t="n">
        <v>6</v>
      </c>
      <c r="I142" t="inlineStr">
        <is>
          <t>a</t>
        </is>
      </c>
      <c r="K142" s="2" t="n">
        <v>1623</v>
      </c>
      <c r="L142" t="n">
        <v>92</v>
      </c>
      <c r="M142" s="3" t="n">
        <v>247</v>
      </c>
      <c r="N142" s="4" t="n">
        <v>0</v>
      </c>
      <c r="O142" s="4" t="n">
        <v>-247</v>
      </c>
      <c r="P142" s="5" t="inlineStr">
        <is>
          <t>high</t>
        </is>
      </c>
      <c r="Q142" t="inlineStr">
        <is>
          <t>flat</t>
        </is>
      </c>
      <c r="R142" s="6" t="n">
        <v>0</v>
      </c>
      <c r="S142" t="inlineStr">
        <is>
          <t>research</t>
        </is>
      </c>
      <c r="T142" s="5" t="inlineStr">
        <is>
          <t>Sale to Al Qadsiah is done bar the medical: Romano reported on 13 Aug that Reijnders 'says yes to Al Qadsiah and all parties have now a verbal agreement' at around €61m, with the player awaiting the green light to fly out. Solio's 247 already assumed he goes; this just closes it to zero. Small delta, high certainty — included mainly because it is one of the few free minutes in the budget.</t>
        </is>
      </c>
      <c r="U142" s="6" t="n">
        <v>78.3</v>
      </c>
      <c r="V142" s="2" t="n">
        <v>19</v>
      </c>
      <c r="W142" s="7">
        <f>IF(N(U142)&lt;=0,0,MIN(Assumptions!$B$15,N(R142)/N(U142)))</f>
        <v/>
      </c>
      <c r="X142" s="6" t="n">
        <v>0.371</v>
      </c>
      <c r="Y142" s="3" t="n">
        <v>0.2473</v>
      </c>
      <c r="Z142" t="inlineStr">
        <is>
          <t>adjusted xGOT</t>
        </is>
      </c>
      <c r="AA142" s="3" t="n">
        <v>1</v>
      </c>
      <c r="AB142" s="3" t="n">
        <v>0.968</v>
      </c>
      <c r="AC142" s="3" t="n">
        <v>4.6</v>
      </c>
      <c r="AD142" s="3" t="n">
        <v>0.1504</v>
      </c>
      <c r="AE142" s="3" t="n">
        <v>6.477</v>
      </c>
      <c r="AF142" s="3" t="n">
        <v>0.01304719904556217</v>
      </c>
      <c r="AG142" s="3" t="n">
        <v>0.3327</v>
      </c>
      <c r="AH142" s="3" t="n">
        <v>45</v>
      </c>
      <c r="AI142" s="3" t="n">
        <v>1.9737</v>
      </c>
      <c r="AJ142" s="3" t="n">
        <v>1.0365</v>
      </c>
      <c r="AK142" s="3" t="n">
        <v>-0.1691481127379736</v>
      </c>
      <c r="AL142" s="6" t="n">
        <v>0</v>
      </c>
      <c r="AM142" s="3" t="n">
        <v>0</v>
      </c>
      <c r="AN142" s="3" t="n">
        <v>1.2365</v>
      </c>
      <c r="AO142" s="3" t="n">
        <v>0.5955840000000001</v>
      </c>
      <c r="AP142" s="3">
        <f>N(X142)*N(BI142)</f>
        <v/>
      </c>
      <c r="AQ142" s="3" t="n">
        <v>0.3327</v>
      </c>
      <c r="AR142" s="3" t="n">
        <v>0</v>
      </c>
      <c r="AS142" s="3" t="n">
        <v>-0</v>
      </c>
      <c r="AT142" s="3" t="n">
        <v>-0.1691481127379736</v>
      </c>
      <c r="AU142" s="3">
        <f>SUM(AN142:AT142)</f>
        <v/>
      </c>
      <c r="AV142" s="7">
        <f>IF(OR(N(W142)&lt;=0,N(BG142)=0),0,N(W142)*IF(N(R142)/N(W142)&gt;=60,N(BG142),1))</f>
        <v/>
      </c>
      <c r="AW142" s="7">
        <f>N(W142)*N(AF142)*N(BH142)</f>
        <v/>
      </c>
      <c r="AX142" s="7">
        <f>N(AL142)*(Assumptions!$B$13*N(BJ142)-(1-Assumptions!$B$13)*Assumptions!$B$14)+N(AM142)</f>
        <v/>
      </c>
      <c r="AY142" s="7">
        <f>N(AU142)*N(R142)/90+N(AV142)+N(AW142)+N(AX142)</f>
        <v/>
      </c>
      <c r="AZ142" s="3">
        <f>IF(N(R142)&lt;=0,0,(N(AY142)-N(AX142))*90/N(R142))</f>
        <v/>
      </c>
      <c r="BA142" s="7">
        <f>IFERROR(AY142-VLOOKUP($E142,Assumptions!$A$40:$C$43,3,FALSE),"")</f>
        <v/>
      </c>
      <c r="BB142" s="3">
        <f>IFERROR(BA142/H142,"")</f>
        <v/>
      </c>
      <c r="BC142">
        <f>IF(AND($G142=TRUE,$E142="GKP"),AY142,"")</f>
        <v/>
      </c>
      <c r="BD142">
        <f>IF(AND($G142=TRUE,$E142="DEF"),AY142,"")</f>
        <v/>
      </c>
      <c r="BE142">
        <f>IF(AND($G142=TRUE,$E142="MID"),AY142,"")</f>
        <v/>
      </c>
      <c r="BF142">
        <f>IF(AND($G142=TRUE,$E142="FWD"),AY142,"")</f>
        <v/>
      </c>
      <c r="BG142" t="n">
        <v>2</v>
      </c>
      <c r="BH142" t="n">
        <v>2</v>
      </c>
      <c r="BI142" t="n">
        <v>1</v>
      </c>
      <c r="BJ142" t="n">
        <v>5</v>
      </c>
    </row>
    <row r="143">
      <c r="A143" t="inlineStr">
        <is>
          <t>Brian Brobbey</t>
        </is>
      </c>
      <c r="B143" t="inlineStr">
        <is>
          <t>SUN</t>
        </is>
      </c>
      <c r="C143" t="inlineStr">
        <is>
          <t>SUN</t>
        </is>
      </c>
      <c r="D143" t="b">
        <v>0</v>
      </c>
      <c r="E143" t="inlineStr">
        <is>
          <t>FWD</t>
        </is>
      </c>
      <c r="F143" t="inlineStr">
        <is>
          <t>FWD</t>
        </is>
      </c>
      <c r="G143" t="b">
        <v>1</v>
      </c>
      <c r="H143" s="2" t="n">
        <v>6</v>
      </c>
      <c r="I143" t="inlineStr">
        <is>
          <t>a</t>
        </is>
      </c>
      <c r="K143" s="2" t="n">
        <v>1920</v>
      </c>
      <c r="L143" t="n">
        <v>92</v>
      </c>
      <c r="M143" s="3" t="n">
        <v>2884</v>
      </c>
      <c r="N143" s="4" t="n">
        <v>2600</v>
      </c>
      <c r="O143" s="4" t="n">
        <v>-284</v>
      </c>
      <c r="P143" s="5" t="inlineStr">
        <is>
          <t>medium</t>
        </is>
      </c>
      <c r="Q143" t="inlineStr">
        <is>
          <t>flat</t>
        </is>
      </c>
      <c r="R143" s="6" t="n">
        <v>2600</v>
      </c>
      <c r="S143" t="inlineStr">
        <is>
          <t>research</t>
        </is>
      </c>
      <c r="T143" s="5" t="inlineStr">
        <is>
          <t>The counterweight to the Isidor change: Solio's Brobbey and Isidor numbers together imply only one of them is a real Premier League contributor. Brobbey remains the near-certain starter and this is a deliberately small trim, but he was withdrawn on 72' against Rennes, Isidor is confirmed to be staying as the impact option, and eight Europa League fixtures give Le Bris a strong reason to rest the only recognised first-choice striker in some league games.</t>
        </is>
      </c>
      <c r="U143" s="6" t="n">
        <v>78.5</v>
      </c>
      <c r="V143" s="2" t="n">
        <v>22</v>
      </c>
      <c r="W143" s="7">
        <f>IF(N(U143)&lt;=0,0,MIN(Assumptions!$B$15,N(R143)/N(U143)))</f>
        <v/>
      </c>
      <c r="X143" s="6" t="n">
        <v>0.204</v>
      </c>
      <c r="Y143" s="3" t="n">
        <v>0.3039</v>
      </c>
      <c r="Z143" t="inlineStr">
        <is>
          <t>adjusted xGOT</t>
        </is>
      </c>
      <c r="AA143" s="3" t="n">
        <v>1</v>
      </c>
      <c r="AB143" s="3" t="n">
        <v>1.077</v>
      </c>
      <c r="AC143" s="3" t="n">
        <v>6</v>
      </c>
      <c r="AD143" s="3" t="n">
        <v>0.0511</v>
      </c>
      <c r="AE143" s="3" t="n">
        <v>3.83</v>
      </c>
      <c r="AF143" s="3" t="n">
        <v>0.0001907227640456366</v>
      </c>
      <c r="AG143" s="3" t="n">
        <v>0.6094000000000001</v>
      </c>
      <c r="AH143" s="3" t="n">
        <v>52</v>
      </c>
      <c r="AI143" s="3" t="n">
        <v>3.3348</v>
      </c>
      <c r="AJ143" s="3" t="n">
        <v>1.6498</v>
      </c>
      <c r="AK143" s="3" t="n">
        <v>-0.2422255324303657</v>
      </c>
      <c r="AL143" s="6" t="n">
        <v>0</v>
      </c>
      <c r="AM143" s="3" t="n">
        <v>0</v>
      </c>
      <c r="AN143" s="3" t="n">
        <v>1.2156</v>
      </c>
      <c r="AO143" s="3" t="n">
        <v>0.202356</v>
      </c>
      <c r="AP143" s="3">
        <f>N(X143)*N(BI143)</f>
        <v/>
      </c>
      <c r="AQ143" s="3" t="n">
        <v>0.6094000000000001</v>
      </c>
      <c r="AR143" s="3" t="n">
        <v>0</v>
      </c>
      <c r="AS143" s="3" t="n">
        <v>-0</v>
      </c>
      <c r="AT143" s="3" t="n">
        <v>-0.2422255324303657</v>
      </c>
      <c r="AU143" s="3">
        <f>SUM(AN143:AT143)</f>
        <v/>
      </c>
      <c r="AV143" s="7">
        <f>IF(OR(N(W143)&lt;=0,N(BG143)=0),0,N(W143)*IF(N(R143)/N(W143)&gt;=60,N(BG143),1))</f>
        <v/>
      </c>
      <c r="AW143" s="7">
        <f>N(W143)*N(AF143)*N(BH143)</f>
        <v/>
      </c>
      <c r="AX143" s="7">
        <f>N(AL143)*(Assumptions!$B$13*N(BJ143)-(1-Assumptions!$B$13)*Assumptions!$B$14)+N(AM143)</f>
        <v/>
      </c>
      <c r="AY143" s="7">
        <f>N(AU143)*N(R143)/90+N(AV143)+N(AW143)+N(AX143)</f>
        <v/>
      </c>
      <c r="AZ143" s="3">
        <f>IF(N(R143)&lt;=0,0,(N(AY143)-N(AX143))*90/N(R143))</f>
        <v/>
      </c>
      <c r="BA143" s="7">
        <f>IFERROR(AY143-VLOOKUP($E143,Assumptions!$A$40:$C$43,3,FALSE),"")</f>
        <v/>
      </c>
      <c r="BB143" s="3">
        <f>IFERROR(BA143/H143,"")</f>
        <v/>
      </c>
      <c r="BC143">
        <f>IF(AND($G143=TRUE,$E143="GKP"),AY143,"")</f>
        <v/>
      </c>
      <c r="BD143">
        <f>IF(AND($G143=TRUE,$E143="DEF"),AY143,"")</f>
        <v/>
      </c>
      <c r="BE143">
        <f>IF(AND($G143=TRUE,$E143="MID"),AY143,"")</f>
        <v/>
      </c>
      <c r="BF143">
        <f>IF(AND($G143=TRUE,$E143="FWD"),AY143,"")</f>
        <v/>
      </c>
      <c r="BG143" t="n">
        <v>2</v>
      </c>
      <c r="BH143" t="n">
        <v>2</v>
      </c>
      <c r="BI143" t="n">
        <v>0</v>
      </c>
      <c r="BJ143" t="n">
        <v>4</v>
      </c>
    </row>
    <row r="144">
      <c r="A144" t="inlineStr">
        <is>
          <t>Jack Hinshelwood</t>
        </is>
      </c>
      <c r="B144" t="inlineStr">
        <is>
          <t>BHA</t>
        </is>
      </c>
      <c r="C144" t="inlineStr">
        <is>
          <t>BHA</t>
        </is>
      </c>
      <c r="D144" t="b">
        <v>0</v>
      </c>
      <c r="E144" t="inlineStr">
        <is>
          <t>MID</t>
        </is>
      </c>
      <c r="F144" t="inlineStr">
        <is>
          <t>MID</t>
        </is>
      </c>
      <c r="G144" t="b">
        <v>1</v>
      </c>
      <c r="H144" s="2" t="n">
        <v>6</v>
      </c>
      <c r="I144" t="inlineStr">
        <is>
          <t>a</t>
        </is>
      </c>
      <c r="K144" s="2" t="n">
        <v>1736</v>
      </c>
      <c r="L144" t="n">
        <v>91</v>
      </c>
      <c r="M144" s="3" t="n">
        <v>2782</v>
      </c>
      <c r="N144" s="8" t="n">
        <v>2782</v>
      </c>
      <c r="O144" s="8" t="n">
        <v>0</v>
      </c>
      <c r="Q144" t="inlineStr">
        <is>
          <t>flat</t>
        </is>
      </c>
      <c r="R144" s="6" t="n">
        <v>2782</v>
      </c>
      <c r="S144" t="inlineStr">
        <is>
          <t>Solio</t>
        </is>
      </c>
      <c r="U144" s="6" t="n">
        <v>77.2</v>
      </c>
      <c r="V144" s="2" t="n">
        <v>20</v>
      </c>
      <c r="W144" s="7">
        <f>IF(N(U144)&lt;=0,0,MIN(Assumptions!$B$15,N(R144)/N(U144)))</f>
        <v/>
      </c>
      <c r="X144" s="6" t="n">
        <v>0.252</v>
      </c>
      <c r="Y144" s="3" t="n">
        <v>0.2866</v>
      </c>
      <c r="Z144" t="inlineStr">
        <is>
          <t>adjusted xGOT</t>
        </is>
      </c>
      <c r="AA144" s="3" t="n">
        <v>1</v>
      </c>
      <c r="AB144" s="3" t="n">
        <v>1.119</v>
      </c>
      <c r="AC144" s="3" t="n">
        <v>9.800000000000001</v>
      </c>
      <c r="AD144" s="3" t="n">
        <v>0.1218</v>
      </c>
      <c r="AE144" s="3" t="n">
        <v>6.692</v>
      </c>
      <c r="AF144" s="3" t="n">
        <v>0.01484749484487635</v>
      </c>
      <c r="AG144" s="3" t="n">
        <v>0.1037</v>
      </c>
      <c r="AH144" s="3" t="n">
        <v>47</v>
      </c>
      <c r="AI144" s="3" t="n">
        <v>2.8404</v>
      </c>
      <c r="AJ144" s="3" t="n">
        <v>1.439</v>
      </c>
      <c r="AK144" s="3" t="n">
        <v>-0.1448608691693078</v>
      </c>
      <c r="AL144" s="6" t="n">
        <v>0</v>
      </c>
      <c r="AM144" s="3" t="n">
        <v>0</v>
      </c>
      <c r="AN144" s="3" t="n">
        <v>1.433</v>
      </c>
      <c r="AO144" s="3" t="n">
        <v>0.482328</v>
      </c>
      <c r="AP144" s="3">
        <f>N(X144)*N(BI144)</f>
        <v/>
      </c>
      <c r="AQ144" s="3" t="n">
        <v>0.1037</v>
      </c>
      <c r="AR144" s="3" t="n">
        <v>0</v>
      </c>
      <c r="AS144" s="3" t="n">
        <v>-0</v>
      </c>
      <c r="AT144" s="3" t="n">
        <v>-0.1448608691693078</v>
      </c>
      <c r="AU144" s="3">
        <f>SUM(AN144:AT144)</f>
        <v/>
      </c>
      <c r="AV144" s="7">
        <f>IF(OR(N(W144)&lt;=0,N(BG144)=0),0,N(W144)*IF(N(R144)/N(W144)&gt;=60,N(BG144),1))</f>
        <v/>
      </c>
      <c r="AW144" s="7">
        <f>N(W144)*N(AF144)*N(BH144)</f>
        <v/>
      </c>
      <c r="AX144" s="7">
        <f>N(AL144)*(Assumptions!$B$13*N(BJ144)-(1-Assumptions!$B$13)*Assumptions!$B$14)+N(AM144)</f>
        <v/>
      </c>
      <c r="AY144" s="7">
        <f>N(AU144)*N(R144)/90+N(AV144)+N(AW144)+N(AX144)</f>
        <v/>
      </c>
      <c r="AZ144" s="3">
        <f>IF(N(R144)&lt;=0,0,(N(AY144)-N(AX144))*90/N(R144))</f>
        <v/>
      </c>
      <c r="BA144" s="7">
        <f>IFERROR(AY144-VLOOKUP($E144,Assumptions!$A$40:$C$43,3,FALSE),"")</f>
        <v/>
      </c>
      <c r="BB144" s="3">
        <f>IFERROR(BA144/H144,"")</f>
        <v/>
      </c>
      <c r="BC144">
        <f>IF(AND($G144=TRUE,$E144="GKP"),AY144,"")</f>
        <v/>
      </c>
      <c r="BD144">
        <f>IF(AND($G144=TRUE,$E144="DEF"),AY144,"")</f>
        <v/>
      </c>
      <c r="BE144">
        <f>IF(AND($G144=TRUE,$E144="MID"),AY144,"")</f>
        <v/>
      </c>
      <c r="BF144">
        <f>IF(AND($G144=TRUE,$E144="FWD"),AY144,"")</f>
        <v/>
      </c>
      <c r="BG144" t="n">
        <v>2</v>
      </c>
      <c r="BH144" t="n">
        <v>2</v>
      </c>
      <c r="BI144" t="n">
        <v>1</v>
      </c>
      <c r="BJ144" t="n">
        <v>5</v>
      </c>
    </row>
    <row r="145">
      <c r="A145" t="inlineStr">
        <is>
          <t>Cristian Romero</t>
        </is>
      </c>
      <c r="B145" t="inlineStr">
        <is>
          <t>TOT</t>
        </is>
      </c>
      <c r="C145" t="inlineStr">
        <is>
          <t>TOT</t>
        </is>
      </c>
      <c r="D145" t="b">
        <v>0</v>
      </c>
      <c r="E145" t="inlineStr">
        <is>
          <t>DEF</t>
        </is>
      </c>
      <c r="F145" t="inlineStr">
        <is>
          <t>DEF</t>
        </is>
      </c>
      <c r="G145" t="b">
        <v>1</v>
      </c>
      <c r="H145" s="2" t="n">
        <v>5</v>
      </c>
      <c r="I145" t="inlineStr">
        <is>
          <t>a</t>
        </is>
      </c>
      <c r="K145" s="2" t="n">
        <v>1869</v>
      </c>
      <c r="L145" t="n">
        <v>91</v>
      </c>
      <c r="M145" s="3" t="n">
        <v>5</v>
      </c>
      <c r="N145" s="4" t="n">
        <v>0</v>
      </c>
      <c r="O145" s="4" t="n">
        <v>-5</v>
      </c>
      <c r="P145" s="5" t="inlineStr">
        <is>
          <t>high</t>
        </is>
      </c>
      <c r="Q145" t="inlineStr">
        <is>
          <t>flat</t>
        </is>
      </c>
      <c r="R145" s="6" t="n">
        <v>0</v>
      </c>
      <c r="S145" t="inlineStr">
        <is>
          <t>research</t>
        </is>
      </c>
      <c r="T145" s="5" t="inlineStr">
        <is>
          <t>Sold to Atletico Madrid for GBP 34.2m on 15 August 2026. Solio had effectively already written him off at 5 minutes; corrected to zero for completeness.</t>
        </is>
      </c>
      <c r="U145" s="6" t="n">
        <v>85.90000000000001</v>
      </c>
      <c r="V145" s="2" t="n">
        <v>20</v>
      </c>
      <c r="W145" s="7">
        <f>IF(N(U145)&lt;=0,0,MIN(Assumptions!$B$15,N(R145)/N(U145)))</f>
        <v/>
      </c>
      <c r="X145" s="6" t="n">
        <v>0.286</v>
      </c>
      <c r="Y145" s="3" t="n">
        <v>0.0701</v>
      </c>
      <c r="Z145" t="inlineStr">
        <is>
          <t>adjusted xGOT</t>
        </is>
      </c>
      <c r="AA145" s="3" t="n">
        <v>1</v>
      </c>
      <c r="AB145" s="3" t="n">
        <v>1.047</v>
      </c>
      <c r="AC145" s="3" t="n">
        <v>7.7</v>
      </c>
      <c r="AD145" s="3" t="n">
        <v>0.0738</v>
      </c>
      <c r="AE145" s="3" t="n">
        <v>8.984999999999999</v>
      </c>
      <c r="AF145" s="3" t="n">
        <v>0.3568759754485757</v>
      </c>
      <c r="AG145" s="3" t="n">
        <v>0.4815</v>
      </c>
      <c r="AH145" s="3" t="n">
        <v>43</v>
      </c>
      <c r="AI145" s="3" t="n">
        <v>2.5739</v>
      </c>
      <c r="AJ145" s="3" t="n">
        <v>1.3096</v>
      </c>
      <c r="AK145" s="3" t="n">
        <v>-0.303303089842538</v>
      </c>
      <c r="AL145" s="6" t="n">
        <v>0</v>
      </c>
      <c r="AM145" s="3" t="n">
        <v>0</v>
      </c>
      <c r="AN145" s="3" t="n">
        <v>0.4206</v>
      </c>
      <c r="AO145" s="3" t="n">
        <v>0.292248</v>
      </c>
      <c r="AP145" s="3">
        <f>N(X145)*N(BI145)</f>
        <v/>
      </c>
      <c r="AQ145" s="3" t="n">
        <v>0.4815</v>
      </c>
      <c r="AR145" s="3" t="n">
        <v>0</v>
      </c>
      <c r="AS145" s="3" t="n">
        <v>-0.4230152821052008</v>
      </c>
      <c r="AT145" s="3" t="n">
        <v>-0.303303089842538</v>
      </c>
      <c r="AU145" s="3">
        <f>SUM(AN145:AT145)</f>
        <v/>
      </c>
      <c r="AV145" s="7">
        <f>IF(OR(N(W145)&lt;=0,N(BG145)=0),0,N(W145)*IF(N(R145)/N(W145)&gt;=60,N(BG145),1))</f>
        <v/>
      </c>
      <c r="AW145" s="7">
        <f>N(W145)*N(AF145)*N(BH145)</f>
        <v/>
      </c>
      <c r="AX145" s="7">
        <f>N(AL145)*(Assumptions!$B$13*N(BJ145)-(1-Assumptions!$B$13)*Assumptions!$B$14)+N(AM145)</f>
        <v/>
      </c>
      <c r="AY145" s="7">
        <f>N(AU145)*N(R145)/90+N(AV145)+N(AW145)+N(AX145)</f>
        <v/>
      </c>
      <c r="AZ145" s="3">
        <f>IF(N(R145)&lt;=0,0,(N(AY145)-N(AX145))*90/N(R145))</f>
        <v/>
      </c>
      <c r="BA145" s="7">
        <f>IFERROR(AY145-VLOOKUP($E145,Assumptions!$A$40:$C$43,3,FALSE),"")</f>
        <v/>
      </c>
      <c r="BB145" s="3">
        <f>IFERROR(BA145/H145,"")</f>
        <v/>
      </c>
      <c r="BC145">
        <f>IF(AND($G145=TRUE,$E145="GKP"),AY145,"")</f>
        <v/>
      </c>
      <c r="BD145">
        <f>IF(AND($G145=TRUE,$E145="DEF"),AY145,"")</f>
        <v/>
      </c>
      <c r="BE145">
        <f>IF(AND($G145=TRUE,$E145="MID"),AY145,"")</f>
        <v/>
      </c>
      <c r="BF145">
        <f>IF(AND($G145=TRUE,$E145="FWD"),AY145,"")</f>
        <v/>
      </c>
      <c r="BG145" t="n">
        <v>2</v>
      </c>
      <c r="BH145" t="n">
        <v>2</v>
      </c>
      <c r="BI145" t="n">
        <v>4</v>
      </c>
      <c r="BJ145" t="n">
        <v>6</v>
      </c>
    </row>
    <row r="146">
      <c r="A146" t="inlineStr">
        <is>
          <t>Sander Berge</t>
        </is>
      </c>
      <c r="B146" t="inlineStr">
        <is>
          <t>FUL</t>
        </is>
      </c>
      <c r="C146" t="inlineStr">
        <is>
          <t>FUL</t>
        </is>
      </c>
      <c r="D146" t="b">
        <v>0</v>
      </c>
      <c r="E146" t="inlineStr">
        <is>
          <t>MID</t>
        </is>
      </c>
      <c r="F146" t="inlineStr">
        <is>
          <t>MID</t>
        </is>
      </c>
      <c r="G146" t="b">
        <v>1</v>
      </c>
      <c r="H146" s="2" t="n">
        <v>5</v>
      </c>
      <c r="I146" t="inlineStr">
        <is>
          <t>a</t>
        </is>
      </c>
      <c r="K146" s="2" t="n">
        <v>2904</v>
      </c>
      <c r="L146" t="n">
        <v>91</v>
      </c>
      <c r="M146" s="3" t="n">
        <v>2337</v>
      </c>
      <c r="N146" s="8" t="n">
        <v>2337</v>
      </c>
      <c r="O146" s="8" t="n">
        <v>0</v>
      </c>
      <c r="Q146" t="inlineStr">
        <is>
          <t>flat</t>
        </is>
      </c>
      <c r="R146" s="6" t="n">
        <v>2337</v>
      </c>
      <c r="S146" t="inlineStr">
        <is>
          <t>Solio</t>
        </is>
      </c>
      <c r="U146" s="6" t="n">
        <v>83.8</v>
      </c>
      <c r="V146" s="2" t="n">
        <v>34</v>
      </c>
      <c r="W146" s="7">
        <f>IF(N(U146)&lt;=0,0,MIN(Assumptions!$B$15,N(R146)/N(U146)))</f>
        <v/>
      </c>
      <c r="X146" s="6" t="n">
        <v>0.214</v>
      </c>
      <c r="Y146" s="3" t="n">
        <v>0.0373</v>
      </c>
      <c r="Z146" t="inlineStr">
        <is>
          <t>adjusted xGOT</t>
        </is>
      </c>
      <c r="AA146" s="3" t="n">
        <v>1</v>
      </c>
      <c r="AB146" s="3" t="n">
        <v>0.781</v>
      </c>
      <c r="AC146" s="3" t="n">
        <v>4</v>
      </c>
      <c r="AD146" s="3" t="n">
        <v>0.054</v>
      </c>
      <c r="AE146" s="3" t="n">
        <v>8.657999999999999</v>
      </c>
      <c r="AF146" s="3" t="n">
        <v>0.1164192334050407</v>
      </c>
      <c r="AG146" s="3" t="n">
        <v>0.093</v>
      </c>
      <c r="AH146" s="3" t="n">
        <v>68</v>
      </c>
      <c r="AI146" s="3" t="n">
        <v>3.22</v>
      </c>
      <c r="AJ146" s="3" t="n">
        <v>1.6019</v>
      </c>
      <c r="AK146" s="3" t="n">
        <v>-0.2128060229925173</v>
      </c>
      <c r="AL146" s="6" t="n">
        <v>0</v>
      </c>
      <c r="AM146" s="3" t="n">
        <v>0</v>
      </c>
      <c r="AN146" s="3" t="n">
        <v>0.1865</v>
      </c>
      <c r="AO146" s="3" t="n">
        <v>0.21384</v>
      </c>
      <c r="AP146" s="3">
        <f>N(X146)*N(BI146)</f>
        <v/>
      </c>
      <c r="AQ146" s="3" t="n">
        <v>0.093</v>
      </c>
      <c r="AR146" s="3" t="n">
        <v>0</v>
      </c>
      <c r="AS146" s="3" t="n">
        <v>-0</v>
      </c>
      <c r="AT146" s="3" t="n">
        <v>-0.2128060229925173</v>
      </c>
      <c r="AU146" s="3">
        <f>SUM(AN146:AT146)</f>
        <v/>
      </c>
      <c r="AV146" s="7">
        <f>IF(OR(N(W146)&lt;=0,N(BG146)=0),0,N(W146)*IF(N(R146)/N(W146)&gt;=60,N(BG146),1))</f>
        <v/>
      </c>
      <c r="AW146" s="7">
        <f>N(W146)*N(AF146)*N(BH146)</f>
        <v/>
      </c>
      <c r="AX146" s="7">
        <f>N(AL146)*(Assumptions!$B$13*N(BJ146)-(1-Assumptions!$B$13)*Assumptions!$B$14)+N(AM146)</f>
        <v/>
      </c>
      <c r="AY146" s="7">
        <f>N(AU146)*N(R146)/90+N(AV146)+N(AW146)+N(AX146)</f>
        <v/>
      </c>
      <c r="AZ146" s="3">
        <f>IF(N(R146)&lt;=0,0,(N(AY146)-N(AX146))*90/N(R146))</f>
        <v/>
      </c>
      <c r="BA146" s="7">
        <f>IFERROR(AY146-VLOOKUP($E146,Assumptions!$A$40:$C$43,3,FALSE),"")</f>
        <v/>
      </c>
      <c r="BB146" s="3">
        <f>IFERROR(BA146/H146,"")</f>
        <v/>
      </c>
      <c r="BC146">
        <f>IF(AND($G146=TRUE,$E146="GKP"),AY146,"")</f>
        <v/>
      </c>
      <c r="BD146">
        <f>IF(AND($G146=TRUE,$E146="DEF"),AY146,"")</f>
        <v/>
      </c>
      <c r="BE146">
        <f>IF(AND($G146=TRUE,$E146="MID"),AY146,"")</f>
        <v/>
      </c>
      <c r="BF146">
        <f>IF(AND($G146=TRUE,$E146="FWD"),AY146,"")</f>
        <v/>
      </c>
      <c r="BG146" t="n">
        <v>2</v>
      </c>
      <c r="BH146" t="n">
        <v>2</v>
      </c>
      <c r="BI146" t="n">
        <v>1</v>
      </c>
      <c r="BJ146" t="n">
        <v>5</v>
      </c>
    </row>
    <row r="147">
      <c r="A147" t="inlineStr">
        <is>
          <t>Amad Diallo</t>
        </is>
      </c>
      <c r="B147" t="inlineStr">
        <is>
          <t>MUN</t>
        </is>
      </c>
      <c r="C147" t="inlineStr">
        <is>
          <t>MUN</t>
        </is>
      </c>
      <c r="D147" t="b">
        <v>0</v>
      </c>
      <c r="E147" t="inlineStr">
        <is>
          <t>MID</t>
        </is>
      </c>
      <c r="F147" t="inlineStr">
        <is>
          <t>MID</t>
        </is>
      </c>
      <c r="G147" t="b">
        <v>1</v>
      </c>
      <c r="H147" s="2" t="n">
        <v>6</v>
      </c>
      <c r="I147" t="inlineStr">
        <is>
          <t>a</t>
        </is>
      </c>
      <c r="K147" s="2" t="n">
        <v>2339</v>
      </c>
      <c r="L147" t="n">
        <v>91</v>
      </c>
      <c r="M147" s="3" t="n">
        <v>1653</v>
      </c>
      <c r="N147" s="4" t="n">
        <v>2100</v>
      </c>
      <c r="O147" s="4" t="n">
        <v>447</v>
      </c>
      <c r="P147" s="5" t="inlineStr">
        <is>
          <t>medium</t>
        </is>
      </c>
      <c r="Q147" t="inlineStr">
        <is>
          <t>fade (losing his place)</t>
        </is>
      </c>
      <c r="R147" s="6" t="n">
        <v>2100</v>
      </c>
      <c r="S147" t="inlineStr">
        <is>
          <t>research</t>
        </is>
      </c>
      <c r="T147" s="5" t="inlineStr">
        <is>
          <t>The 'fade (losing his place)' flag is stale. Amad played 1,140 minutes across 17 appearances with 13 starts under Carrick after January, started all three of the friendlies he was available for, and is named among the eight virtually locked in for the opener. MEN rated him 7/10 and The Sun said he has got better with each of his three starts. United have told the hierarchy he is not for sale and rejected approaches; he is contracted to 2030. He is on 2,100 rather than higher because Mbeumo can also play right wing.</t>
        </is>
      </c>
      <c r="U147" s="6" t="n">
        <v>81.59999999999999</v>
      </c>
      <c r="V147" s="2" t="n">
        <v>27</v>
      </c>
      <c r="W147" s="7">
        <f>IF(N(U147)&lt;=0,0,MIN(Assumptions!$B$15,N(R147)/N(U147)))</f>
        <v/>
      </c>
      <c r="X147" s="6" t="n">
        <v>0.334</v>
      </c>
      <c r="Y147" s="3" t="n">
        <v>0.2011</v>
      </c>
      <c r="Z147" t="inlineStr">
        <is>
          <t>adjusted xGOT</t>
        </is>
      </c>
      <c r="AA147" s="3" t="n">
        <v>1</v>
      </c>
      <c r="AB147" s="3" t="n">
        <v>0.957</v>
      </c>
      <c r="AC147" s="3" t="n">
        <v>10.7</v>
      </c>
      <c r="AD147" s="3" t="n">
        <v>0.1998</v>
      </c>
      <c r="AE147" s="3" t="n">
        <v>7.844</v>
      </c>
      <c r="AF147" s="3" t="n">
        <v>0.05856659753239657</v>
      </c>
      <c r="AG147" s="3" t="n">
        <v>0.2309</v>
      </c>
      <c r="AH147" s="3" t="n">
        <v>55</v>
      </c>
      <c r="AI147" s="3" t="n">
        <v>2.2165</v>
      </c>
      <c r="AJ147" s="3" t="n">
        <v>1.1467</v>
      </c>
      <c r="AK147" s="3" t="n">
        <v>-0.169075376276899</v>
      </c>
      <c r="AL147" s="6" t="n">
        <v>0</v>
      </c>
      <c r="AM147" s="3" t="n">
        <v>0</v>
      </c>
      <c r="AN147" s="3" t="n">
        <v>1.0055</v>
      </c>
      <c r="AO147" s="3" t="n">
        <v>0.7912080000000001</v>
      </c>
      <c r="AP147" s="3">
        <f>N(X147)*N(BI147)</f>
        <v/>
      </c>
      <c r="AQ147" s="3" t="n">
        <v>0.2309</v>
      </c>
      <c r="AR147" s="3" t="n">
        <v>0</v>
      </c>
      <c r="AS147" s="3" t="n">
        <v>-0</v>
      </c>
      <c r="AT147" s="3" t="n">
        <v>-0.169075376276899</v>
      </c>
      <c r="AU147" s="3">
        <f>SUM(AN147:AT147)</f>
        <v/>
      </c>
      <c r="AV147" s="7">
        <f>IF(OR(N(W147)&lt;=0,N(BG147)=0),0,N(W147)*IF(N(R147)/N(W147)&gt;=60,N(BG147),1))</f>
        <v/>
      </c>
      <c r="AW147" s="7">
        <f>N(W147)*N(AF147)*N(BH147)</f>
        <v/>
      </c>
      <c r="AX147" s="7">
        <f>N(AL147)*(Assumptions!$B$13*N(BJ147)-(1-Assumptions!$B$13)*Assumptions!$B$14)+N(AM147)</f>
        <v/>
      </c>
      <c r="AY147" s="7">
        <f>N(AU147)*N(R147)/90+N(AV147)+N(AW147)+N(AX147)</f>
        <v/>
      </c>
      <c r="AZ147" s="3">
        <f>IF(N(R147)&lt;=0,0,(N(AY147)-N(AX147))*90/N(R147))</f>
        <v/>
      </c>
      <c r="BA147" s="7">
        <f>IFERROR(AY147-VLOOKUP($E147,Assumptions!$A$40:$C$43,3,FALSE),"")</f>
        <v/>
      </c>
      <c r="BB147" s="3">
        <f>IFERROR(BA147/H147,"")</f>
        <v/>
      </c>
      <c r="BC147">
        <f>IF(AND($G147=TRUE,$E147="GKP"),AY147,"")</f>
        <v/>
      </c>
      <c r="BD147">
        <f>IF(AND($G147=TRUE,$E147="DEF"),AY147,"")</f>
        <v/>
      </c>
      <c r="BE147">
        <f>IF(AND($G147=TRUE,$E147="MID"),AY147,"")</f>
        <v/>
      </c>
      <c r="BF147">
        <f>IF(AND($G147=TRUE,$E147="FWD"),AY147,"")</f>
        <v/>
      </c>
      <c r="BG147" t="n">
        <v>2</v>
      </c>
      <c r="BH147" t="n">
        <v>2</v>
      </c>
      <c r="BI147" t="n">
        <v>1</v>
      </c>
      <c r="BJ147" t="n">
        <v>5</v>
      </c>
    </row>
    <row r="148">
      <c r="A148" t="inlineStr">
        <is>
          <t>Alisson Becker</t>
        </is>
      </c>
      <c r="B148" t="inlineStr">
        <is>
          <t>LIV</t>
        </is>
      </c>
      <c r="C148" t="inlineStr">
        <is>
          <t>LIV</t>
        </is>
      </c>
      <c r="D148" t="b">
        <v>0</v>
      </c>
      <c r="E148" t="inlineStr">
        <is>
          <t>GKP</t>
        </is>
      </c>
      <c r="F148" t="inlineStr">
        <is>
          <t>GKP</t>
        </is>
      </c>
      <c r="G148" t="b">
        <v>1</v>
      </c>
      <c r="H148" s="2" t="n">
        <v>5.5</v>
      </c>
      <c r="I148" t="inlineStr">
        <is>
          <t>a</t>
        </is>
      </c>
      <c r="K148" s="2" t="n">
        <v>2340</v>
      </c>
      <c r="L148" t="n">
        <v>91</v>
      </c>
      <c r="M148" s="3" t="n">
        <v>3385</v>
      </c>
      <c r="N148" s="8" t="n">
        <v>3385</v>
      </c>
      <c r="O148" s="8" t="n">
        <v>0</v>
      </c>
      <c r="Q148" t="inlineStr">
        <is>
          <t>flat</t>
        </is>
      </c>
      <c r="R148" s="6" t="n">
        <v>3385</v>
      </c>
      <c r="S148" t="inlineStr">
        <is>
          <t>Solio</t>
        </is>
      </c>
      <c r="U148" s="6" t="n">
        <v>89.90000000000001</v>
      </c>
      <c r="V148" s="2" t="n">
        <v>26</v>
      </c>
      <c r="W148" s="7">
        <f>IF(N(U148)&lt;=0,0,MIN(Assumptions!$B$15,N(R148)/N(U148)))</f>
        <v/>
      </c>
      <c r="X148" s="6" t="n">
        <v>0.342</v>
      </c>
      <c r="Y148" s="3" t="n">
        <v>0</v>
      </c>
      <c r="Z148" t="inlineStr">
        <is>
          <t>blended xG</t>
        </is>
      </c>
      <c r="AA148" s="3" t="n">
        <v>1</v>
      </c>
      <c r="AB148" s="3" t="n">
        <v>1</v>
      </c>
      <c r="AC148" s="3" t="n">
        <v>0</v>
      </c>
      <c r="AD148" s="3" t="n">
        <v>0.0005999999999999999</v>
      </c>
      <c r="AE148" s="3" t="n">
        <v>0</v>
      </c>
      <c r="AF148" s="3" t="n">
        <v>0</v>
      </c>
      <c r="AG148" s="3" t="n">
        <v>0.3077</v>
      </c>
      <c r="AH148" s="3" t="n">
        <v>52</v>
      </c>
      <c r="AI148" s="3" t="n">
        <v>2.409</v>
      </c>
      <c r="AJ148" s="3" t="n">
        <v>1.1228</v>
      </c>
      <c r="AK148" s="3" t="n">
        <v>-0.03977102677674</v>
      </c>
      <c r="AL148" s="6" t="n">
        <v>0</v>
      </c>
      <c r="AM148" s="3" t="n">
        <v>2.372410619817758</v>
      </c>
      <c r="AN148" s="3" t="n">
        <v>0</v>
      </c>
      <c r="AO148" s="3" t="n">
        <v>0.002376</v>
      </c>
      <c r="AP148" s="3">
        <f>N(X148)*N(BI148)</f>
        <v/>
      </c>
      <c r="AQ148" s="3" t="n">
        <v>0.3077</v>
      </c>
      <c r="AR148" s="3" t="n">
        <v>0.4697511244203511</v>
      </c>
      <c r="AS148" s="3" t="n">
        <v>-0.3378660007281162</v>
      </c>
      <c r="AT148" s="3" t="n">
        <v>-0.03977102677674</v>
      </c>
      <c r="AU148" s="3">
        <f>SUM(AN148:AT148)</f>
        <v/>
      </c>
      <c r="AV148" s="7">
        <f>IF(OR(N(W148)&lt;=0,N(BG148)=0),0,N(W148)*IF(N(R148)/N(W148)&gt;=60,N(BG148),1))</f>
        <v/>
      </c>
      <c r="AW148" s="7">
        <f>N(W148)*N(AF148)*N(BH148)</f>
        <v/>
      </c>
      <c r="AX148" s="7">
        <f>N(AL148)*(Assumptions!$B$13*N(BJ148)-(1-Assumptions!$B$13)*Assumptions!$B$14)+N(AM148)</f>
        <v/>
      </c>
      <c r="AY148" s="7">
        <f>N(AU148)*N(R148)/90+N(AV148)+N(AW148)+N(AX148)</f>
        <v/>
      </c>
      <c r="AZ148" s="3">
        <f>IF(N(R148)&lt;=0,0,(N(AY148)-N(AX148))*90/N(R148))</f>
        <v/>
      </c>
      <c r="BA148" s="7">
        <f>IFERROR(AY148-VLOOKUP($E148,Assumptions!$A$40:$C$43,3,FALSE),"")</f>
        <v/>
      </c>
      <c r="BB148" s="3">
        <f>IFERROR(BA148/H148,"")</f>
        <v/>
      </c>
      <c r="BC148">
        <f>IF(AND($G148=TRUE,$E148="GKP"),AY148,"")</f>
        <v/>
      </c>
      <c r="BD148">
        <f>IF(AND($G148=TRUE,$E148="DEF"),AY148,"")</f>
        <v/>
      </c>
      <c r="BE148">
        <f>IF(AND($G148=TRUE,$E148="MID"),AY148,"")</f>
        <v/>
      </c>
      <c r="BF148">
        <f>IF(AND($G148=TRUE,$E148="FWD"),AY148,"")</f>
        <v/>
      </c>
      <c r="BG148" t="n">
        <v>2</v>
      </c>
      <c r="BH148" t="n">
        <v>0</v>
      </c>
      <c r="BI148" t="n">
        <v>4</v>
      </c>
      <c r="BJ148" t="n">
        <v>10</v>
      </c>
    </row>
    <row r="149">
      <c r="A149" t="inlineStr">
        <is>
          <t>Guglielmo Vicario</t>
        </is>
      </c>
      <c r="B149" t="inlineStr">
        <is>
          <t>TOT</t>
        </is>
      </c>
      <c r="C149" t="inlineStr">
        <is>
          <t>TOT</t>
        </is>
      </c>
      <c r="D149" t="b">
        <v>0</v>
      </c>
      <c r="E149" t="inlineStr">
        <is>
          <t>GKP</t>
        </is>
      </c>
      <c r="F149" t="inlineStr">
        <is>
          <t>GKP</t>
        </is>
      </c>
      <c r="G149" t="b">
        <v>1</v>
      </c>
      <c r="H149" s="2" t="n">
        <v>4.5</v>
      </c>
      <c r="I149" t="inlineStr">
        <is>
          <t>a</t>
        </is>
      </c>
      <c r="K149" s="2" t="n">
        <v>2790</v>
      </c>
      <c r="L149" t="n">
        <v>90</v>
      </c>
      <c r="M149" s="3" t="n">
        <v>0</v>
      </c>
      <c r="N149" s="8" t="n">
        <v>0</v>
      </c>
      <c r="O149" s="8" t="n">
        <v>0</v>
      </c>
      <c r="Q149" t="inlineStr">
        <is>
          <t>flat</t>
        </is>
      </c>
      <c r="R149" s="6" t="n">
        <v>0</v>
      </c>
      <c r="S149" t="inlineStr">
        <is>
          <t>Solio</t>
        </is>
      </c>
      <c r="U149" s="6" t="n">
        <v>90</v>
      </c>
      <c r="V149" s="2" t="n">
        <v>31</v>
      </c>
      <c r="W149" s="7">
        <f>IF(N(U149)&lt;=0,0,MIN(Assumptions!$B$15,N(R149)/N(U149)))</f>
        <v/>
      </c>
      <c r="X149" s="6" t="n">
        <v>0.286</v>
      </c>
      <c r="Y149" s="3" t="n">
        <v>0</v>
      </c>
      <c r="Z149" t="inlineStr">
        <is>
          <t>blended xG</t>
        </is>
      </c>
      <c r="AA149" s="3" t="n">
        <v>1</v>
      </c>
      <c r="AB149" s="3" t="n">
        <v>1</v>
      </c>
      <c r="AC149" s="3" t="n">
        <v>0</v>
      </c>
      <c r="AD149" s="3" t="n">
        <v>0.0018</v>
      </c>
      <c r="AE149" s="3" t="n">
        <v>0</v>
      </c>
      <c r="AF149" s="3" t="n">
        <v>0</v>
      </c>
      <c r="AG149" s="3" t="n">
        <v>0.2258</v>
      </c>
      <c r="AH149" s="3" t="n">
        <v>62</v>
      </c>
      <c r="AI149" s="3" t="n">
        <v>2.5739</v>
      </c>
      <c r="AJ149" s="3" t="n">
        <v>1.3096</v>
      </c>
      <c r="AK149" s="3" t="n">
        <v>-0.0496157705751257</v>
      </c>
      <c r="AL149" s="6" t="n">
        <v>0</v>
      </c>
      <c r="AM149" s="3" t="n">
        <v>0</v>
      </c>
      <c r="AN149" s="3" t="n">
        <v>0</v>
      </c>
      <c r="AO149" s="3" t="n">
        <v>0.007128000000000001</v>
      </c>
      <c r="AP149" s="3">
        <f>N(X149)*N(BI149)</f>
        <v/>
      </c>
      <c r="AQ149" s="3" t="n">
        <v>0.2258</v>
      </c>
      <c r="AR149" s="3" t="n">
        <v>0.5235455255089686</v>
      </c>
      <c r="AS149" s="3" t="n">
        <v>-0.4230152821052008</v>
      </c>
      <c r="AT149" s="3" t="n">
        <v>-0.0496157705751257</v>
      </c>
      <c r="AU149" s="3">
        <f>SUM(AN149:AT149)</f>
        <v/>
      </c>
      <c r="AV149" s="7">
        <f>IF(OR(N(W149)&lt;=0,N(BG149)=0),0,N(W149)*IF(N(R149)/N(W149)&gt;=60,N(BG149),1))</f>
        <v/>
      </c>
      <c r="AW149" s="7">
        <f>N(W149)*N(AF149)*N(BH149)</f>
        <v/>
      </c>
      <c r="AX149" s="7">
        <f>N(AL149)*(Assumptions!$B$13*N(BJ149)-(1-Assumptions!$B$13)*Assumptions!$B$14)+N(AM149)</f>
        <v/>
      </c>
      <c r="AY149" s="7">
        <f>N(AU149)*N(R149)/90+N(AV149)+N(AW149)+N(AX149)</f>
        <v/>
      </c>
      <c r="AZ149" s="3">
        <f>IF(N(R149)&lt;=0,0,(N(AY149)-N(AX149))*90/N(R149))</f>
        <v/>
      </c>
      <c r="BA149" s="7">
        <f>IFERROR(AY149-VLOOKUP($E149,Assumptions!$A$40:$C$43,3,FALSE),"")</f>
        <v/>
      </c>
      <c r="BB149" s="3">
        <f>IFERROR(BA149/H149,"")</f>
        <v/>
      </c>
      <c r="BC149">
        <f>IF(AND($G149=TRUE,$E149="GKP"),AY149,"")</f>
        <v/>
      </c>
      <c r="BD149">
        <f>IF(AND($G149=TRUE,$E149="DEF"),AY149,"")</f>
        <v/>
      </c>
      <c r="BE149">
        <f>IF(AND($G149=TRUE,$E149="MID"),AY149,"")</f>
        <v/>
      </c>
      <c r="BF149">
        <f>IF(AND($G149=TRUE,$E149="FWD"),AY149,"")</f>
        <v/>
      </c>
      <c r="BG149" t="n">
        <v>2</v>
      </c>
      <c r="BH149" t="n">
        <v>0</v>
      </c>
      <c r="BI149" t="n">
        <v>4</v>
      </c>
      <c r="BJ149" t="n">
        <v>10</v>
      </c>
    </row>
    <row r="150">
      <c r="A150" t="inlineStr">
        <is>
          <t>Harry Maguire</t>
        </is>
      </c>
      <c r="B150" t="inlineStr">
        <is>
          <t>MUN</t>
        </is>
      </c>
      <c r="C150" t="inlineStr">
        <is>
          <t>MUN</t>
        </is>
      </c>
      <c r="D150" t="b">
        <v>0</v>
      </c>
      <c r="E150" t="inlineStr">
        <is>
          <t>DEF</t>
        </is>
      </c>
      <c r="F150" t="inlineStr">
        <is>
          <t>DEF</t>
        </is>
      </c>
      <c r="G150" t="b">
        <v>1</v>
      </c>
      <c r="H150" s="2" t="n">
        <v>5</v>
      </c>
      <c r="I150" t="inlineStr">
        <is>
          <t>a</t>
        </is>
      </c>
      <c r="K150" s="2" t="n">
        <v>1649</v>
      </c>
      <c r="L150" t="n">
        <v>90</v>
      </c>
      <c r="M150" s="3" t="n">
        <v>1972</v>
      </c>
      <c r="N150" s="4" t="n">
        <v>2300</v>
      </c>
      <c r="O150" s="4" t="n">
        <v>328</v>
      </c>
      <c r="P150" s="5" t="inlineStr">
        <is>
          <t>medium</t>
        </is>
      </c>
      <c r="Q150" t="inlineStr">
        <is>
          <t>flat</t>
        </is>
      </c>
      <c r="R150" s="6" t="n">
        <v>2300</v>
      </c>
      <c r="S150" t="inlineStr">
        <is>
          <t>research</t>
        </is>
      </c>
      <c r="T150" s="5" t="inlineStr">
        <is>
          <t>Named among the eight players virtually locked in for the opener, started both the Leeds and AC Milan friendlies and scored inside two minutes against Milan. With de Ligt out until autumn and Martinez short of fitness, Maguire is the only senior centre-back who is fit and settled. Solio's 1,972 minutes implies barely half a season for the man leading the back line.</t>
        </is>
      </c>
      <c r="U150" s="6" t="n">
        <v>85</v>
      </c>
      <c r="V150" s="2" t="n">
        <v>18</v>
      </c>
      <c r="W150" s="7">
        <f>IF(N(U150)&lt;=0,0,MIN(Assumptions!$B$15,N(R150)/N(U150)))</f>
        <v/>
      </c>
      <c r="X150" s="6" t="n">
        <v>0.334</v>
      </c>
      <c r="Y150" s="3" t="n">
        <v>0.0541</v>
      </c>
      <c r="Z150" t="inlineStr">
        <is>
          <t>adjusted xGOT</t>
        </is>
      </c>
      <c r="AA150" s="3" t="n">
        <v>1</v>
      </c>
      <c r="AB150" s="3" t="n">
        <v>0.885</v>
      </c>
      <c r="AC150" s="3" t="n">
        <v>5.2</v>
      </c>
      <c r="AD150" s="3" t="n">
        <v>0.0334</v>
      </c>
      <c r="AE150" s="3" t="n">
        <v>8.071999999999999</v>
      </c>
      <c r="AF150" s="3" t="n">
        <v>0.2379024844029314</v>
      </c>
      <c r="AG150" s="3" t="n">
        <v>0.2183</v>
      </c>
      <c r="AH150" s="3" t="n">
        <v>42</v>
      </c>
      <c r="AI150" s="3" t="n">
        <v>2.2165</v>
      </c>
      <c r="AJ150" s="3" t="n">
        <v>1.1467</v>
      </c>
      <c r="AK150" s="3" t="n">
        <v>-0.2337138364565698</v>
      </c>
      <c r="AL150" s="6" t="n">
        <v>0</v>
      </c>
      <c r="AM150" s="3" t="n">
        <v>0</v>
      </c>
      <c r="AN150" s="3" t="n">
        <v>0.3246</v>
      </c>
      <c r="AO150" s="3" t="n">
        <v>0.132264</v>
      </c>
      <c r="AP150" s="3">
        <f>N(X150)*N(BI150)</f>
        <v/>
      </c>
      <c r="AQ150" s="3" t="n">
        <v>0.2183</v>
      </c>
      <c r="AR150" s="3" t="n">
        <v>0</v>
      </c>
      <c r="AS150" s="3" t="n">
        <v>-0.348580685135232</v>
      </c>
      <c r="AT150" s="3" t="n">
        <v>-0.2337138364565698</v>
      </c>
      <c r="AU150" s="3">
        <f>SUM(AN150:AT150)</f>
        <v/>
      </c>
      <c r="AV150" s="7">
        <f>IF(OR(N(W150)&lt;=0,N(BG150)=0),0,N(W150)*IF(N(R150)/N(W150)&gt;=60,N(BG150),1))</f>
        <v/>
      </c>
      <c r="AW150" s="7">
        <f>N(W150)*N(AF150)*N(BH150)</f>
        <v/>
      </c>
      <c r="AX150" s="7">
        <f>N(AL150)*(Assumptions!$B$13*N(BJ150)-(1-Assumptions!$B$13)*Assumptions!$B$14)+N(AM150)</f>
        <v/>
      </c>
      <c r="AY150" s="7">
        <f>N(AU150)*N(R150)/90+N(AV150)+N(AW150)+N(AX150)</f>
        <v/>
      </c>
      <c r="AZ150" s="3">
        <f>IF(N(R150)&lt;=0,0,(N(AY150)-N(AX150))*90/N(R150))</f>
        <v/>
      </c>
      <c r="BA150" s="7">
        <f>IFERROR(AY150-VLOOKUP($E150,Assumptions!$A$40:$C$43,3,FALSE),"")</f>
        <v/>
      </c>
      <c r="BB150" s="3">
        <f>IFERROR(BA150/H150,"")</f>
        <v/>
      </c>
      <c r="BC150">
        <f>IF(AND($G150=TRUE,$E150="GKP"),AY150,"")</f>
        <v/>
      </c>
      <c r="BD150">
        <f>IF(AND($G150=TRUE,$E150="DEF"),AY150,"")</f>
        <v/>
      </c>
      <c r="BE150">
        <f>IF(AND($G150=TRUE,$E150="MID"),AY150,"")</f>
        <v/>
      </c>
      <c r="BF150">
        <f>IF(AND($G150=TRUE,$E150="FWD"),AY150,"")</f>
        <v/>
      </c>
      <c r="BG150" t="n">
        <v>2</v>
      </c>
      <c r="BH150" t="n">
        <v>2</v>
      </c>
      <c r="BI150" t="n">
        <v>4</v>
      </c>
      <c r="BJ150" t="n">
        <v>6</v>
      </c>
    </row>
    <row r="151">
      <c r="A151" t="inlineStr">
        <is>
          <t>Sven Botman</t>
        </is>
      </c>
      <c r="B151" t="inlineStr">
        <is>
          <t>NEW</t>
        </is>
      </c>
      <c r="C151" t="inlineStr">
        <is>
          <t>NEW</t>
        </is>
      </c>
      <c r="D151" t="b">
        <v>0</v>
      </c>
      <c r="E151" t="inlineStr">
        <is>
          <t>DEF</t>
        </is>
      </c>
      <c r="F151" t="inlineStr">
        <is>
          <t>DEF</t>
        </is>
      </c>
      <c r="G151" t="b">
        <v>1</v>
      </c>
      <c r="H151" s="2" t="n">
        <v>5</v>
      </c>
      <c r="I151" t="inlineStr">
        <is>
          <t>a</t>
        </is>
      </c>
      <c r="K151" s="2" t="n">
        <v>1834</v>
      </c>
      <c r="L151" t="n">
        <v>89</v>
      </c>
      <c r="M151" s="3" t="n">
        <v>2440</v>
      </c>
      <c r="N151" s="8" t="n">
        <v>2440</v>
      </c>
      <c r="O151" s="8" t="n">
        <v>0</v>
      </c>
      <c r="Q151" t="inlineStr">
        <is>
          <t>flat</t>
        </is>
      </c>
      <c r="R151" s="6" t="n">
        <v>2440</v>
      </c>
      <c r="S151" t="inlineStr">
        <is>
          <t>Solio</t>
        </is>
      </c>
      <c r="U151" s="6" t="n">
        <v>84.8</v>
      </c>
      <c r="V151" s="2" t="n">
        <v>21</v>
      </c>
      <c r="W151" s="7">
        <f>IF(N(U151)&lt;=0,0,MIN(Assumptions!$B$15,N(R151)/N(U151)))</f>
        <v/>
      </c>
      <c r="X151" s="6" t="n">
        <v>0.248</v>
      </c>
      <c r="Y151" s="3" t="n">
        <v>0.0794</v>
      </c>
      <c r="Z151" t="inlineStr">
        <is>
          <t>adjusted xGOT</t>
        </is>
      </c>
      <c r="AA151" s="3" t="n">
        <v>1</v>
      </c>
      <c r="AB151" s="3" t="n">
        <v>0.9350000000000001</v>
      </c>
      <c r="AC151" s="3" t="n">
        <v>5.7</v>
      </c>
      <c r="AD151" s="3" t="n">
        <v>0.0575</v>
      </c>
      <c r="AE151" s="3" t="n">
        <v>9.778</v>
      </c>
      <c r="AF151" s="3" t="n">
        <v>0.4406388464832017</v>
      </c>
      <c r="AG151" s="3" t="n">
        <v>0.2944</v>
      </c>
      <c r="AH151" s="3" t="n">
        <v>45</v>
      </c>
      <c r="AI151" s="3" t="n">
        <v>3.0912</v>
      </c>
      <c r="AJ151" s="3" t="n">
        <v>1.4534</v>
      </c>
      <c r="AK151" s="3" t="n">
        <v>-0.1612034639024684</v>
      </c>
      <c r="AL151" s="6" t="n">
        <v>0</v>
      </c>
      <c r="AM151" s="3" t="n">
        <v>0</v>
      </c>
      <c r="AN151" s="3" t="n">
        <v>0.4764</v>
      </c>
      <c r="AO151" s="3" t="n">
        <v>0.2277</v>
      </c>
      <c r="AP151" s="3">
        <f>N(X151)*N(BI151)</f>
        <v/>
      </c>
      <c r="AQ151" s="3" t="n">
        <v>0.2944</v>
      </c>
      <c r="AR151" s="3" t="n">
        <v>0</v>
      </c>
      <c r="AS151" s="3" t="n">
        <v>-0.4903625828545308</v>
      </c>
      <c r="AT151" s="3" t="n">
        <v>-0.1612034639024684</v>
      </c>
      <c r="AU151" s="3">
        <f>SUM(AN151:AT151)</f>
        <v/>
      </c>
      <c r="AV151" s="7">
        <f>IF(OR(N(W151)&lt;=0,N(BG151)=0),0,N(W151)*IF(N(R151)/N(W151)&gt;=60,N(BG151),1))</f>
        <v/>
      </c>
      <c r="AW151" s="7">
        <f>N(W151)*N(AF151)*N(BH151)</f>
        <v/>
      </c>
      <c r="AX151" s="7">
        <f>N(AL151)*(Assumptions!$B$13*N(BJ151)-(1-Assumptions!$B$13)*Assumptions!$B$14)+N(AM151)</f>
        <v/>
      </c>
      <c r="AY151" s="7">
        <f>N(AU151)*N(R151)/90+N(AV151)+N(AW151)+N(AX151)</f>
        <v/>
      </c>
      <c r="AZ151" s="3">
        <f>IF(N(R151)&lt;=0,0,(N(AY151)-N(AX151))*90/N(R151))</f>
        <v/>
      </c>
      <c r="BA151" s="7">
        <f>IFERROR(AY151-VLOOKUP($E151,Assumptions!$A$40:$C$43,3,FALSE),"")</f>
        <v/>
      </c>
      <c r="BB151" s="3">
        <f>IFERROR(BA151/H151,"")</f>
        <v/>
      </c>
      <c r="BC151">
        <f>IF(AND($G151=TRUE,$E151="GKP"),AY151,"")</f>
        <v/>
      </c>
      <c r="BD151">
        <f>IF(AND($G151=TRUE,$E151="DEF"),AY151,"")</f>
        <v/>
      </c>
      <c r="BE151">
        <f>IF(AND($G151=TRUE,$E151="MID"),AY151,"")</f>
        <v/>
      </c>
      <c r="BF151">
        <f>IF(AND($G151=TRUE,$E151="FWD"),AY151,"")</f>
        <v/>
      </c>
      <c r="BG151" t="n">
        <v>2</v>
      </c>
      <c r="BH151" t="n">
        <v>2</v>
      </c>
      <c r="BI151" t="n">
        <v>4</v>
      </c>
      <c r="BJ151" t="n">
        <v>6</v>
      </c>
    </row>
    <row r="152">
      <c r="A152" t="inlineStr">
        <is>
          <t>Ibrahim Sangaré</t>
        </is>
      </c>
      <c r="B152" t="inlineStr">
        <is>
          <t>NFO</t>
        </is>
      </c>
      <c r="C152" t="inlineStr">
        <is>
          <t>NFO</t>
        </is>
      </c>
      <c r="D152" t="b">
        <v>0</v>
      </c>
      <c r="E152" t="inlineStr">
        <is>
          <t>MID</t>
        </is>
      </c>
      <c r="F152" t="inlineStr">
        <is>
          <t>MID</t>
        </is>
      </c>
      <c r="G152" t="b">
        <v>1</v>
      </c>
      <c r="H152" s="2" t="n">
        <v>5</v>
      </c>
      <c r="I152" t="inlineStr">
        <is>
          <t>a</t>
        </is>
      </c>
      <c r="K152" s="2" t="n">
        <v>2073</v>
      </c>
      <c r="L152" t="n">
        <v>89</v>
      </c>
      <c r="M152" s="3" t="n">
        <v>2998</v>
      </c>
      <c r="N152" s="4" t="n">
        <v>2840</v>
      </c>
      <c r="O152" s="4" t="n">
        <v>-158</v>
      </c>
      <c r="P152" s="5" t="inlineStr">
        <is>
          <t>medium</t>
        </is>
      </c>
      <c r="Q152" t="inlineStr">
        <is>
          <t>flat</t>
        </is>
      </c>
      <c r="R152" s="6" t="n">
        <v>2840</v>
      </c>
      <c r="S152" t="inlineStr">
        <is>
          <t>research</t>
        </is>
      </c>
      <c r="T152" s="5" t="inlineStr">
        <is>
          <t>The uplift from 2,073 minutes is correctly motivated by Elliot Anderson's sale, but Solio then gives him 88% of a pivot slot that Ryan Yates captained in Glasner's first pre-season match and that Dominguez and McAtee also contest.</t>
        </is>
      </c>
      <c r="U152" s="6" t="n">
        <v>81.09999999999999</v>
      </c>
      <c r="V152" s="2" t="n">
        <v>25</v>
      </c>
      <c r="W152" s="7">
        <f>IF(N(U152)&lt;=0,0,MIN(Assumptions!$B$15,N(R152)/N(U152)))</f>
        <v/>
      </c>
      <c r="X152" s="6" t="n">
        <v>0.224</v>
      </c>
      <c r="Y152" s="3" t="n">
        <v>0.0511</v>
      </c>
      <c r="Z152" t="inlineStr">
        <is>
          <t>adjusted xGOT</t>
        </is>
      </c>
      <c r="AA152" s="3" t="n">
        <v>1</v>
      </c>
      <c r="AB152" s="3" t="n">
        <v>1.015</v>
      </c>
      <c r="AC152" s="3" t="n">
        <v>1.8</v>
      </c>
      <c r="AD152" s="3" t="n">
        <v>0.07049999999999999</v>
      </c>
      <c r="AE152" s="3" t="n">
        <v>10.815</v>
      </c>
      <c r="AF152" s="3" t="n">
        <v>0.2746791347388957</v>
      </c>
      <c r="AG152" s="3" t="n">
        <v>0.0868</v>
      </c>
      <c r="AH152" s="3" t="n">
        <v>50</v>
      </c>
      <c r="AI152" s="3" t="n">
        <v>3.1134</v>
      </c>
      <c r="AJ152" s="3" t="n">
        <v>1.5588</v>
      </c>
      <c r="AK152" s="3" t="n">
        <v>-0.2774393696749703</v>
      </c>
      <c r="AL152" s="6" t="n">
        <v>0</v>
      </c>
      <c r="AM152" s="3" t="n">
        <v>0</v>
      </c>
      <c r="AN152" s="3" t="n">
        <v>0.2555</v>
      </c>
      <c r="AO152" s="3" t="n">
        <v>0.27918</v>
      </c>
      <c r="AP152" s="3">
        <f>N(X152)*N(BI152)</f>
        <v/>
      </c>
      <c r="AQ152" s="3" t="n">
        <v>0.0868</v>
      </c>
      <c r="AR152" s="3" t="n">
        <v>0</v>
      </c>
      <c r="AS152" s="3" t="n">
        <v>-0</v>
      </c>
      <c r="AT152" s="3" t="n">
        <v>-0.2774393696749703</v>
      </c>
      <c r="AU152" s="3">
        <f>SUM(AN152:AT152)</f>
        <v/>
      </c>
      <c r="AV152" s="7">
        <f>IF(OR(N(W152)&lt;=0,N(BG152)=0),0,N(W152)*IF(N(R152)/N(W152)&gt;=60,N(BG152),1))</f>
        <v/>
      </c>
      <c r="AW152" s="7">
        <f>N(W152)*N(AF152)*N(BH152)</f>
        <v/>
      </c>
      <c r="AX152" s="7">
        <f>N(AL152)*(Assumptions!$B$13*N(BJ152)-(1-Assumptions!$B$13)*Assumptions!$B$14)+N(AM152)</f>
        <v/>
      </c>
      <c r="AY152" s="7">
        <f>N(AU152)*N(R152)/90+N(AV152)+N(AW152)+N(AX152)</f>
        <v/>
      </c>
      <c r="AZ152" s="3">
        <f>IF(N(R152)&lt;=0,0,(N(AY152)-N(AX152))*90/N(R152))</f>
        <v/>
      </c>
      <c r="BA152" s="7">
        <f>IFERROR(AY152-VLOOKUP($E152,Assumptions!$A$40:$C$43,3,FALSE),"")</f>
        <v/>
      </c>
      <c r="BB152" s="3">
        <f>IFERROR(BA152/H152,"")</f>
        <v/>
      </c>
      <c r="BC152">
        <f>IF(AND($G152=TRUE,$E152="GKP"),AY152,"")</f>
        <v/>
      </c>
      <c r="BD152">
        <f>IF(AND($G152=TRUE,$E152="DEF"),AY152,"")</f>
        <v/>
      </c>
      <c r="BE152">
        <f>IF(AND($G152=TRUE,$E152="MID"),AY152,"")</f>
        <v/>
      </c>
      <c r="BF152">
        <f>IF(AND($G152=TRUE,$E152="FWD"),AY152,"")</f>
        <v/>
      </c>
      <c r="BG152" t="n">
        <v>2</v>
      </c>
      <c r="BH152" t="n">
        <v>2</v>
      </c>
      <c r="BI152" t="n">
        <v>1</v>
      </c>
      <c r="BJ152" t="n">
        <v>5</v>
      </c>
    </row>
    <row r="153">
      <c r="A153" t="inlineStr">
        <is>
          <t>Callum Hudson-Odoi</t>
        </is>
      </c>
      <c r="B153" t="inlineStr">
        <is>
          <t>NFO</t>
        </is>
      </c>
      <c r="C153" t="inlineStr">
        <is>
          <t>NFO</t>
        </is>
      </c>
      <c r="D153" t="b">
        <v>0</v>
      </c>
      <c r="E153" t="inlineStr">
        <is>
          <t>MID</t>
        </is>
      </c>
      <c r="F153" t="inlineStr">
        <is>
          <t>MID</t>
        </is>
      </c>
      <c r="G153" t="b">
        <v>1</v>
      </c>
      <c r="H153" s="2" t="n">
        <v>6</v>
      </c>
      <c r="I153" t="inlineStr">
        <is>
          <t>a</t>
        </is>
      </c>
      <c r="K153" s="2" t="n">
        <v>1838</v>
      </c>
      <c r="L153" t="n">
        <v>88</v>
      </c>
      <c r="M153" s="3" t="n">
        <v>739</v>
      </c>
      <c r="N153" s="8" t="n">
        <v>739</v>
      </c>
      <c r="O153" s="8" t="n">
        <v>0</v>
      </c>
      <c r="Q153" t="inlineStr">
        <is>
          <t>flat</t>
        </is>
      </c>
      <c r="R153" s="6" t="n">
        <v>739</v>
      </c>
      <c r="S153" t="inlineStr">
        <is>
          <t>Solio</t>
        </is>
      </c>
      <c r="U153" s="6" t="n">
        <v>76.5</v>
      </c>
      <c r="V153" s="2" t="n">
        <v>21</v>
      </c>
      <c r="W153" s="7">
        <f>IF(N(U153)&lt;=0,0,MIN(Assumptions!$B$15,N(R153)/N(U153)))</f>
        <v/>
      </c>
      <c r="X153" s="6" t="n">
        <v>0.224</v>
      </c>
      <c r="Y153" s="3" t="n">
        <v>0.1583</v>
      </c>
      <c r="Z153" t="inlineStr">
        <is>
          <t>adjusted xGOT</t>
        </is>
      </c>
      <c r="AA153" s="3" t="n">
        <v>1</v>
      </c>
      <c r="AB153" s="3" t="n">
        <v>1.167</v>
      </c>
      <c r="AC153" s="3" t="n">
        <v>7.9</v>
      </c>
      <c r="AD153" s="3" t="n">
        <v>0.1703</v>
      </c>
      <c r="AE153" s="3" t="n">
        <v>6.144</v>
      </c>
      <c r="AF153" s="3" t="n">
        <v>0.007546119652821703</v>
      </c>
      <c r="AG153" s="3" t="n">
        <v>0.3917</v>
      </c>
      <c r="AH153" s="3" t="n">
        <v>47</v>
      </c>
      <c r="AI153" s="3" t="n">
        <v>3.1134</v>
      </c>
      <c r="AJ153" s="3" t="n">
        <v>1.5588</v>
      </c>
      <c r="AK153" s="3" t="n">
        <v>-0.0907658396755127</v>
      </c>
      <c r="AL153" s="6" t="n">
        <v>0</v>
      </c>
      <c r="AM153" s="3" t="n">
        <v>0</v>
      </c>
      <c r="AN153" s="3" t="n">
        <v>0.7915</v>
      </c>
      <c r="AO153" s="3" t="n">
        <v>0.6743880000000001</v>
      </c>
      <c r="AP153" s="3">
        <f>N(X153)*N(BI153)</f>
        <v/>
      </c>
      <c r="AQ153" s="3" t="n">
        <v>0.3917</v>
      </c>
      <c r="AR153" s="3" t="n">
        <v>0</v>
      </c>
      <c r="AS153" s="3" t="n">
        <v>-0</v>
      </c>
      <c r="AT153" s="3" t="n">
        <v>-0.0907658396755127</v>
      </c>
      <c r="AU153" s="3">
        <f>SUM(AN153:AT153)</f>
        <v/>
      </c>
      <c r="AV153" s="7">
        <f>IF(OR(N(W153)&lt;=0,N(BG153)=0),0,N(W153)*IF(N(R153)/N(W153)&gt;=60,N(BG153),1))</f>
        <v/>
      </c>
      <c r="AW153" s="7">
        <f>N(W153)*N(AF153)*N(BH153)</f>
        <v/>
      </c>
      <c r="AX153" s="7">
        <f>N(AL153)*(Assumptions!$B$13*N(BJ153)-(1-Assumptions!$B$13)*Assumptions!$B$14)+N(AM153)</f>
        <v/>
      </c>
      <c r="AY153" s="7">
        <f>N(AU153)*N(R153)/90+N(AV153)+N(AW153)+N(AX153)</f>
        <v/>
      </c>
      <c r="AZ153" s="3">
        <f>IF(N(R153)&lt;=0,0,(N(AY153)-N(AX153))*90/N(R153))</f>
        <v/>
      </c>
      <c r="BA153" s="7">
        <f>IFERROR(AY153-VLOOKUP($E153,Assumptions!$A$40:$C$43,3,FALSE),"")</f>
        <v/>
      </c>
      <c r="BB153" s="3">
        <f>IFERROR(BA153/H153,"")</f>
        <v/>
      </c>
      <c r="BC153">
        <f>IF(AND($G153=TRUE,$E153="GKP"),AY153,"")</f>
        <v/>
      </c>
      <c r="BD153">
        <f>IF(AND($G153=TRUE,$E153="DEF"),AY153,"")</f>
        <v/>
      </c>
      <c r="BE153">
        <f>IF(AND($G153=TRUE,$E153="MID"),AY153,"")</f>
        <v/>
      </c>
      <c r="BF153">
        <f>IF(AND($G153=TRUE,$E153="FWD"),AY153,"")</f>
        <v/>
      </c>
      <c r="BG153" t="n">
        <v>2</v>
      </c>
      <c r="BH153" t="n">
        <v>2</v>
      </c>
      <c r="BI153" t="n">
        <v>1</v>
      </c>
      <c r="BJ153" t="n">
        <v>5</v>
      </c>
    </row>
    <row r="154">
      <c r="A154" t="inlineStr">
        <is>
          <t>Georginio Rutter</t>
        </is>
      </c>
      <c r="B154" t="inlineStr">
        <is>
          <t>BHA</t>
        </is>
      </c>
      <c r="C154" t="inlineStr">
        <is>
          <t>BHA</t>
        </is>
      </c>
      <c r="D154" t="b">
        <v>0</v>
      </c>
      <c r="E154" t="inlineStr">
        <is>
          <t>FWD</t>
        </is>
      </c>
      <c r="F154" t="inlineStr">
        <is>
          <t>MID</t>
        </is>
      </c>
      <c r="G154" t="b">
        <v>1</v>
      </c>
      <c r="H154" s="2" t="n">
        <v>5.5</v>
      </c>
      <c r="I154" t="inlineStr">
        <is>
          <t>a</t>
        </is>
      </c>
      <c r="K154" s="2" t="n">
        <v>1776</v>
      </c>
      <c r="L154" t="n">
        <v>87</v>
      </c>
      <c r="M154" s="3" t="n">
        <v>2611</v>
      </c>
      <c r="N154" s="8" t="n">
        <v>2611</v>
      </c>
      <c r="O154" s="8" t="n">
        <v>0</v>
      </c>
      <c r="Q154" t="inlineStr">
        <is>
          <t>flat</t>
        </is>
      </c>
      <c r="R154" s="6" t="n">
        <v>2611</v>
      </c>
      <c r="S154" t="inlineStr">
        <is>
          <t>Solio</t>
        </is>
      </c>
      <c r="U154" s="6" t="n">
        <v>78.59999999999999</v>
      </c>
      <c r="V154" s="2" t="n">
        <v>20</v>
      </c>
      <c r="W154" s="7">
        <f>IF(N(U154)&lt;=0,0,MIN(Assumptions!$B$15,N(R154)/N(U154)))</f>
        <v/>
      </c>
      <c r="X154" s="6" t="n">
        <v>0.252</v>
      </c>
      <c r="Y154" s="3" t="n">
        <v>0.1425</v>
      </c>
      <c r="Z154" t="inlineStr">
        <is>
          <t>adjusted xGOT</t>
        </is>
      </c>
      <c r="AA154" s="3" t="n">
        <v>1</v>
      </c>
      <c r="AB154" s="3" t="n">
        <v>0.97</v>
      </c>
      <c r="AC154" s="3" t="n">
        <v>7.9</v>
      </c>
      <c r="AD154" s="3" t="n">
        <v>0.19</v>
      </c>
      <c r="AE154" s="3" t="n">
        <v>7.198</v>
      </c>
      <c r="AF154" s="3" t="n">
        <v>0.02734378434918772</v>
      </c>
      <c r="AG154" s="3" t="n">
        <v>0.1014</v>
      </c>
      <c r="AH154" s="3" t="n">
        <v>50</v>
      </c>
      <c r="AI154" s="3" t="n">
        <v>2.8404</v>
      </c>
      <c r="AJ154" s="3" t="n">
        <v>1.439</v>
      </c>
      <c r="AK154" s="3" t="n">
        <v>-0.1359103647373657</v>
      </c>
      <c r="AL154" s="6" t="n">
        <v>0</v>
      </c>
      <c r="AM154" s="3" t="n">
        <v>0</v>
      </c>
      <c r="AN154" s="3" t="n">
        <v>0.57</v>
      </c>
      <c r="AO154" s="3" t="n">
        <v>0.7524000000000001</v>
      </c>
      <c r="AP154" s="3">
        <f>N(X154)*N(BI154)</f>
        <v/>
      </c>
      <c r="AQ154" s="3" t="n">
        <v>0.1014</v>
      </c>
      <c r="AR154" s="3" t="n">
        <v>0</v>
      </c>
      <c r="AS154" s="3" t="n">
        <v>-0</v>
      </c>
      <c r="AT154" s="3" t="n">
        <v>-0.1359103647373657</v>
      </c>
      <c r="AU154" s="3">
        <f>SUM(AN154:AT154)</f>
        <v/>
      </c>
      <c r="AV154" s="7">
        <f>IF(OR(N(W154)&lt;=0,N(BG154)=0),0,N(W154)*IF(N(R154)/N(W154)&gt;=60,N(BG154),1))</f>
        <v/>
      </c>
      <c r="AW154" s="7">
        <f>N(W154)*N(AF154)*N(BH154)</f>
        <v/>
      </c>
      <c r="AX154" s="7">
        <f>N(AL154)*(Assumptions!$B$13*N(BJ154)-(1-Assumptions!$B$13)*Assumptions!$B$14)+N(AM154)</f>
        <v/>
      </c>
      <c r="AY154" s="7">
        <f>N(AU154)*N(R154)/90+N(AV154)+N(AW154)+N(AX154)</f>
        <v/>
      </c>
      <c r="AZ154" s="3">
        <f>IF(N(R154)&lt;=0,0,(N(AY154)-N(AX154))*90/N(R154))</f>
        <v/>
      </c>
      <c r="BA154" s="7">
        <f>IFERROR(AY154-VLOOKUP($E154,Assumptions!$A$40:$C$43,3,FALSE),"")</f>
        <v/>
      </c>
      <c r="BB154" s="3">
        <f>IFERROR(BA154/H154,"")</f>
        <v/>
      </c>
      <c r="BC154">
        <f>IF(AND($G154=TRUE,$E154="GKP"),AY154,"")</f>
        <v/>
      </c>
      <c r="BD154">
        <f>IF(AND($G154=TRUE,$E154="DEF"),AY154,"")</f>
        <v/>
      </c>
      <c r="BE154">
        <f>IF(AND($G154=TRUE,$E154="MID"),AY154,"")</f>
        <v/>
      </c>
      <c r="BF154">
        <f>IF(AND($G154=TRUE,$E154="FWD"),AY154,"")</f>
        <v/>
      </c>
      <c r="BG154" t="n">
        <v>2</v>
      </c>
      <c r="BH154" t="n">
        <v>2</v>
      </c>
      <c r="BI154" t="n">
        <v>0</v>
      </c>
      <c r="BJ154" t="n">
        <v>4</v>
      </c>
    </row>
    <row r="155">
      <c r="A155" t="inlineStr">
        <is>
          <t>Piero Hincapié</t>
        </is>
      </c>
      <c r="B155" t="inlineStr">
        <is>
          <t>ARS</t>
        </is>
      </c>
      <c r="C155" t="inlineStr">
        <is>
          <t>ARS</t>
        </is>
      </c>
      <c r="D155" t="b">
        <v>0</v>
      </c>
      <c r="E155" t="inlineStr">
        <is>
          <t>DEF</t>
        </is>
      </c>
      <c r="F155" t="inlineStr">
        <is>
          <t>DEF</t>
        </is>
      </c>
      <c r="G155" t="b">
        <v>1</v>
      </c>
      <c r="H155" s="2" t="n">
        <v>5.5</v>
      </c>
      <c r="I155" t="inlineStr">
        <is>
          <t>a</t>
        </is>
      </c>
      <c r="K155" s="2" t="n">
        <v>1787</v>
      </c>
      <c r="L155" t="n">
        <v>87</v>
      </c>
      <c r="M155" s="3" t="n">
        <v>1043</v>
      </c>
      <c r="N155" s="4" t="n">
        <v>1440</v>
      </c>
      <c r="O155" s="4" t="n">
        <v>397</v>
      </c>
      <c r="P155" s="5" t="inlineStr">
        <is>
          <t>medium</t>
        </is>
      </c>
      <c r="Q155" t="inlineStr">
        <is>
          <t>flat</t>
        </is>
      </c>
      <c r="R155" s="6" t="n">
        <v>1440</v>
      </c>
      <c r="S155" t="inlineStr">
        <is>
          <t>research</t>
        </is>
      </c>
      <c r="T155" s="5" t="inlineStr">
        <is>
          <t>Hincapie's loan was made permanent on 1 July for a reported £34.5m on a deal to 2031. He played 1787 league minutes last season against Calafiori's 1697, splitting left-back with him and covering left centre-back when Gabriel was unavailable. Solio's 1043 is a sharp cut on a player who has just been bought outright, at a moment when Arseblog describes the defence as 'very, very light' with Saliba and Timber both out. Kept modest because Arseblog's list of available cover for the right side names only White and Mosquera, so Hincapie is not a direct replacement for Saliba's slot.</t>
        </is>
      </c>
      <c r="U155" s="6" t="n">
        <v>85.3</v>
      </c>
      <c r="V155" s="2" t="n">
        <v>20</v>
      </c>
      <c r="W155" s="7">
        <f>IF(N(U155)&lt;=0,0,MIN(Assumptions!$B$15,N(R155)/N(U155)))</f>
        <v/>
      </c>
      <c r="X155" s="6" t="n">
        <v>0.391</v>
      </c>
      <c r="Y155" s="3" t="n">
        <v>0.018</v>
      </c>
      <c r="Z155" t="inlineStr">
        <is>
          <t>adjusted xGOT</t>
        </is>
      </c>
      <c r="AA155" s="3" t="n">
        <v>1</v>
      </c>
      <c r="AB155" s="3" t="n">
        <v>0.993</v>
      </c>
      <c r="AC155" s="3" t="n">
        <v>0.4</v>
      </c>
      <c r="AD155" s="3" t="n">
        <v>0.0956</v>
      </c>
      <c r="AE155" s="3" t="n">
        <v>8.346</v>
      </c>
      <c r="AF155" s="3" t="n">
        <v>0.2722923131640878</v>
      </c>
      <c r="AG155" s="3" t="n">
        <v>0.2518</v>
      </c>
      <c r="AH155" s="3" t="n">
        <v>43</v>
      </c>
      <c r="AI155" s="3" t="n">
        <v>2.067</v>
      </c>
      <c r="AJ155" s="3" t="n">
        <v>0.9838</v>
      </c>
      <c r="AK155" s="3" t="n">
        <v>-0.15878379459564</v>
      </c>
      <c r="AL155" s="6" t="n">
        <v>0</v>
      </c>
      <c r="AM155" s="3" t="n">
        <v>0</v>
      </c>
      <c r="AN155" s="3" t="n">
        <v>0.108</v>
      </c>
      <c r="AO155" s="3" t="n">
        <v>0.378576</v>
      </c>
      <c r="AP155" s="3">
        <f>N(X155)*N(BI155)</f>
        <v/>
      </c>
      <c r="AQ155" s="3" t="n">
        <v>0.2518</v>
      </c>
      <c r="AR155" s="3" t="n">
        <v>0</v>
      </c>
      <c r="AS155" s="3" t="n">
        <v>-0.2768479886568037</v>
      </c>
      <c r="AT155" s="3" t="n">
        <v>-0.15878379459564</v>
      </c>
      <c r="AU155" s="3">
        <f>SUM(AN155:AT155)</f>
        <v/>
      </c>
      <c r="AV155" s="7">
        <f>IF(OR(N(W155)&lt;=0,N(BG155)=0),0,N(W155)*IF(N(R155)/N(W155)&gt;=60,N(BG155),1))</f>
        <v/>
      </c>
      <c r="AW155" s="7">
        <f>N(W155)*N(AF155)*N(BH155)</f>
        <v/>
      </c>
      <c r="AX155" s="7">
        <f>N(AL155)*(Assumptions!$B$13*N(BJ155)-(1-Assumptions!$B$13)*Assumptions!$B$14)+N(AM155)</f>
        <v/>
      </c>
      <c r="AY155" s="7">
        <f>N(AU155)*N(R155)/90+N(AV155)+N(AW155)+N(AX155)</f>
        <v/>
      </c>
      <c r="AZ155" s="3">
        <f>IF(N(R155)&lt;=0,0,(N(AY155)-N(AX155))*90/N(R155))</f>
        <v/>
      </c>
      <c r="BA155" s="7">
        <f>IFERROR(AY155-VLOOKUP($E155,Assumptions!$A$40:$C$43,3,FALSE),"")</f>
        <v/>
      </c>
      <c r="BB155" s="3">
        <f>IFERROR(BA155/H155,"")</f>
        <v/>
      </c>
      <c r="BC155">
        <f>IF(AND($G155=TRUE,$E155="GKP"),AY155,"")</f>
        <v/>
      </c>
      <c r="BD155">
        <f>IF(AND($G155=TRUE,$E155="DEF"),AY155,"")</f>
        <v/>
      </c>
      <c r="BE155">
        <f>IF(AND($G155=TRUE,$E155="MID"),AY155,"")</f>
        <v/>
      </c>
      <c r="BF155">
        <f>IF(AND($G155=TRUE,$E155="FWD"),AY155,"")</f>
        <v/>
      </c>
      <c r="BG155" t="n">
        <v>2</v>
      </c>
      <c r="BH155" t="n">
        <v>2</v>
      </c>
      <c r="BI155" t="n">
        <v>4</v>
      </c>
      <c r="BJ155" t="n">
        <v>6</v>
      </c>
    </row>
    <row r="156">
      <c r="A156" t="inlineStr">
        <is>
          <t>Rodrigo Bentancur</t>
        </is>
      </c>
      <c r="B156" t="inlineStr">
        <is>
          <t>TOT</t>
        </is>
      </c>
      <c r="C156" t="inlineStr">
        <is>
          <t>TOT</t>
        </is>
      </c>
      <c r="D156" t="b">
        <v>0</v>
      </c>
      <c r="E156" t="inlineStr">
        <is>
          <t>MID</t>
        </is>
      </c>
      <c r="F156" t="inlineStr">
        <is>
          <t>MID</t>
        </is>
      </c>
      <c r="G156" t="b">
        <v>1</v>
      </c>
      <c r="H156" s="2" t="n">
        <v>5.5</v>
      </c>
      <c r="I156" t="inlineStr">
        <is>
          <t>a</t>
        </is>
      </c>
      <c r="K156" s="2" t="n">
        <v>1880</v>
      </c>
      <c r="L156" t="n">
        <v>86</v>
      </c>
      <c r="M156" s="3" t="n">
        <v>356</v>
      </c>
      <c r="N156" s="8" t="n">
        <v>356</v>
      </c>
      <c r="O156" s="8" t="n">
        <v>0</v>
      </c>
      <c r="Q156" t="inlineStr">
        <is>
          <t>fade (losing his place)</t>
        </is>
      </c>
      <c r="R156" s="6" t="n">
        <v>356</v>
      </c>
      <c r="S156" t="inlineStr">
        <is>
          <t>Solio</t>
        </is>
      </c>
      <c r="U156" s="6" t="n">
        <v>79.40000000000001</v>
      </c>
      <c r="V156" s="2" t="n">
        <v>23</v>
      </c>
      <c r="W156" s="7">
        <f>IF(N(U156)&lt;=0,0,MIN(Assumptions!$B$15,N(R156)/N(U156)))</f>
        <v/>
      </c>
      <c r="X156" s="6" t="n">
        <v>0.286</v>
      </c>
      <c r="Y156" s="3" t="n">
        <v>0.0346</v>
      </c>
      <c r="Z156" t="inlineStr">
        <is>
          <t>adjusted xGOT</t>
        </is>
      </c>
      <c r="AA156" s="3" t="n">
        <v>1</v>
      </c>
      <c r="AB156" s="3" t="n">
        <v>1.004</v>
      </c>
      <c r="AC156" s="3" t="n">
        <v>6.4</v>
      </c>
      <c r="AD156" s="3" t="n">
        <v>0.0411</v>
      </c>
      <c r="AE156" s="3" t="n">
        <v>11.998</v>
      </c>
      <c r="AF156" s="3" t="n">
        <v>0.3713112201122564</v>
      </c>
      <c r="AG156" s="3" t="n">
        <v>0.1915</v>
      </c>
      <c r="AH156" s="3" t="n">
        <v>47</v>
      </c>
      <c r="AI156" s="3" t="n">
        <v>2.5739</v>
      </c>
      <c r="AJ156" s="3" t="n">
        <v>1.3096</v>
      </c>
      <c r="AK156" s="3" t="n">
        <v>-0.368584307643905</v>
      </c>
      <c r="AL156" s="6" t="n">
        <v>0</v>
      </c>
      <c r="AM156" s="3" t="n">
        <v>0</v>
      </c>
      <c r="AN156" s="3" t="n">
        <v>0.173</v>
      </c>
      <c r="AO156" s="3" t="n">
        <v>0.162756</v>
      </c>
      <c r="AP156" s="3">
        <f>N(X156)*N(BI156)</f>
        <v/>
      </c>
      <c r="AQ156" s="3" t="n">
        <v>0.1915</v>
      </c>
      <c r="AR156" s="3" t="n">
        <v>0</v>
      </c>
      <c r="AS156" s="3" t="n">
        <v>-0</v>
      </c>
      <c r="AT156" s="3" t="n">
        <v>-0.368584307643905</v>
      </c>
      <c r="AU156" s="3">
        <f>SUM(AN156:AT156)</f>
        <v/>
      </c>
      <c r="AV156" s="7">
        <f>IF(OR(N(W156)&lt;=0,N(BG156)=0),0,N(W156)*IF(N(R156)/N(W156)&gt;=60,N(BG156),1))</f>
        <v/>
      </c>
      <c r="AW156" s="7">
        <f>N(W156)*N(AF156)*N(BH156)</f>
        <v/>
      </c>
      <c r="AX156" s="7">
        <f>N(AL156)*(Assumptions!$B$13*N(BJ156)-(1-Assumptions!$B$13)*Assumptions!$B$14)+N(AM156)</f>
        <v/>
      </c>
      <c r="AY156" s="7">
        <f>N(AU156)*N(R156)/90+N(AV156)+N(AW156)+N(AX156)</f>
        <v/>
      </c>
      <c r="AZ156" s="3">
        <f>IF(N(R156)&lt;=0,0,(N(AY156)-N(AX156))*90/N(R156))</f>
        <v/>
      </c>
      <c r="BA156" s="7">
        <f>IFERROR(AY156-VLOOKUP($E156,Assumptions!$A$40:$C$43,3,FALSE),"")</f>
        <v/>
      </c>
      <c r="BB156" s="3">
        <f>IFERROR(BA156/H156,"")</f>
        <v/>
      </c>
      <c r="BC156">
        <f>IF(AND($G156=TRUE,$E156="GKP"),AY156,"")</f>
        <v/>
      </c>
      <c r="BD156">
        <f>IF(AND($G156=TRUE,$E156="DEF"),AY156,"")</f>
        <v/>
      </c>
      <c r="BE156">
        <f>IF(AND($G156=TRUE,$E156="MID"),AY156,"")</f>
        <v/>
      </c>
      <c r="BF156">
        <f>IF(AND($G156=TRUE,$E156="FWD"),AY156,"")</f>
        <v/>
      </c>
      <c r="BG156" t="n">
        <v>2</v>
      </c>
      <c r="BH156" t="n">
        <v>2</v>
      </c>
      <c r="BI156" t="n">
        <v>1</v>
      </c>
      <c r="BJ156" t="n">
        <v>5</v>
      </c>
    </row>
    <row r="157">
      <c r="A157" t="inlineStr">
        <is>
          <t>Milos Kerkez</t>
        </is>
      </c>
      <c r="B157" t="inlineStr">
        <is>
          <t>LIV</t>
        </is>
      </c>
      <c r="C157" t="inlineStr">
        <is>
          <t>LIV</t>
        </is>
      </c>
      <c r="D157" t="b">
        <v>0</v>
      </c>
      <c r="E157" t="inlineStr">
        <is>
          <t>DEF</t>
        </is>
      </c>
      <c r="F157" t="inlineStr">
        <is>
          <t>DEF</t>
        </is>
      </c>
      <c r="G157" t="b">
        <v>1</v>
      </c>
      <c r="H157" s="2" t="n">
        <v>5.5</v>
      </c>
      <c r="I157" t="inlineStr">
        <is>
          <t>a</t>
        </is>
      </c>
      <c r="K157" s="2" t="n">
        <v>2251</v>
      </c>
      <c r="L157" t="n">
        <v>85</v>
      </c>
      <c r="M157" s="3" t="n">
        <v>3137</v>
      </c>
      <c r="N157" s="8" t="n">
        <v>3137</v>
      </c>
      <c r="O157" s="8" t="n">
        <v>0</v>
      </c>
      <c r="Q157" t="inlineStr">
        <is>
          <t>flat</t>
        </is>
      </c>
      <c r="R157" s="6" t="n">
        <v>3137</v>
      </c>
      <c r="S157" t="inlineStr">
        <is>
          <t>Solio</t>
        </is>
      </c>
      <c r="U157" s="6" t="n">
        <v>81.09999999999999</v>
      </c>
      <c r="V157" s="2" t="n">
        <v>27</v>
      </c>
      <c r="W157" s="7">
        <f>IF(N(U157)&lt;=0,0,MIN(Assumptions!$B$15,N(R157)/N(U157)))</f>
        <v/>
      </c>
      <c r="X157" s="6" t="n">
        <v>0.342</v>
      </c>
      <c r="Y157" s="3" t="n">
        <v>0.0573</v>
      </c>
      <c r="Z157" t="inlineStr">
        <is>
          <t>adjusted xGOT</t>
        </is>
      </c>
      <c r="AA157" s="3" t="n">
        <v>1</v>
      </c>
      <c r="AB157" s="3" t="n">
        <v>0.954</v>
      </c>
      <c r="AC157" s="3" t="n">
        <v>3.4</v>
      </c>
      <c r="AD157" s="3" t="n">
        <v>0.051</v>
      </c>
      <c r="AE157" s="3" t="n">
        <v>5.922</v>
      </c>
      <c r="AF157" s="3" t="n">
        <v>0.04572860564221393</v>
      </c>
      <c r="AG157" s="3" t="n">
        <v>0.1199</v>
      </c>
      <c r="AH157" s="3" t="n">
        <v>57</v>
      </c>
      <c r="AI157" s="3" t="n">
        <v>2.409</v>
      </c>
      <c r="AJ157" s="3" t="n">
        <v>1.1228</v>
      </c>
      <c r="AK157" s="3" t="n">
        <v>-0.1730721735107377</v>
      </c>
      <c r="AL157" s="6" t="n">
        <v>0</v>
      </c>
      <c r="AM157" s="3" t="n">
        <v>0</v>
      </c>
      <c r="AN157" s="3" t="n">
        <v>0.3438</v>
      </c>
      <c r="AO157" s="3" t="n">
        <v>0.20196</v>
      </c>
      <c r="AP157" s="3">
        <f>N(X157)*N(BI157)</f>
        <v/>
      </c>
      <c r="AQ157" s="3" t="n">
        <v>0.1199</v>
      </c>
      <c r="AR157" s="3" t="n">
        <v>0</v>
      </c>
      <c r="AS157" s="3" t="n">
        <v>-0.3378660007281162</v>
      </c>
      <c r="AT157" s="3" t="n">
        <v>-0.1730721735107377</v>
      </c>
      <c r="AU157" s="3">
        <f>SUM(AN157:AT157)</f>
        <v/>
      </c>
      <c r="AV157" s="7">
        <f>IF(OR(N(W157)&lt;=0,N(BG157)=0),0,N(W157)*IF(N(R157)/N(W157)&gt;=60,N(BG157),1))</f>
        <v/>
      </c>
      <c r="AW157" s="7">
        <f>N(W157)*N(AF157)*N(BH157)</f>
        <v/>
      </c>
      <c r="AX157" s="7">
        <f>N(AL157)*(Assumptions!$B$13*N(BJ157)-(1-Assumptions!$B$13)*Assumptions!$B$14)+N(AM157)</f>
        <v/>
      </c>
      <c r="AY157" s="7">
        <f>N(AU157)*N(R157)/90+N(AV157)+N(AW157)+N(AX157)</f>
        <v/>
      </c>
      <c r="AZ157" s="3">
        <f>IF(N(R157)&lt;=0,0,(N(AY157)-N(AX157))*90/N(R157))</f>
        <v/>
      </c>
      <c r="BA157" s="7">
        <f>IFERROR(AY157-VLOOKUP($E157,Assumptions!$A$40:$C$43,3,FALSE),"")</f>
        <v/>
      </c>
      <c r="BB157" s="3">
        <f>IFERROR(BA157/H157,"")</f>
        <v/>
      </c>
      <c r="BC157">
        <f>IF(AND($G157=TRUE,$E157="GKP"),AY157,"")</f>
        <v/>
      </c>
      <c r="BD157">
        <f>IF(AND($G157=TRUE,$E157="DEF"),AY157,"")</f>
        <v/>
      </c>
      <c r="BE157">
        <f>IF(AND($G157=TRUE,$E157="MID"),AY157,"")</f>
        <v/>
      </c>
      <c r="BF157">
        <f>IF(AND($G157=TRUE,$E157="FWD"),AY157,"")</f>
        <v/>
      </c>
      <c r="BG157" t="n">
        <v>2</v>
      </c>
      <c r="BH157" t="n">
        <v>2</v>
      </c>
      <c r="BI157" t="n">
        <v>4</v>
      </c>
      <c r="BJ157" t="n">
        <v>6</v>
      </c>
    </row>
    <row r="158">
      <c r="A158" t="inlineStr">
        <is>
          <t>Maxim De Cuyper</t>
        </is>
      </c>
      <c r="B158" t="inlineStr">
        <is>
          <t>BHA</t>
        </is>
      </c>
      <c r="C158" t="inlineStr">
        <is>
          <t>BHA</t>
        </is>
      </c>
      <c r="D158" t="b">
        <v>0</v>
      </c>
      <c r="E158" t="inlineStr">
        <is>
          <t>DEF</t>
        </is>
      </c>
      <c r="F158" t="inlineStr">
        <is>
          <t>DEF</t>
        </is>
      </c>
      <c r="G158" t="b">
        <v>1</v>
      </c>
      <c r="H158" s="2" t="n">
        <v>4.5</v>
      </c>
      <c r="I158" t="inlineStr">
        <is>
          <t>a</t>
        </is>
      </c>
      <c r="K158" s="2" t="n">
        <v>1404</v>
      </c>
      <c r="L158" t="n">
        <v>84</v>
      </c>
      <c r="M158" s="3" t="n">
        <v>830</v>
      </c>
      <c r="N158" s="4" t="n">
        <v>1150</v>
      </c>
      <c r="O158" s="4" t="n">
        <v>320</v>
      </c>
      <c r="P158" s="5" t="inlineStr">
        <is>
          <t>medium</t>
        </is>
      </c>
      <c r="Q158" t="inlineStr">
        <is>
          <t>fade (losing his place)</t>
        </is>
      </c>
      <c r="R158" s="6" t="n">
        <v>1150</v>
      </c>
      <c r="S158" t="inlineStr">
        <is>
          <t>research</t>
        </is>
      </c>
      <c r="T158" s="5" t="inlineStr">
        <is>
          <t>Flagged 'fade (losing his place)' by Solio at 830, but he started at left wing against Bologna on 15 Aug - the single enforced change from the Roma XI, forced by Minteh's injury - and came on at 60' against Roma. With Minteh out to around late November and Mitoma's return undated, he is currently covering two positions. Modest raise only, since his 2025/26 total was 1404 and Kadioglu is ahead of him at left-back.</t>
        </is>
      </c>
      <c r="U158" s="6" t="n">
        <v>75.59999999999999</v>
      </c>
      <c r="V158" s="2" t="n">
        <v>17</v>
      </c>
      <c r="W158" s="7">
        <f>IF(N(U158)&lt;=0,0,MIN(Assumptions!$B$15,N(R158)/N(U158)))</f>
        <v/>
      </c>
      <c r="X158" s="6" t="n">
        <v>0.252</v>
      </c>
      <c r="Y158" s="3" t="n">
        <v>0.109</v>
      </c>
      <c r="Z158" t="inlineStr">
        <is>
          <t>adjusted xGOT</t>
        </is>
      </c>
      <c r="AA158" s="3" t="n">
        <v>1</v>
      </c>
      <c r="AB158" s="3" t="n">
        <v>1.025</v>
      </c>
      <c r="AC158" s="3" t="n">
        <v>1.7</v>
      </c>
      <c r="AD158" s="3" t="n">
        <v>0.2809</v>
      </c>
      <c r="AE158" s="3" t="n">
        <v>5.317</v>
      </c>
      <c r="AF158" s="3" t="n">
        <v>0.01632471038188099</v>
      </c>
      <c r="AG158" s="3" t="n">
        <v>0.5769</v>
      </c>
      <c r="AH158" s="3" t="n">
        <v>42</v>
      </c>
      <c r="AI158" s="3" t="n">
        <v>2.8404</v>
      </c>
      <c r="AJ158" s="3" t="n">
        <v>1.439</v>
      </c>
      <c r="AK158" s="3" t="n">
        <v>-0.1773122607005057</v>
      </c>
      <c r="AL158" s="6" t="n">
        <v>0</v>
      </c>
      <c r="AM158" s="3" t="n">
        <v>0</v>
      </c>
      <c r="AN158" s="3" t="n">
        <v>0.654</v>
      </c>
      <c r="AO158" s="3" t="n">
        <v>1.112364</v>
      </c>
      <c r="AP158" s="3">
        <f>N(X158)*N(BI158)</f>
        <v/>
      </c>
      <c r="AQ158" s="3" t="n">
        <v>0.5769</v>
      </c>
      <c r="AR158" s="3" t="n">
        <v>0</v>
      </c>
      <c r="AS158" s="3" t="n">
        <v>-0.4835617861760246</v>
      </c>
      <c r="AT158" s="3" t="n">
        <v>-0.1773122607005057</v>
      </c>
      <c r="AU158" s="3">
        <f>SUM(AN158:AT158)</f>
        <v/>
      </c>
      <c r="AV158" s="7">
        <f>IF(OR(N(W158)&lt;=0,N(BG158)=0),0,N(W158)*IF(N(R158)/N(W158)&gt;=60,N(BG158),1))</f>
        <v/>
      </c>
      <c r="AW158" s="7">
        <f>N(W158)*N(AF158)*N(BH158)</f>
        <v/>
      </c>
      <c r="AX158" s="7">
        <f>N(AL158)*(Assumptions!$B$13*N(BJ158)-(1-Assumptions!$B$13)*Assumptions!$B$14)+N(AM158)</f>
        <v/>
      </c>
      <c r="AY158" s="7">
        <f>N(AU158)*N(R158)/90+N(AV158)+N(AW158)+N(AX158)</f>
        <v/>
      </c>
      <c r="AZ158" s="3">
        <f>IF(N(R158)&lt;=0,0,(N(AY158)-N(AX158))*90/N(R158))</f>
        <v/>
      </c>
      <c r="BA158" s="7">
        <f>IFERROR(AY158-VLOOKUP($E158,Assumptions!$A$40:$C$43,3,FALSE),"")</f>
        <v/>
      </c>
      <c r="BB158" s="3">
        <f>IFERROR(BA158/H158,"")</f>
        <v/>
      </c>
      <c r="BC158">
        <f>IF(AND($G158=TRUE,$E158="GKP"),AY158,"")</f>
        <v/>
      </c>
      <c r="BD158">
        <f>IF(AND($G158=TRUE,$E158="DEF"),AY158,"")</f>
        <v/>
      </c>
      <c r="BE158">
        <f>IF(AND($G158=TRUE,$E158="MID"),AY158,"")</f>
        <v/>
      </c>
      <c r="BF158">
        <f>IF(AND($G158=TRUE,$E158="FWD"),AY158,"")</f>
        <v/>
      </c>
      <c r="BG158" t="n">
        <v>2</v>
      </c>
      <c r="BH158" t="n">
        <v>2</v>
      </c>
      <c r="BI158" t="n">
        <v>4</v>
      </c>
      <c r="BJ158" t="n">
        <v>6</v>
      </c>
    </row>
    <row r="159">
      <c r="A159" s="9" t="inlineStr">
        <is>
          <t>Florentino</t>
        </is>
      </c>
      <c r="B159" t="inlineStr">
        <is>
          <t>IPS</t>
        </is>
      </c>
      <c r="C159" s="9" t="inlineStr">
        <is>
          <t>BUR</t>
        </is>
      </c>
      <c r="D159" t="b">
        <v>1</v>
      </c>
      <c r="E159" t="inlineStr">
        <is>
          <t>MID</t>
        </is>
      </c>
      <c r="F159" t="inlineStr">
        <is>
          <t>MID</t>
        </is>
      </c>
      <c r="G159" t="b">
        <v>1</v>
      </c>
      <c r="H159" s="2" t="n">
        <v>5</v>
      </c>
      <c r="I159" t="inlineStr">
        <is>
          <t>a</t>
        </is>
      </c>
      <c r="K159" s="2" t="n">
        <v>2100</v>
      </c>
      <c r="L159" t="n">
        <v>84</v>
      </c>
      <c r="M159" s="3" t="n">
        <v>1881</v>
      </c>
      <c r="N159" s="8" t="n">
        <v>1881</v>
      </c>
      <c r="O159" s="8" t="n">
        <v>0</v>
      </c>
      <c r="Q159" t="inlineStr">
        <is>
          <t>flat</t>
        </is>
      </c>
      <c r="R159" s="6" t="n">
        <v>1881</v>
      </c>
      <c r="S159" t="inlineStr">
        <is>
          <t>Solio</t>
        </is>
      </c>
      <c r="U159" s="6" t="n">
        <v>79.59999999999999</v>
      </c>
      <c r="V159" s="2" t="n">
        <v>25</v>
      </c>
      <c r="W159" s="7">
        <f>IF(N(U159)&lt;=0,0,MIN(Assumptions!$B$15,N(R159)/N(U159)))</f>
        <v/>
      </c>
      <c r="X159" s="6" t="n">
        <v>0.17</v>
      </c>
      <c r="Y159" s="10" t="n">
        <v>0.0257</v>
      </c>
      <c r="Z159" t="inlineStr">
        <is>
          <t>adjusted xGOT</t>
        </is>
      </c>
      <c r="AA159" s="3" t="n">
        <v>1</v>
      </c>
      <c r="AB159" s="3" t="n">
        <v>0.9379999999999999</v>
      </c>
      <c r="AC159" s="3" t="n">
        <v>0.6</v>
      </c>
      <c r="AD159" s="10" t="n">
        <v>0.0227</v>
      </c>
      <c r="AE159" s="3" t="n">
        <v>12.179</v>
      </c>
      <c r="AF159" s="3" t="n">
        <v>0.3934948723249607</v>
      </c>
      <c r="AG159" s="3" t="n">
        <v>0</v>
      </c>
      <c r="AH159" s="3" t="n">
        <v>54</v>
      </c>
      <c r="AI159" s="3" t="n">
        <v>3.5741</v>
      </c>
      <c r="AJ159" s="3" t="n">
        <v>1.8319</v>
      </c>
      <c r="AK159" s="3" t="n">
        <v>-0.2502924944666128</v>
      </c>
      <c r="AL159" s="6" t="n">
        <v>0</v>
      </c>
      <c r="AM159" s="3" t="n">
        <v>0</v>
      </c>
      <c r="AN159" s="10" t="n">
        <v>0.1285</v>
      </c>
      <c r="AO159" s="10" t="n">
        <v>0.08989200000000001</v>
      </c>
      <c r="AP159" s="3">
        <f>N(X159)*N(BI159)</f>
        <v/>
      </c>
      <c r="AQ159" s="3" t="n">
        <v>0</v>
      </c>
      <c r="AR159" s="3" t="n">
        <v>0</v>
      </c>
      <c r="AS159" s="3" t="n">
        <v>-0</v>
      </c>
      <c r="AT159" s="3" t="n">
        <v>-0.2502924944666128</v>
      </c>
      <c r="AU159" s="3">
        <f>SUM(AN159:AT159)</f>
        <v/>
      </c>
      <c r="AV159" s="7">
        <f>IF(OR(N(W159)&lt;=0,N(BG159)=0),0,N(W159)*IF(N(R159)/N(W159)&gt;=60,N(BG159),1))</f>
        <v/>
      </c>
      <c r="AW159" s="7">
        <f>N(W159)*N(AF159)*N(BH159)</f>
        <v/>
      </c>
      <c r="AX159" s="7">
        <f>N(AL159)*(Assumptions!$B$13*N(BJ159)-(1-Assumptions!$B$13)*Assumptions!$B$14)+N(AM159)</f>
        <v/>
      </c>
      <c r="AY159" s="7">
        <f>N(AU159)*N(R159)/90+N(AV159)+N(AW159)+N(AX159)</f>
        <v/>
      </c>
      <c r="AZ159" s="3">
        <f>IF(N(R159)&lt;=0,0,(N(AY159)-N(AX159))*90/N(R159))</f>
        <v/>
      </c>
      <c r="BA159" s="7">
        <f>IFERROR(AY159-VLOOKUP($E159,Assumptions!$A$40:$C$43,3,FALSE),"")</f>
        <v/>
      </c>
      <c r="BB159" s="3">
        <f>IFERROR(BA159/H159,"")</f>
        <v/>
      </c>
      <c r="BC159">
        <f>IF(AND($G159=TRUE,$E159="GKP"),AY159,"")</f>
        <v/>
      </c>
      <c r="BD159">
        <f>IF(AND($G159=TRUE,$E159="DEF"),AY159,"")</f>
        <v/>
      </c>
      <c r="BE159">
        <f>IF(AND($G159=TRUE,$E159="MID"),AY159,"")</f>
        <v/>
      </c>
      <c r="BF159">
        <f>IF(AND($G159=TRUE,$E159="FWD"),AY159,"")</f>
        <v/>
      </c>
      <c r="BG159" t="n">
        <v>2</v>
      </c>
      <c r="BH159" t="n">
        <v>2</v>
      </c>
      <c r="BI159" t="n">
        <v>1</v>
      </c>
      <c r="BJ159" t="n">
        <v>5</v>
      </c>
    </row>
    <row r="160">
      <c r="A160" t="inlineStr">
        <is>
          <t>Murillo</t>
        </is>
      </c>
      <c r="B160" t="inlineStr">
        <is>
          <t>NFO</t>
        </is>
      </c>
      <c r="C160" t="inlineStr">
        <is>
          <t>NFO</t>
        </is>
      </c>
      <c r="D160" t="b">
        <v>0</v>
      </c>
      <c r="E160" t="inlineStr">
        <is>
          <t>DEF</t>
        </is>
      </c>
      <c r="F160" t="inlineStr">
        <is>
          <t>DEF</t>
        </is>
      </c>
      <c r="G160" t="b">
        <v>1</v>
      </c>
      <c r="H160" s="2" t="n">
        <v>5.5</v>
      </c>
      <c r="I160" t="inlineStr">
        <is>
          <t>a</t>
        </is>
      </c>
      <c r="K160" s="2" t="n">
        <v>2130</v>
      </c>
      <c r="L160" t="n">
        <v>83</v>
      </c>
      <c r="M160" s="3" t="n">
        <v>3101</v>
      </c>
      <c r="N160" s="4" t="n">
        <v>2900</v>
      </c>
      <c r="O160" s="4" t="n">
        <v>-201</v>
      </c>
      <c r="P160" s="5" t="inlineStr">
        <is>
          <t>medium</t>
        </is>
      </c>
      <c r="Q160" t="inlineStr">
        <is>
          <t>flat</t>
        </is>
      </c>
      <c r="R160" s="6" t="n">
        <v>2900</v>
      </c>
      <c r="S160" t="inlineStr">
        <is>
          <t>research</t>
        </is>
      </c>
      <c r="T160" s="5" t="inlineStr">
        <is>
          <t>Confirmed starter in the back three, but Solio adds 971 minutes to a 2025-26 return of 2,130. Forest carry five senior centre-backs for three slots after the Diomande signing, so a modest allowance for the absences that actually occurred last season is warranted.</t>
        </is>
      </c>
      <c r="U160" s="6" t="n">
        <v>85.3</v>
      </c>
      <c r="V160" s="2" t="n">
        <v>25</v>
      </c>
      <c r="W160" s="7">
        <f>IF(N(U160)&lt;=0,0,MIN(Assumptions!$B$15,N(R160)/N(U160)))</f>
        <v/>
      </c>
      <c r="X160" s="6" t="n">
        <v>0.224</v>
      </c>
      <c r="Y160" s="3" t="n">
        <v>0.0299</v>
      </c>
      <c r="Z160" t="inlineStr">
        <is>
          <t>adjusted xGOT</t>
        </is>
      </c>
      <c r="AA160" s="3" t="n">
        <v>1</v>
      </c>
      <c r="AB160" s="3" t="n">
        <v>0.968</v>
      </c>
      <c r="AC160" s="3" t="n">
        <v>4</v>
      </c>
      <c r="AD160" s="3" t="n">
        <v>0.0163</v>
      </c>
      <c r="AE160" s="3" t="n">
        <v>8.984</v>
      </c>
      <c r="AF160" s="3" t="n">
        <v>0.3489538470900022</v>
      </c>
      <c r="AG160" s="3" t="n">
        <v>0.1268</v>
      </c>
      <c r="AH160" s="3" t="n">
        <v>48</v>
      </c>
      <c r="AI160" s="3" t="n">
        <v>3.1134</v>
      </c>
      <c r="AJ160" s="3" t="n">
        <v>1.5588</v>
      </c>
      <c r="AK160" s="3" t="n">
        <v>-0.2057759377817235</v>
      </c>
      <c r="AL160" s="6" t="n">
        <v>0</v>
      </c>
      <c r="AM160" s="3" t="n">
        <v>0</v>
      </c>
      <c r="AN160" s="3" t="n">
        <v>0.1794</v>
      </c>
      <c r="AO160" s="3" t="n">
        <v>0.06454800000000001</v>
      </c>
      <c r="AP160" s="3">
        <f>N(X160)*N(BI160)</f>
        <v/>
      </c>
      <c r="AQ160" s="3" t="n">
        <v>0.1268</v>
      </c>
      <c r="AR160" s="3" t="n">
        <v>0</v>
      </c>
      <c r="AS160" s="3" t="n">
        <v>-0.5404658182244797</v>
      </c>
      <c r="AT160" s="3" t="n">
        <v>-0.2057759377817235</v>
      </c>
      <c r="AU160" s="3">
        <f>SUM(AN160:AT160)</f>
        <v/>
      </c>
      <c r="AV160" s="7">
        <f>IF(OR(N(W160)&lt;=0,N(BG160)=0),0,N(W160)*IF(N(R160)/N(W160)&gt;=60,N(BG160),1))</f>
        <v/>
      </c>
      <c r="AW160" s="7">
        <f>N(W160)*N(AF160)*N(BH160)</f>
        <v/>
      </c>
      <c r="AX160" s="7">
        <f>N(AL160)*(Assumptions!$B$13*N(BJ160)-(1-Assumptions!$B$13)*Assumptions!$B$14)+N(AM160)</f>
        <v/>
      </c>
      <c r="AY160" s="7">
        <f>N(AU160)*N(R160)/90+N(AV160)+N(AW160)+N(AX160)</f>
        <v/>
      </c>
      <c r="AZ160" s="3">
        <f>IF(N(R160)&lt;=0,0,(N(AY160)-N(AX160))*90/N(R160))</f>
        <v/>
      </c>
      <c r="BA160" s="7">
        <f>IFERROR(AY160-VLOOKUP($E160,Assumptions!$A$40:$C$43,3,FALSE),"")</f>
        <v/>
      </c>
      <c r="BB160" s="3">
        <f>IFERROR(BA160/H160,"")</f>
        <v/>
      </c>
      <c r="BC160">
        <f>IF(AND($G160=TRUE,$E160="GKP"),AY160,"")</f>
        <v/>
      </c>
      <c r="BD160">
        <f>IF(AND($G160=TRUE,$E160="DEF"),AY160,"")</f>
        <v/>
      </c>
      <c r="BE160">
        <f>IF(AND($G160=TRUE,$E160="MID"),AY160,"")</f>
        <v/>
      </c>
      <c r="BF160">
        <f>IF(AND($G160=TRUE,$E160="FWD"),AY160,"")</f>
        <v/>
      </c>
      <c r="BG160" t="n">
        <v>2</v>
      </c>
      <c r="BH160" t="n">
        <v>2</v>
      </c>
      <c r="BI160" t="n">
        <v>4</v>
      </c>
      <c r="BJ160" t="n">
        <v>6</v>
      </c>
    </row>
    <row r="161">
      <c r="A161" t="inlineStr">
        <is>
          <t>Chemsdine Talbi</t>
        </is>
      </c>
      <c r="B161" t="inlineStr">
        <is>
          <t>SUN</t>
        </is>
      </c>
      <c r="C161" t="inlineStr">
        <is>
          <t>SUN</t>
        </is>
      </c>
      <c r="D161" t="b">
        <v>0</v>
      </c>
      <c r="E161" t="inlineStr">
        <is>
          <t>MID</t>
        </is>
      </c>
      <c r="F161" t="inlineStr">
        <is>
          <t>MID</t>
        </is>
      </c>
      <c r="G161" t="b">
        <v>1</v>
      </c>
      <c r="H161" s="2" t="n">
        <v>5.5</v>
      </c>
      <c r="I161" t="inlineStr">
        <is>
          <t>a</t>
        </is>
      </c>
      <c r="K161" s="2" t="n">
        <v>1553</v>
      </c>
      <c r="L161" t="n">
        <v>83</v>
      </c>
      <c r="M161" s="3" t="n">
        <v>2263</v>
      </c>
      <c r="N161" s="4" t="n">
        <v>2500</v>
      </c>
      <c r="O161" s="4" t="n">
        <v>237</v>
      </c>
      <c r="P161" s="5" t="inlineStr">
        <is>
          <t>medium</t>
        </is>
      </c>
      <c r="Q161" t="inlineStr">
        <is>
          <t>flat</t>
        </is>
      </c>
      <c r="R161" s="6" t="n">
        <v>2500</v>
      </c>
      <c r="S161" t="inlineStr">
        <is>
          <t>research</t>
        </is>
      </c>
      <c r="T161" s="5" t="inlineStr">
        <is>
          <t>Small upward move. Talbi started the final friendly in the front three and the Echo's opener preview favours him for the contested wide slot on the basis of his Premier League experience. Kept modest because he shares the flank with Angulo and because Sunderland are still targeting a right winger, which would compress the wide minutes further.</t>
        </is>
      </c>
      <c r="U161" s="6" t="n">
        <v>79.09999999999999</v>
      </c>
      <c r="V161" s="2" t="n">
        <v>16</v>
      </c>
      <c r="W161" s="7">
        <f>IF(N(U161)&lt;=0,0,MIN(Assumptions!$B$15,N(R161)/N(U161)))</f>
        <v/>
      </c>
      <c r="X161" s="6" t="n">
        <v>0.204</v>
      </c>
      <c r="Y161" s="3" t="n">
        <v>0.1438</v>
      </c>
      <c r="Z161" t="inlineStr">
        <is>
          <t>adjusted xGOT</t>
        </is>
      </c>
      <c r="AA161" s="3" t="n">
        <v>1</v>
      </c>
      <c r="AB161" s="3" t="n">
        <v>1.165</v>
      </c>
      <c r="AC161" s="3" t="n">
        <v>2.1</v>
      </c>
      <c r="AD161" s="3" t="n">
        <v>0.0516</v>
      </c>
      <c r="AE161" s="3" t="n">
        <v>6.36</v>
      </c>
      <c r="AF161" s="3" t="n">
        <v>0.0123265355904606</v>
      </c>
      <c r="AG161" s="3" t="n">
        <v>0.4057</v>
      </c>
      <c r="AH161" s="3" t="n">
        <v>44</v>
      </c>
      <c r="AI161" s="3" t="n">
        <v>3.3348</v>
      </c>
      <c r="AJ161" s="3" t="n">
        <v>1.6498</v>
      </c>
      <c r="AK161" s="3" t="n">
        <v>-0.1125747540818522</v>
      </c>
      <c r="AL161" s="6" t="n">
        <v>0</v>
      </c>
      <c r="AM161" s="3" t="n">
        <v>0</v>
      </c>
      <c r="AN161" s="3" t="n">
        <v>0.7190000000000001</v>
      </c>
      <c r="AO161" s="3" t="n">
        <v>0.204336</v>
      </c>
      <c r="AP161" s="3">
        <f>N(X161)*N(BI161)</f>
        <v/>
      </c>
      <c r="AQ161" s="3" t="n">
        <v>0.4057</v>
      </c>
      <c r="AR161" s="3" t="n">
        <v>0</v>
      </c>
      <c r="AS161" s="3" t="n">
        <v>-0</v>
      </c>
      <c r="AT161" s="3" t="n">
        <v>-0.1125747540818522</v>
      </c>
      <c r="AU161" s="3">
        <f>SUM(AN161:AT161)</f>
        <v/>
      </c>
      <c r="AV161" s="7">
        <f>IF(OR(N(W161)&lt;=0,N(BG161)=0),0,N(W161)*IF(N(R161)/N(W161)&gt;=60,N(BG161),1))</f>
        <v/>
      </c>
      <c r="AW161" s="7">
        <f>N(W161)*N(AF161)*N(BH161)</f>
        <v/>
      </c>
      <c r="AX161" s="7">
        <f>N(AL161)*(Assumptions!$B$13*N(BJ161)-(1-Assumptions!$B$13)*Assumptions!$B$14)+N(AM161)</f>
        <v/>
      </c>
      <c r="AY161" s="7">
        <f>N(AU161)*N(R161)/90+N(AV161)+N(AW161)+N(AX161)</f>
        <v/>
      </c>
      <c r="AZ161" s="3">
        <f>IF(N(R161)&lt;=0,0,(N(AY161)-N(AX161))*90/N(R161))</f>
        <v/>
      </c>
      <c r="BA161" s="7">
        <f>IFERROR(AY161-VLOOKUP($E161,Assumptions!$A$40:$C$43,3,FALSE),"")</f>
        <v/>
      </c>
      <c r="BB161" s="3">
        <f>IFERROR(BA161/H161,"")</f>
        <v/>
      </c>
      <c r="BC161">
        <f>IF(AND($G161=TRUE,$E161="GKP"),AY161,"")</f>
        <v/>
      </c>
      <c r="BD161">
        <f>IF(AND($G161=TRUE,$E161="DEF"),AY161,"")</f>
        <v/>
      </c>
      <c r="BE161">
        <f>IF(AND($G161=TRUE,$E161="MID"),AY161,"")</f>
        <v/>
      </c>
      <c r="BF161">
        <f>IF(AND($G161=TRUE,$E161="FWD"),AY161,"")</f>
        <v/>
      </c>
      <c r="BG161" t="n">
        <v>2</v>
      </c>
      <c r="BH161" t="n">
        <v>2</v>
      </c>
      <c r="BI161" t="n">
        <v>1</v>
      </c>
      <c r="BJ161" t="n">
        <v>5</v>
      </c>
    </row>
    <row r="162">
      <c r="A162" t="inlineStr">
        <is>
          <t>Omari Hutchinson</t>
        </is>
      </c>
      <c r="B162" t="inlineStr">
        <is>
          <t>NFO</t>
        </is>
      </c>
      <c r="C162" t="inlineStr">
        <is>
          <t>NFO</t>
        </is>
      </c>
      <c r="D162" t="b">
        <v>0</v>
      </c>
      <c r="E162" t="inlineStr">
        <is>
          <t>MID</t>
        </is>
      </c>
      <c r="F162" t="inlineStr">
        <is>
          <t>MID</t>
        </is>
      </c>
      <c r="G162" t="b">
        <v>1</v>
      </c>
      <c r="H162" s="2" t="n">
        <v>5.5</v>
      </c>
      <c r="I162" t="inlineStr">
        <is>
          <t>a</t>
        </is>
      </c>
      <c r="K162" s="2" t="n">
        <v>1676</v>
      </c>
      <c r="L162" t="n">
        <v>82</v>
      </c>
      <c r="M162" s="3" t="n">
        <v>443</v>
      </c>
      <c r="N162" s="4" t="n">
        <v>690</v>
      </c>
      <c r="O162" s="4" t="n">
        <v>247</v>
      </c>
      <c r="P162" s="5" t="inlineStr">
        <is>
          <t>low</t>
        </is>
      </c>
      <c r="Q162" t="inlineStr">
        <is>
          <t>flat</t>
        </is>
      </c>
      <c r="R162" s="6" t="n">
        <v>690</v>
      </c>
      <c r="S162" t="inlineStr">
        <is>
          <t>research</t>
        </is>
      </c>
      <c r="T162" s="5" t="inlineStr">
        <is>
          <t>A club-record GBP 37m signing who played 1,676 league minutes in 2025-26 and featured in Glasner's first pre-season XI in the ten role. He is out of the current first-choice XI, but 443 minutes understates the first reserve for two attacking-midfield slots.</t>
        </is>
      </c>
      <c r="U162" s="6" t="n">
        <v>78.8</v>
      </c>
      <c r="V162" s="2" t="n">
        <v>17</v>
      </c>
      <c r="W162" s="7">
        <f>IF(N(U162)&lt;=0,0,MIN(Assumptions!$B$15,N(R162)/N(U162)))</f>
        <v/>
      </c>
      <c r="X162" s="6" t="n">
        <v>0.224</v>
      </c>
      <c r="Y162" s="3" t="n">
        <v>0.1126</v>
      </c>
      <c r="Z162" t="inlineStr">
        <is>
          <t>adjusted xGOT</t>
        </is>
      </c>
      <c r="AA162" s="3" t="n">
        <v>1</v>
      </c>
      <c r="AB162" s="3" t="n">
        <v>1.043</v>
      </c>
      <c r="AC162" s="3" t="n">
        <v>4.9</v>
      </c>
      <c r="AD162" s="3" t="n">
        <v>0.2363</v>
      </c>
      <c r="AE162" s="3" t="n">
        <v>7.423</v>
      </c>
      <c r="AF162" s="3" t="n">
        <v>0.03385480945361452</v>
      </c>
      <c r="AG162" s="3" t="n">
        <v>0.1611</v>
      </c>
      <c r="AH162" s="3" t="n">
        <v>46</v>
      </c>
      <c r="AI162" s="3" t="n">
        <v>3.1134</v>
      </c>
      <c r="AJ162" s="3" t="n">
        <v>1.5588</v>
      </c>
      <c r="AK162" s="3" t="n">
        <v>-0.1552994984010327</v>
      </c>
      <c r="AL162" s="6" t="n">
        <v>0</v>
      </c>
      <c r="AM162" s="3" t="n">
        <v>0</v>
      </c>
      <c r="AN162" s="3" t="n">
        <v>0.5630000000000001</v>
      </c>
      <c r="AO162" s="3" t="n">
        <v>0.9357480000000001</v>
      </c>
      <c r="AP162" s="3">
        <f>N(X162)*N(BI162)</f>
        <v/>
      </c>
      <c r="AQ162" s="3" t="n">
        <v>0.1611</v>
      </c>
      <c r="AR162" s="3" t="n">
        <v>0</v>
      </c>
      <c r="AS162" s="3" t="n">
        <v>-0</v>
      </c>
      <c r="AT162" s="3" t="n">
        <v>-0.1552994984010327</v>
      </c>
      <c r="AU162" s="3">
        <f>SUM(AN162:AT162)</f>
        <v/>
      </c>
      <c r="AV162" s="7">
        <f>IF(OR(N(W162)&lt;=0,N(BG162)=0),0,N(W162)*IF(N(R162)/N(W162)&gt;=60,N(BG162),1))</f>
        <v/>
      </c>
      <c r="AW162" s="7">
        <f>N(W162)*N(AF162)*N(BH162)</f>
        <v/>
      </c>
      <c r="AX162" s="7">
        <f>N(AL162)*(Assumptions!$B$13*N(BJ162)-(1-Assumptions!$B$13)*Assumptions!$B$14)+N(AM162)</f>
        <v/>
      </c>
      <c r="AY162" s="7">
        <f>N(AU162)*N(R162)/90+N(AV162)+N(AW162)+N(AX162)</f>
        <v/>
      </c>
      <c r="AZ162" s="3">
        <f>IF(N(R162)&lt;=0,0,(N(AY162)-N(AX162))*90/N(R162))</f>
        <v/>
      </c>
      <c r="BA162" s="7">
        <f>IFERROR(AY162-VLOOKUP($E162,Assumptions!$A$40:$C$43,3,FALSE),"")</f>
        <v/>
      </c>
      <c r="BB162" s="3">
        <f>IFERROR(BA162/H162,"")</f>
        <v/>
      </c>
      <c r="BC162">
        <f>IF(AND($G162=TRUE,$E162="GKP"),AY162,"")</f>
        <v/>
      </c>
      <c r="BD162">
        <f>IF(AND($G162=TRUE,$E162="DEF"),AY162,"")</f>
        <v/>
      </c>
      <c r="BE162">
        <f>IF(AND($G162=TRUE,$E162="MID"),AY162,"")</f>
        <v/>
      </c>
      <c r="BF162">
        <f>IF(AND($G162=TRUE,$E162="FWD"),AY162,"")</f>
        <v/>
      </c>
      <c r="BG162" t="n">
        <v>2</v>
      </c>
      <c r="BH162" t="n">
        <v>2</v>
      </c>
      <c r="BI162" t="n">
        <v>1</v>
      </c>
      <c r="BJ162" t="n">
        <v>5</v>
      </c>
    </row>
    <row r="163">
      <c r="A163" t="inlineStr">
        <is>
          <t>Jacob Murphy</t>
        </is>
      </c>
      <c r="B163" t="inlineStr">
        <is>
          <t>NEW</t>
        </is>
      </c>
      <c r="C163" t="inlineStr">
        <is>
          <t>NEW</t>
        </is>
      </c>
      <c r="D163" t="b">
        <v>0</v>
      </c>
      <c r="E163" t="inlineStr">
        <is>
          <t>MID</t>
        </is>
      </c>
      <c r="F163" t="inlineStr">
        <is>
          <t>MID</t>
        </is>
      </c>
      <c r="G163" t="b">
        <v>1</v>
      </c>
      <c r="H163" s="2" t="n">
        <v>6</v>
      </c>
      <c r="I163" t="inlineStr">
        <is>
          <t>a</t>
        </is>
      </c>
      <c r="K163" s="2" t="n">
        <v>1606</v>
      </c>
      <c r="L163" t="n">
        <v>82</v>
      </c>
      <c r="M163" s="3" t="n">
        <v>1835</v>
      </c>
      <c r="N163" s="4" t="n">
        <v>1150</v>
      </c>
      <c r="O163" s="4" t="n">
        <v>-685</v>
      </c>
      <c r="P163" s="5" t="inlineStr">
        <is>
          <t>medium</t>
        </is>
      </c>
      <c r="Q163" t="inlineStr">
        <is>
          <t>flat</t>
        </is>
      </c>
      <c r="R163" s="6" t="n">
        <v>1150</v>
      </c>
      <c r="S163" t="inlineStr">
        <is>
          <t>research</t>
        </is>
      </c>
      <c r="T163" s="5" t="inlineStr">
        <is>
          <t>Solio's 1,835 reflects his standing as an Eddie Howe regular. Under Jaissle he was an unused substitute v Everton and was not in the matchday squad at all v Leverkusen, while Elanga started both. He is 31 with 12 months left on his contract, valued at around EUR 12m, and Everton have been interested. Not cut further because he is a genuine multi-position senior option and has said he wants to stay and fight for his place.</t>
        </is>
      </c>
      <c r="U163" s="6" t="n">
        <v>73.09999999999999</v>
      </c>
      <c r="V163" s="2" t="n">
        <v>19</v>
      </c>
      <c r="W163" s="7">
        <f>IF(N(U163)&lt;=0,0,MIN(Assumptions!$B$15,N(R163)/N(U163)))</f>
        <v/>
      </c>
      <c r="X163" s="6" t="n">
        <v>0.248</v>
      </c>
      <c r="Y163" s="3" t="n">
        <v>0.1588</v>
      </c>
      <c r="Z163" t="inlineStr">
        <is>
          <t>adjusted xGOT</t>
        </is>
      </c>
      <c r="AA163" s="3" t="n">
        <v>1</v>
      </c>
      <c r="AB163" s="3" t="n">
        <v>0.923</v>
      </c>
      <c r="AC163" s="3" t="n">
        <v>14.6</v>
      </c>
      <c r="AD163" s="3" t="n">
        <v>0.2086</v>
      </c>
      <c r="AE163" s="3" t="n">
        <v>6.137</v>
      </c>
      <c r="AF163" s="3" t="n">
        <v>0.005327393138960246</v>
      </c>
      <c r="AG163" s="3" t="n">
        <v>0.2802</v>
      </c>
      <c r="AH163" s="3" t="n">
        <v>50</v>
      </c>
      <c r="AI163" s="3" t="n">
        <v>3.0912</v>
      </c>
      <c r="AJ163" s="3" t="n">
        <v>1.4534</v>
      </c>
      <c r="AK163" s="3" t="n">
        <v>-0.1624120086980674</v>
      </c>
      <c r="AL163" s="6" t="n">
        <v>0</v>
      </c>
      <c r="AM163" s="3" t="n">
        <v>0</v>
      </c>
      <c r="AN163" s="3" t="n">
        <v>0.794</v>
      </c>
      <c r="AO163" s="3" t="n">
        <v>0.8260560000000001</v>
      </c>
      <c r="AP163" s="3">
        <f>N(X163)*N(BI163)</f>
        <v/>
      </c>
      <c r="AQ163" s="3" t="n">
        <v>0.2802</v>
      </c>
      <c r="AR163" s="3" t="n">
        <v>0</v>
      </c>
      <c r="AS163" s="3" t="n">
        <v>-0</v>
      </c>
      <c r="AT163" s="3" t="n">
        <v>-0.1624120086980674</v>
      </c>
      <c r="AU163" s="3">
        <f>SUM(AN163:AT163)</f>
        <v/>
      </c>
      <c r="AV163" s="7">
        <f>IF(OR(N(W163)&lt;=0,N(BG163)=0),0,N(W163)*IF(N(R163)/N(W163)&gt;=60,N(BG163),1))</f>
        <v/>
      </c>
      <c r="AW163" s="7">
        <f>N(W163)*N(AF163)*N(BH163)</f>
        <v/>
      </c>
      <c r="AX163" s="7">
        <f>N(AL163)*(Assumptions!$B$13*N(BJ163)-(1-Assumptions!$B$13)*Assumptions!$B$14)+N(AM163)</f>
        <v/>
      </c>
      <c r="AY163" s="7">
        <f>N(AU163)*N(R163)/90+N(AV163)+N(AW163)+N(AX163)</f>
        <v/>
      </c>
      <c r="AZ163" s="3">
        <f>IF(N(R163)&lt;=0,0,(N(AY163)-N(AX163))*90/N(R163))</f>
        <v/>
      </c>
      <c r="BA163" s="7">
        <f>IFERROR(AY163-VLOOKUP($E163,Assumptions!$A$40:$C$43,3,FALSE),"")</f>
        <v/>
      </c>
      <c r="BB163" s="3">
        <f>IFERROR(BA163/H163,"")</f>
        <v/>
      </c>
      <c r="BC163">
        <f>IF(AND($G163=TRUE,$E163="GKP"),AY163,"")</f>
        <v/>
      </c>
      <c r="BD163">
        <f>IF(AND($G163=TRUE,$E163="DEF"),AY163,"")</f>
        <v/>
      </c>
      <c r="BE163">
        <f>IF(AND($G163=TRUE,$E163="MID"),AY163,"")</f>
        <v/>
      </c>
      <c r="BF163">
        <f>IF(AND($G163=TRUE,$E163="FWD"),AY163,"")</f>
        <v/>
      </c>
      <c r="BG163" t="n">
        <v>2</v>
      </c>
      <c r="BH163" t="n">
        <v>2</v>
      </c>
      <c r="BI163" t="n">
        <v>1</v>
      </c>
      <c r="BJ163" t="n">
        <v>5</v>
      </c>
    </row>
    <row r="164">
      <c r="A164" t="inlineStr">
        <is>
          <t>Kenny Tete</t>
        </is>
      </c>
      <c r="B164" t="inlineStr">
        <is>
          <t>FUL</t>
        </is>
      </c>
      <c r="C164" t="inlineStr">
        <is>
          <t>FUL</t>
        </is>
      </c>
      <c r="D164" t="b">
        <v>0</v>
      </c>
      <c r="E164" t="inlineStr">
        <is>
          <t>DEF</t>
        </is>
      </c>
      <c r="F164" t="inlineStr">
        <is>
          <t>DEF</t>
        </is>
      </c>
      <c r="G164" t="b">
        <v>1</v>
      </c>
      <c r="H164" s="2" t="n">
        <v>4.5</v>
      </c>
      <c r="I164" t="inlineStr">
        <is>
          <t>a</t>
        </is>
      </c>
      <c r="K164" s="2" t="n">
        <v>1791</v>
      </c>
      <c r="L164" t="n">
        <v>81</v>
      </c>
      <c r="M164" s="3" t="n">
        <v>1528</v>
      </c>
      <c r="N164" s="8" t="n">
        <v>1528</v>
      </c>
      <c r="O164" s="8" t="n">
        <v>0</v>
      </c>
      <c r="Q164" t="inlineStr">
        <is>
          <t>flat</t>
        </is>
      </c>
      <c r="R164" s="6" t="n">
        <v>1528</v>
      </c>
      <c r="S164" t="inlineStr">
        <is>
          <t>Solio</t>
        </is>
      </c>
      <c r="U164" s="6" t="n">
        <v>85.09999999999999</v>
      </c>
      <c r="V164" s="2" t="n">
        <v>21</v>
      </c>
      <c r="W164" s="7">
        <f>IF(N(U164)&lt;=0,0,MIN(Assumptions!$B$15,N(R164)/N(U164)))</f>
        <v/>
      </c>
      <c r="X164" s="6" t="n">
        <v>0.214</v>
      </c>
      <c r="Y164" s="3" t="n">
        <v>0.0396</v>
      </c>
      <c r="Z164" t="inlineStr">
        <is>
          <t>adjusted xGOT</t>
        </is>
      </c>
      <c r="AA164" s="3" t="n">
        <v>1</v>
      </c>
      <c r="AB164" s="3" t="n">
        <v>0.858</v>
      </c>
      <c r="AC164" s="3" t="n">
        <v>3.9</v>
      </c>
      <c r="AD164" s="3" t="n">
        <v>0.0605</v>
      </c>
      <c r="AE164" s="3" t="n">
        <v>8.118</v>
      </c>
      <c r="AF164" s="3" t="n">
        <v>0.244078093531879</v>
      </c>
      <c r="AG164" s="3" t="n">
        <v>0.2513</v>
      </c>
      <c r="AH164" s="3" t="n">
        <v>41</v>
      </c>
      <c r="AI164" s="3" t="n">
        <v>3.22</v>
      </c>
      <c r="AJ164" s="3" t="n">
        <v>1.6019</v>
      </c>
      <c r="AK164" s="3" t="n">
        <v>-0.1905925778562175</v>
      </c>
      <c r="AL164" s="6" t="n">
        <v>0</v>
      </c>
      <c r="AM164" s="3" t="n">
        <v>0</v>
      </c>
      <c r="AN164" s="3" t="n">
        <v>0.2376</v>
      </c>
      <c r="AO164" s="3" t="n">
        <v>0.23958</v>
      </c>
      <c r="AP164" s="3">
        <f>N(X164)*N(BI164)</f>
        <v/>
      </c>
      <c r="AQ164" s="3" t="n">
        <v>0.2513</v>
      </c>
      <c r="AR164" s="3" t="n">
        <v>0</v>
      </c>
      <c r="AS164" s="3" t="n">
        <v>-0.5611019003833156</v>
      </c>
      <c r="AT164" s="3" t="n">
        <v>-0.1905925778562175</v>
      </c>
      <c r="AU164" s="3">
        <f>SUM(AN164:AT164)</f>
        <v/>
      </c>
      <c r="AV164" s="7">
        <f>IF(OR(N(W164)&lt;=0,N(BG164)=0),0,N(W164)*IF(N(R164)/N(W164)&gt;=60,N(BG164),1))</f>
        <v/>
      </c>
      <c r="AW164" s="7">
        <f>N(W164)*N(AF164)*N(BH164)</f>
        <v/>
      </c>
      <c r="AX164" s="7">
        <f>N(AL164)*(Assumptions!$B$13*N(BJ164)-(1-Assumptions!$B$13)*Assumptions!$B$14)+N(AM164)</f>
        <v/>
      </c>
      <c r="AY164" s="7">
        <f>N(AU164)*N(R164)/90+N(AV164)+N(AW164)+N(AX164)</f>
        <v/>
      </c>
      <c r="AZ164" s="3">
        <f>IF(N(R164)&lt;=0,0,(N(AY164)-N(AX164))*90/N(R164))</f>
        <v/>
      </c>
      <c r="BA164" s="7">
        <f>IFERROR(AY164-VLOOKUP($E164,Assumptions!$A$40:$C$43,3,FALSE),"")</f>
        <v/>
      </c>
      <c r="BB164" s="3">
        <f>IFERROR(BA164/H164,"")</f>
        <v/>
      </c>
      <c r="BC164">
        <f>IF(AND($G164=TRUE,$E164="GKP"),AY164,"")</f>
        <v/>
      </c>
      <c r="BD164">
        <f>IF(AND($G164=TRUE,$E164="DEF"),AY164,"")</f>
        <v/>
      </c>
      <c r="BE164">
        <f>IF(AND($G164=TRUE,$E164="MID"),AY164,"")</f>
        <v/>
      </c>
      <c r="BF164">
        <f>IF(AND($G164=TRUE,$E164="FWD"),AY164,"")</f>
        <v/>
      </c>
      <c r="BG164" t="n">
        <v>2</v>
      </c>
      <c r="BH164" t="n">
        <v>2</v>
      </c>
      <c r="BI164" t="n">
        <v>4</v>
      </c>
      <c r="BJ164" t="n">
        <v>6</v>
      </c>
    </row>
    <row r="165">
      <c r="A165" s="9" t="inlineStr">
        <is>
          <t>Sandro Tonali</t>
        </is>
      </c>
      <c r="B165" t="inlineStr">
        <is>
          <t>TOT</t>
        </is>
      </c>
      <c r="C165" s="9" t="inlineStr">
        <is>
          <t>NEW</t>
        </is>
      </c>
      <c r="D165" t="b">
        <v>1</v>
      </c>
      <c r="E165" t="inlineStr">
        <is>
          <t>MID</t>
        </is>
      </c>
      <c r="F165" t="inlineStr">
        <is>
          <t>MID</t>
        </is>
      </c>
      <c r="G165" t="b">
        <v>1</v>
      </c>
      <c r="H165" s="2" t="n">
        <v>5.5</v>
      </c>
      <c r="I165" t="inlineStr">
        <is>
          <t>a</t>
        </is>
      </c>
      <c r="K165" s="2" t="n">
        <v>2534</v>
      </c>
      <c r="L165" t="n">
        <v>81</v>
      </c>
      <c r="M165" s="3" t="n">
        <v>2918</v>
      </c>
      <c r="N165" s="8" t="n">
        <v>2918</v>
      </c>
      <c r="O165" s="8" t="n">
        <v>0</v>
      </c>
      <c r="Q165" t="inlineStr">
        <is>
          <t>flat</t>
        </is>
      </c>
      <c r="R165" s="6" t="n">
        <v>2918</v>
      </c>
      <c r="S165" t="inlineStr">
        <is>
          <t>Solio</t>
        </is>
      </c>
      <c r="U165" s="6" t="n">
        <v>80.2</v>
      </c>
      <c r="V165" s="2" t="n">
        <v>31</v>
      </c>
      <c r="W165" s="7">
        <f>IF(N(U165)&lt;=0,0,MIN(Assumptions!$B$15,N(R165)/N(U165)))</f>
        <v/>
      </c>
      <c r="X165" s="6" t="n">
        <v>0.286</v>
      </c>
      <c r="Y165" s="10" t="n">
        <v>0.0645</v>
      </c>
      <c r="Z165" t="inlineStr">
        <is>
          <t>adjusted xGOT</t>
        </is>
      </c>
      <c r="AA165" s="3" t="n">
        <v>1</v>
      </c>
      <c r="AB165" s="3" t="n">
        <v>1.038</v>
      </c>
      <c r="AC165" s="3" t="n">
        <v>6.8</v>
      </c>
      <c r="AD165" s="10" t="n">
        <v>0.1177</v>
      </c>
      <c r="AE165" s="3" t="n">
        <v>9.006</v>
      </c>
      <c r="AF165" s="3" t="n">
        <v>0.1137624719081718</v>
      </c>
      <c r="AG165" s="3" t="n">
        <v>0.0355</v>
      </c>
      <c r="AH165" s="3" t="n">
        <v>62</v>
      </c>
      <c r="AI165" s="3" t="n">
        <v>2.5739</v>
      </c>
      <c r="AJ165" s="3" t="n">
        <v>1.3096</v>
      </c>
      <c r="AK165" s="3" t="n">
        <v>-0.1894479769331817</v>
      </c>
      <c r="AL165" s="6" t="n">
        <v>0</v>
      </c>
      <c r="AM165" s="3" t="n">
        <v>0</v>
      </c>
      <c r="AN165" s="10" t="n">
        <v>0.3225</v>
      </c>
      <c r="AO165" s="10" t="n">
        <v>0.466092</v>
      </c>
      <c r="AP165" s="3">
        <f>N(X165)*N(BI165)</f>
        <v/>
      </c>
      <c r="AQ165" s="3" t="n">
        <v>0.0355</v>
      </c>
      <c r="AR165" s="3" t="n">
        <v>0</v>
      </c>
      <c r="AS165" s="3" t="n">
        <v>-0</v>
      </c>
      <c r="AT165" s="3" t="n">
        <v>-0.1894479769331817</v>
      </c>
      <c r="AU165" s="3">
        <f>SUM(AN165:AT165)</f>
        <v/>
      </c>
      <c r="AV165" s="7">
        <f>IF(OR(N(W165)&lt;=0,N(BG165)=0),0,N(W165)*IF(N(R165)/N(W165)&gt;=60,N(BG165),1))</f>
        <v/>
      </c>
      <c r="AW165" s="7">
        <f>N(W165)*N(AF165)*N(BH165)</f>
        <v/>
      </c>
      <c r="AX165" s="7">
        <f>N(AL165)*(Assumptions!$B$13*N(BJ165)-(1-Assumptions!$B$13)*Assumptions!$B$14)+N(AM165)</f>
        <v/>
      </c>
      <c r="AY165" s="7">
        <f>N(AU165)*N(R165)/90+N(AV165)+N(AW165)+N(AX165)</f>
        <v/>
      </c>
      <c r="AZ165" s="3">
        <f>IF(N(R165)&lt;=0,0,(N(AY165)-N(AX165))*90/N(R165))</f>
        <v/>
      </c>
      <c r="BA165" s="7">
        <f>IFERROR(AY165-VLOOKUP($E165,Assumptions!$A$40:$C$43,3,FALSE),"")</f>
        <v/>
      </c>
      <c r="BB165" s="3">
        <f>IFERROR(BA165/H165,"")</f>
        <v/>
      </c>
      <c r="BC165">
        <f>IF(AND($G165=TRUE,$E165="GKP"),AY165,"")</f>
        <v/>
      </c>
      <c r="BD165">
        <f>IF(AND($G165=TRUE,$E165="DEF"),AY165,"")</f>
        <v/>
      </c>
      <c r="BE165">
        <f>IF(AND($G165=TRUE,$E165="MID"),AY165,"")</f>
        <v/>
      </c>
      <c r="BF165">
        <f>IF(AND($G165=TRUE,$E165="FWD"),AY165,"")</f>
        <v/>
      </c>
      <c r="BG165" t="n">
        <v>2</v>
      </c>
      <c r="BH165" t="n">
        <v>2</v>
      </c>
      <c r="BI165" t="n">
        <v>1</v>
      </c>
      <c r="BJ165" t="n">
        <v>5</v>
      </c>
    </row>
    <row r="166">
      <c r="A166" t="inlineStr">
        <is>
          <t>Curtis Jones</t>
        </is>
      </c>
      <c r="B166" t="inlineStr">
        <is>
          <t>LIV</t>
        </is>
      </c>
      <c r="C166" t="inlineStr">
        <is>
          <t>LIV</t>
        </is>
      </c>
      <c r="D166" t="b">
        <v>0</v>
      </c>
      <c r="E166" t="inlineStr">
        <is>
          <t>MID</t>
        </is>
      </c>
      <c r="F166" t="inlineStr">
        <is>
          <t>MID</t>
        </is>
      </c>
      <c r="G166" t="b">
        <v>1</v>
      </c>
      <c r="H166" s="2" t="n">
        <v>5.5</v>
      </c>
      <c r="I166" t="inlineStr">
        <is>
          <t>a</t>
        </is>
      </c>
      <c r="K166" s="2" t="n">
        <v>1923</v>
      </c>
      <c r="L166" t="n">
        <v>81</v>
      </c>
      <c r="M166" s="3" t="n">
        <v>697</v>
      </c>
      <c r="N166" s="4" t="n">
        <v>500</v>
      </c>
      <c r="O166" s="4" t="n">
        <v>-197</v>
      </c>
      <c r="P166" s="5" t="inlineStr">
        <is>
          <t>low</t>
        </is>
      </c>
      <c r="Q166" t="inlineStr">
        <is>
          <t>fade (losing his place)</t>
        </is>
      </c>
      <c r="R166" s="6" t="n">
        <v>500</v>
      </c>
      <c r="S166" t="inlineStr">
        <is>
          <t>research</t>
        </is>
      </c>
      <c r="T166" s="5" t="inlineStr">
        <is>
          <t>Jones is described by This Is Anfield as having a future 'far from certain', Opta's squad audit lists him as a potential departure with Inter linked, and he picked up a hip issue in the Monaco week. He is behind Gravenberch, Szoboszlai, Mac Allister and now Nyoni in the pivot. Small trim on Solio's 697.</t>
        </is>
      </c>
      <c r="U166" s="6" t="n">
        <v>82</v>
      </c>
      <c r="V166" s="2" t="n">
        <v>18</v>
      </c>
      <c r="W166" s="7">
        <f>IF(N(U166)&lt;=0,0,MIN(Assumptions!$B$15,N(R166)/N(U166)))</f>
        <v/>
      </c>
      <c r="X166" s="6" t="n">
        <v>0.342</v>
      </c>
      <c r="Y166" s="3" t="n">
        <v>0.1026</v>
      </c>
      <c r="Z166" t="inlineStr">
        <is>
          <t>adjusted xGOT</t>
        </is>
      </c>
      <c r="AA166" s="3" t="n">
        <v>1</v>
      </c>
      <c r="AB166" s="3" t="n">
        <v>0.992</v>
      </c>
      <c r="AC166" s="3" t="n">
        <v>10.4</v>
      </c>
      <c r="AD166" s="3" t="n">
        <v>0.1311</v>
      </c>
      <c r="AE166" s="3" t="n">
        <v>10.407</v>
      </c>
      <c r="AF166" s="3" t="n">
        <v>0.2460861372337647</v>
      </c>
      <c r="AG166" s="3" t="n">
        <v>0.2808</v>
      </c>
      <c r="AH166" s="3" t="n">
        <v>52</v>
      </c>
      <c r="AI166" s="3" t="n">
        <v>2.409</v>
      </c>
      <c r="AJ166" s="3" t="n">
        <v>1.1228</v>
      </c>
      <c r="AK166" s="3" t="n">
        <v>-0.1464470669376201</v>
      </c>
      <c r="AL166" s="6" t="n">
        <v>0</v>
      </c>
      <c r="AM166" s="3" t="n">
        <v>0</v>
      </c>
      <c r="AN166" s="3" t="n">
        <v>0.513</v>
      </c>
      <c r="AO166" s="3" t="n">
        <v>0.519156</v>
      </c>
      <c r="AP166" s="3">
        <f>N(X166)*N(BI166)</f>
        <v/>
      </c>
      <c r="AQ166" s="3" t="n">
        <v>0.2808</v>
      </c>
      <c r="AR166" s="3" t="n">
        <v>0</v>
      </c>
      <c r="AS166" s="3" t="n">
        <v>-0</v>
      </c>
      <c r="AT166" s="3" t="n">
        <v>-0.1464470669376201</v>
      </c>
      <c r="AU166" s="3">
        <f>SUM(AN166:AT166)</f>
        <v/>
      </c>
      <c r="AV166" s="7">
        <f>IF(OR(N(W166)&lt;=0,N(BG166)=0),0,N(W166)*IF(N(R166)/N(W166)&gt;=60,N(BG166),1))</f>
        <v/>
      </c>
      <c r="AW166" s="7">
        <f>N(W166)*N(AF166)*N(BH166)</f>
        <v/>
      </c>
      <c r="AX166" s="7">
        <f>N(AL166)*(Assumptions!$B$13*N(BJ166)-(1-Assumptions!$B$13)*Assumptions!$B$14)+N(AM166)</f>
        <v/>
      </c>
      <c r="AY166" s="7">
        <f>N(AU166)*N(R166)/90+N(AV166)+N(AW166)+N(AX166)</f>
        <v/>
      </c>
      <c r="AZ166" s="3">
        <f>IF(N(R166)&lt;=0,0,(N(AY166)-N(AX166))*90/N(R166))</f>
        <v/>
      </c>
      <c r="BA166" s="7">
        <f>IFERROR(AY166-VLOOKUP($E166,Assumptions!$A$40:$C$43,3,FALSE),"")</f>
        <v/>
      </c>
      <c r="BB166" s="3">
        <f>IFERROR(BA166/H166,"")</f>
        <v/>
      </c>
      <c r="BC166">
        <f>IF(AND($G166=TRUE,$E166="GKP"),AY166,"")</f>
        <v/>
      </c>
      <c r="BD166">
        <f>IF(AND($G166=TRUE,$E166="DEF"),AY166,"")</f>
        <v/>
      </c>
      <c r="BE166">
        <f>IF(AND($G166=TRUE,$E166="MID"),AY166,"")</f>
        <v/>
      </c>
      <c r="BF166">
        <f>IF(AND($G166=TRUE,$E166="FWD"),AY166,"")</f>
        <v/>
      </c>
      <c r="BG166" t="n">
        <v>2</v>
      </c>
      <c r="BH166" t="n">
        <v>2</v>
      </c>
      <c r="BI166" t="n">
        <v>1</v>
      </c>
      <c r="BJ166" t="n">
        <v>5</v>
      </c>
    </row>
    <row r="167">
      <c r="A167" t="inlineStr">
        <is>
          <t>Noah Sadiki</t>
        </is>
      </c>
      <c r="B167" t="inlineStr">
        <is>
          <t>SUN</t>
        </is>
      </c>
      <c r="C167" t="inlineStr">
        <is>
          <t>SUN</t>
        </is>
      </c>
      <c r="D167" t="b">
        <v>0</v>
      </c>
      <c r="E167" t="inlineStr">
        <is>
          <t>MID</t>
        </is>
      </c>
      <c r="F167" t="inlineStr">
        <is>
          <t>MID</t>
        </is>
      </c>
      <c r="G167" t="b">
        <v>1</v>
      </c>
      <c r="H167" s="2" t="n">
        <v>5</v>
      </c>
      <c r="I167" t="inlineStr">
        <is>
          <t>a</t>
        </is>
      </c>
      <c r="K167" s="2" t="n">
        <v>2891</v>
      </c>
      <c r="L167" t="n">
        <v>80</v>
      </c>
      <c r="M167" s="3" t="n">
        <v>2842</v>
      </c>
      <c r="N167" s="8" t="n">
        <v>2842</v>
      </c>
      <c r="O167" s="8" t="n">
        <v>0</v>
      </c>
      <c r="Q167" t="inlineStr">
        <is>
          <t>flat</t>
        </is>
      </c>
      <c r="R167" s="6" t="n">
        <v>2842</v>
      </c>
      <c r="S167" t="inlineStr">
        <is>
          <t>Solio</t>
        </is>
      </c>
      <c r="U167" s="6" t="n">
        <v>85.90000000000001</v>
      </c>
      <c r="V167" s="2" t="n">
        <v>33</v>
      </c>
      <c r="W167" s="7">
        <f>IF(N(U167)&lt;=0,0,MIN(Assumptions!$B$15,N(R167)/N(U167)))</f>
        <v/>
      </c>
      <c r="X167" s="6" t="n">
        <v>0.204</v>
      </c>
      <c r="Y167" s="3" t="n">
        <v>0.0411</v>
      </c>
      <c r="Z167" t="inlineStr">
        <is>
          <t>adjusted xGOT</t>
        </is>
      </c>
      <c r="AA167" s="3" t="n">
        <v>1</v>
      </c>
      <c r="AB167" s="3" t="n">
        <v>0.923</v>
      </c>
      <c r="AC167" s="3" t="n">
        <v>1.4</v>
      </c>
      <c r="AD167" s="3" t="n">
        <v>0.0372</v>
      </c>
      <c r="AE167" s="3" t="n">
        <v>7.891</v>
      </c>
      <c r="AF167" s="3" t="n">
        <v>0.08109952085823458</v>
      </c>
      <c r="AG167" s="3" t="n">
        <v>0</v>
      </c>
      <c r="AH167" s="3" t="n">
        <v>66</v>
      </c>
      <c r="AI167" s="3" t="n">
        <v>3.3348</v>
      </c>
      <c r="AJ167" s="3" t="n">
        <v>1.6498</v>
      </c>
      <c r="AK167" s="3" t="n">
        <v>-0.2699592457539504</v>
      </c>
      <c r="AL167" s="6" t="n">
        <v>0</v>
      </c>
      <c r="AM167" s="3" t="n">
        <v>0</v>
      </c>
      <c r="AN167" s="3" t="n">
        <v>0.2055</v>
      </c>
      <c r="AO167" s="3" t="n">
        <v>0.147312</v>
      </c>
      <c r="AP167" s="3">
        <f>N(X167)*N(BI167)</f>
        <v/>
      </c>
      <c r="AQ167" s="3" t="n">
        <v>0</v>
      </c>
      <c r="AR167" s="3" t="n">
        <v>0</v>
      </c>
      <c r="AS167" s="3" t="n">
        <v>-0</v>
      </c>
      <c r="AT167" s="3" t="n">
        <v>-0.2699592457539504</v>
      </c>
      <c r="AU167" s="3">
        <f>SUM(AN167:AT167)</f>
        <v/>
      </c>
      <c r="AV167" s="7">
        <f>IF(OR(N(W167)&lt;=0,N(BG167)=0),0,N(W167)*IF(N(R167)/N(W167)&gt;=60,N(BG167),1))</f>
        <v/>
      </c>
      <c r="AW167" s="7">
        <f>N(W167)*N(AF167)*N(BH167)</f>
        <v/>
      </c>
      <c r="AX167" s="7">
        <f>N(AL167)*(Assumptions!$B$13*N(BJ167)-(1-Assumptions!$B$13)*Assumptions!$B$14)+N(AM167)</f>
        <v/>
      </c>
      <c r="AY167" s="7">
        <f>N(AU167)*N(R167)/90+N(AV167)+N(AW167)+N(AX167)</f>
        <v/>
      </c>
      <c r="AZ167" s="3">
        <f>IF(N(R167)&lt;=0,0,(N(AY167)-N(AX167))*90/N(R167))</f>
        <v/>
      </c>
      <c r="BA167" s="7">
        <f>IFERROR(AY167-VLOOKUP($E167,Assumptions!$A$40:$C$43,3,FALSE),"")</f>
        <v/>
      </c>
      <c r="BB167" s="3">
        <f>IFERROR(BA167/H167,"")</f>
        <v/>
      </c>
      <c r="BC167">
        <f>IF(AND($G167=TRUE,$E167="GKP"),AY167,"")</f>
        <v/>
      </c>
      <c r="BD167">
        <f>IF(AND($G167=TRUE,$E167="DEF"),AY167,"")</f>
        <v/>
      </c>
      <c r="BE167">
        <f>IF(AND($G167=TRUE,$E167="MID"),AY167,"")</f>
        <v/>
      </c>
      <c r="BF167">
        <f>IF(AND($G167=TRUE,$E167="FWD"),AY167,"")</f>
        <v/>
      </c>
      <c r="BG167" t="n">
        <v>2</v>
      </c>
      <c r="BH167" t="n">
        <v>2</v>
      </c>
      <c r="BI167" t="n">
        <v>1</v>
      </c>
      <c r="BJ167" t="n">
        <v>5</v>
      </c>
    </row>
    <row r="168">
      <c r="A168" t="inlineStr">
        <is>
          <t>Xavi Simons</t>
        </is>
      </c>
      <c r="B168" t="inlineStr">
        <is>
          <t>TOT</t>
        </is>
      </c>
      <c r="C168" t="inlineStr">
        <is>
          <t>TOT</t>
        </is>
      </c>
      <c r="D168" t="b">
        <v>0</v>
      </c>
      <c r="E168" t="inlineStr">
        <is>
          <t>MID</t>
        </is>
      </c>
      <c r="F168" t="inlineStr">
        <is>
          <t>MID</t>
        </is>
      </c>
      <c r="G168" t="b">
        <v>1</v>
      </c>
      <c r="H168" s="2" t="n">
        <v>6</v>
      </c>
      <c r="I168" t="inlineStr">
        <is>
          <t>i</t>
        </is>
      </c>
      <c r="J168" t="inlineStr">
        <is>
          <t>Knee injury - Unknown return date</t>
        </is>
      </c>
      <c r="K168" s="2" t="n">
        <v>1747</v>
      </c>
      <c r="L168" t="n">
        <v>80</v>
      </c>
      <c r="M168" s="3" t="n">
        <v>2160</v>
      </c>
      <c r="N168" s="4" t="n">
        <v>750</v>
      </c>
      <c r="O168" s="4" t="n">
        <v>-1410</v>
      </c>
      <c r="P168" s="5" t="inlineStr">
        <is>
          <t>high</t>
        </is>
      </c>
      <c r="Q168" t="inlineStr">
        <is>
          <t>ramp-up (injury / late WC return)</t>
        </is>
      </c>
      <c r="R168" s="6" t="n">
        <v>750</v>
      </c>
      <c r="S168" t="inlineStr">
        <is>
          <t>research</t>
        </is>
      </c>
      <c r="T168" s="5" t="inlineStr">
        <is>
          <t>Solio's 'ramp-up' pattern treats this as a short absence. It is not: Simons ruptured his ACL against Wolves on 25 April 2026, had surgery on 5 May, and Gold puts the return at 'early 2027 with the same nine month timeline'. Nine months from surgery is February 2027, leaving roughly a dozen fixtures, and clubs do not throw ACL returnees straight back into 90-minute games. 750 minutes assumes a February return easing in off the bench and a handful of late-season starts.</t>
        </is>
      </c>
      <c r="U168" s="6" t="n">
        <v>80.59999999999999</v>
      </c>
      <c r="V168" s="2" t="n">
        <v>18</v>
      </c>
      <c r="W168" s="7">
        <f>IF(N(U168)&lt;=0,0,MIN(Assumptions!$B$15,N(R168)/N(U168)))</f>
        <v/>
      </c>
      <c r="X168" s="6" t="n">
        <v>0.286</v>
      </c>
      <c r="Y168" s="3" t="n">
        <v>0.1625</v>
      </c>
      <c r="Z168" t="inlineStr">
        <is>
          <t>adjusted xGOT</t>
        </is>
      </c>
      <c r="AA168" s="3" t="n">
        <v>1</v>
      </c>
      <c r="AB168" s="3" t="n">
        <v>1.031</v>
      </c>
      <c r="AC168" s="3" t="n">
        <v>3.1</v>
      </c>
      <c r="AD168" s="3" t="n">
        <v>0.219</v>
      </c>
      <c r="AE168" s="3" t="n">
        <v>7.939</v>
      </c>
      <c r="AF168" s="3" t="n">
        <v>0.05846674060078405</v>
      </c>
      <c r="AG168" s="3" t="n">
        <v>0.3606</v>
      </c>
      <c r="AH168" s="3" t="n">
        <v>46</v>
      </c>
      <c r="AI168" s="3" t="n">
        <v>2.5739</v>
      </c>
      <c r="AJ168" s="3" t="n">
        <v>1.3096</v>
      </c>
      <c r="AK168" s="3" t="n">
        <v>-0.2479332834975935</v>
      </c>
      <c r="AL168" s="6" t="n">
        <v>0.3044840511740968</v>
      </c>
      <c r="AM168" s="3" t="n">
        <v>0</v>
      </c>
      <c r="AN168" s="3" t="n">
        <v>0.8125</v>
      </c>
      <c r="AO168" s="3" t="n">
        <v>0.8672400000000001</v>
      </c>
      <c r="AP168" s="3">
        <f>N(X168)*N(BI168)</f>
        <v/>
      </c>
      <c r="AQ168" s="3" t="n">
        <v>0.3606</v>
      </c>
      <c r="AR168" s="3" t="n">
        <v>0</v>
      </c>
      <c r="AS168" s="3" t="n">
        <v>-0</v>
      </c>
      <c r="AT168" s="3" t="n">
        <v>-0.2479332834975935</v>
      </c>
      <c r="AU168" s="3">
        <f>SUM(AN168:AT168)</f>
        <v/>
      </c>
      <c r="AV168" s="7">
        <f>IF(OR(N(W168)&lt;=0,N(BG168)=0),0,N(W168)*IF(N(R168)/N(W168)&gt;=60,N(BG168),1))</f>
        <v/>
      </c>
      <c r="AW168" s="7">
        <f>N(W168)*N(AF168)*N(BH168)</f>
        <v/>
      </c>
      <c r="AX168" s="7">
        <f>N(AL168)*(Assumptions!$B$13*N(BJ168)-(1-Assumptions!$B$13)*Assumptions!$B$14)+N(AM168)</f>
        <v/>
      </c>
      <c r="AY168" s="7">
        <f>N(AU168)*N(R168)/90+N(AV168)+N(AW168)+N(AX168)</f>
        <v/>
      </c>
      <c r="AZ168" s="3">
        <f>IF(N(R168)&lt;=0,0,(N(AY168)-N(AX168))*90/N(R168))</f>
        <v/>
      </c>
      <c r="BA168" s="7">
        <f>IFERROR(AY168-VLOOKUP($E168,Assumptions!$A$40:$C$43,3,FALSE),"")</f>
        <v/>
      </c>
      <c r="BB168" s="3">
        <f>IFERROR(BA168/H168,"")</f>
        <v/>
      </c>
      <c r="BC168">
        <f>IF(AND($G168=TRUE,$E168="GKP"),AY168,"")</f>
        <v/>
      </c>
      <c r="BD168">
        <f>IF(AND($G168=TRUE,$E168="DEF"),AY168,"")</f>
        <v/>
      </c>
      <c r="BE168">
        <f>IF(AND($G168=TRUE,$E168="MID"),AY168,"")</f>
        <v/>
      </c>
      <c r="BF168">
        <f>IF(AND($G168=TRUE,$E168="FWD"),AY168,"")</f>
        <v/>
      </c>
      <c r="BG168" t="n">
        <v>2</v>
      </c>
      <c r="BH168" t="n">
        <v>2</v>
      </c>
      <c r="BI168" t="n">
        <v>1</v>
      </c>
      <c r="BJ168" t="n">
        <v>5</v>
      </c>
    </row>
    <row r="169">
      <c r="A169" t="inlineStr">
        <is>
          <t>Emile Smith Rowe</t>
        </is>
      </c>
      <c r="B169" t="inlineStr">
        <is>
          <t>FUL</t>
        </is>
      </c>
      <c r="C169" t="inlineStr">
        <is>
          <t>FUL</t>
        </is>
      </c>
      <c r="D169" t="b">
        <v>0</v>
      </c>
      <c r="E169" t="inlineStr">
        <is>
          <t>MID</t>
        </is>
      </c>
      <c r="F169" t="inlineStr">
        <is>
          <t>MID</t>
        </is>
      </c>
      <c r="G169" t="b">
        <v>1</v>
      </c>
      <c r="H169" s="2" t="n">
        <v>5.5</v>
      </c>
      <c r="I169" t="inlineStr">
        <is>
          <t>a</t>
        </is>
      </c>
      <c r="K169" s="2" t="n">
        <v>1909</v>
      </c>
      <c r="L169" t="n">
        <v>80</v>
      </c>
      <c r="M169" s="3" t="n">
        <v>1744</v>
      </c>
      <c r="N169" s="4" t="n">
        <v>1450</v>
      </c>
      <c r="O169" s="4" t="n">
        <v>-294</v>
      </c>
      <c r="P169" s="5" t="inlineStr">
        <is>
          <t>low</t>
        </is>
      </c>
      <c r="Q169" t="inlineStr">
        <is>
          <t>flat</t>
        </is>
      </c>
      <c r="R169" s="6" t="n">
        <v>1450</v>
      </c>
      <c r="S169" t="inlineStr">
        <is>
          <t>research</t>
        </is>
      </c>
      <c r="T169" s="5" t="inlineStr">
        <is>
          <t>Started one of the last three friendlies (12 Aug v Malaga) and was absent from the 15 Aug squad. The attacking-midfield pool is now Iwobi, Bobb, Kevin, King and Palacios for three slots after Palacios' 3 Aug arrival, so Solio's 1744 sits above what a five-into-three contest supports.</t>
        </is>
      </c>
      <c r="U169" s="6" t="n">
        <v>75.3</v>
      </c>
      <c r="V169" s="2" t="n">
        <v>22</v>
      </c>
      <c r="W169" s="7">
        <f>IF(N(U169)&lt;=0,0,MIN(Assumptions!$B$15,N(R169)/N(U169)))</f>
        <v/>
      </c>
      <c r="X169" s="6" t="n">
        <v>0.214</v>
      </c>
      <c r="Y169" s="3" t="n">
        <v>0.2074</v>
      </c>
      <c r="Z169" t="inlineStr">
        <is>
          <t>adjusted xGOT</t>
        </is>
      </c>
      <c r="AA169" s="3" t="n">
        <v>1</v>
      </c>
      <c r="AB169" s="3" t="n">
        <v>0.9340000000000001</v>
      </c>
      <c r="AC169" s="3" t="n">
        <v>11.3</v>
      </c>
      <c r="AD169" s="3" t="n">
        <v>0.0598</v>
      </c>
      <c r="AE169" s="3" t="n">
        <v>7.416</v>
      </c>
      <c r="AF169" s="3" t="n">
        <v>0.02510988288805482</v>
      </c>
      <c r="AG169" s="3" t="n">
        <v>0.09429999999999999</v>
      </c>
      <c r="AH169" s="3" t="n">
        <v>56</v>
      </c>
      <c r="AI169" s="3" t="n">
        <v>3.22</v>
      </c>
      <c r="AJ169" s="3" t="n">
        <v>1.6019</v>
      </c>
      <c r="AK169" s="3" t="n">
        <v>-0.1311571127881695</v>
      </c>
      <c r="AL169" s="6" t="n">
        <v>0</v>
      </c>
      <c r="AM169" s="3" t="n">
        <v>0</v>
      </c>
      <c r="AN169" s="3" t="n">
        <v>1.037</v>
      </c>
      <c r="AO169" s="3" t="n">
        <v>0.236808</v>
      </c>
      <c r="AP169" s="3">
        <f>N(X169)*N(BI169)</f>
        <v/>
      </c>
      <c r="AQ169" s="3" t="n">
        <v>0.09429999999999999</v>
      </c>
      <c r="AR169" s="3" t="n">
        <v>0</v>
      </c>
      <c r="AS169" s="3" t="n">
        <v>-0</v>
      </c>
      <c r="AT169" s="3" t="n">
        <v>-0.1311571127881695</v>
      </c>
      <c r="AU169" s="3">
        <f>SUM(AN169:AT169)</f>
        <v/>
      </c>
      <c r="AV169" s="7">
        <f>IF(OR(N(W169)&lt;=0,N(BG169)=0),0,N(W169)*IF(N(R169)/N(W169)&gt;=60,N(BG169),1))</f>
        <v/>
      </c>
      <c r="AW169" s="7">
        <f>N(W169)*N(AF169)*N(BH169)</f>
        <v/>
      </c>
      <c r="AX169" s="7">
        <f>N(AL169)*(Assumptions!$B$13*N(BJ169)-(1-Assumptions!$B$13)*Assumptions!$B$14)+N(AM169)</f>
        <v/>
      </c>
      <c r="AY169" s="7">
        <f>N(AU169)*N(R169)/90+N(AV169)+N(AW169)+N(AX169)</f>
        <v/>
      </c>
      <c r="AZ169" s="3">
        <f>IF(N(R169)&lt;=0,0,(N(AY169)-N(AX169))*90/N(R169))</f>
        <v/>
      </c>
      <c r="BA169" s="7">
        <f>IFERROR(AY169-VLOOKUP($E169,Assumptions!$A$40:$C$43,3,FALSE),"")</f>
        <v/>
      </c>
      <c r="BB169" s="3">
        <f>IFERROR(BA169/H169,"")</f>
        <v/>
      </c>
      <c r="BC169">
        <f>IF(AND($G169=TRUE,$E169="GKP"),AY169,"")</f>
        <v/>
      </c>
      <c r="BD169">
        <f>IF(AND($G169=TRUE,$E169="DEF"),AY169,"")</f>
        <v/>
      </c>
      <c r="BE169">
        <f>IF(AND($G169=TRUE,$E169="MID"),AY169,"")</f>
        <v/>
      </c>
      <c r="BF169">
        <f>IF(AND($G169=TRUE,$E169="FWD"),AY169,"")</f>
        <v/>
      </c>
      <c r="BG169" t="n">
        <v>2</v>
      </c>
      <c r="BH169" t="n">
        <v>2</v>
      </c>
      <c r="BI169" t="n">
        <v>1</v>
      </c>
      <c r="BJ169" t="n">
        <v>5</v>
      </c>
    </row>
    <row r="170">
      <c r="A170" s="9" t="inlineStr">
        <is>
          <t>Callum Wilson</t>
        </is>
      </c>
      <c r="B170" t="inlineStr">
        <is>
          <t>BRE</t>
        </is>
      </c>
      <c r="C170" s="9" t="inlineStr">
        <is>
          <t>WHU</t>
        </is>
      </c>
      <c r="D170" t="b">
        <v>1</v>
      </c>
      <c r="E170" t="inlineStr">
        <is>
          <t>FWD</t>
        </is>
      </c>
      <c r="F170" t="inlineStr">
        <is>
          <t>FWD</t>
        </is>
      </c>
      <c r="G170" t="b">
        <v>1</v>
      </c>
      <c r="H170" s="2" t="n">
        <v>5.5</v>
      </c>
      <c r="I170" t="inlineStr">
        <is>
          <t>a</t>
        </is>
      </c>
      <c r="K170" s="2" t="n">
        <v>1234</v>
      </c>
      <c r="L170" t="n">
        <v>80</v>
      </c>
      <c r="M170" s="3" t="n">
        <v>258</v>
      </c>
      <c r="N170" s="4" t="n">
        <v>450</v>
      </c>
      <c r="O170" s="4" t="n">
        <v>192</v>
      </c>
      <c r="P170" s="5" t="inlineStr">
        <is>
          <t>low</t>
        </is>
      </c>
      <c r="Q170" t="inlineStr">
        <is>
          <t>flat</t>
        </is>
      </c>
      <c r="R170" s="6" t="n">
        <v>450</v>
      </c>
      <c r="S170" t="inlineStr">
        <is>
          <t>research</t>
        </is>
      </c>
      <c r="T170" s="5" t="inlineStr">
        <is>
          <t>Signed on a free from West Ham on 9 July as the specialist deputy to Thiago. Replaced Thiago at half-time against Rennes and provided two assists, and scored against Wycombe. 258 minutes is below what a fit backup centre-forward at 5.5m typically returns across 38 matches. Kept modest because Thiago is close to ever-present and Wilson is 34 with a long injury record.</t>
        </is>
      </c>
      <c r="U170" s="6" t="n">
        <v>73.5</v>
      </c>
      <c r="V170" s="2" t="n">
        <v>11</v>
      </c>
      <c r="W170" s="7">
        <f>IF(N(U170)&lt;=0,0,MIN(Assumptions!$B$15,N(R170)/N(U170)))</f>
        <v/>
      </c>
      <c r="X170" s="6" t="n">
        <v>0.228</v>
      </c>
      <c r="Y170" s="10" t="n">
        <v>0.5348000000000001</v>
      </c>
      <c r="Z170" t="inlineStr">
        <is>
          <t>adjusted xGOT</t>
        </is>
      </c>
      <c r="AA170" s="3" t="n">
        <v>1</v>
      </c>
      <c r="AB170" s="3" t="n">
        <v>0.965</v>
      </c>
      <c r="AC170" s="3" t="n">
        <v>33.4</v>
      </c>
      <c r="AD170" s="10" t="n">
        <v>0.0571</v>
      </c>
      <c r="AE170" s="3" t="n">
        <v>3.655</v>
      </c>
      <c r="AF170" s="3" t="n">
        <v>6.812024585123311e-05</v>
      </c>
      <c r="AG170" s="3" t="n">
        <v>0.6564</v>
      </c>
      <c r="AH170" s="3" t="n">
        <v>40</v>
      </c>
      <c r="AI170" s="3" t="n">
        <v>3.2371</v>
      </c>
      <c r="AJ170" s="3" t="n">
        <v>1.5396</v>
      </c>
      <c r="AK170" s="3" t="n">
        <v>-0.1600721827938566</v>
      </c>
      <c r="AL170" s="6" t="n">
        <v>0</v>
      </c>
      <c r="AM170" s="3" t="n">
        <v>0</v>
      </c>
      <c r="AN170" s="10" t="n">
        <v>2.1392</v>
      </c>
      <c r="AO170" s="10" t="n">
        <v>0.226116</v>
      </c>
      <c r="AP170" s="3">
        <f>N(X170)*N(BI170)</f>
        <v/>
      </c>
      <c r="AQ170" s="3" t="n">
        <v>0.6564</v>
      </c>
      <c r="AR170" s="3" t="n">
        <v>0</v>
      </c>
      <c r="AS170" s="3" t="n">
        <v>-0</v>
      </c>
      <c r="AT170" s="3" t="n">
        <v>-0.1600721827938566</v>
      </c>
      <c r="AU170" s="3">
        <f>SUM(AN170:AT170)</f>
        <v/>
      </c>
      <c r="AV170" s="7">
        <f>IF(OR(N(W170)&lt;=0,N(BG170)=0),0,N(W170)*IF(N(R170)/N(W170)&gt;=60,N(BG170),1))</f>
        <v/>
      </c>
      <c r="AW170" s="7">
        <f>N(W170)*N(AF170)*N(BH170)</f>
        <v/>
      </c>
      <c r="AX170" s="7">
        <f>N(AL170)*(Assumptions!$B$13*N(BJ170)-(1-Assumptions!$B$13)*Assumptions!$B$14)+N(AM170)</f>
        <v/>
      </c>
      <c r="AY170" s="7">
        <f>N(AU170)*N(R170)/90+N(AV170)+N(AW170)+N(AX170)</f>
        <v/>
      </c>
      <c r="AZ170" s="3">
        <f>IF(N(R170)&lt;=0,0,(N(AY170)-N(AX170))*90/N(R170))</f>
        <v/>
      </c>
      <c r="BA170" s="7">
        <f>IFERROR(AY170-VLOOKUP($E170,Assumptions!$A$40:$C$43,3,FALSE),"")</f>
        <v/>
      </c>
      <c r="BB170" s="3">
        <f>IFERROR(BA170/H170,"")</f>
        <v/>
      </c>
      <c r="BC170">
        <f>IF(AND($G170=TRUE,$E170="GKP"),AY170,"")</f>
        <v/>
      </c>
      <c r="BD170">
        <f>IF(AND($G170=TRUE,$E170="DEF"),AY170,"")</f>
        <v/>
      </c>
      <c r="BE170">
        <f>IF(AND($G170=TRUE,$E170="MID"),AY170,"")</f>
        <v/>
      </c>
      <c r="BF170">
        <f>IF(AND($G170=TRUE,$E170="FWD"),AY170,"")</f>
        <v/>
      </c>
      <c r="BG170" t="n">
        <v>2</v>
      </c>
      <c r="BH170" t="n">
        <v>2</v>
      </c>
      <c r="BI170" t="n">
        <v>0</v>
      </c>
      <c r="BJ170" t="n">
        <v>4</v>
      </c>
    </row>
    <row r="171">
      <c r="A171" t="inlineStr">
        <is>
          <t>Lewis Hall</t>
        </is>
      </c>
      <c r="B171" t="inlineStr">
        <is>
          <t>NEW</t>
        </is>
      </c>
      <c r="C171" t="inlineStr">
        <is>
          <t>NEW</t>
        </is>
      </c>
      <c r="D171" t="b">
        <v>0</v>
      </c>
      <c r="E171" t="inlineStr">
        <is>
          <t>DEF</t>
        </is>
      </c>
      <c r="F171" t="inlineStr">
        <is>
          <t>DEF</t>
        </is>
      </c>
      <c r="G171" t="b">
        <v>1</v>
      </c>
      <c r="H171" s="2" t="n">
        <v>5</v>
      </c>
      <c r="I171" t="inlineStr">
        <is>
          <t>a</t>
        </is>
      </c>
      <c r="K171" s="2" t="n">
        <v>2176</v>
      </c>
      <c r="L171" t="n">
        <v>79</v>
      </c>
      <c r="M171" s="3" t="n">
        <v>2702</v>
      </c>
      <c r="N171" s="8" t="n">
        <v>2702</v>
      </c>
      <c r="O171" s="8" t="n">
        <v>0</v>
      </c>
      <c r="Q171" t="inlineStr">
        <is>
          <t>flat</t>
        </is>
      </c>
      <c r="R171" s="6" t="n">
        <v>2702</v>
      </c>
      <c r="S171" t="inlineStr">
        <is>
          <t>Solio</t>
        </is>
      </c>
      <c r="U171" s="6" t="n">
        <v>86</v>
      </c>
      <c r="V171" s="2" t="n">
        <v>24</v>
      </c>
      <c r="W171" s="7">
        <f>IF(N(U171)&lt;=0,0,MIN(Assumptions!$B$15,N(R171)/N(U171)))</f>
        <v/>
      </c>
      <c r="X171" s="6" t="n">
        <v>0.248</v>
      </c>
      <c r="Y171" s="3" t="n">
        <v>0.0413</v>
      </c>
      <c r="Z171" t="inlineStr">
        <is>
          <t>adjusted xGOT</t>
        </is>
      </c>
      <c r="AA171" s="3" t="n">
        <v>1</v>
      </c>
      <c r="AB171" s="3" t="n">
        <v>0.989</v>
      </c>
      <c r="AC171" s="3" t="n">
        <v>2.6</v>
      </c>
      <c r="AD171" s="3" t="n">
        <v>0.1099</v>
      </c>
      <c r="AE171" s="3" t="n">
        <v>7.287</v>
      </c>
      <c r="AF171" s="3" t="n">
        <v>0.1657853855670179</v>
      </c>
      <c r="AG171" s="3" t="n">
        <v>0.2068</v>
      </c>
      <c r="AH171" s="3" t="n">
        <v>53</v>
      </c>
      <c r="AI171" s="3" t="n">
        <v>3.0912</v>
      </c>
      <c r="AJ171" s="3" t="n">
        <v>1.4534</v>
      </c>
      <c r="AK171" s="3" t="n">
        <v>-0.1849993494642588</v>
      </c>
      <c r="AL171" s="6" t="n">
        <v>0</v>
      </c>
      <c r="AM171" s="3" t="n">
        <v>0</v>
      </c>
      <c r="AN171" s="3" t="n">
        <v>0.2478</v>
      </c>
      <c r="AO171" s="3" t="n">
        <v>0.435204</v>
      </c>
      <c r="AP171" s="3">
        <f>N(X171)*N(BI171)</f>
        <v/>
      </c>
      <c r="AQ171" s="3" t="n">
        <v>0.2068</v>
      </c>
      <c r="AR171" s="3" t="n">
        <v>0</v>
      </c>
      <c r="AS171" s="3" t="n">
        <v>-0.4903625828545308</v>
      </c>
      <c r="AT171" s="3" t="n">
        <v>-0.1849993494642588</v>
      </c>
      <c r="AU171" s="3">
        <f>SUM(AN171:AT171)</f>
        <v/>
      </c>
      <c r="AV171" s="7">
        <f>IF(OR(N(W171)&lt;=0,N(BG171)=0),0,N(W171)*IF(N(R171)/N(W171)&gt;=60,N(BG171),1))</f>
        <v/>
      </c>
      <c r="AW171" s="7">
        <f>N(W171)*N(AF171)*N(BH171)</f>
        <v/>
      </c>
      <c r="AX171" s="7">
        <f>N(AL171)*(Assumptions!$B$13*N(BJ171)-(1-Assumptions!$B$13)*Assumptions!$B$14)+N(AM171)</f>
        <v/>
      </c>
      <c r="AY171" s="7">
        <f>N(AU171)*N(R171)/90+N(AV171)+N(AW171)+N(AX171)</f>
        <v/>
      </c>
      <c r="AZ171" s="3">
        <f>IF(N(R171)&lt;=0,0,(N(AY171)-N(AX171))*90/N(R171))</f>
        <v/>
      </c>
      <c r="BA171" s="7">
        <f>IFERROR(AY171-VLOOKUP($E171,Assumptions!$A$40:$C$43,3,FALSE),"")</f>
        <v/>
      </c>
      <c r="BB171" s="3">
        <f>IFERROR(BA171/H171,"")</f>
        <v/>
      </c>
      <c r="BC171">
        <f>IF(AND($G171=TRUE,$E171="GKP"),AY171,"")</f>
        <v/>
      </c>
      <c r="BD171">
        <f>IF(AND($G171=TRUE,$E171="DEF"),AY171,"")</f>
        <v/>
      </c>
      <c r="BE171">
        <f>IF(AND($G171=TRUE,$E171="MID"),AY171,"")</f>
        <v/>
      </c>
      <c r="BF171">
        <f>IF(AND($G171=TRUE,$E171="FWD"),AY171,"")</f>
        <v/>
      </c>
      <c r="BG171" t="n">
        <v>2</v>
      </c>
      <c r="BH171" t="n">
        <v>2</v>
      </c>
      <c r="BI171" t="n">
        <v>4</v>
      </c>
      <c r="BJ171" t="n">
        <v>6</v>
      </c>
    </row>
    <row r="172">
      <c r="A172" s="9" t="inlineStr">
        <is>
          <t>Jack Grealish</t>
        </is>
      </c>
      <c r="B172" t="inlineStr">
        <is>
          <t>MCI</t>
        </is>
      </c>
      <c r="C172" s="9" t="inlineStr">
        <is>
          <t>EVE</t>
        </is>
      </c>
      <c r="D172" t="b">
        <v>1</v>
      </c>
      <c r="E172" t="inlineStr">
        <is>
          <t>MID</t>
        </is>
      </c>
      <c r="F172" t="inlineStr">
        <is>
          <t>MID</t>
        </is>
      </c>
      <c r="G172" t="b">
        <v>1</v>
      </c>
      <c r="H172" s="2" t="n">
        <v>6.5</v>
      </c>
      <c r="I172" t="inlineStr">
        <is>
          <t>d</t>
        </is>
      </c>
      <c r="J172" t="inlineStr">
        <is>
          <t>Foot injury - 75% chance of playing</t>
        </is>
      </c>
      <c r="K172" s="2" t="n">
        <v>1627</v>
      </c>
      <c r="L172" t="n">
        <v>79</v>
      </c>
      <c r="M172" s="3" t="n">
        <v>27</v>
      </c>
      <c r="N172" s="8" t="n">
        <v>27</v>
      </c>
      <c r="O172" s="8" t="n">
        <v>0</v>
      </c>
      <c r="Q172" t="inlineStr">
        <is>
          <t>flat</t>
        </is>
      </c>
      <c r="R172" s="6" t="n">
        <v>27</v>
      </c>
      <c r="S172" t="inlineStr">
        <is>
          <t>Solio</t>
        </is>
      </c>
      <c r="U172" s="6" t="n">
        <v>85.3</v>
      </c>
      <c r="V172" s="2" t="n">
        <v>17</v>
      </c>
      <c r="W172" s="7">
        <f>IF(N(U172)&lt;=0,0,MIN(Assumptions!$B$15,N(R172)/N(U172)))</f>
        <v/>
      </c>
      <c r="X172" s="6" t="n">
        <v>0.371</v>
      </c>
      <c r="Y172" s="10" t="n">
        <v>0.1214</v>
      </c>
      <c r="Z172" t="inlineStr">
        <is>
          <t>adjusted xGOT</t>
        </is>
      </c>
      <c r="AA172" s="3" t="n">
        <v>1</v>
      </c>
      <c r="AB172" s="3" t="n">
        <v>1.07</v>
      </c>
      <c r="AC172" s="3" t="n">
        <v>9.800000000000001</v>
      </c>
      <c r="AD172" s="10" t="n">
        <v>0.2193</v>
      </c>
      <c r="AE172" s="3" t="n">
        <v>7.808</v>
      </c>
      <c r="AF172" s="3" t="n">
        <v>0.07353942936150326</v>
      </c>
      <c r="AG172" s="3" t="n">
        <v>0.6637999999999999</v>
      </c>
      <c r="AH172" s="3" t="n">
        <v>38</v>
      </c>
      <c r="AI172" s="3" t="n">
        <v>1.9737</v>
      </c>
      <c r="AJ172" s="3" t="n">
        <v>1.0365</v>
      </c>
      <c r="AK172" s="3" t="n">
        <v>-0.2568969165359863</v>
      </c>
      <c r="AL172" s="6" t="n">
        <v>0</v>
      </c>
      <c r="AM172" s="3" t="n">
        <v>0</v>
      </c>
      <c r="AN172" s="10" t="n">
        <v>0.607</v>
      </c>
      <c r="AO172" s="10" t="n">
        <v>0.868428</v>
      </c>
      <c r="AP172" s="3">
        <f>N(X172)*N(BI172)</f>
        <v/>
      </c>
      <c r="AQ172" s="3" t="n">
        <v>0.6637999999999999</v>
      </c>
      <c r="AR172" s="3" t="n">
        <v>0</v>
      </c>
      <c r="AS172" s="3" t="n">
        <v>-0</v>
      </c>
      <c r="AT172" s="3" t="n">
        <v>-0.2568969165359863</v>
      </c>
      <c r="AU172" s="3">
        <f>SUM(AN172:AT172)</f>
        <v/>
      </c>
      <c r="AV172" s="7">
        <f>IF(OR(N(W172)&lt;=0,N(BG172)=0),0,N(W172)*IF(N(R172)/N(W172)&gt;=60,N(BG172),1))</f>
        <v/>
      </c>
      <c r="AW172" s="7">
        <f>N(W172)*N(AF172)*N(BH172)</f>
        <v/>
      </c>
      <c r="AX172" s="7">
        <f>N(AL172)*(Assumptions!$B$13*N(BJ172)-(1-Assumptions!$B$13)*Assumptions!$B$14)+N(AM172)</f>
        <v/>
      </c>
      <c r="AY172" s="7">
        <f>N(AU172)*N(R172)/90+N(AV172)+N(AW172)+N(AX172)</f>
        <v/>
      </c>
      <c r="AZ172" s="3">
        <f>IF(N(R172)&lt;=0,0,(N(AY172)-N(AX172))*90/N(R172))</f>
        <v/>
      </c>
      <c r="BA172" s="7">
        <f>IFERROR(AY172-VLOOKUP($E172,Assumptions!$A$40:$C$43,3,FALSE),"")</f>
        <v/>
      </c>
      <c r="BB172" s="3">
        <f>IFERROR(BA172/H172,"")</f>
        <v/>
      </c>
      <c r="BC172">
        <f>IF(AND($G172=TRUE,$E172="GKP"),AY172,"")</f>
        <v/>
      </c>
      <c r="BD172">
        <f>IF(AND($G172=TRUE,$E172="DEF"),AY172,"")</f>
        <v/>
      </c>
      <c r="BE172">
        <f>IF(AND($G172=TRUE,$E172="MID"),AY172,"")</f>
        <v/>
      </c>
      <c r="BF172">
        <f>IF(AND($G172=TRUE,$E172="FWD"),AY172,"")</f>
        <v/>
      </c>
      <c r="BG172" t="n">
        <v>2</v>
      </c>
      <c r="BH172" t="n">
        <v>2</v>
      </c>
      <c r="BI172" t="n">
        <v>1</v>
      </c>
      <c r="BJ172" t="n">
        <v>5</v>
      </c>
    </row>
    <row r="173">
      <c r="A173" t="inlineStr">
        <is>
          <t>Josko Gvardiol</t>
        </is>
      </c>
      <c r="B173" t="inlineStr">
        <is>
          <t>MCI</t>
        </is>
      </c>
      <c r="C173" t="inlineStr">
        <is>
          <t>MCI</t>
        </is>
      </c>
      <c r="D173" t="b">
        <v>0</v>
      </c>
      <c r="E173" t="inlineStr">
        <is>
          <t>DEF</t>
        </is>
      </c>
      <c r="F173" t="inlineStr">
        <is>
          <t>DEF</t>
        </is>
      </c>
      <c r="G173" t="b">
        <v>1</v>
      </c>
      <c r="H173" s="2" t="n">
        <v>5.5</v>
      </c>
      <c r="I173" t="inlineStr">
        <is>
          <t>a</t>
        </is>
      </c>
      <c r="K173" s="2" t="n">
        <v>1370</v>
      </c>
      <c r="L173" t="n">
        <v>79</v>
      </c>
      <c r="M173" s="3" t="n">
        <v>3038</v>
      </c>
      <c r="N173" s="4" t="n">
        <v>2350</v>
      </c>
      <c r="O173" s="4" t="n">
        <v>-688</v>
      </c>
      <c r="P173" s="5" t="inlineStr">
        <is>
          <t>medium</t>
        </is>
      </c>
      <c r="Q173" t="inlineStr">
        <is>
          <t>flat</t>
        </is>
      </c>
      <c r="R173" s="6" t="n">
        <v>2350</v>
      </c>
      <c r="S173" t="inlineStr">
        <is>
          <t>research</t>
        </is>
      </c>
      <c r="T173" s="5" t="inlineStr">
        <is>
          <t>Solio makes him City's highest-minute defender, which implies he is nailed somewhere. The reporting does not support that at either position. Opta has O'Reilly as the first-choice left-back — 'arguably the best left-back in the Premier League' — with Gvardiol and Ait-Nouri as the cover; at centre-back he is one of four or five for two shirts that Maresca is expected to pick game-by-game. Versatile and certain to play a lot, but not guaranteed a weekly shirt. He started the two pre-season games at left-back with O'Reilly still away at the World Cup, which is not evidence he is ahead of him.</t>
        </is>
      </c>
      <c r="U173" s="6" t="n">
        <v>83.8</v>
      </c>
      <c r="V173" s="2" t="n">
        <v>16</v>
      </c>
      <c r="W173" s="7">
        <f>IF(N(U173)&lt;=0,0,MIN(Assumptions!$B$15,N(R173)/N(U173)))</f>
        <v/>
      </c>
      <c r="X173" s="6" t="n">
        <v>0.371</v>
      </c>
      <c r="Y173" s="3" t="n">
        <v>0.1364</v>
      </c>
      <c r="Z173" t="inlineStr">
        <is>
          <t>adjusted xGOT</t>
        </is>
      </c>
      <c r="AA173" s="3" t="n">
        <v>1</v>
      </c>
      <c r="AB173" s="3" t="n">
        <v>0.923</v>
      </c>
      <c r="AC173" s="3" t="n">
        <v>10</v>
      </c>
      <c r="AD173" s="3" t="n">
        <v>0.0374</v>
      </c>
      <c r="AE173" s="3" t="n">
        <v>7.083</v>
      </c>
      <c r="AF173" s="3" t="n">
        <v>0.1309214302814644</v>
      </c>
      <c r="AG173" s="3" t="n">
        <v>0.1971</v>
      </c>
      <c r="AH173" s="3" t="n">
        <v>32</v>
      </c>
      <c r="AI173" s="3" t="n">
        <v>1.9737</v>
      </c>
      <c r="AJ173" s="3" t="n">
        <v>1.0365</v>
      </c>
      <c r="AK173" s="3" t="n">
        <v>-0.1368318848300927</v>
      </c>
      <c r="AL173" s="6" t="n">
        <v>0</v>
      </c>
      <c r="AM173" s="3" t="n">
        <v>0</v>
      </c>
      <c r="AN173" s="3" t="n">
        <v>0.8184</v>
      </c>
      <c r="AO173" s="3" t="n">
        <v>0.148104</v>
      </c>
      <c r="AP173" s="3">
        <f>N(X173)*N(BI173)</f>
        <v/>
      </c>
      <c r="AQ173" s="3" t="n">
        <v>0.1971</v>
      </c>
      <c r="AR173" s="3" t="n">
        <v>0</v>
      </c>
      <c r="AS173" s="3" t="n">
        <v>-0.2997019479071323</v>
      </c>
      <c r="AT173" s="3" t="n">
        <v>-0.1368318848300927</v>
      </c>
      <c r="AU173" s="3">
        <f>SUM(AN173:AT173)</f>
        <v/>
      </c>
      <c r="AV173" s="7">
        <f>IF(OR(N(W173)&lt;=0,N(BG173)=0),0,N(W173)*IF(N(R173)/N(W173)&gt;=60,N(BG173),1))</f>
        <v/>
      </c>
      <c r="AW173" s="7">
        <f>N(W173)*N(AF173)*N(BH173)</f>
        <v/>
      </c>
      <c r="AX173" s="7">
        <f>N(AL173)*(Assumptions!$B$13*N(BJ173)-(1-Assumptions!$B$13)*Assumptions!$B$14)+N(AM173)</f>
        <v/>
      </c>
      <c r="AY173" s="7">
        <f>N(AU173)*N(R173)/90+N(AV173)+N(AW173)+N(AX173)</f>
        <v/>
      </c>
      <c r="AZ173" s="3">
        <f>IF(N(R173)&lt;=0,0,(N(AY173)-N(AX173))*90/N(R173))</f>
        <v/>
      </c>
      <c r="BA173" s="7">
        <f>IFERROR(AY173-VLOOKUP($E173,Assumptions!$A$40:$C$43,3,FALSE),"")</f>
        <v/>
      </c>
      <c r="BB173" s="3">
        <f>IFERROR(BA173/H173,"")</f>
        <v/>
      </c>
      <c r="BC173">
        <f>IF(AND($G173=TRUE,$E173="GKP"),AY173,"")</f>
        <v/>
      </c>
      <c r="BD173">
        <f>IF(AND($G173=TRUE,$E173="DEF"),AY173,"")</f>
        <v/>
      </c>
      <c r="BE173">
        <f>IF(AND($G173=TRUE,$E173="MID"),AY173,"")</f>
        <v/>
      </c>
      <c r="BF173">
        <f>IF(AND($G173=TRUE,$E173="FWD"),AY173,"")</f>
        <v/>
      </c>
      <c r="BG173" t="n">
        <v>2</v>
      </c>
      <c r="BH173" t="n">
        <v>2</v>
      </c>
      <c r="BI173" t="n">
        <v>4</v>
      </c>
      <c r="BJ173" t="n">
        <v>6</v>
      </c>
    </row>
    <row r="174">
      <c r="A174" t="inlineStr">
        <is>
          <t>Pascal Groß</t>
        </is>
      </c>
      <c r="B174" t="inlineStr">
        <is>
          <t>BHA</t>
        </is>
      </c>
      <c r="C174" t="inlineStr">
        <is>
          <t>BHA</t>
        </is>
      </c>
      <c r="D174" t="b">
        <v>0</v>
      </c>
      <c r="E174" t="inlineStr">
        <is>
          <t>MID</t>
        </is>
      </c>
      <c r="F174" t="inlineStr">
        <is>
          <t>MID</t>
        </is>
      </c>
      <c r="G174" t="b">
        <v>1</v>
      </c>
      <c r="H174" s="2" t="n">
        <v>5.5</v>
      </c>
      <c r="I174" t="inlineStr">
        <is>
          <t>a</t>
        </is>
      </c>
      <c r="K174" s="2" t="n">
        <v>1636</v>
      </c>
      <c r="L174" t="n">
        <v>78</v>
      </c>
      <c r="M174" s="3" t="n">
        <v>3164</v>
      </c>
      <c r="N174" s="4" t="n">
        <v>2650</v>
      </c>
      <c r="O174" s="4" t="n">
        <v>-514</v>
      </c>
      <c r="P174" s="5" t="inlineStr">
        <is>
          <t>low</t>
        </is>
      </c>
      <c r="Q174" t="inlineStr">
        <is>
          <t>flat</t>
        </is>
      </c>
      <c r="R174" s="6" t="n">
        <v>2650</v>
      </c>
      <c r="S174" t="inlineStr">
        <is>
          <t>research</t>
        </is>
      </c>
      <c r="T174" s="5" t="inlineStr">
        <is>
          <t>Role is not in doubt - he captained both August friendlies from midfield - but Solio's 3164 is 92% of every available Premier League minute for a player who turned 35 in June 2026, in a season that adds Conference League group football to two domestic cups. The Guardian preview notes European demands create scheduling strain and that Gross is now one of only three veterans in the squad. Baleba, Ayari, Hinshelwood, Gomez and O'Riley all compete for central minutes. Direction is well founded; the size of the cut is a judgement call, hence low confidence.</t>
        </is>
      </c>
      <c r="U174" s="6" t="n">
        <v>86.40000000000001</v>
      </c>
      <c r="V174" s="2" t="n">
        <v>18</v>
      </c>
      <c r="W174" s="7">
        <f>IF(N(U174)&lt;=0,0,MIN(Assumptions!$B$15,N(R174)/N(U174)))</f>
        <v/>
      </c>
      <c r="X174" s="6" t="n">
        <v>0.252</v>
      </c>
      <c r="Y174" s="3" t="n">
        <v>0.0791</v>
      </c>
      <c r="Z174" t="inlineStr">
        <is>
          <t>adjusted xGOT</t>
        </is>
      </c>
      <c r="AA174" s="3" t="n">
        <v>1</v>
      </c>
      <c r="AB174" s="3" t="n">
        <v>1.034</v>
      </c>
      <c r="AC174" s="3" t="n">
        <v>13</v>
      </c>
      <c r="AD174" s="3" t="n">
        <v>0.1993</v>
      </c>
      <c r="AE174" s="3" t="n">
        <v>8.16</v>
      </c>
      <c r="AF174" s="3" t="n">
        <v>0.1002878454722812</v>
      </c>
      <c r="AG174" s="3" t="n">
        <v>0.5501</v>
      </c>
      <c r="AH174" s="3" t="n">
        <v>37</v>
      </c>
      <c r="AI174" s="3" t="n">
        <v>2.8404</v>
      </c>
      <c r="AJ174" s="3" t="n">
        <v>1.439</v>
      </c>
      <c r="AK174" s="3" t="n">
        <v>-0.174741672658704</v>
      </c>
      <c r="AL174" s="6" t="n">
        <v>4.494438105382158</v>
      </c>
      <c r="AM174" s="3" t="n">
        <v>0</v>
      </c>
      <c r="AN174" s="3" t="n">
        <v>0.3955</v>
      </c>
      <c r="AO174" s="3" t="n">
        <v>0.789228</v>
      </c>
      <c r="AP174" s="3">
        <f>N(X174)*N(BI174)</f>
        <v/>
      </c>
      <c r="AQ174" s="3" t="n">
        <v>0.5501</v>
      </c>
      <c r="AR174" s="3" t="n">
        <v>0</v>
      </c>
      <c r="AS174" s="3" t="n">
        <v>-0</v>
      </c>
      <c r="AT174" s="3" t="n">
        <v>-0.174741672658704</v>
      </c>
      <c r="AU174" s="3">
        <f>SUM(AN174:AT174)</f>
        <v/>
      </c>
      <c r="AV174" s="7">
        <f>IF(OR(N(W174)&lt;=0,N(BG174)=0),0,N(W174)*IF(N(R174)/N(W174)&gt;=60,N(BG174),1))</f>
        <v/>
      </c>
      <c r="AW174" s="7">
        <f>N(W174)*N(AF174)*N(BH174)</f>
        <v/>
      </c>
      <c r="AX174" s="7">
        <f>N(AL174)*(Assumptions!$B$13*N(BJ174)-(1-Assumptions!$B$13)*Assumptions!$B$14)+N(AM174)</f>
        <v/>
      </c>
      <c r="AY174" s="7">
        <f>N(AU174)*N(R174)/90+N(AV174)+N(AW174)+N(AX174)</f>
        <v/>
      </c>
      <c r="AZ174" s="3">
        <f>IF(N(R174)&lt;=0,0,(N(AY174)-N(AX174))*90/N(R174))</f>
        <v/>
      </c>
      <c r="BA174" s="7">
        <f>IFERROR(AY174-VLOOKUP($E174,Assumptions!$A$40:$C$43,3,FALSE),"")</f>
        <v/>
      </c>
      <c r="BB174" s="3">
        <f>IFERROR(BA174/H174,"")</f>
        <v/>
      </c>
      <c r="BC174">
        <f>IF(AND($G174=TRUE,$E174="GKP"),AY174,"")</f>
        <v/>
      </c>
      <c r="BD174">
        <f>IF(AND($G174=TRUE,$E174="DEF"),AY174,"")</f>
        <v/>
      </c>
      <c r="BE174">
        <f>IF(AND($G174=TRUE,$E174="MID"),AY174,"")</f>
        <v/>
      </c>
      <c r="BF174">
        <f>IF(AND($G174=TRUE,$E174="FWD"),AY174,"")</f>
        <v/>
      </c>
      <c r="BG174" t="n">
        <v>2</v>
      </c>
      <c r="BH174" t="n">
        <v>2</v>
      </c>
      <c r="BI174" t="n">
        <v>1</v>
      </c>
      <c r="BJ174" t="n">
        <v>5</v>
      </c>
    </row>
    <row r="175">
      <c r="A175" t="inlineStr">
        <is>
          <t>Mathys Tel</t>
        </is>
      </c>
      <c r="B175" t="inlineStr">
        <is>
          <t>TOT</t>
        </is>
      </c>
      <c r="C175" t="inlineStr">
        <is>
          <t>TOT</t>
        </is>
      </c>
      <c r="D175" t="b">
        <v>0</v>
      </c>
      <c r="E175" t="inlineStr">
        <is>
          <t>MID</t>
        </is>
      </c>
      <c r="F175" t="inlineStr">
        <is>
          <t>MID</t>
        </is>
      </c>
      <c r="G175" t="b">
        <v>1</v>
      </c>
      <c r="H175" s="2" t="n">
        <v>6</v>
      </c>
      <c r="I175" t="inlineStr">
        <is>
          <t>a</t>
        </is>
      </c>
      <c r="K175" s="2" t="n">
        <v>1334</v>
      </c>
      <c r="L175" t="n">
        <v>78</v>
      </c>
      <c r="M175" s="3" t="n">
        <v>1097</v>
      </c>
      <c r="N175" s="4" t="n">
        <v>1400</v>
      </c>
      <c r="O175" s="4" t="n">
        <v>303</v>
      </c>
      <c r="P175" s="5" t="inlineStr">
        <is>
          <t>low</t>
        </is>
      </c>
      <c r="Q175" t="inlineStr">
        <is>
          <t>fade (losing his place)</t>
        </is>
      </c>
      <c r="R175" s="6" t="n">
        <v>1400</v>
      </c>
      <c r="S175" t="inlineStr">
        <is>
          <t>research</t>
        </is>
      </c>
      <c r="T175" s="5" t="inlineStr">
        <is>
          <t>Solio flags Tel as losing his place; he has instead started on the left wing in both August friendlies and produced a goal and an assist in pre-season. Raised only modestly because Tottenham have an agreement in principle with Cody Gakpo, who would play in this position.</t>
        </is>
      </c>
      <c r="U175" s="6" t="n">
        <v>78.90000000000001</v>
      </c>
      <c r="V175" s="2" t="n">
        <v>13</v>
      </c>
      <c r="W175" s="7">
        <f>IF(N(U175)&lt;=0,0,MIN(Assumptions!$B$15,N(R175)/N(U175)))</f>
        <v/>
      </c>
      <c r="X175" s="6" t="n">
        <v>0.286</v>
      </c>
      <c r="Y175" s="3" t="n">
        <v>0.1737</v>
      </c>
      <c r="Z175" t="inlineStr">
        <is>
          <t>adjusted xGOT</t>
        </is>
      </c>
      <c r="AA175" s="3" t="n">
        <v>1</v>
      </c>
      <c r="AB175" s="3" t="n">
        <v>1.042</v>
      </c>
      <c r="AC175" s="3" t="n">
        <v>5.4</v>
      </c>
      <c r="AD175" s="3" t="n">
        <v>0.1971</v>
      </c>
      <c r="AE175" s="3" t="n">
        <v>7.87</v>
      </c>
      <c r="AF175" s="3" t="n">
        <v>0.04893378953511118</v>
      </c>
      <c r="AG175" s="3" t="n">
        <v>0.4048</v>
      </c>
      <c r="AH175" s="3" t="n">
        <v>43</v>
      </c>
      <c r="AI175" s="3" t="n">
        <v>2.5739</v>
      </c>
      <c r="AJ175" s="3" t="n">
        <v>1.3096</v>
      </c>
      <c r="AK175" s="3" t="n">
        <v>-0.162816629657591</v>
      </c>
      <c r="AL175" s="6" t="n">
        <v>0</v>
      </c>
      <c r="AM175" s="3" t="n">
        <v>0</v>
      </c>
      <c r="AN175" s="3" t="n">
        <v>0.8684999999999999</v>
      </c>
      <c r="AO175" s="3" t="n">
        <v>0.780516</v>
      </c>
      <c r="AP175" s="3">
        <f>N(X175)*N(BI175)</f>
        <v/>
      </c>
      <c r="AQ175" s="3" t="n">
        <v>0.4048</v>
      </c>
      <c r="AR175" s="3" t="n">
        <v>0</v>
      </c>
      <c r="AS175" s="3" t="n">
        <v>-0</v>
      </c>
      <c r="AT175" s="3" t="n">
        <v>-0.162816629657591</v>
      </c>
      <c r="AU175" s="3">
        <f>SUM(AN175:AT175)</f>
        <v/>
      </c>
      <c r="AV175" s="7">
        <f>IF(OR(N(W175)&lt;=0,N(BG175)=0),0,N(W175)*IF(N(R175)/N(W175)&gt;=60,N(BG175),1))</f>
        <v/>
      </c>
      <c r="AW175" s="7">
        <f>N(W175)*N(AF175)*N(BH175)</f>
        <v/>
      </c>
      <c r="AX175" s="7">
        <f>N(AL175)*(Assumptions!$B$13*N(BJ175)-(1-Assumptions!$B$13)*Assumptions!$B$14)+N(AM175)</f>
        <v/>
      </c>
      <c r="AY175" s="7">
        <f>N(AU175)*N(R175)/90+N(AV175)+N(AW175)+N(AX175)</f>
        <v/>
      </c>
      <c r="AZ175" s="3">
        <f>IF(N(R175)&lt;=0,0,(N(AY175)-N(AX175))*90/N(R175))</f>
        <v/>
      </c>
      <c r="BA175" s="7">
        <f>IFERROR(AY175-VLOOKUP($E175,Assumptions!$A$40:$C$43,3,FALSE),"")</f>
        <v/>
      </c>
      <c r="BB175" s="3">
        <f>IFERROR(BA175/H175,"")</f>
        <v/>
      </c>
      <c r="BC175">
        <f>IF(AND($G175=TRUE,$E175="GKP"),AY175,"")</f>
        <v/>
      </c>
      <c r="BD175">
        <f>IF(AND($G175=TRUE,$E175="DEF"),AY175,"")</f>
        <v/>
      </c>
      <c r="BE175">
        <f>IF(AND($G175=TRUE,$E175="MID"),AY175,"")</f>
        <v/>
      </c>
      <c r="BF175">
        <f>IF(AND($G175=TRUE,$E175="FWD"),AY175,"")</f>
        <v/>
      </c>
      <c r="BG175" t="n">
        <v>2</v>
      </c>
      <c r="BH175" t="n">
        <v>2</v>
      </c>
      <c r="BI175" t="n">
        <v>1</v>
      </c>
      <c r="BJ175" t="n">
        <v>5</v>
      </c>
    </row>
    <row r="176">
      <c r="A176" t="inlineStr">
        <is>
          <t>Djed Spence</t>
        </is>
      </c>
      <c r="B176" t="inlineStr">
        <is>
          <t>TOT</t>
        </is>
      </c>
      <c r="C176" t="inlineStr">
        <is>
          <t>TOT</t>
        </is>
      </c>
      <c r="D176" t="b">
        <v>0</v>
      </c>
      <c r="E176" t="inlineStr">
        <is>
          <t>DEF</t>
        </is>
      </c>
      <c r="F176" t="inlineStr">
        <is>
          <t>DEF</t>
        </is>
      </c>
      <c r="G176" t="b">
        <v>1</v>
      </c>
      <c r="H176" s="2" t="n">
        <v>4.5</v>
      </c>
      <c r="I176" t="inlineStr">
        <is>
          <t>a</t>
        </is>
      </c>
      <c r="K176" s="2" t="n">
        <v>2049</v>
      </c>
      <c r="L176" t="n">
        <v>78</v>
      </c>
      <c r="M176" s="3" t="n">
        <v>1955</v>
      </c>
      <c r="N176" s="4" t="n">
        <v>0</v>
      </c>
      <c r="O176" s="4" t="n">
        <v>-1955</v>
      </c>
      <c r="P176" s="5" t="inlineStr">
        <is>
          <t>high</t>
        </is>
      </c>
      <c r="Q176" t="inlineStr">
        <is>
          <t>flat</t>
        </is>
      </c>
      <c r="R176" s="6" t="n">
        <v>0</v>
      </c>
      <c r="S176" t="inlineStr">
        <is>
          <t>research</t>
        </is>
      </c>
      <c r="T176" s="5" t="inlineStr">
        <is>
          <t>Sold. Spence completed a GBP 30m move to Inter Milan on 15 August 2026, signing a five-year deal. Solio's file predates the sale. He is no longer a Tottenham player and can record zero Premier League minutes for the club.</t>
        </is>
      </c>
      <c r="U176" s="6" t="n">
        <v>83.8</v>
      </c>
      <c r="V176" s="2" t="n">
        <v>23</v>
      </c>
      <c r="W176" s="7">
        <f>IF(N(U176)&lt;=0,0,MIN(Assumptions!$B$15,N(R176)/N(U176)))</f>
        <v/>
      </c>
      <c r="X176" s="6" t="n">
        <v>0.286</v>
      </c>
      <c r="Y176" s="3" t="n">
        <v>0.041</v>
      </c>
      <c r="Z176" t="inlineStr">
        <is>
          <t>adjusted xGOT</t>
        </is>
      </c>
      <c r="AA176" s="3" t="n">
        <v>1</v>
      </c>
      <c r="AB176" s="3" t="n">
        <v>1.038</v>
      </c>
      <c r="AC176" s="3" t="n">
        <v>1.5</v>
      </c>
      <c r="AD176" s="3" t="n">
        <v>0.07969999999999999</v>
      </c>
      <c r="AE176" s="3" t="n">
        <v>5.769</v>
      </c>
      <c r="AF176" s="3" t="n">
        <v>0.04738693091475255</v>
      </c>
      <c r="AG176" s="3" t="n">
        <v>0.1318</v>
      </c>
      <c r="AH176" s="3" t="n">
        <v>52</v>
      </c>
      <c r="AI176" s="3" t="n">
        <v>2.5739</v>
      </c>
      <c r="AJ176" s="3" t="n">
        <v>1.3096</v>
      </c>
      <c r="AK176" s="3" t="n">
        <v>-0.1816167509287117</v>
      </c>
      <c r="AL176" s="6" t="n">
        <v>0</v>
      </c>
      <c r="AM176" s="3" t="n">
        <v>0</v>
      </c>
      <c r="AN176" s="3" t="n">
        <v>0.246</v>
      </c>
      <c r="AO176" s="3" t="n">
        <v>0.315612</v>
      </c>
      <c r="AP176" s="3">
        <f>N(X176)*N(BI176)</f>
        <v/>
      </c>
      <c r="AQ176" s="3" t="n">
        <v>0.1318</v>
      </c>
      <c r="AR176" s="3" t="n">
        <v>0</v>
      </c>
      <c r="AS176" s="3" t="n">
        <v>-0.4230152821052008</v>
      </c>
      <c r="AT176" s="3" t="n">
        <v>-0.1816167509287117</v>
      </c>
      <c r="AU176" s="3">
        <f>SUM(AN176:AT176)</f>
        <v/>
      </c>
      <c r="AV176" s="7">
        <f>IF(OR(N(W176)&lt;=0,N(BG176)=0),0,N(W176)*IF(N(R176)/N(W176)&gt;=60,N(BG176),1))</f>
        <v/>
      </c>
      <c r="AW176" s="7">
        <f>N(W176)*N(AF176)*N(BH176)</f>
        <v/>
      </c>
      <c r="AX176" s="7">
        <f>N(AL176)*(Assumptions!$B$13*N(BJ176)-(1-Assumptions!$B$13)*Assumptions!$B$14)+N(AM176)</f>
        <v/>
      </c>
      <c r="AY176" s="7">
        <f>N(AU176)*N(R176)/90+N(AV176)+N(AW176)+N(AX176)</f>
        <v/>
      </c>
      <c r="AZ176" s="3">
        <f>IF(N(R176)&lt;=0,0,(N(AY176)-N(AX176))*90/N(R176))</f>
        <v/>
      </c>
      <c r="BA176" s="7">
        <f>IFERROR(AY176-VLOOKUP($E176,Assumptions!$A$40:$C$43,3,FALSE),"")</f>
        <v/>
      </c>
      <c r="BB176" s="3">
        <f>IFERROR(BA176/H176,"")</f>
        <v/>
      </c>
      <c r="BC176">
        <f>IF(AND($G176=TRUE,$E176="GKP"),AY176,"")</f>
        <v/>
      </c>
      <c r="BD176">
        <f>IF(AND($G176=TRUE,$E176="DEF"),AY176,"")</f>
        <v/>
      </c>
      <c r="BE176">
        <f>IF(AND($G176=TRUE,$E176="MID"),AY176,"")</f>
        <v/>
      </c>
      <c r="BF176">
        <f>IF(AND($G176=TRUE,$E176="FWD"),AY176,"")</f>
        <v/>
      </c>
      <c r="BG176" t="n">
        <v>2</v>
      </c>
      <c r="BH176" t="n">
        <v>2</v>
      </c>
      <c r="BI176" t="n">
        <v>4</v>
      </c>
      <c r="BJ176" t="n">
        <v>6</v>
      </c>
    </row>
    <row r="177">
      <c r="A177" t="inlineStr">
        <is>
          <t>Tyler Adams</t>
        </is>
      </c>
      <c r="B177" t="inlineStr">
        <is>
          <t>BOU</t>
        </is>
      </c>
      <c r="C177" t="inlineStr">
        <is>
          <t>BOU</t>
        </is>
      </c>
      <c r="D177" t="b">
        <v>0</v>
      </c>
      <c r="E177" t="inlineStr">
        <is>
          <t>MID</t>
        </is>
      </c>
      <c r="F177" t="inlineStr">
        <is>
          <t>MID</t>
        </is>
      </c>
      <c r="G177" t="b">
        <v>1</v>
      </c>
      <c r="H177" s="2" t="n">
        <v>5</v>
      </c>
      <c r="I177" t="inlineStr">
        <is>
          <t>a</t>
        </is>
      </c>
      <c r="K177" s="2" t="n">
        <v>1769</v>
      </c>
      <c r="L177" t="n">
        <v>77</v>
      </c>
      <c r="M177" s="3" t="n">
        <v>2633</v>
      </c>
      <c r="N177" s="4" t="n">
        <v>1800</v>
      </c>
      <c r="O177" s="4" t="n">
        <v>-833</v>
      </c>
      <c r="P177" s="5" t="inlineStr">
        <is>
          <t>medium</t>
        </is>
      </c>
      <c r="Q177" t="inlineStr">
        <is>
          <t>flat</t>
        </is>
      </c>
      <c r="R177" s="6" t="n">
        <v>1800</v>
      </c>
      <c r="S177" t="inlineStr">
        <is>
          <t>research</t>
        </is>
      </c>
      <c r="T177" s="5" t="inlineStr">
        <is>
          <t>Currently flagged as a 75% doubt with an unspecified injury and absent from both the 8 Aug and 15 Aug friendly squads; Rose said on 10 Aug that Adams was 'to be assessed over the coming days'. He also managed only 1769 Premier League minutes last season and is the subject of reported Manchester United interest at around GBP 35m before the 1 Sept deadline. Solio's 2633 assumes a near-nailed, near-fit season that neither his availability record nor his current flag supports.</t>
        </is>
      </c>
      <c r="U177" s="6" t="n">
        <v>79.40000000000001</v>
      </c>
      <c r="V177" s="2" t="n">
        <v>21</v>
      </c>
      <c r="W177" s="7">
        <f>IF(N(U177)&lt;=0,0,MIN(Assumptions!$B$15,N(R177)/N(U177)))</f>
        <v/>
      </c>
      <c r="X177" s="6" t="n">
        <v>0.23</v>
      </c>
      <c r="Y177" s="3" t="n">
        <v>0.034</v>
      </c>
      <c r="Z177" t="inlineStr">
        <is>
          <t>adjusted xGOT</t>
        </is>
      </c>
      <c r="AA177" s="3" t="n">
        <v>1</v>
      </c>
      <c r="AB177" s="3" t="n">
        <v>1.063</v>
      </c>
      <c r="AC177" s="3" t="n">
        <v>2.1</v>
      </c>
      <c r="AD177" s="3" t="n">
        <v>0.0473</v>
      </c>
      <c r="AE177" s="3" t="n">
        <v>10.87</v>
      </c>
      <c r="AF177" s="3" t="n">
        <v>0.2576504062683485</v>
      </c>
      <c r="AG177" s="3" t="n">
        <v>0.1526</v>
      </c>
      <c r="AH177" s="3" t="n">
        <v>45</v>
      </c>
      <c r="AI177" s="3" t="n">
        <v>3.0957</v>
      </c>
      <c r="AJ177" s="3" t="n">
        <v>1.53</v>
      </c>
      <c r="AK177" s="3" t="n">
        <v>-0.3291964405902342</v>
      </c>
      <c r="AL177" s="6" t="n">
        <v>0</v>
      </c>
      <c r="AM177" s="3" t="n">
        <v>0</v>
      </c>
      <c r="AN177" s="3" t="n">
        <v>0.17</v>
      </c>
      <c r="AO177" s="3" t="n">
        <v>0.187308</v>
      </c>
      <c r="AP177" s="3">
        <f>N(X177)*N(BI177)</f>
        <v/>
      </c>
      <c r="AQ177" s="3" t="n">
        <v>0.1526</v>
      </c>
      <c r="AR177" s="3" t="n">
        <v>0</v>
      </c>
      <c r="AS177" s="3" t="n">
        <v>-0</v>
      </c>
      <c r="AT177" s="3" t="n">
        <v>-0.3291964405902342</v>
      </c>
      <c r="AU177" s="3">
        <f>SUM(AN177:AT177)</f>
        <v/>
      </c>
      <c r="AV177" s="7">
        <f>IF(OR(N(W177)&lt;=0,N(BG177)=0),0,N(W177)*IF(N(R177)/N(W177)&gt;=60,N(BG177),1))</f>
        <v/>
      </c>
      <c r="AW177" s="7">
        <f>N(W177)*N(AF177)*N(BH177)</f>
        <v/>
      </c>
      <c r="AX177" s="7">
        <f>N(AL177)*(Assumptions!$B$13*N(BJ177)-(1-Assumptions!$B$13)*Assumptions!$B$14)+N(AM177)</f>
        <v/>
      </c>
      <c r="AY177" s="7">
        <f>N(AU177)*N(R177)/90+N(AV177)+N(AW177)+N(AX177)</f>
        <v/>
      </c>
      <c r="AZ177" s="3">
        <f>IF(N(R177)&lt;=0,0,(N(AY177)-N(AX177))*90/N(R177))</f>
        <v/>
      </c>
      <c r="BA177" s="7">
        <f>IFERROR(AY177-VLOOKUP($E177,Assumptions!$A$40:$C$43,3,FALSE),"")</f>
        <v/>
      </c>
      <c r="BB177" s="3">
        <f>IFERROR(BA177/H177,"")</f>
        <v/>
      </c>
      <c r="BC177">
        <f>IF(AND($G177=TRUE,$E177="GKP"),AY177,"")</f>
        <v/>
      </c>
      <c r="BD177">
        <f>IF(AND($G177=TRUE,$E177="DEF"),AY177,"")</f>
        <v/>
      </c>
      <c r="BE177">
        <f>IF(AND($G177=TRUE,$E177="MID"),AY177,"")</f>
        <v/>
      </c>
      <c r="BF177">
        <f>IF(AND($G177=TRUE,$E177="FWD"),AY177,"")</f>
        <v/>
      </c>
      <c r="BG177" t="n">
        <v>2</v>
      </c>
      <c r="BH177" t="n">
        <v>2</v>
      </c>
      <c r="BI177" t="n">
        <v>1</v>
      </c>
      <c r="BJ177" t="n">
        <v>5</v>
      </c>
    </row>
    <row r="178">
      <c r="A178" t="inlineStr">
        <is>
          <t>Yéremy Pino</t>
        </is>
      </c>
      <c r="B178" t="inlineStr">
        <is>
          <t>CRY</t>
        </is>
      </c>
      <c r="C178" t="inlineStr">
        <is>
          <t>CRY</t>
        </is>
      </c>
      <c r="D178" t="b">
        <v>0</v>
      </c>
      <c r="E178" t="inlineStr">
        <is>
          <t>MID</t>
        </is>
      </c>
      <c r="F178" t="inlineStr">
        <is>
          <t>MID</t>
        </is>
      </c>
      <c r="G178" t="b">
        <v>1</v>
      </c>
      <c r="H178" s="2" t="n">
        <v>5.5</v>
      </c>
      <c r="I178" t="inlineStr">
        <is>
          <t>a</t>
        </is>
      </c>
      <c r="K178" s="2" t="n">
        <v>2074</v>
      </c>
      <c r="L178" t="n">
        <v>77</v>
      </c>
      <c r="M178" s="3" t="n">
        <v>2371</v>
      </c>
      <c r="N178" s="4" t="n">
        <v>1600</v>
      </c>
      <c r="O178" s="4" t="n">
        <v>-771</v>
      </c>
      <c r="P178" s="5" t="inlineStr">
        <is>
          <t>medium</t>
        </is>
      </c>
      <c r="Q178" t="inlineStr">
        <is>
          <t>flat</t>
        </is>
      </c>
      <c r="R178" s="6" t="n">
        <v>1600</v>
      </c>
      <c r="S178" t="inlineStr">
        <is>
          <t>research</t>
        </is>
      </c>
      <c r="T178" s="5" t="inlineStr">
        <is>
          <t>Same cause as Sarr. Three wide or attacking players arrived after Solio's data cut-off and Pino did not appear in the XI or the substitutions listed for the final friendly at Freiburg. He is the most directly displaced by McNeil arriving on the left.</t>
        </is>
      </c>
      <c r="U178" s="6" t="n">
        <v>74.90000000000001</v>
      </c>
      <c r="V178" s="2" t="n">
        <v>26</v>
      </c>
      <c r="W178" s="7">
        <f>IF(N(U178)&lt;=0,0,MIN(Assumptions!$B$15,N(R178)/N(U178)))</f>
        <v/>
      </c>
      <c r="X178" s="6" t="n">
        <v>0.216</v>
      </c>
      <c r="Y178" s="3" t="n">
        <v>0.1914</v>
      </c>
      <c r="Z178" t="inlineStr">
        <is>
          <t>adjusted xGOT</t>
        </is>
      </c>
      <c r="AA178" s="3" t="n">
        <v>1</v>
      </c>
      <c r="AB178" s="3" t="n">
        <v>0.974</v>
      </c>
      <c r="AC178" s="3" t="n">
        <v>4.5</v>
      </c>
      <c r="AD178" s="3" t="n">
        <v>0.3173</v>
      </c>
      <c r="AE178" s="3" t="n">
        <v>7.59</v>
      </c>
      <c r="AF178" s="3" t="n">
        <v>0.02821000820564934</v>
      </c>
      <c r="AG178" s="3" t="n">
        <v>0.1302</v>
      </c>
      <c r="AH178" s="3" t="n">
        <v>53</v>
      </c>
      <c r="AI178" s="3" t="n">
        <v>3.2035</v>
      </c>
      <c r="AJ178" s="3" t="n">
        <v>1.5923</v>
      </c>
      <c r="AK178" s="3" t="n">
        <v>-0.2007976459051203</v>
      </c>
      <c r="AL178" s="6" t="n">
        <v>0</v>
      </c>
      <c r="AM178" s="3" t="n">
        <v>0</v>
      </c>
      <c r="AN178" s="3" t="n">
        <v>0.957</v>
      </c>
      <c r="AO178" s="3" t="n">
        <v>1.256508</v>
      </c>
      <c r="AP178" s="3">
        <f>N(X178)*N(BI178)</f>
        <v/>
      </c>
      <c r="AQ178" s="3" t="n">
        <v>0.1302</v>
      </c>
      <c r="AR178" s="3" t="n">
        <v>0</v>
      </c>
      <c r="AS178" s="3" t="n">
        <v>-0</v>
      </c>
      <c r="AT178" s="3" t="n">
        <v>-0.2007976459051203</v>
      </c>
      <c r="AU178" s="3">
        <f>SUM(AN178:AT178)</f>
        <v/>
      </c>
      <c r="AV178" s="7">
        <f>IF(OR(N(W178)&lt;=0,N(BG178)=0),0,N(W178)*IF(N(R178)/N(W178)&gt;=60,N(BG178),1))</f>
        <v/>
      </c>
      <c r="AW178" s="7">
        <f>N(W178)*N(AF178)*N(BH178)</f>
        <v/>
      </c>
      <c r="AX178" s="7">
        <f>N(AL178)*(Assumptions!$B$13*N(BJ178)-(1-Assumptions!$B$13)*Assumptions!$B$14)+N(AM178)</f>
        <v/>
      </c>
      <c r="AY178" s="7">
        <f>N(AU178)*N(R178)/90+N(AV178)+N(AW178)+N(AX178)</f>
        <v/>
      </c>
      <c r="AZ178" s="3">
        <f>IF(N(R178)&lt;=0,0,(N(AY178)-N(AX178))*90/N(R178))</f>
        <v/>
      </c>
      <c r="BA178" s="7">
        <f>IFERROR(AY178-VLOOKUP($E178,Assumptions!$A$40:$C$43,3,FALSE),"")</f>
        <v/>
      </c>
      <c r="BB178" s="3">
        <f>IFERROR(BA178/H178,"")</f>
        <v/>
      </c>
      <c r="BC178">
        <f>IF(AND($G178=TRUE,$E178="GKP"),AY178,"")</f>
        <v/>
      </c>
      <c r="BD178">
        <f>IF(AND($G178=TRUE,$E178="DEF"),AY178,"")</f>
        <v/>
      </c>
      <c r="BE178">
        <f>IF(AND($G178=TRUE,$E178="MID"),AY178,"")</f>
        <v/>
      </c>
      <c r="BF178">
        <f>IF(AND($G178=TRUE,$E178="FWD"),AY178,"")</f>
        <v/>
      </c>
      <c r="BG178" t="n">
        <v>2</v>
      </c>
      <c r="BH178" t="n">
        <v>2</v>
      </c>
      <c r="BI178" t="n">
        <v>1</v>
      </c>
      <c r="BJ178" t="n">
        <v>5</v>
      </c>
    </row>
    <row r="179">
      <c r="A179" s="9" t="inlineStr">
        <is>
          <t>Jordan Henderson</t>
        </is>
      </c>
      <c r="B179" t="inlineStr">
        <is>
          <t>CHE</t>
        </is>
      </c>
      <c r="C179" s="9" t="inlineStr">
        <is>
          <t>BRE</t>
        </is>
      </c>
      <c r="D179" t="b">
        <v>1</v>
      </c>
      <c r="E179" t="inlineStr">
        <is>
          <t>MID</t>
        </is>
      </c>
      <c r="F179" t="inlineStr">
        <is>
          <t>MID</t>
        </is>
      </c>
      <c r="G179" t="b">
        <v>1</v>
      </c>
      <c r="H179" s="2" t="n">
        <v>5</v>
      </c>
      <c r="I179" t="inlineStr">
        <is>
          <t>d</t>
        </is>
      </c>
      <c r="J179" t="inlineStr">
        <is>
          <t>Wrist injury - 75% chance of playing</t>
        </is>
      </c>
      <c r="K179" s="2" t="n">
        <v>1911</v>
      </c>
      <c r="L179" t="n">
        <v>76</v>
      </c>
      <c r="M179" s="3" t="n">
        <v>137</v>
      </c>
      <c r="N179" s="8" t="n">
        <v>137</v>
      </c>
      <c r="O179" s="8" t="n">
        <v>0</v>
      </c>
      <c r="Q179" t="inlineStr">
        <is>
          <t>flat</t>
        </is>
      </c>
      <c r="R179" s="6" t="n">
        <v>137</v>
      </c>
      <c r="S179" t="inlineStr">
        <is>
          <t>Solio</t>
        </is>
      </c>
      <c r="U179" s="6" t="n">
        <v>79.3</v>
      </c>
      <c r="V179" s="2" t="n">
        <v>22</v>
      </c>
      <c r="W179" s="7">
        <f>IF(N(U179)&lt;=0,0,MIN(Assumptions!$B$15,N(R179)/N(U179)))</f>
        <v/>
      </c>
      <c r="X179" s="6" t="n">
        <v>0.322</v>
      </c>
      <c r="Y179" s="10" t="n">
        <v>0.0143</v>
      </c>
      <c r="Z179" t="inlineStr">
        <is>
          <t>adjusted xGOT</t>
        </is>
      </c>
      <c r="AA179" s="3" t="n">
        <v>1</v>
      </c>
      <c r="AB179" s="3" t="n">
        <v>0.919</v>
      </c>
      <c r="AC179" s="3" t="n">
        <v>1.7</v>
      </c>
      <c r="AD179" s="10" t="n">
        <v>0.1326</v>
      </c>
      <c r="AE179" s="3" t="n">
        <v>8.606999999999999</v>
      </c>
      <c r="AF179" s="3" t="n">
        <v>0.08423668579325738</v>
      </c>
      <c r="AG179" s="3" t="n">
        <v>0.2355</v>
      </c>
      <c r="AH179" s="3" t="n">
        <v>51</v>
      </c>
      <c r="AI179" s="3" t="n">
        <v>2.4232</v>
      </c>
      <c r="AJ179" s="3" t="n">
        <v>1.1851</v>
      </c>
      <c r="AK179" s="3" t="n">
        <v>-0.2634710440072666</v>
      </c>
      <c r="AL179" s="6" t="n">
        <v>0</v>
      </c>
      <c r="AM179" s="3" t="n">
        <v>0</v>
      </c>
      <c r="AN179" s="10" t="n">
        <v>0.07150000000000001</v>
      </c>
      <c r="AO179" s="10" t="n">
        <v>0.525096</v>
      </c>
      <c r="AP179" s="3">
        <f>N(X179)*N(BI179)</f>
        <v/>
      </c>
      <c r="AQ179" s="3" t="n">
        <v>0.2355</v>
      </c>
      <c r="AR179" s="3" t="n">
        <v>0</v>
      </c>
      <c r="AS179" s="3" t="n">
        <v>-0</v>
      </c>
      <c r="AT179" s="3" t="n">
        <v>-0.2634710440072666</v>
      </c>
      <c r="AU179" s="3">
        <f>SUM(AN179:AT179)</f>
        <v/>
      </c>
      <c r="AV179" s="7">
        <f>IF(OR(N(W179)&lt;=0,N(BG179)=0),0,N(W179)*IF(N(R179)/N(W179)&gt;=60,N(BG179),1))</f>
        <v/>
      </c>
      <c r="AW179" s="7">
        <f>N(W179)*N(AF179)*N(BH179)</f>
        <v/>
      </c>
      <c r="AX179" s="7">
        <f>N(AL179)*(Assumptions!$B$13*N(BJ179)-(1-Assumptions!$B$13)*Assumptions!$B$14)+N(AM179)</f>
        <v/>
      </c>
      <c r="AY179" s="7">
        <f>N(AU179)*N(R179)/90+N(AV179)+N(AW179)+N(AX179)</f>
        <v/>
      </c>
      <c r="AZ179" s="3">
        <f>IF(N(R179)&lt;=0,0,(N(AY179)-N(AX179))*90/N(R179))</f>
        <v/>
      </c>
      <c r="BA179" s="7">
        <f>IFERROR(AY179-VLOOKUP($E179,Assumptions!$A$40:$C$43,3,FALSE),"")</f>
        <v/>
      </c>
      <c r="BB179" s="3">
        <f>IFERROR(BA179/H179,"")</f>
        <v/>
      </c>
      <c r="BC179">
        <f>IF(AND($G179=TRUE,$E179="GKP"),AY179,"")</f>
        <v/>
      </c>
      <c r="BD179">
        <f>IF(AND($G179=TRUE,$E179="DEF"),AY179,"")</f>
        <v/>
      </c>
      <c r="BE179">
        <f>IF(AND($G179=TRUE,$E179="MID"),AY179,"")</f>
        <v/>
      </c>
      <c r="BF179">
        <f>IF(AND($G179=TRUE,$E179="FWD"),AY179,"")</f>
        <v/>
      </c>
      <c r="BG179" t="n">
        <v>2</v>
      </c>
      <c r="BH179" t="n">
        <v>2</v>
      </c>
      <c r="BI179" t="n">
        <v>1</v>
      </c>
      <c r="BJ179" t="n">
        <v>5</v>
      </c>
    </row>
    <row r="180">
      <c r="A180" t="inlineStr">
        <is>
          <t>Amadou Onana</t>
        </is>
      </c>
      <c r="B180" t="inlineStr">
        <is>
          <t>AVL</t>
        </is>
      </c>
      <c r="C180" t="inlineStr">
        <is>
          <t>AVL</t>
        </is>
      </c>
      <c r="D180" t="b">
        <v>0</v>
      </c>
      <c r="E180" t="inlineStr">
        <is>
          <t>MID</t>
        </is>
      </c>
      <c r="F180" t="inlineStr">
        <is>
          <t>MID</t>
        </is>
      </c>
      <c r="G180" t="b">
        <v>1</v>
      </c>
      <c r="H180" s="2" t="n">
        <v>5</v>
      </c>
      <c r="I180" t="inlineStr">
        <is>
          <t>i</t>
        </is>
      </c>
      <c r="J180" t="inlineStr">
        <is>
          <t>Knee injury - Unknown return date</t>
        </is>
      </c>
      <c r="K180" s="2" t="n">
        <v>1755</v>
      </c>
      <c r="L180" t="n">
        <v>76</v>
      </c>
      <c r="M180" s="3" t="n">
        <v>1285</v>
      </c>
      <c r="N180" s="4" t="n">
        <v>150</v>
      </c>
      <c r="O180" s="4" t="n">
        <v>-1135</v>
      </c>
      <c r="P180" s="5" t="inlineStr">
        <is>
          <t>high</t>
        </is>
      </c>
      <c r="Q180" t="inlineStr">
        <is>
          <t>ramp-up (injury / late WC return)</t>
        </is>
      </c>
      <c r="R180" s="6" t="n">
        <v>150</v>
      </c>
      <c r="S180" t="inlineStr">
        <is>
          <t>research</t>
        </is>
      </c>
      <c r="T180" s="5" t="inlineStr">
        <is>
          <t>Tore his cruciate ligament during the 2026 World Cup and is out for nine months, which puts a best-case return in late March 2027 with no match fitness behind it. Realistically a handful of late-season cameos, not 1,285 minutes.</t>
        </is>
      </c>
      <c r="U180" s="6" t="n">
        <v>80.40000000000001</v>
      </c>
      <c r="V180" s="2" t="n">
        <v>21</v>
      </c>
      <c r="W180" s="7">
        <f>IF(N(U180)&lt;=0,0,MIN(Assumptions!$B$15,N(R180)/N(U180)))</f>
        <v/>
      </c>
      <c r="X180" s="6" t="n">
        <v>0.273</v>
      </c>
      <c r="Y180" s="3" t="n">
        <v>0.0853</v>
      </c>
      <c r="Z180" t="inlineStr">
        <is>
          <t>adjusted xGOT</t>
        </is>
      </c>
      <c r="AA180" s="3" t="n">
        <v>1</v>
      </c>
      <c r="AB180" s="3" t="n">
        <v>0.99</v>
      </c>
      <c r="AC180" s="3" t="n">
        <v>9</v>
      </c>
      <c r="AD180" s="3" t="n">
        <v>0.0306</v>
      </c>
      <c r="AE180" s="3" t="n">
        <v>10.459</v>
      </c>
      <c r="AF180" s="3" t="n">
        <v>0.2315175242686877</v>
      </c>
      <c r="AG180" s="3" t="n">
        <v>0.2051</v>
      </c>
      <c r="AH180" s="3" t="n">
        <v>45</v>
      </c>
      <c r="AI180" s="3" t="n">
        <v>2.7451</v>
      </c>
      <c r="AJ180" s="3" t="n">
        <v>1.3575</v>
      </c>
      <c r="AK180" s="3" t="n">
        <v>-0.2073865052544347</v>
      </c>
      <c r="AL180" s="6" t="n">
        <v>0</v>
      </c>
      <c r="AM180" s="3" t="n">
        <v>0</v>
      </c>
      <c r="AN180" s="3" t="n">
        <v>0.4265</v>
      </c>
      <c r="AO180" s="3" t="n">
        <v>0.121176</v>
      </c>
      <c r="AP180" s="3">
        <f>N(X180)*N(BI180)</f>
        <v/>
      </c>
      <c r="AQ180" s="3" t="n">
        <v>0.2051</v>
      </c>
      <c r="AR180" s="3" t="n">
        <v>0</v>
      </c>
      <c r="AS180" s="3" t="n">
        <v>-0</v>
      </c>
      <c r="AT180" s="3" t="n">
        <v>-0.2073865052544347</v>
      </c>
      <c r="AU180" s="3">
        <f>SUM(AN180:AT180)</f>
        <v/>
      </c>
      <c r="AV180" s="7">
        <f>IF(OR(N(W180)&lt;=0,N(BG180)=0),0,N(W180)*IF(N(R180)/N(W180)&gt;=60,N(BG180),1))</f>
        <v/>
      </c>
      <c r="AW180" s="7">
        <f>N(W180)*N(AF180)*N(BH180)</f>
        <v/>
      </c>
      <c r="AX180" s="7">
        <f>N(AL180)*(Assumptions!$B$13*N(BJ180)-(1-Assumptions!$B$13)*Assumptions!$B$14)+N(AM180)</f>
        <v/>
      </c>
      <c r="AY180" s="7">
        <f>N(AU180)*N(R180)/90+N(AV180)+N(AW180)+N(AX180)</f>
        <v/>
      </c>
      <c r="AZ180" s="3">
        <f>IF(N(R180)&lt;=0,0,(N(AY180)-N(AX180))*90/N(R180))</f>
        <v/>
      </c>
      <c r="BA180" s="7">
        <f>IFERROR(AY180-VLOOKUP($E180,Assumptions!$A$40:$C$43,3,FALSE),"")</f>
        <v/>
      </c>
      <c r="BB180" s="3">
        <f>IFERROR(BA180/H180,"")</f>
        <v/>
      </c>
      <c r="BC180">
        <f>IF(AND($G180=TRUE,$E180="GKP"),AY180,"")</f>
        <v/>
      </c>
      <c r="BD180">
        <f>IF(AND($G180=TRUE,$E180="DEF"),AY180,"")</f>
        <v/>
      </c>
      <c r="BE180">
        <f>IF(AND($G180=TRUE,$E180="MID"),AY180,"")</f>
        <v/>
      </c>
      <c r="BF180">
        <f>IF(AND($G180=TRUE,$E180="FWD"),AY180,"")</f>
        <v/>
      </c>
      <c r="BG180" t="n">
        <v>2</v>
      </c>
      <c r="BH180" t="n">
        <v>2</v>
      </c>
      <c r="BI180" t="n">
        <v>1</v>
      </c>
      <c r="BJ180" t="n">
        <v>5</v>
      </c>
    </row>
    <row r="181">
      <c r="A181" t="inlineStr">
        <is>
          <t>William Osula</t>
        </is>
      </c>
      <c r="B181" t="inlineStr">
        <is>
          <t>NEW</t>
        </is>
      </c>
      <c r="C181" t="inlineStr">
        <is>
          <t>NEW</t>
        </is>
      </c>
      <c r="D181" t="b">
        <v>0</v>
      </c>
      <c r="E181" t="inlineStr">
        <is>
          <t>FWD</t>
        </is>
      </c>
      <c r="F181" t="inlineStr">
        <is>
          <t>FWD</t>
        </is>
      </c>
      <c r="G181" t="b">
        <v>1</v>
      </c>
      <c r="H181" s="2" t="n">
        <v>6</v>
      </c>
      <c r="I181" t="inlineStr">
        <is>
          <t>a</t>
        </is>
      </c>
      <c r="K181" s="2" t="n">
        <v>805</v>
      </c>
      <c r="L181" t="n">
        <v>76</v>
      </c>
      <c r="M181" s="3" t="n">
        <v>2069</v>
      </c>
      <c r="N181" s="8" t="n">
        <v>2069</v>
      </c>
      <c r="O181" s="8" t="n">
        <v>0</v>
      </c>
      <c r="Q181" t="inlineStr">
        <is>
          <t>flat</t>
        </is>
      </c>
      <c r="R181" s="6" t="n">
        <v>2069</v>
      </c>
      <c r="S181" t="inlineStr">
        <is>
          <t>Solio</t>
        </is>
      </c>
      <c r="U181" s="6" t="n">
        <v>77.7</v>
      </c>
      <c r="V181" s="2" t="n">
        <v>8</v>
      </c>
      <c r="W181" s="7">
        <f>IF(N(U181)&lt;=0,0,MIN(Assumptions!$B$15,N(R181)/N(U181)))</f>
        <v/>
      </c>
      <c r="X181" s="6" t="n">
        <v>0.248</v>
      </c>
      <c r="Y181" s="3" t="n">
        <v>0.5302</v>
      </c>
      <c r="Z181" t="inlineStr">
        <is>
          <t>adjusted xGOT</t>
        </is>
      </c>
      <c r="AA181" s="3" t="n">
        <v>1</v>
      </c>
      <c r="AB181" s="3" t="n">
        <v>1.108</v>
      </c>
      <c r="AC181" s="3" t="n">
        <v>6.1</v>
      </c>
      <c r="AD181" s="3" t="n">
        <v>0.0596</v>
      </c>
      <c r="AE181" s="3" t="n">
        <v>4.092</v>
      </c>
      <c r="AF181" s="3" t="n">
        <v>0.000313776039483793</v>
      </c>
      <c r="AG181" s="3" t="n">
        <v>1.4534</v>
      </c>
      <c r="AH181" s="3" t="n">
        <v>32</v>
      </c>
      <c r="AI181" s="3" t="n">
        <v>3.0912</v>
      </c>
      <c r="AJ181" s="3" t="n">
        <v>1.4534</v>
      </c>
      <c r="AK181" s="3" t="n">
        <v>-0.1556289932753388</v>
      </c>
      <c r="AL181" s="6" t="n">
        <v>0.8910399935823637</v>
      </c>
      <c r="AM181" s="3" t="n">
        <v>0</v>
      </c>
      <c r="AN181" s="3" t="n">
        <v>2.1208</v>
      </c>
      <c r="AO181" s="3" t="n">
        <v>0.236016</v>
      </c>
      <c r="AP181" s="3">
        <f>N(X181)*N(BI181)</f>
        <v/>
      </c>
      <c r="AQ181" s="3" t="n">
        <v>1.4534</v>
      </c>
      <c r="AR181" s="3" t="n">
        <v>0</v>
      </c>
      <c r="AS181" s="3" t="n">
        <v>-0</v>
      </c>
      <c r="AT181" s="3" t="n">
        <v>-0.1556289932753388</v>
      </c>
      <c r="AU181" s="3">
        <f>SUM(AN181:AT181)</f>
        <v/>
      </c>
      <c r="AV181" s="7">
        <f>IF(OR(N(W181)&lt;=0,N(BG181)=0),0,N(W181)*IF(N(R181)/N(W181)&gt;=60,N(BG181),1))</f>
        <v/>
      </c>
      <c r="AW181" s="7">
        <f>N(W181)*N(AF181)*N(BH181)</f>
        <v/>
      </c>
      <c r="AX181" s="7">
        <f>N(AL181)*(Assumptions!$B$13*N(BJ181)-(1-Assumptions!$B$13)*Assumptions!$B$14)+N(AM181)</f>
        <v/>
      </c>
      <c r="AY181" s="7">
        <f>N(AU181)*N(R181)/90+N(AV181)+N(AW181)+N(AX181)</f>
        <v/>
      </c>
      <c r="AZ181" s="3">
        <f>IF(N(R181)&lt;=0,0,(N(AY181)-N(AX181))*90/N(R181))</f>
        <v/>
      </c>
      <c r="BA181" s="7">
        <f>IFERROR(AY181-VLOOKUP($E181,Assumptions!$A$40:$C$43,3,FALSE),"")</f>
        <v/>
      </c>
      <c r="BB181" s="3">
        <f>IFERROR(BA181/H181,"")</f>
        <v/>
      </c>
      <c r="BC181">
        <f>IF(AND($G181=TRUE,$E181="GKP"),AY181,"")</f>
        <v/>
      </c>
      <c r="BD181">
        <f>IF(AND($G181=TRUE,$E181="DEF"),AY181,"")</f>
        <v/>
      </c>
      <c r="BE181">
        <f>IF(AND($G181=TRUE,$E181="MID"),AY181,"")</f>
        <v/>
      </c>
      <c r="BF181">
        <f>IF(AND($G181=TRUE,$E181="FWD"),AY181,"")</f>
        <v/>
      </c>
      <c r="BG181" t="n">
        <v>2</v>
      </c>
      <c r="BH181" t="n">
        <v>2</v>
      </c>
      <c r="BI181" t="n">
        <v>0</v>
      </c>
      <c r="BJ181" t="n">
        <v>4</v>
      </c>
    </row>
    <row r="182">
      <c r="A182" t="inlineStr">
        <is>
          <t>Kristoffer Ajer</t>
        </is>
      </c>
      <c r="B182" t="inlineStr">
        <is>
          <t>BRE</t>
        </is>
      </c>
      <c r="C182" t="inlineStr">
        <is>
          <t>BRE</t>
        </is>
      </c>
      <c r="D182" t="b">
        <v>0</v>
      </c>
      <c r="E182" t="inlineStr">
        <is>
          <t>DEF</t>
        </is>
      </c>
      <c r="F182" t="inlineStr">
        <is>
          <t>DEF</t>
        </is>
      </c>
      <c r="G182" t="b">
        <v>1</v>
      </c>
      <c r="H182" s="2" t="n">
        <v>4.5</v>
      </c>
      <c r="I182" t="inlineStr">
        <is>
          <t>a</t>
        </is>
      </c>
      <c r="K182" s="2" t="n">
        <v>1805</v>
      </c>
      <c r="L182" t="n">
        <v>76</v>
      </c>
      <c r="M182" s="3" t="n">
        <v>1619</v>
      </c>
      <c r="N182" s="4" t="n">
        <v>2150</v>
      </c>
      <c r="O182" s="4" t="n">
        <v>531</v>
      </c>
      <c r="P182" s="5" t="inlineStr">
        <is>
          <t>medium</t>
        </is>
      </c>
      <c r="Q182" t="inlineStr">
        <is>
          <t>fade (losing his place)</t>
        </is>
      </c>
      <c r="R182" s="6" t="n">
        <v>2150</v>
      </c>
      <c r="S182" t="inlineStr">
        <is>
          <t>research</t>
        </is>
      </c>
      <c r="T182" s="5" t="inlineStr">
        <is>
          <t>Solio labels him 'fade (losing his place)', but with van den Berg out until roughly mid-October Ajer is the man who takes that place. He started the 15 Aug friendly at centre-back next to Collins, which is the pairing multiple previews name as the fallback when van den Berg is unavailable. He should be close to nailed for the opening two months and a rotation option thereafter.</t>
        </is>
      </c>
      <c r="U182" s="6" t="n">
        <v>84.2</v>
      </c>
      <c r="V182" s="2" t="n">
        <v>20</v>
      </c>
      <c r="W182" s="7">
        <f>IF(N(U182)&lt;=0,0,MIN(Assumptions!$B$15,N(R182)/N(U182)))</f>
        <v/>
      </c>
      <c r="X182" s="6" t="n">
        <v>0.228</v>
      </c>
      <c r="Y182" s="3" t="n">
        <v>0.0362</v>
      </c>
      <c r="Z182" t="inlineStr">
        <is>
          <t>adjusted xGOT</t>
        </is>
      </c>
      <c r="AA182" s="3" t="n">
        <v>1</v>
      </c>
      <c r="AB182" s="3" t="n">
        <v>1.053</v>
      </c>
      <c r="AC182" s="3" t="n">
        <v>2.9</v>
      </c>
      <c r="AD182" s="3" t="n">
        <v>0.0407</v>
      </c>
      <c r="AE182" s="3" t="n">
        <v>9.035</v>
      </c>
      <c r="AF182" s="3" t="n">
        <v>0.3408981349397984</v>
      </c>
      <c r="AG182" s="3" t="n">
        <v>0.0499</v>
      </c>
      <c r="AH182" s="3" t="n">
        <v>46</v>
      </c>
      <c r="AI182" s="3" t="n">
        <v>3.2371</v>
      </c>
      <c r="AJ182" s="3" t="n">
        <v>1.5396</v>
      </c>
      <c r="AK182" s="3" t="n">
        <v>-0.2433172600094551</v>
      </c>
      <c r="AL182" s="6" t="n">
        <v>0</v>
      </c>
      <c r="AM182" s="3" t="n">
        <v>0</v>
      </c>
      <c r="AN182" s="3" t="n">
        <v>0.2172</v>
      </c>
      <c r="AO182" s="3" t="n">
        <v>0.161172</v>
      </c>
      <c r="AP182" s="3">
        <f>N(X182)*N(BI182)</f>
        <v/>
      </c>
      <c r="AQ182" s="3" t="n">
        <v>0.0499</v>
      </c>
      <c r="AR182" s="3" t="n">
        <v>0</v>
      </c>
      <c r="AS182" s="3" t="n">
        <v>-0.5312990096912251</v>
      </c>
      <c r="AT182" s="3" t="n">
        <v>-0.2433172600094551</v>
      </c>
      <c r="AU182" s="3">
        <f>SUM(AN182:AT182)</f>
        <v/>
      </c>
      <c r="AV182" s="7">
        <f>IF(OR(N(W182)&lt;=0,N(BG182)=0),0,N(W182)*IF(N(R182)/N(W182)&gt;=60,N(BG182),1))</f>
        <v/>
      </c>
      <c r="AW182" s="7">
        <f>N(W182)*N(AF182)*N(BH182)</f>
        <v/>
      </c>
      <c r="AX182" s="7">
        <f>N(AL182)*(Assumptions!$B$13*N(BJ182)-(1-Assumptions!$B$13)*Assumptions!$B$14)+N(AM182)</f>
        <v/>
      </c>
      <c r="AY182" s="7">
        <f>N(AU182)*N(R182)/90+N(AV182)+N(AW182)+N(AX182)</f>
        <v/>
      </c>
      <c r="AZ182" s="3">
        <f>IF(N(R182)&lt;=0,0,(N(AY182)-N(AX182))*90/N(R182))</f>
        <v/>
      </c>
      <c r="BA182" s="7">
        <f>IFERROR(AY182-VLOOKUP($E182,Assumptions!$A$40:$C$43,3,FALSE),"")</f>
        <v/>
      </c>
      <c r="BB182" s="3">
        <f>IFERROR(BA182/H182,"")</f>
        <v/>
      </c>
      <c r="BC182">
        <f>IF(AND($G182=TRUE,$E182="GKP"),AY182,"")</f>
        <v/>
      </c>
      <c r="BD182">
        <f>IF(AND($G182=TRUE,$E182="DEF"),AY182,"")</f>
        <v/>
      </c>
      <c r="BE182">
        <f>IF(AND($G182=TRUE,$E182="MID"),AY182,"")</f>
        <v/>
      </c>
      <c r="BF182">
        <f>IF(AND($G182=TRUE,$E182="FWD"),AY182,"")</f>
        <v/>
      </c>
      <c r="BG182" t="n">
        <v>2</v>
      </c>
      <c r="BH182" t="n">
        <v>2</v>
      </c>
      <c r="BI182" t="n">
        <v>4</v>
      </c>
      <c r="BJ182" t="n">
        <v>6</v>
      </c>
    </row>
    <row r="183">
      <c r="A183" t="inlineStr">
        <is>
          <t>Jørgen Strand Larsen</t>
        </is>
      </c>
      <c r="B183" t="inlineStr">
        <is>
          <t>CRY</t>
        </is>
      </c>
      <c r="C183" t="inlineStr">
        <is>
          <t>CRY</t>
        </is>
      </c>
      <c r="D183" t="b">
        <v>0</v>
      </c>
      <c r="E183" t="inlineStr">
        <is>
          <t>FWD</t>
        </is>
      </c>
      <c r="F183" t="inlineStr">
        <is>
          <t>FWD</t>
        </is>
      </c>
      <c r="G183" t="b">
        <v>1</v>
      </c>
      <c r="H183" s="2" t="n">
        <v>6</v>
      </c>
      <c r="I183" t="inlineStr">
        <is>
          <t>a</t>
        </is>
      </c>
      <c r="K183" s="2" t="n">
        <v>2301</v>
      </c>
      <c r="L183" t="n">
        <v>75</v>
      </c>
      <c r="M183" s="3" t="n">
        <v>953</v>
      </c>
      <c r="N183" s="4" t="n">
        <v>1950</v>
      </c>
      <c r="O183" s="4" t="n">
        <v>997</v>
      </c>
      <c r="P183" s="5" t="inlineStr">
        <is>
          <t>medium</t>
        </is>
      </c>
      <c r="Q183" t="inlineStr">
        <is>
          <t>flat</t>
        </is>
      </c>
      <c r="R183" s="6" t="n">
        <v>1950</v>
      </c>
      <c r="S183" t="inlineStr">
        <is>
          <t>research</t>
        </is>
      </c>
      <c r="T183" s="5" t="inlineStr">
        <is>
          <t>Solio has the club-record signing at roughly a quarter of a season. He cost a fixed GBP 43m plus GBP 5m in add-ons in January on a four-and-a-half-year deal, and he started the final pre-season friendly at centre-forward while Mateta, back from the World Cup, did not. Palace-focused analysis in July described him as the long-term number nine whose vertical, box-presence profile fits Sage's system. Set at 1950 rather than a full starter's load because the striker slot is genuinely shared three ways.</t>
        </is>
      </c>
      <c r="U183" s="6" t="n">
        <v>77.59999999999999</v>
      </c>
      <c r="V183" s="2" t="n">
        <v>26</v>
      </c>
      <c r="W183" s="7">
        <f>IF(N(U183)&lt;=0,0,MIN(Assumptions!$B$15,N(R183)/N(U183)))</f>
        <v/>
      </c>
      <c r="X183" s="6" t="n">
        <v>0.216</v>
      </c>
      <c r="Y183" s="3" t="n">
        <v>0.1776</v>
      </c>
      <c r="Z183" t="inlineStr">
        <is>
          <t>adjusted xGOT</t>
        </is>
      </c>
      <c r="AA183" s="3" t="n">
        <v>0.766</v>
      </c>
      <c r="AB183" s="3" t="n">
        <v>1.118</v>
      </c>
      <c r="AC183" s="3" t="n">
        <v>15.4</v>
      </c>
      <c r="AD183" s="3" t="n">
        <v>0.0353</v>
      </c>
      <c r="AE183" s="3" t="n">
        <v>3.973</v>
      </c>
      <c r="AF183" s="3" t="n">
        <v>0.0002388066895152585</v>
      </c>
      <c r="AG183" s="3" t="n">
        <v>0.1173</v>
      </c>
      <c r="AH183" s="3" t="n">
        <v>59</v>
      </c>
      <c r="AI183" s="3" t="n">
        <v>3.2035</v>
      </c>
      <c r="AJ183" s="3" t="n">
        <v>1.5923</v>
      </c>
      <c r="AK183" s="3" t="n">
        <v>-0.1648064653887614</v>
      </c>
      <c r="AL183" s="6" t="n">
        <v>0</v>
      </c>
      <c r="AM183" s="3" t="n">
        <v>0</v>
      </c>
      <c r="AN183" s="3" t="n">
        <v>0.7104</v>
      </c>
      <c r="AO183" s="3" t="n">
        <v>0.139788</v>
      </c>
      <c r="AP183" s="3">
        <f>N(X183)*N(BI183)</f>
        <v/>
      </c>
      <c r="AQ183" s="3" t="n">
        <v>0.1173</v>
      </c>
      <c r="AR183" s="3" t="n">
        <v>0</v>
      </c>
      <c r="AS183" s="3" t="n">
        <v>-0</v>
      </c>
      <c r="AT183" s="3" t="n">
        <v>-0.1648064653887614</v>
      </c>
      <c r="AU183" s="3">
        <f>SUM(AN183:AT183)</f>
        <v/>
      </c>
      <c r="AV183" s="7">
        <f>IF(OR(N(W183)&lt;=0,N(BG183)=0),0,N(W183)*IF(N(R183)/N(W183)&gt;=60,N(BG183),1))</f>
        <v/>
      </c>
      <c r="AW183" s="7">
        <f>N(W183)*N(AF183)*N(BH183)</f>
        <v/>
      </c>
      <c r="AX183" s="7">
        <f>N(AL183)*(Assumptions!$B$13*N(BJ183)-(1-Assumptions!$B$13)*Assumptions!$B$14)+N(AM183)</f>
        <v/>
      </c>
      <c r="AY183" s="7">
        <f>N(AU183)*N(R183)/90+N(AV183)+N(AW183)+N(AX183)</f>
        <v/>
      </c>
      <c r="AZ183" s="3">
        <f>IF(N(R183)&lt;=0,0,(N(AY183)-N(AX183))*90/N(R183))</f>
        <v/>
      </c>
      <c r="BA183" s="7">
        <f>IFERROR(AY183-VLOOKUP($E183,Assumptions!$A$40:$C$43,3,FALSE),"")</f>
        <v/>
      </c>
      <c r="BB183" s="3">
        <f>IFERROR(BA183/H183,"")</f>
        <v/>
      </c>
      <c r="BC183">
        <f>IF(AND($G183=TRUE,$E183="GKP"),AY183,"")</f>
        <v/>
      </c>
      <c r="BD183">
        <f>IF(AND($G183=TRUE,$E183="DEF"),AY183,"")</f>
        <v/>
      </c>
      <c r="BE183">
        <f>IF(AND($G183=TRUE,$E183="MID"),AY183,"")</f>
        <v/>
      </c>
      <c r="BF183">
        <f>IF(AND($G183=TRUE,$E183="FWD"),AY183,"")</f>
        <v/>
      </c>
      <c r="BG183" t="n">
        <v>2</v>
      </c>
      <c r="BH183" t="n">
        <v>2</v>
      </c>
      <c r="BI183" t="n">
        <v>0</v>
      </c>
      <c r="BJ183" t="n">
        <v>4</v>
      </c>
    </row>
    <row r="184">
      <c r="A184" t="inlineStr">
        <is>
          <t>Mohammed Kudus</t>
        </is>
      </c>
      <c r="B184" t="inlineStr">
        <is>
          <t>TOT</t>
        </is>
      </c>
      <c r="C184" t="inlineStr">
        <is>
          <t>TOT</t>
        </is>
      </c>
      <c r="D184" t="b">
        <v>0</v>
      </c>
      <c r="E184" t="inlineStr">
        <is>
          <t>MID</t>
        </is>
      </c>
      <c r="F184" t="inlineStr">
        <is>
          <t>MID</t>
        </is>
      </c>
      <c r="G184" t="b">
        <v>1</v>
      </c>
      <c r="H184" s="2" t="n">
        <v>6.5</v>
      </c>
      <c r="I184" t="inlineStr">
        <is>
          <t>d</t>
        </is>
      </c>
      <c r="J184" t="inlineStr">
        <is>
          <t>Thigh injury - 75% chance of playing</t>
        </is>
      </c>
      <c r="K184" s="2" t="n">
        <v>1535</v>
      </c>
      <c r="L184" t="n">
        <v>75</v>
      </c>
      <c r="M184" s="3" t="n">
        <v>1858</v>
      </c>
      <c r="N184" s="8" t="n">
        <v>1858</v>
      </c>
      <c r="O184" s="8" t="n">
        <v>0</v>
      </c>
      <c r="Q184" t="inlineStr">
        <is>
          <t>flat</t>
        </is>
      </c>
      <c r="R184" s="6" t="n">
        <v>1858</v>
      </c>
      <c r="S184" t="inlineStr">
        <is>
          <t>Solio</t>
        </is>
      </c>
      <c r="U184" s="6" t="n">
        <v>80.59999999999999</v>
      </c>
      <c r="V184" s="2" t="n">
        <v>19</v>
      </c>
      <c r="W184" s="7">
        <f>IF(N(U184)&lt;=0,0,MIN(Assumptions!$B$15,N(R184)/N(U184)))</f>
        <v/>
      </c>
      <c r="X184" s="6" t="n">
        <v>0.286</v>
      </c>
      <c r="Y184" s="3" t="n">
        <v>0.1118</v>
      </c>
      <c r="Z184" t="inlineStr">
        <is>
          <t>adjusted xGOT</t>
        </is>
      </c>
      <c r="AA184" s="3" t="n">
        <v>1</v>
      </c>
      <c r="AB184" s="3" t="n">
        <v>0.993</v>
      </c>
      <c r="AC184" s="3" t="n">
        <v>14</v>
      </c>
      <c r="AD184" s="3" t="n">
        <v>0.1461</v>
      </c>
      <c r="AE184" s="3" t="n">
        <v>8.047000000000001</v>
      </c>
      <c r="AF184" s="3" t="n">
        <v>0.06323590884806507</v>
      </c>
      <c r="AG184" s="3" t="n">
        <v>0.4691</v>
      </c>
      <c r="AH184" s="3" t="n">
        <v>36</v>
      </c>
      <c r="AI184" s="3" t="n">
        <v>2.5739</v>
      </c>
      <c r="AJ184" s="3" t="n">
        <v>1.3096</v>
      </c>
      <c r="AK184" s="3" t="n">
        <v>-0.1761937016347322</v>
      </c>
      <c r="AL184" s="6" t="n">
        <v>0.5734579585226187</v>
      </c>
      <c r="AM184" s="3" t="n">
        <v>0</v>
      </c>
      <c r="AN184" s="3" t="n">
        <v>0.5589999999999999</v>
      </c>
      <c r="AO184" s="3" t="n">
        <v>0.5785560000000001</v>
      </c>
      <c r="AP184" s="3">
        <f>N(X184)*N(BI184)</f>
        <v/>
      </c>
      <c r="AQ184" s="3" t="n">
        <v>0.4691</v>
      </c>
      <c r="AR184" s="3" t="n">
        <v>0</v>
      </c>
      <c r="AS184" s="3" t="n">
        <v>-0</v>
      </c>
      <c r="AT184" s="3" t="n">
        <v>-0.1761937016347322</v>
      </c>
      <c r="AU184" s="3">
        <f>SUM(AN184:AT184)</f>
        <v/>
      </c>
      <c r="AV184" s="7">
        <f>IF(OR(N(W184)&lt;=0,N(BG184)=0),0,N(W184)*IF(N(R184)/N(W184)&gt;=60,N(BG184),1))</f>
        <v/>
      </c>
      <c r="AW184" s="7">
        <f>N(W184)*N(AF184)*N(BH184)</f>
        <v/>
      </c>
      <c r="AX184" s="7">
        <f>N(AL184)*(Assumptions!$B$13*N(BJ184)-(1-Assumptions!$B$13)*Assumptions!$B$14)+N(AM184)</f>
        <v/>
      </c>
      <c r="AY184" s="7">
        <f>N(AU184)*N(R184)/90+N(AV184)+N(AW184)+N(AX184)</f>
        <v/>
      </c>
      <c r="AZ184" s="3">
        <f>IF(N(R184)&lt;=0,0,(N(AY184)-N(AX184))*90/N(R184))</f>
        <v/>
      </c>
      <c r="BA184" s="7">
        <f>IFERROR(AY184-VLOOKUP($E184,Assumptions!$A$40:$C$43,3,FALSE),"")</f>
        <v/>
      </c>
      <c r="BB184" s="3">
        <f>IFERROR(BA184/H184,"")</f>
        <v/>
      </c>
      <c r="BC184">
        <f>IF(AND($G184=TRUE,$E184="GKP"),AY184,"")</f>
        <v/>
      </c>
      <c r="BD184">
        <f>IF(AND($G184=TRUE,$E184="DEF"),AY184,"")</f>
        <v/>
      </c>
      <c r="BE184">
        <f>IF(AND($G184=TRUE,$E184="MID"),AY184,"")</f>
        <v/>
      </c>
      <c r="BF184">
        <f>IF(AND($G184=TRUE,$E184="FWD"),AY184,"")</f>
        <v/>
      </c>
      <c r="BG184" t="n">
        <v>2</v>
      </c>
      <c r="BH184" t="n">
        <v>2</v>
      </c>
      <c r="BI184" t="n">
        <v>1</v>
      </c>
      <c r="BJ184" t="n">
        <v>5</v>
      </c>
    </row>
    <row r="185">
      <c r="A185" t="inlineStr">
        <is>
          <t>Martin Ødegaard</t>
        </is>
      </c>
      <c r="B185" t="inlineStr">
        <is>
          <t>ARS</t>
        </is>
      </c>
      <c r="C185" t="inlineStr">
        <is>
          <t>ARS</t>
        </is>
      </c>
      <c r="D185" t="b">
        <v>0</v>
      </c>
      <c r="E185" t="inlineStr">
        <is>
          <t>MID</t>
        </is>
      </c>
      <c r="F185" t="inlineStr">
        <is>
          <t>MID</t>
        </is>
      </c>
      <c r="G185" t="b">
        <v>1</v>
      </c>
      <c r="H185" s="2" t="n">
        <v>6.5</v>
      </c>
      <c r="I185" t="inlineStr">
        <is>
          <t>a</t>
        </is>
      </c>
      <c r="K185" s="2" t="n">
        <v>1363</v>
      </c>
      <c r="L185" t="n">
        <v>74</v>
      </c>
      <c r="M185" s="3" t="n">
        <v>1864</v>
      </c>
      <c r="N185" s="8" t="n">
        <v>1864</v>
      </c>
      <c r="O185" s="8" t="n">
        <v>0</v>
      </c>
      <c r="Q185" t="inlineStr">
        <is>
          <t>flat</t>
        </is>
      </c>
      <c r="R185" s="6" t="n">
        <v>1864</v>
      </c>
      <c r="S185" t="inlineStr">
        <is>
          <t>Solio</t>
        </is>
      </c>
      <c r="U185" s="6" t="n">
        <v>75.40000000000001</v>
      </c>
      <c r="V185" s="2" t="n">
        <v>16</v>
      </c>
      <c r="W185" s="7">
        <f>IF(N(U185)&lt;=0,0,MIN(Assumptions!$B$15,N(R185)/N(U185)))</f>
        <v/>
      </c>
      <c r="X185" s="6" t="n">
        <v>0.391</v>
      </c>
      <c r="Y185" s="3" t="n">
        <v>0.0789</v>
      </c>
      <c r="Z185" t="inlineStr">
        <is>
          <t>adjusted xGOT</t>
        </is>
      </c>
      <c r="AA185" s="3" t="n">
        <v>1</v>
      </c>
      <c r="AB185" s="3" t="n">
        <v>0.956</v>
      </c>
      <c r="AC185" s="3" t="n">
        <v>23.4</v>
      </c>
      <c r="AD185" s="3" t="n">
        <v>0.2849</v>
      </c>
      <c r="AE185" s="3" t="n">
        <v>7.372</v>
      </c>
      <c r="AF185" s="3" t="n">
        <v>0.02435825203434494</v>
      </c>
      <c r="AG185" s="3" t="n">
        <v>0.3302</v>
      </c>
      <c r="AH185" s="3" t="n">
        <v>35</v>
      </c>
      <c r="AI185" s="3" t="n">
        <v>2.067</v>
      </c>
      <c r="AJ185" s="3" t="n">
        <v>0.9838</v>
      </c>
      <c r="AK185" s="3" t="n">
        <v>-0.1224617090783342</v>
      </c>
      <c r="AL185" s="6" t="n">
        <v>0.3597186046144329</v>
      </c>
      <c r="AM185" s="3" t="n">
        <v>0</v>
      </c>
      <c r="AN185" s="3" t="n">
        <v>0.3945</v>
      </c>
      <c r="AO185" s="3" t="n">
        <v>1.128204</v>
      </c>
      <c r="AP185" s="3">
        <f>N(X185)*N(BI185)</f>
        <v/>
      </c>
      <c r="AQ185" s="3" t="n">
        <v>0.3302</v>
      </c>
      <c r="AR185" s="3" t="n">
        <v>0</v>
      </c>
      <c r="AS185" s="3" t="n">
        <v>-0</v>
      </c>
      <c r="AT185" s="3" t="n">
        <v>-0.1224617090783342</v>
      </c>
      <c r="AU185" s="3">
        <f>SUM(AN185:AT185)</f>
        <v/>
      </c>
      <c r="AV185" s="7">
        <f>IF(OR(N(W185)&lt;=0,N(BG185)=0),0,N(W185)*IF(N(R185)/N(W185)&gt;=60,N(BG185),1))</f>
        <v/>
      </c>
      <c r="AW185" s="7">
        <f>N(W185)*N(AF185)*N(BH185)</f>
        <v/>
      </c>
      <c r="AX185" s="7">
        <f>N(AL185)*(Assumptions!$B$13*N(BJ185)-(1-Assumptions!$B$13)*Assumptions!$B$14)+N(AM185)</f>
        <v/>
      </c>
      <c r="AY185" s="7">
        <f>N(AU185)*N(R185)/90+N(AV185)+N(AW185)+N(AX185)</f>
        <v/>
      </c>
      <c r="AZ185" s="3">
        <f>IF(N(R185)&lt;=0,0,(N(AY185)-N(AX185))*90/N(R185))</f>
        <v/>
      </c>
      <c r="BA185" s="7">
        <f>IFERROR(AY185-VLOOKUP($E185,Assumptions!$A$40:$C$43,3,FALSE),"")</f>
        <v/>
      </c>
      <c r="BB185" s="3">
        <f>IFERROR(BA185/H185,"")</f>
        <v/>
      </c>
      <c r="BC185">
        <f>IF(AND($G185=TRUE,$E185="GKP"),AY185,"")</f>
        <v/>
      </c>
      <c r="BD185">
        <f>IF(AND($G185=TRUE,$E185="DEF"),AY185,"")</f>
        <v/>
      </c>
      <c r="BE185">
        <f>IF(AND($G185=TRUE,$E185="MID"),AY185,"")</f>
        <v/>
      </c>
      <c r="BF185">
        <f>IF(AND($G185=TRUE,$E185="FWD"),AY185,"")</f>
        <v/>
      </c>
      <c r="BG185" t="n">
        <v>2</v>
      </c>
      <c r="BH185" t="n">
        <v>2</v>
      </c>
      <c r="BI185" t="n">
        <v>1</v>
      </c>
      <c r="BJ185" t="n">
        <v>5</v>
      </c>
    </row>
    <row r="186">
      <c r="A186" t="inlineStr">
        <is>
          <t>Wilson Isidor</t>
        </is>
      </c>
      <c r="B186" t="inlineStr">
        <is>
          <t>SUN</t>
        </is>
      </c>
      <c r="C186" t="inlineStr">
        <is>
          <t>SUN</t>
        </is>
      </c>
      <c r="D186" t="b">
        <v>0</v>
      </c>
      <c r="E186" t="inlineStr">
        <is>
          <t>FWD</t>
        </is>
      </c>
      <c r="F186" t="inlineStr">
        <is>
          <t>FWD</t>
        </is>
      </c>
      <c r="G186" t="b">
        <v>1</v>
      </c>
      <c r="H186" s="2" t="n">
        <v>5.5</v>
      </c>
      <c r="I186" t="inlineStr">
        <is>
          <t>a</t>
        </is>
      </c>
      <c r="K186" s="2" t="n">
        <v>1148</v>
      </c>
      <c r="L186" t="n">
        <v>74</v>
      </c>
      <c r="M186" s="3" t="n">
        <v>481</v>
      </c>
      <c r="N186" s="4" t="n">
        <v>1000</v>
      </c>
      <c r="O186" s="4" t="n">
        <v>519</v>
      </c>
      <c r="P186" s="5" t="inlineStr">
        <is>
          <t>high</t>
        </is>
      </c>
      <c r="Q186" t="inlineStr">
        <is>
          <t>flat</t>
        </is>
      </c>
      <c r="R186" s="6" t="n">
        <v>1000</v>
      </c>
      <c r="S186" t="inlineStr">
        <is>
          <t>research</t>
        </is>
      </c>
      <c r="T186" s="5" t="inlineStr">
        <is>
          <t>Solio's 481 minutes is a departure assumption that the club has explicitly contradicted. Sky Sports reported on 4 Aug that Sunderland made clear Isidor is not for sale; a Hull City bid around GBP10m was rejected and West Ham were rebuffed; Le Bris shut the speculation down after the Lens win, in which Isidor scored. He came on for Brobbey on 72' against Rennes. The structural point is that Eliezer Mayenda was sold to Rennes for GBP22m on 5 Jul and Nazariy Rusyn and Ahmed Abdullahi also left, leaving Brobbey and Isidor as the only two senior strikers for one starting slot plus a Europa League league phase. Isidor played 1,148 Premier League minutes last season behind Mayenda; with Mayenda gone he should not be modelled below that by more than half.</t>
        </is>
      </c>
      <c r="U186" s="6" t="n">
        <v>74.7</v>
      </c>
      <c r="V186" s="2" t="n">
        <v>11</v>
      </c>
      <c r="W186" s="7">
        <f>IF(N(U186)&lt;=0,0,MIN(Assumptions!$B$15,N(R186)/N(U186)))</f>
        <v/>
      </c>
      <c r="X186" s="6" t="n">
        <v>0.204</v>
      </c>
      <c r="Y186" s="3" t="n">
        <v>0.383</v>
      </c>
      <c r="Z186" t="inlineStr">
        <is>
          <t>adjusted xGOT</t>
        </is>
      </c>
      <c r="AA186" s="3" t="n">
        <v>1</v>
      </c>
      <c r="AB186" s="3" t="n">
        <v>1.039</v>
      </c>
      <c r="AC186" s="3" t="n">
        <v>4.7</v>
      </c>
      <c r="AD186" s="3" t="n">
        <v>0.0149</v>
      </c>
      <c r="AE186" s="3" t="n">
        <v>4.305</v>
      </c>
      <c r="AF186" s="3" t="n">
        <v>0.0003467886689056954</v>
      </c>
      <c r="AG186" s="3" t="n">
        <v>0.6272</v>
      </c>
      <c r="AH186" s="3" t="n">
        <v>41</v>
      </c>
      <c r="AI186" s="3" t="n">
        <v>3.3348</v>
      </c>
      <c r="AJ186" s="3" t="n">
        <v>1.6498</v>
      </c>
      <c r="AK186" s="3" t="n">
        <v>-0.1371338303963969</v>
      </c>
      <c r="AL186" s="6" t="n">
        <v>0</v>
      </c>
      <c r="AM186" s="3" t="n">
        <v>0</v>
      </c>
      <c r="AN186" s="3" t="n">
        <v>1.532</v>
      </c>
      <c r="AO186" s="3" t="n">
        <v>0.05900400000000001</v>
      </c>
      <c r="AP186" s="3">
        <f>N(X186)*N(BI186)</f>
        <v/>
      </c>
      <c r="AQ186" s="3" t="n">
        <v>0.6272</v>
      </c>
      <c r="AR186" s="3" t="n">
        <v>0</v>
      </c>
      <c r="AS186" s="3" t="n">
        <v>-0</v>
      </c>
      <c r="AT186" s="3" t="n">
        <v>-0.1371338303963969</v>
      </c>
      <c r="AU186" s="3">
        <f>SUM(AN186:AT186)</f>
        <v/>
      </c>
      <c r="AV186" s="7">
        <f>IF(OR(N(W186)&lt;=0,N(BG186)=0),0,N(W186)*IF(N(R186)/N(W186)&gt;=60,N(BG186),1))</f>
        <v/>
      </c>
      <c r="AW186" s="7">
        <f>N(W186)*N(AF186)*N(BH186)</f>
        <v/>
      </c>
      <c r="AX186" s="7">
        <f>N(AL186)*(Assumptions!$B$13*N(BJ186)-(1-Assumptions!$B$13)*Assumptions!$B$14)+N(AM186)</f>
        <v/>
      </c>
      <c r="AY186" s="7">
        <f>N(AU186)*N(R186)/90+N(AV186)+N(AW186)+N(AX186)</f>
        <v/>
      </c>
      <c r="AZ186" s="3">
        <f>IF(N(R186)&lt;=0,0,(N(AY186)-N(AX186))*90/N(R186))</f>
        <v/>
      </c>
      <c r="BA186" s="7">
        <f>IFERROR(AY186-VLOOKUP($E186,Assumptions!$A$40:$C$43,3,FALSE),"")</f>
        <v/>
      </c>
      <c r="BB186" s="3">
        <f>IFERROR(BA186/H186,"")</f>
        <v/>
      </c>
      <c r="BC186">
        <f>IF(AND($G186=TRUE,$E186="GKP"),AY186,"")</f>
        <v/>
      </c>
      <c r="BD186">
        <f>IF(AND($G186=TRUE,$E186="DEF"),AY186,"")</f>
        <v/>
      </c>
      <c r="BE186">
        <f>IF(AND($G186=TRUE,$E186="MID"),AY186,"")</f>
        <v/>
      </c>
      <c r="BF186">
        <f>IF(AND($G186=TRUE,$E186="FWD"),AY186,"")</f>
        <v/>
      </c>
      <c r="BG186" t="n">
        <v>2</v>
      </c>
      <c r="BH186" t="n">
        <v>2</v>
      </c>
      <c r="BI186" t="n">
        <v>0</v>
      </c>
      <c r="BJ186" t="n">
        <v>4</v>
      </c>
    </row>
    <row r="187">
      <c r="A187" t="inlineStr">
        <is>
          <t>Reinildo Mandava</t>
        </is>
      </c>
      <c r="B187" t="inlineStr">
        <is>
          <t>SUN</t>
        </is>
      </c>
      <c r="C187" t="inlineStr">
        <is>
          <t>SUN</t>
        </is>
      </c>
      <c r="D187" t="b">
        <v>0</v>
      </c>
      <c r="E187" t="inlineStr">
        <is>
          <t>DEF</t>
        </is>
      </c>
      <c r="F187" t="inlineStr">
        <is>
          <t>DEF</t>
        </is>
      </c>
      <c r="G187" t="b">
        <v>1</v>
      </c>
      <c r="H187" s="2" t="n">
        <v>4.5</v>
      </c>
      <c r="I187" t="inlineStr">
        <is>
          <t>a</t>
        </is>
      </c>
      <c r="K187" s="2" t="n">
        <v>1966</v>
      </c>
      <c r="L187" t="n">
        <v>74</v>
      </c>
      <c r="M187" s="3" t="n">
        <v>3067</v>
      </c>
      <c r="N187" s="4" t="n">
        <v>2100</v>
      </c>
      <c r="O187" s="4" t="n">
        <v>-967</v>
      </c>
      <c r="P187" s="5" t="inlineStr">
        <is>
          <t>medium</t>
        </is>
      </c>
      <c r="Q187" t="inlineStr">
        <is>
          <t>flat</t>
        </is>
      </c>
      <c r="R187" s="6" t="n">
        <v>2100</v>
      </c>
      <c r="S187" t="inlineStr">
        <is>
          <t>research</t>
        </is>
      </c>
      <c r="T187" s="5" t="inlineStr">
        <is>
          <t>Solio projects Reinildo for 3,067 minutes, well above the 1,966 he actually played in 2025/26, on the assumption that left-back is his uncontested. It is not: Sunderland have a full agreement with Toulouse worth GBP25.6m (GBP23.9m plus GBP1.7m add-ons) for 20-year-old left-back Dayann Methalie, with the medical imminent, and the Echo separately reports the club is pursuing both a left-back and a left-sided centre-half. A fee of that size, at a club whose only other window business was a free transfer, is a starter being bought. Reinildo starts the opener but should not be modelled as owning the position for 38 games. Note that Methalie is not yet in the FPL bootstrap and therefore has no code, so his minutes are not represented anywhere in this allocation.</t>
        </is>
      </c>
      <c r="U187" s="6" t="n">
        <v>85.7</v>
      </c>
      <c r="V187" s="2" t="n">
        <v>22</v>
      </c>
      <c r="W187" s="7">
        <f>IF(N(U187)&lt;=0,0,MIN(Assumptions!$B$15,N(R187)/N(U187)))</f>
        <v/>
      </c>
      <c r="X187" s="6" t="n">
        <v>0.204</v>
      </c>
      <c r="Y187" s="3" t="n">
        <v>0.0059</v>
      </c>
      <c r="Z187" t="inlineStr">
        <is>
          <t>adjusted xGOT</t>
        </is>
      </c>
      <c r="AA187" s="3" t="n">
        <v>1</v>
      </c>
      <c r="AB187" s="3" t="n">
        <v>0.984</v>
      </c>
      <c r="AC187" s="3" t="n">
        <v>0.1</v>
      </c>
      <c r="AD187" s="3" t="n">
        <v>0.021</v>
      </c>
      <c r="AE187" s="3" t="n">
        <v>7.555</v>
      </c>
      <c r="AF187" s="3" t="n">
        <v>0.1897128650427657</v>
      </c>
      <c r="AG187" s="3" t="n">
        <v>0.2289</v>
      </c>
      <c r="AH187" s="3" t="n">
        <v>46</v>
      </c>
      <c r="AI187" s="3" t="n">
        <v>3.3348</v>
      </c>
      <c r="AJ187" s="3" t="n">
        <v>1.6498</v>
      </c>
      <c r="AK187" s="3" t="n">
        <v>-0.2836729110137559</v>
      </c>
      <c r="AL187" s="6" t="n">
        <v>0</v>
      </c>
      <c r="AM187" s="3" t="n">
        <v>0</v>
      </c>
      <c r="AN187" s="3" t="n">
        <v>0.0354</v>
      </c>
      <c r="AO187" s="3" t="n">
        <v>0.08316</v>
      </c>
      <c r="AP187" s="3">
        <f>N(X187)*N(BI187)</f>
        <v/>
      </c>
      <c r="AQ187" s="3" t="n">
        <v>0.2289</v>
      </c>
      <c r="AR187" s="3" t="n">
        <v>0</v>
      </c>
      <c r="AS187" s="3" t="n">
        <v>-0.5841244809045405</v>
      </c>
      <c r="AT187" s="3" t="n">
        <v>-0.2836729110137559</v>
      </c>
      <c r="AU187" s="3">
        <f>SUM(AN187:AT187)</f>
        <v/>
      </c>
      <c r="AV187" s="7">
        <f>IF(OR(N(W187)&lt;=0,N(BG187)=0),0,N(W187)*IF(N(R187)/N(W187)&gt;=60,N(BG187),1))</f>
        <v/>
      </c>
      <c r="AW187" s="7">
        <f>N(W187)*N(AF187)*N(BH187)</f>
        <v/>
      </c>
      <c r="AX187" s="7">
        <f>N(AL187)*(Assumptions!$B$13*N(BJ187)-(1-Assumptions!$B$13)*Assumptions!$B$14)+N(AM187)</f>
        <v/>
      </c>
      <c r="AY187" s="7">
        <f>N(AU187)*N(R187)/90+N(AV187)+N(AW187)+N(AX187)</f>
        <v/>
      </c>
      <c r="AZ187" s="3">
        <f>IF(N(R187)&lt;=0,0,(N(AY187)-N(AX187))*90/N(R187))</f>
        <v/>
      </c>
      <c r="BA187" s="7">
        <f>IFERROR(AY187-VLOOKUP($E187,Assumptions!$A$40:$C$43,3,FALSE),"")</f>
        <v/>
      </c>
      <c r="BB187" s="3">
        <f>IFERROR(BA187/H187,"")</f>
        <v/>
      </c>
      <c r="BC187">
        <f>IF(AND($G187=TRUE,$E187="GKP"),AY187,"")</f>
        <v/>
      </c>
      <c r="BD187">
        <f>IF(AND($G187=TRUE,$E187="DEF"),AY187,"")</f>
        <v/>
      </c>
      <c r="BE187">
        <f>IF(AND($G187=TRUE,$E187="MID"),AY187,"")</f>
        <v/>
      </c>
      <c r="BF187">
        <f>IF(AND($G187=TRUE,$E187="FWD"),AY187,"")</f>
        <v/>
      </c>
      <c r="BG187" t="n">
        <v>2</v>
      </c>
      <c r="BH187" t="n">
        <v>2</v>
      </c>
      <c r="BI187" t="n">
        <v>4</v>
      </c>
      <c r="BJ187" t="n">
        <v>6</v>
      </c>
    </row>
    <row r="188">
      <c r="A188" t="inlineStr">
        <is>
          <t>Vitaly Janelt</t>
        </is>
      </c>
      <c r="B188" t="inlineStr">
        <is>
          <t>BRE</t>
        </is>
      </c>
      <c r="C188" t="inlineStr">
        <is>
          <t>BRE</t>
        </is>
      </c>
      <c r="D188" t="b">
        <v>0</v>
      </c>
      <c r="E188" t="inlineStr">
        <is>
          <t>MID</t>
        </is>
      </c>
      <c r="F188" t="inlineStr">
        <is>
          <t>MID</t>
        </is>
      </c>
      <c r="G188" t="b">
        <v>1</v>
      </c>
      <c r="H188" s="2" t="n">
        <v>5</v>
      </c>
      <c r="I188" t="inlineStr">
        <is>
          <t>a</t>
        </is>
      </c>
      <c r="K188" s="2" t="n">
        <v>1434</v>
      </c>
      <c r="L188" t="n">
        <v>74</v>
      </c>
      <c r="M188" s="3" t="n">
        <v>780</v>
      </c>
      <c r="N188" s="4" t="n">
        <v>1050</v>
      </c>
      <c r="O188" s="4" t="n">
        <v>270</v>
      </c>
      <c r="P188" s="5" t="inlineStr">
        <is>
          <t>medium</t>
        </is>
      </c>
      <c r="Q188" t="inlineStr">
        <is>
          <t>fade (losing his place)</t>
        </is>
      </c>
      <c r="R188" s="6" t="n">
        <v>1050</v>
      </c>
      <c r="S188" t="inlineStr">
        <is>
          <t>research</t>
        </is>
      </c>
      <c r="T188" s="5" t="inlineStr">
        <is>
          <t>Solio flags him 'fade (losing his place)' at 780 minutes, but he started the final pre-season friendly in a midfield three with Sangare and Jensen. Modest upgrade only - a single friendly start is thin evidence and he did drop from 1434 minutes last season - but 780 looks too low for a starter in the last rehearsal before the opener.</t>
        </is>
      </c>
      <c r="U188" s="6" t="n">
        <v>81.5</v>
      </c>
      <c r="V188" s="2" t="n">
        <v>15</v>
      </c>
      <c r="W188" s="7">
        <f>IF(N(U188)&lt;=0,0,MIN(Assumptions!$B$15,N(R188)/N(U188)))</f>
        <v/>
      </c>
      <c r="X188" s="6" t="n">
        <v>0.228</v>
      </c>
      <c r="Y188" s="3" t="n">
        <v>0.0522</v>
      </c>
      <c r="Z188" t="inlineStr">
        <is>
          <t>adjusted xGOT</t>
        </is>
      </c>
      <c r="AA188" s="3" t="n">
        <v>1</v>
      </c>
      <c r="AB188" s="3" t="n">
        <v>1.014</v>
      </c>
      <c r="AC188" s="3" t="n">
        <v>5.8</v>
      </c>
      <c r="AD188" s="3" t="n">
        <v>0.1908</v>
      </c>
      <c r="AE188" s="3" t="n">
        <v>10.513</v>
      </c>
      <c r="AF188" s="3" t="n">
        <v>0.2501582624829672</v>
      </c>
      <c r="AG188" s="3" t="n">
        <v>0.3766</v>
      </c>
      <c r="AH188" s="3" t="n">
        <v>40</v>
      </c>
      <c r="AI188" s="3" t="n">
        <v>3.2371</v>
      </c>
      <c r="AJ188" s="3" t="n">
        <v>1.5396</v>
      </c>
      <c r="AK188" s="3" t="n">
        <v>-0.2841879718516938</v>
      </c>
      <c r="AL188" s="6" t="n">
        <v>0</v>
      </c>
      <c r="AM188" s="3" t="n">
        <v>0</v>
      </c>
      <c r="AN188" s="3" t="n">
        <v>0.261</v>
      </c>
      <c r="AO188" s="3" t="n">
        <v>0.755568</v>
      </c>
      <c r="AP188" s="3">
        <f>N(X188)*N(BI188)</f>
        <v/>
      </c>
      <c r="AQ188" s="3" t="n">
        <v>0.3766</v>
      </c>
      <c r="AR188" s="3" t="n">
        <v>0</v>
      </c>
      <c r="AS188" s="3" t="n">
        <v>-0</v>
      </c>
      <c r="AT188" s="3" t="n">
        <v>-0.2841879718516938</v>
      </c>
      <c r="AU188" s="3">
        <f>SUM(AN188:AT188)</f>
        <v/>
      </c>
      <c r="AV188" s="7">
        <f>IF(OR(N(W188)&lt;=0,N(BG188)=0),0,N(W188)*IF(N(R188)/N(W188)&gt;=60,N(BG188),1))</f>
        <v/>
      </c>
      <c r="AW188" s="7">
        <f>N(W188)*N(AF188)*N(BH188)</f>
        <v/>
      </c>
      <c r="AX188" s="7">
        <f>N(AL188)*(Assumptions!$B$13*N(BJ188)-(1-Assumptions!$B$13)*Assumptions!$B$14)+N(AM188)</f>
        <v/>
      </c>
      <c r="AY188" s="7">
        <f>N(AU188)*N(R188)/90+N(AV188)+N(AW188)+N(AX188)</f>
        <v/>
      </c>
      <c r="AZ188" s="3">
        <f>IF(N(R188)&lt;=0,0,(N(AY188)-N(AX188))*90/N(R188))</f>
        <v/>
      </c>
      <c r="BA188" s="7">
        <f>IFERROR(AY188-VLOOKUP($E188,Assumptions!$A$40:$C$43,3,FALSE),"")</f>
        <v/>
      </c>
      <c r="BB188" s="3">
        <f>IFERROR(BA188/H188,"")</f>
        <v/>
      </c>
      <c r="BC188">
        <f>IF(AND($G188=TRUE,$E188="GKP"),AY188,"")</f>
        <v/>
      </c>
      <c r="BD188">
        <f>IF(AND($G188=TRUE,$E188="DEF"),AY188,"")</f>
        <v/>
      </c>
      <c r="BE188">
        <f>IF(AND($G188=TRUE,$E188="MID"),AY188,"")</f>
        <v/>
      </c>
      <c r="BF188">
        <f>IF(AND($G188=TRUE,$E188="FWD"),AY188,"")</f>
        <v/>
      </c>
      <c r="BG188" t="n">
        <v>2</v>
      </c>
      <c r="BH188" t="n">
        <v>2</v>
      </c>
      <c r="BI188" t="n">
        <v>1</v>
      </c>
      <c r="BJ188" t="n">
        <v>5</v>
      </c>
    </row>
    <row r="189">
      <c r="A189" t="inlineStr">
        <is>
          <t>Joelinton</t>
        </is>
      </c>
      <c r="B189" t="inlineStr">
        <is>
          <t>NEW</t>
        </is>
      </c>
      <c r="C189" t="inlineStr">
        <is>
          <t>NEW</t>
        </is>
      </c>
      <c r="D189" t="b">
        <v>0</v>
      </c>
      <c r="E189" t="inlineStr">
        <is>
          <t>MID</t>
        </is>
      </c>
      <c r="F189" t="inlineStr">
        <is>
          <t>MID</t>
        </is>
      </c>
      <c r="G189" t="b">
        <v>1</v>
      </c>
      <c r="H189" s="2" t="n">
        <v>5.5</v>
      </c>
      <c r="I189" t="inlineStr">
        <is>
          <t>a</t>
        </is>
      </c>
      <c r="K189" s="2" t="n">
        <v>1950</v>
      </c>
      <c r="L189" t="n">
        <v>73</v>
      </c>
      <c r="M189" s="3" t="n">
        <v>1448</v>
      </c>
      <c r="N189" s="4" t="n">
        <v>1900</v>
      </c>
      <c r="O189" s="4" t="n">
        <v>452</v>
      </c>
      <c r="P189" s="5" t="inlineStr">
        <is>
          <t>medium</t>
        </is>
      </c>
      <c r="Q189" t="inlineStr">
        <is>
          <t>flat</t>
        </is>
      </c>
      <c r="R189" s="6" t="n">
        <v>1900</v>
      </c>
      <c r="S189" t="inlineStr">
        <is>
          <t>research</t>
        </is>
      </c>
      <c r="T189" s="5" t="inlineStr">
        <is>
          <t>Solio has him at 1,448, below his 1,950 minutes in 2025/26, at a moment when the midfield has been stripped out rather than reinforced. He captained the side v Everton on 12 Aug, and the VAVEL season preview XI names him as one of the two experienced central midfielders after Bruno Guimaraes and Sandro Tonali were both sold. Raised only moderately because his injury record is the genuine constraint.</t>
        </is>
      </c>
      <c r="U189" s="6" t="n">
        <v>80.59999999999999</v>
      </c>
      <c r="V189" s="2" t="n">
        <v>23</v>
      </c>
      <c r="W189" s="7">
        <f>IF(N(U189)&lt;=0,0,MIN(Assumptions!$B$15,N(R189)/N(U189)))</f>
        <v/>
      </c>
      <c r="X189" s="6" t="n">
        <v>0.248</v>
      </c>
      <c r="Y189" s="3" t="n">
        <v>0.1074</v>
      </c>
      <c r="Z189" t="inlineStr">
        <is>
          <t>adjusted xGOT</t>
        </is>
      </c>
      <c r="AA189" s="3" t="n">
        <v>1</v>
      </c>
      <c r="AB189" s="3" t="n">
        <v>0.986</v>
      </c>
      <c r="AC189" s="3" t="n">
        <v>16</v>
      </c>
      <c r="AD189" s="3" t="n">
        <v>0.0741</v>
      </c>
      <c r="AE189" s="3" t="n">
        <v>10.335</v>
      </c>
      <c r="AF189" s="3" t="n">
        <v>0.2224666535502605</v>
      </c>
      <c r="AG189" s="3" t="n">
        <v>0.09229999999999999</v>
      </c>
      <c r="AH189" s="3" t="n">
        <v>47</v>
      </c>
      <c r="AI189" s="3" t="n">
        <v>3.0912</v>
      </c>
      <c r="AJ189" s="3" t="n">
        <v>1.4534</v>
      </c>
      <c r="AK189" s="3" t="n">
        <v>-0.380738400166716</v>
      </c>
      <c r="AL189" s="6" t="n">
        <v>0</v>
      </c>
      <c r="AM189" s="3" t="n">
        <v>0</v>
      </c>
      <c r="AN189" s="3" t="n">
        <v>0.5369999999999999</v>
      </c>
      <c r="AO189" s="3" t="n">
        <v>0.293436</v>
      </c>
      <c r="AP189" s="3">
        <f>N(X189)*N(BI189)</f>
        <v/>
      </c>
      <c r="AQ189" s="3" t="n">
        <v>0.09229999999999999</v>
      </c>
      <c r="AR189" s="3" t="n">
        <v>0</v>
      </c>
      <c r="AS189" s="3" t="n">
        <v>-0</v>
      </c>
      <c r="AT189" s="3" t="n">
        <v>-0.380738400166716</v>
      </c>
      <c r="AU189" s="3">
        <f>SUM(AN189:AT189)</f>
        <v/>
      </c>
      <c r="AV189" s="7">
        <f>IF(OR(N(W189)&lt;=0,N(BG189)=0),0,N(W189)*IF(N(R189)/N(W189)&gt;=60,N(BG189),1))</f>
        <v/>
      </c>
      <c r="AW189" s="7">
        <f>N(W189)*N(AF189)*N(BH189)</f>
        <v/>
      </c>
      <c r="AX189" s="7">
        <f>N(AL189)*(Assumptions!$B$13*N(BJ189)-(1-Assumptions!$B$13)*Assumptions!$B$14)+N(AM189)</f>
        <v/>
      </c>
      <c r="AY189" s="7">
        <f>N(AU189)*N(R189)/90+N(AV189)+N(AW189)+N(AX189)</f>
        <v/>
      </c>
      <c r="AZ189" s="3">
        <f>IF(N(R189)&lt;=0,0,(N(AY189)-N(AX189))*90/N(R189))</f>
        <v/>
      </c>
      <c r="BA189" s="7">
        <f>IFERROR(AY189-VLOOKUP($E189,Assumptions!$A$40:$C$43,3,FALSE),"")</f>
        <v/>
      </c>
      <c r="BB189" s="3">
        <f>IFERROR(BA189/H189,"")</f>
        <v/>
      </c>
      <c r="BC189">
        <f>IF(AND($G189=TRUE,$E189="GKP"),AY189,"")</f>
        <v/>
      </c>
      <c r="BD189">
        <f>IF(AND($G189=TRUE,$E189="DEF"),AY189,"")</f>
        <v/>
      </c>
      <c r="BE189">
        <f>IF(AND($G189=TRUE,$E189="MID"),AY189,"")</f>
        <v/>
      </c>
      <c r="BF189">
        <f>IF(AND($G189=TRUE,$E189="FWD"),AY189,"")</f>
        <v/>
      </c>
      <c r="BG189" t="n">
        <v>2</v>
      </c>
      <c r="BH189" t="n">
        <v>2</v>
      </c>
      <c r="BI189" t="n">
        <v>1</v>
      </c>
      <c r="BJ189" t="n">
        <v>5</v>
      </c>
    </row>
    <row r="190">
      <c r="A190" t="inlineStr">
        <is>
          <t>Kobbie Mainoo</t>
        </is>
      </c>
      <c r="B190" t="inlineStr">
        <is>
          <t>MUN</t>
        </is>
      </c>
      <c r="C190" t="inlineStr">
        <is>
          <t>MUN</t>
        </is>
      </c>
      <c r="D190" t="b">
        <v>0</v>
      </c>
      <c r="E190" t="inlineStr">
        <is>
          <t>MID</t>
        </is>
      </c>
      <c r="F190" t="inlineStr">
        <is>
          <t>MID</t>
        </is>
      </c>
      <c r="G190" t="b">
        <v>1</v>
      </c>
      <c r="H190" s="2" t="n">
        <v>5.5</v>
      </c>
      <c r="I190" t="inlineStr">
        <is>
          <t>a</t>
        </is>
      </c>
      <c r="K190" s="2" t="n">
        <v>1653</v>
      </c>
      <c r="L190" t="n">
        <v>73</v>
      </c>
      <c r="M190" s="3" t="n">
        <v>691</v>
      </c>
      <c r="N190" s="4" t="n">
        <v>1200</v>
      </c>
      <c r="O190" s="4" t="n">
        <v>509</v>
      </c>
      <c r="P190" s="5" t="inlineStr">
        <is>
          <t>low</t>
        </is>
      </c>
      <c r="Q190" t="inlineStr">
        <is>
          <t>flat</t>
        </is>
      </c>
      <c r="R190" s="6" t="n">
        <v>1200</v>
      </c>
      <c r="S190" t="inlineStr">
        <is>
          <t>research</t>
        </is>
      </c>
      <c r="T190" s="5" t="inlineStr">
        <is>
          <t>Solio's 691 minutes is 18% of a season for a player who managed 1,653 last term and whom Carrick restored to the side on arrival after Amorim had frozen him out. He is named as a live contender for the second pivot slot, and one report states United have decided he is their central midfield figure and undroppable when fit. He is on 1,200 rather than higher because he was late back from the World Cup, made no pre-season start, and Tielemans is ahead of him today.</t>
        </is>
      </c>
      <c r="U190" s="6" t="n">
        <v>85.59999999999999</v>
      </c>
      <c r="V190" s="2" t="n">
        <v>16</v>
      </c>
      <c r="W190" s="7">
        <f>IF(N(U190)&lt;=0,0,MIN(Assumptions!$B$15,N(R190)/N(U190)))</f>
        <v/>
      </c>
      <c r="X190" s="6" t="n">
        <v>0.334</v>
      </c>
      <c r="Y190" s="3" t="n">
        <v>0.0256</v>
      </c>
      <c r="Z190" t="inlineStr">
        <is>
          <t>adjusted xGOT</t>
        </is>
      </c>
      <c r="AA190" s="3" t="n">
        <v>1</v>
      </c>
      <c r="AB190" s="3" t="n">
        <v>0.981</v>
      </c>
      <c r="AC190" s="3" t="n">
        <v>2.2</v>
      </c>
      <c r="AD190" s="3" t="n">
        <v>0.067</v>
      </c>
      <c r="AE190" s="3" t="n">
        <v>9.695</v>
      </c>
      <c r="AF190" s="3" t="n">
        <v>0.2189462698811546</v>
      </c>
      <c r="AG190" s="3" t="n">
        <v>0.1089</v>
      </c>
      <c r="AH190" s="3" t="n">
        <v>44</v>
      </c>
      <c r="AI190" s="3" t="n">
        <v>2.2165</v>
      </c>
      <c r="AJ190" s="3" t="n">
        <v>1.1467</v>
      </c>
      <c r="AK190" s="3" t="n">
        <v>-0.1908418603439011</v>
      </c>
      <c r="AL190" s="6" t="n">
        <v>0</v>
      </c>
      <c r="AM190" s="3" t="n">
        <v>0</v>
      </c>
      <c r="AN190" s="3" t="n">
        <v>0.128</v>
      </c>
      <c r="AO190" s="3" t="n">
        <v>0.2653200000000001</v>
      </c>
      <c r="AP190" s="3">
        <f>N(X190)*N(BI190)</f>
        <v/>
      </c>
      <c r="AQ190" s="3" t="n">
        <v>0.1089</v>
      </c>
      <c r="AR190" s="3" t="n">
        <v>0</v>
      </c>
      <c r="AS190" s="3" t="n">
        <v>-0</v>
      </c>
      <c r="AT190" s="3" t="n">
        <v>-0.1908418603439011</v>
      </c>
      <c r="AU190" s="3">
        <f>SUM(AN190:AT190)</f>
        <v/>
      </c>
      <c r="AV190" s="7">
        <f>IF(OR(N(W190)&lt;=0,N(BG190)=0),0,N(W190)*IF(N(R190)/N(W190)&gt;=60,N(BG190),1))</f>
        <v/>
      </c>
      <c r="AW190" s="7">
        <f>N(W190)*N(AF190)*N(BH190)</f>
        <v/>
      </c>
      <c r="AX190" s="7">
        <f>N(AL190)*(Assumptions!$B$13*N(BJ190)-(1-Assumptions!$B$13)*Assumptions!$B$14)+N(AM190)</f>
        <v/>
      </c>
      <c r="AY190" s="7">
        <f>N(AU190)*N(R190)/90+N(AV190)+N(AW190)+N(AX190)</f>
        <v/>
      </c>
      <c r="AZ190" s="3">
        <f>IF(N(R190)&lt;=0,0,(N(AY190)-N(AX190))*90/N(R190))</f>
        <v/>
      </c>
      <c r="BA190" s="7">
        <f>IFERROR(AY190-VLOOKUP($E190,Assumptions!$A$40:$C$43,3,FALSE),"")</f>
        <v/>
      </c>
      <c r="BB190" s="3">
        <f>IFERROR(BA190/H190,"")</f>
        <v/>
      </c>
      <c r="BC190">
        <f>IF(AND($G190=TRUE,$E190="GKP"),AY190,"")</f>
        <v/>
      </c>
      <c r="BD190">
        <f>IF(AND($G190=TRUE,$E190="DEF"),AY190,"")</f>
        <v/>
      </c>
      <c r="BE190">
        <f>IF(AND($G190=TRUE,$E190="MID"),AY190,"")</f>
        <v/>
      </c>
      <c r="BF190">
        <f>IF(AND($G190=TRUE,$E190="FWD"),AY190,"")</f>
        <v/>
      </c>
      <c r="BG190" t="n">
        <v>2</v>
      </c>
      <c r="BH190" t="n">
        <v>2</v>
      </c>
      <c r="BI190" t="n">
        <v>1</v>
      </c>
      <c r="BJ190" t="n">
        <v>5</v>
      </c>
    </row>
    <row r="191">
      <c r="A191" t="inlineStr">
        <is>
          <t>Lukas Nmecha</t>
        </is>
      </c>
      <c r="B191" t="inlineStr">
        <is>
          <t>LEE</t>
        </is>
      </c>
      <c r="C191" t="inlineStr">
        <is>
          <t>LEE</t>
        </is>
      </c>
      <c r="D191" t="b">
        <v>0</v>
      </c>
      <c r="E191" t="inlineStr">
        <is>
          <t>FWD</t>
        </is>
      </c>
      <c r="F191" t="inlineStr">
        <is>
          <t>FWD</t>
        </is>
      </c>
      <c r="G191" t="b">
        <v>1</v>
      </c>
      <c r="H191" s="2" t="n">
        <v>5.5</v>
      </c>
      <c r="I191" t="inlineStr">
        <is>
          <t>a</t>
        </is>
      </c>
      <c r="K191" s="2" t="n">
        <v>1065</v>
      </c>
      <c r="L191" t="n">
        <v>73</v>
      </c>
      <c r="M191" s="3" t="n">
        <v>268</v>
      </c>
      <c r="N191" s="8" t="n">
        <v>268</v>
      </c>
      <c r="O191" s="8" t="n">
        <v>0</v>
      </c>
      <c r="Q191" t="inlineStr">
        <is>
          <t>flat</t>
        </is>
      </c>
      <c r="R191" s="6" t="n">
        <v>268</v>
      </c>
      <c r="S191" t="inlineStr">
        <is>
          <t>Solio</t>
        </is>
      </c>
      <c r="U191" s="6" t="n">
        <v>74.8</v>
      </c>
      <c r="V191" s="2" t="n">
        <v>10</v>
      </c>
      <c r="W191" s="7">
        <f>IF(N(U191)&lt;=0,0,MIN(Assumptions!$B$15,N(R191)/N(U191)))</f>
        <v/>
      </c>
      <c r="X191" s="6" t="n">
        <v>0.218</v>
      </c>
      <c r="Y191" s="3" t="n">
        <v>0.4625</v>
      </c>
      <c r="Z191" t="inlineStr">
        <is>
          <t>adjusted xGOT</t>
        </is>
      </c>
      <c r="AA191" s="3" t="n">
        <v>0.719</v>
      </c>
      <c r="AB191" s="3" t="n">
        <v>1.049</v>
      </c>
      <c r="AC191" s="3" t="n">
        <v>7.2</v>
      </c>
      <c r="AD191" s="3" t="n">
        <v>0.1379</v>
      </c>
      <c r="AE191" s="3" t="n">
        <v>4.807</v>
      </c>
      <c r="AF191" s="3" t="n">
        <v>0.0009059367876014246</v>
      </c>
      <c r="AG191" s="3" t="n">
        <v>0.6761</v>
      </c>
      <c r="AH191" s="3" t="n">
        <v>40</v>
      </c>
      <c r="AI191" s="3" t="n">
        <v>3.0611</v>
      </c>
      <c r="AJ191" s="3" t="n">
        <v>1.5875</v>
      </c>
      <c r="AK191" s="3" t="n">
        <v>-0.1053642225327288</v>
      </c>
      <c r="AL191" s="6" t="n">
        <v>0.0329284026885676</v>
      </c>
      <c r="AM191" s="3" t="n">
        <v>0</v>
      </c>
      <c r="AN191" s="3" t="n">
        <v>1.85</v>
      </c>
      <c r="AO191" s="3" t="n">
        <v>0.546084</v>
      </c>
      <c r="AP191" s="3">
        <f>N(X191)*N(BI191)</f>
        <v/>
      </c>
      <c r="AQ191" s="3" t="n">
        <v>0.6761</v>
      </c>
      <c r="AR191" s="3" t="n">
        <v>0</v>
      </c>
      <c r="AS191" s="3" t="n">
        <v>-0</v>
      </c>
      <c r="AT191" s="3" t="n">
        <v>-0.1053642225327288</v>
      </c>
      <c r="AU191" s="3">
        <f>SUM(AN191:AT191)</f>
        <v/>
      </c>
      <c r="AV191" s="7">
        <f>IF(OR(N(W191)&lt;=0,N(BG191)=0),0,N(W191)*IF(N(R191)/N(W191)&gt;=60,N(BG191),1))</f>
        <v/>
      </c>
      <c r="AW191" s="7">
        <f>N(W191)*N(AF191)*N(BH191)</f>
        <v/>
      </c>
      <c r="AX191" s="7">
        <f>N(AL191)*(Assumptions!$B$13*N(BJ191)-(1-Assumptions!$B$13)*Assumptions!$B$14)+N(AM191)</f>
        <v/>
      </c>
      <c r="AY191" s="7">
        <f>N(AU191)*N(R191)/90+N(AV191)+N(AW191)+N(AX191)</f>
        <v/>
      </c>
      <c r="AZ191" s="3">
        <f>IF(N(R191)&lt;=0,0,(N(AY191)-N(AX191))*90/N(R191))</f>
        <v/>
      </c>
      <c r="BA191" s="7">
        <f>IFERROR(AY191-VLOOKUP($E191,Assumptions!$A$40:$C$43,3,FALSE),"")</f>
        <v/>
      </c>
      <c r="BB191" s="3">
        <f>IFERROR(BA191/H191,"")</f>
        <v/>
      </c>
      <c r="BC191">
        <f>IF(AND($G191=TRUE,$E191="GKP"),AY191,"")</f>
        <v/>
      </c>
      <c r="BD191">
        <f>IF(AND($G191=TRUE,$E191="DEF"),AY191,"")</f>
        <v/>
      </c>
      <c r="BE191">
        <f>IF(AND($G191=TRUE,$E191="MID"),AY191,"")</f>
        <v/>
      </c>
      <c r="BF191">
        <f>IF(AND($G191=TRUE,$E191="FWD"),AY191,"")</f>
        <v/>
      </c>
      <c r="BG191" t="n">
        <v>2</v>
      </c>
      <c r="BH191" t="n">
        <v>2</v>
      </c>
      <c r="BI191" t="n">
        <v>0</v>
      </c>
      <c r="BJ191" t="n">
        <v>4</v>
      </c>
    </row>
    <row r="192">
      <c r="A192" t="inlineStr">
        <is>
          <t>Noni Madueke</t>
        </is>
      </c>
      <c r="B192" t="inlineStr">
        <is>
          <t>ARS</t>
        </is>
      </c>
      <c r="C192" t="inlineStr">
        <is>
          <t>ARS</t>
        </is>
      </c>
      <c r="D192" t="b">
        <v>0</v>
      </c>
      <c r="E192" t="inlineStr">
        <is>
          <t>MID</t>
        </is>
      </c>
      <c r="F192" t="inlineStr">
        <is>
          <t>MID</t>
        </is>
      </c>
      <c r="G192" t="b">
        <v>1</v>
      </c>
      <c r="H192" s="2" t="n">
        <v>6.5</v>
      </c>
      <c r="I192" t="inlineStr">
        <is>
          <t>a</t>
        </is>
      </c>
      <c r="K192" s="2" t="n">
        <v>1205</v>
      </c>
      <c r="L192" t="n">
        <v>72</v>
      </c>
      <c r="M192" s="3" t="n">
        <v>600</v>
      </c>
      <c r="N192" s="8" t="n">
        <v>600</v>
      </c>
      <c r="O192" s="8" t="n">
        <v>0</v>
      </c>
      <c r="Q192" t="inlineStr">
        <is>
          <t>fade (losing his place)</t>
        </is>
      </c>
      <c r="R192" s="6" t="n">
        <v>600</v>
      </c>
      <c r="S192" t="inlineStr">
        <is>
          <t>Solio</t>
        </is>
      </c>
      <c r="U192" s="6" t="n">
        <v>70.40000000000001</v>
      </c>
      <c r="V192" s="2" t="n">
        <v>16</v>
      </c>
      <c r="W192" s="7">
        <f>IF(N(U192)&lt;=0,0,MIN(Assumptions!$B$15,N(R192)/N(U192)))</f>
        <v/>
      </c>
      <c r="X192" s="6" t="n">
        <v>0.391</v>
      </c>
      <c r="Y192" s="3" t="n">
        <v>0.0982</v>
      </c>
      <c r="Z192" t="inlineStr">
        <is>
          <t>adjusted xGOT</t>
        </is>
      </c>
      <c r="AA192" s="3" t="n">
        <v>1</v>
      </c>
      <c r="AB192" s="3" t="n">
        <v>1.069</v>
      </c>
      <c r="AC192" s="3" t="n">
        <v>14.3</v>
      </c>
      <c r="AD192" s="3" t="n">
        <v>0.2566</v>
      </c>
      <c r="AE192" s="3" t="n">
        <v>6.481</v>
      </c>
      <c r="AF192" s="3" t="n">
        <v>0.006051009821478992</v>
      </c>
      <c r="AG192" s="3" t="n">
        <v>0.6722</v>
      </c>
      <c r="AH192" s="3" t="n">
        <v>37</v>
      </c>
      <c r="AI192" s="3" t="n">
        <v>2.067</v>
      </c>
      <c r="AJ192" s="3" t="n">
        <v>0.9838</v>
      </c>
      <c r="AK192" s="3" t="n">
        <v>-0.138415465216067</v>
      </c>
      <c r="AL192" s="6" t="n">
        <v>0</v>
      </c>
      <c r="AM192" s="3" t="n">
        <v>0</v>
      </c>
      <c r="AN192" s="3" t="n">
        <v>0.491</v>
      </c>
      <c r="AO192" s="3" t="n">
        <v>1.016136</v>
      </c>
      <c r="AP192" s="3">
        <f>N(X192)*N(BI192)</f>
        <v/>
      </c>
      <c r="AQ192" s="3" t="n">
        <v>0.6722</v>
      </c>
      <c r="AR192" s="3" t="n">
        <v>0</v>
      </c>
      <c r="AS192" s="3" t="n">
        <v>-0</v>
      </c>
      <c r="AT192" s="3" t="n">
        <v>-0.138415465216067</v>
      </c>
      <c r="AU192" s="3">
        <f>SUM(AN192:AT192)</f>
        <v/>
      </c>
      <c r="AV192" s="7">
        <f>IF(OR(N(W192)&lt;=0,N(BG192)=0),0,N(W192)*IF(N(R192)/N(W192)&gt;=60,N(BG192),1))</f>
        <v/>
      </c>
      <c r="AW192" s="7">
        <f>N(W192)*N(AF192)*N(BH192)</f>
        <v/>
      </c>
      <c r="AX192" s="7">
        <f>N(AL192)*(Assumptions!$B$13*N(BJ192)-(1-Assumptions!$B$13)*Assumptions!$B$14)+N(AM192)</f>
        <v/>
      </c>
      <c r="AY192" s="7">
        <f>N(AU192)*N(R192)/90+N(AV192)+N(AW192)+N(AX192)</f>
        <v/>
      </c>
      <c r="AZ192" s="3">
        <f>IF(N(R192)&lt;=0,0,(N(AY192)-N(AX192))*90/N(R192))</f>
        <v/>
      </c>
      <c r="BA192" s="7">
        <f>IFERROR(AY192-VLOOKUP($E192,Assumptions!$A$40:$C$43,3,FALSE),"")</f>
        <v/>
      </c>
      <c r="BB192" s="3">
        <f>IFERROR(BA192/H192,"")</f>
        <v/>
      </c>
      <c r="BC192">
        <f>IF(AND($G192=TRUE,$E192="GKP"),AY192,"")</f>
        <v/>
      </c>
      <c r="BD192">
        <f>IF(AND($G192=TRUE,$E192="DEF"),AY192,"")</f>
        <v/>
      </c>
      <c r="BE192">
        <f>IF(AND($G192=TRUE,$E192="MID"),AY192,"")</f>
        <v/>
      </c>
      <c r="BF192">
        <f>IF(AND($G192=TRUE,$E192="FWD"),AY192,"")</f>
        <v/>
      </c>
      <c r="BG192" t="n">
        <v>2</v>
      </c>
      <c r="BH192" t="n">
        <v>2</v>
      </c>
      <c r="BI192" t="n">
        <v>1</v>
      </c>
      <c r="BJ192" t="n">
        <v>5</v>
      </c>
    </row>
    <row r="193">
      <c r="A193" t="inlineStr">
        <is>
          <t>Jaydee Canvot</t>
        </is>
      </c>
      <c r="B193" t="inlineStr">
        <is>
          <t>CRY</t>
        </is>
      </c>
      <c r="C193" t="inlineStr">
        <is>
          <t>CRY</t>
        </is>
      </c>
      <c r="D193" t="b">
        <v>0</v>
      </c>
      <c r="E193" t="inlineStr">
        <is>
          <t>DEF</t>
        </is>
      </c>
      <c r="F193" t="inlineStr">
        <is>
          <t>DEF</t>
        </is>
      </c>
      <c r="G193" t="b">
        <v>1</v>
      </c>
      <c r="H193" s="2" t="n">
        <v>5</v>
      </c>
      <c r="I193" t="inlineStr">
        <is>
          <t>a</t>
        </is>
      </c>
      <c r="K193" s="2" t="n">
        <v>1331</v>
      </c>
      <c r="L193" t="n">
        <v>72</v>
      </c>
      <c r="M193" s="3" t="n">
        <v>3249</v>
      </c>
      <c r="N193" s="4" t="n">
        <v>3050</v>
      </c>
      <c r="O193" s="4" t="n">
        <v>-199</v>
      </c>
      <c r="P193" s="5" t="inlineStr">
        <is>
          <t>low</t>
        </is>
      </c>
      <c r="Q193" t="inlineStr">
        <is>
          <t>flat</t>
        </is>
      </c>
      <c r="R193" s="6" t="n">
        <v>3050</v>
      </c>
      <c r="S193" t="inlineStr">
        <is>
          <t>research</t>
        </is>
      </c>
      <c r="T193" s="5" t="inlineStr">
        <is>
          <t>Same rotation haircut. The direction of Solio's promotion from 1331 minutes is right given Lacroix's sale, but 3249 asks a 2025/26 part-starter to play 36 full Premier League matches in a Europa League season with Riad, Tomiyasu and Mingueza all available behind him.</t>
        </is>
      </c>
      <c r="U193" s="6" t="n">
        <v>86.59999999999999</v>
      </c>
      <c r="V193" s="2" t="n">
        <v>14</v>
      </c>
      <c r="W193" s="7">
        <f>IF(N(U193)&lt;=0,0,MIN(Assumptions!$B$15,N(R193)/N(U193)))</f>
        <v/>
      </c>
      <c r="X193" s="6" t="n">
        <v>0.216</v>
      </c>
      <c r="Y193" s="3" t="n">
        <v>0.0876</v>
      </c>
      <c r="Z193" t="inlineStr">
        <is>
          <t>adjusted xGOT</t>
        </is>
      </c>
      <c r="AA193" s="3" t="n">
        <v>1</v>
      </c>
      <c r="AB193" s="3" t="n">
        <v>0.876</v>
      </c>
      <c r="AC193" s="3" t="n">
        <v>1.5</v>
      </c>
      <c r="AD193" s="3" t="n">
        <v>0.0139</v>
      </c>
      <c r="AE193" s="3" t="n">
        <v>10.114</v>
      </c>
      <c r="AF193" s="3" t="n">
        <v>0.5081139668822136</v>
      </c>
      <c r="AG193" s="3" t="n">
        <v>0.4733</v>
      </c>
      <c r="AH193" s="3" t="n">
        <v>34</v>
      </c>
      <c r="AI193" s="3" t="n">
        <v>3.2035</v>
      </c>
      <c r="AJ193" s="3" t="n">
        <v>1.5923</v>
      </c>
      <c r="AK193" s="3" t="n">
        <v>-0.2139042002391527</v>
      </c>
      <c r="AL193" s="6" t="n">
        <v>0</v>
      </c>
      <c r="AM193" s="3" t="n">
        <v>0</v>
      </c>
      <c r="AN193" s="3" t="n">
        <v>0.5256</v>
      </c>
      <c r="AO193" s="3" t="n">
        <v>0.055044</v>
      </c>
      <c r="AP193" s="3">
        <f>N(X193)*N(BI193)</f>
        <v/>
      </c>
      <c r="AQ193" s="3" t="n">
        <v>0.4733</v>
      </c>
      <c r="AR193" s="3" t="n">
        <v>0</v>
      </c>
      <c r="AS193" s="3" t="n">
        <v>-0.5564987001023466</v>
      </c>
      <c r="AT193" s="3" t="n">
        <v>-0.2139042002391527</v>
      </c>
      <c r="AU193" s="3">
        <f>SUM(AN193:AT193)</f>
        <v/>
      </c>
      <c r="AV193" s="7">
        <f>IF(OR(N(W193)&lt;=0,N(BG193)=0),0,N(W193)*IF(N(R193)/N(W193)&gt;=60,N(BG193),1))</f>
        <v/>
      </c>
      <c r="AW193" s="7">
        <f>N(W193)*N(AF193)*N(BH193)</f>
        <v/>
      </c>
      <c r="AX193" s="7">
        <f>N(AL193)*(Assumptions!$B$13*N(BJ193)-(1-Assumptions!$B$13)*Assumptions!$B$14)+N(AM193)</f>
        <v/>
      </c>
      <c r="AY193" s="7">
        <f>N(AU193)*N(R193)/90+N(AV193)+N(AW193)+N(AX193)</f>
        <v/>
      </c>
      <c r="AZ193" s="3">
        <f>IF(N(R193)&lt;=0,0,(N(AY193)-N(AX193))*90/N(R193))</f>
        <v/>
      </c>
      <c r="BA193" s="7">
        <f>IFERROR(AY193-VLOOKUP($E193,Assumptions!$A$40:$C$43,3,FALSE),"")</f>
        <v/>
      </c>
      <c r="BB193" s="3">
        <f>IFERROR(BA193/H193,"")</f>
        <v/>
      </c>
      <c r="BC193">
        <f>IF(AND($G193=TRUE,$E193="GKP"),AY193,"")</f>
        <v/>
      </c>
      <c r="BD193">
        <f>IF(AND($G193=TRUE,$E193="DEF"),AY193,"")</f>
        <v/>
      </c>
      <c r="BE193">
        <f>IF(AND($G193=TRUE,$E193="MID"),AY193,"")</f>
        <v/>
      </c>
      <c r="BF193">
        <f>IF(AND($G193=TRUE,$E193="FWD"),AY193,"")</f>
        <v/>
      </c>
      <c r="BG193" t="n">
        <v>2</v>
      </c>
      <c r="BH193" t="n">
        <v>2</v>
      </c>
      <c r="BI193" t="n">
        <v>4</v>
      </c>
      <c r="BJ193" t="n">
        <v>6</v>
      </c>
    </row>
    <row r="194">
      <c r="A194" t="inlineStr">
        <is>
          <t>Lewis Miley</t>
        </is>
      </c>
      <c r="B194" t="inlineStr">
        <is>
          <t>NEW</t>
        </is>
      </c>
      <c r="C194" t="inlineStr">
        <is>
          <t>NEW</t>
        </is>
      </c>
      <c r="D194" t="b">
        <v>0</v>
      </c>
      <c r="E194" t="inlineStr">
        <is>
          <t>MID</t>
        </is>
      </c>
      <c r="F194" t="inlineStr">
        <is>
          <t>MID</t>
        </is>
      </c>
      <c r="G194" t="b">
        <v>1</v>
      </c>
      <c r="H194" s="2" t="n">
        <v>5.5</v>
      </c>
      <c r="I194" t="inlineStr">
        <is>
          <t>i</t>
        </is>
      </c>
      <c r="J194" t="inlineStr">
        <is>
          <t>Leg injury - Expected back 30 Aug</t>
        </is>
      </c>
      <c r="K194" s="2" t="n">
        <v>1493</v>
      </c>
      <c r="L194" t="n">
        <v>72</v>
      </c>
      <c r="M194" s="3" t="n">
        <v>1790</v>
      </c>
      <c r="N194" s="4" t="n">
        <v>2090</v>
      </c>
      <c r="O194" s="4" t="n">
        <v>300</v>
      </c>
      <c r="P194" s="5" t="inlineStr">
        <is>
          <t>medium</t>
        </is>
      </c>
      <c r="Q194" t="inlineStr">
        <is>
          <t>flat</t>
        </is>
      </c>
      <c r="R194" s="6" t="n">
        <v>2090</v>
      </c>
      <c r="S194" t="inlineStr">
        <is>
          <t>research</t>
        </is>
      </c>
      <c r="T194" s="5" t="inlineStr">
        <is>
          <t>FPL still lists him as injured with a 30 Aug return, but that flag is stale: he started v Leverkusen on 15 Aug, played 45 minutes on his comeback from the fractured fibula that ended his 2025/26, and beat reporting on 13 Aug expected him fit for the Liverpool opener. The VAVEL preview XI starts him in the double pivot. Small raise only - his injury record is real and Bamba and Steur are direct competition.</t>
        </is>
      </c>
      <c r="U194" s="6" t="n">
        <v>84.8</v>
      </c>
      <c r="V194" s="2" t="n">
        <v>15</v>
      </c>
      <c r="W194" s="7">
        <f>IF(N(U194)&lt;=0,0,MIN(Assumptions!$B$15,N(R194)/N(U194)))</f>
        <v/>
      </c>
      <c r="X194" s="6" t="n">
        <v>0.248</v>
      </c>
      <c r="Y194" s="3" t="n">
        <v>0.0788</v>
      </c>
      <c r="Z194" t="inlineStr">
        <is>
          <t>adjusted xGOT</t>
        </is>
      </c>
      <c r="AA194" s="3" t="n">
        <v>1</v>
      </c>
      <c r="AB194" s="3" t="n">
        <v>0.962</v>
      </c>
      <c r="AC194" s="3" t="n">
        <v>3.2</v>
      </c>
      <c r="AD194" s="3" t="n">
        <v>0.1333</v>
      </c>
      <c r="AE194" s="3" t="n">
        <v>9.093999999999999</v>
      </c>
      <c r="AF194" s="3" t="n">
        <v>0.1572455569430231</v>
      </c>
      <c r="AG194" s="3" t="n">
        <v>0.3014</v>
      </c>
      <c r="AH194" s="3" t="n">
        <v>38</v>
      </c>
      <c r="AI194" s="3" t="n">
        <v>3.0912</v>
      </c>
      <c r="AJ194" s="3" t="n">
        <v>1.4534</v>
      </c>
      <c r="AK194" s="3" t="n">
        <v>-0.1064830549749539</v>
      </c>
      <c r="AL194" s="6" t="n">
        <v>0</v>
      </c>
      <c r="AM194" s="3" t="n">
        <v>0</v>
      </c>
      <c r="AN194" s="3" t="n">
        <v>0.394</v>
      </c>
      <c r="AO194" s="3" t="n">
        <v>0.5278680000000001</v>
      </c>
      <c r="AP194" s="3">
        <f>N(X194)*N(BI194)</f>
        <v/>
      </c>
      <c r="AQ194" s="3" t="n">
        <v>0.3014</v>
      </c>
      <c r="AR194" s="3" t="n">
        <v>0</v>
      </c>
      <c r="AS194" s="3" t="n">
        <v>-0</v>
      </c>
      <c r="AT194" s="3" t="n">
        <v>-0.1064830549749539</v>
      </c>
      <c r="AU194" s="3">
        <f>SUM(AN194:AT194)</f>
        <v/>
      </c>
      <c r="AV194" s="7">
        <f>IF(OR(N(W194)&lt;=0,N(BG194)=0),0,N(W194)*IF(N(R194)/N(W194)&gt;=60,N(BG194),1))</f>
        <v/>
      </c>
      <c r="AW194" s="7">
        <f>N(W194)*N(AF194)*N(BH194)</f>
        <v/>
      </c>
      <c r="AX194" s="7">
        <f>N(AL194)*(Assumptions!$B$13*N(BJ194)-(1-Assumptions!$B$13)*Assumptions!$B$14)+N(AM194)</f>
        <v/>
      </c>
      <c r="AY194" s="7">
        <f>N(AU194)*N(R194)/90+N(AV194)+N(AW194)+N(AX194)</f>
        <v/>
      </c>
      <c r="AZ194" s="3">
        <f>IF(N(R194)&lt;=0,0,(N(AY194)-N(AX194))*90/N(R194))</f>
        <v/>
      </c>
      <c r="BA194" s="7">
        <f>IFERROR(AY194-VLOOKUP($E194,Assumptions!$A$40:$C$43,3,FALSE),"")</f>
        <v/>
      </c>
      <c r="BB194" s="3">
        <f>IFERROR(BA194/H194,"")</f>
        <v/>
      </c>
      <c r="BC194">
        <f>IF(AND($G194=TRUE,$E194="GKP"),AY194,"")</f>
        <v/>
      </c>
      <c r="BD194">
        <f>IF(AND($G194=TRUE,$E194="DEF"),AY194,"")</f>
        <v/>
      </c>
      <c r="BE194">
        <f>IF(AND($G194=TRUE,$E194="MID"),AY194,"")</f>
        <v/>
      </c>
      <c r="BF194">
        <f>IF(AND($G194=TRUE,$E194="FWD"),AY194,"")</f>
        <v/>
      </c>
      <c r="BG194" t="n">
        <v>2</v>
      </c>
      <c r="BH194" t="n">
        <v>2</v>
      </c>
      <c r="BI194" t="n">
        <v>1</v>
      </c>
      <c r="BJ194" t="n">
        <v>5</v>
      </c>
    </row>
    <row r="195">
      <c r="A195" s="9" t="inlineStr">
        <is>
          <t>Karl Darlow</t>
        </is>
      </c>
      <c r="B195" t="inlineStr">
        <is>
          <t>MUN</t>
        </is>
      </c>
      <c r="C195" s="9" t="inlineStr">
        <is>
          <t>LEE</t>
        </is>
      </c>
      <c r="D195" t="b">
        <v>1</v>
      </c>
      <c r="E195" t="inlineStr">
        <is>
          <t>GKP</t>
        </is>
      </c>
      <c r="F195" t="inlineStr">
        <is>
          <t>GKP</t>
        </is>
      </c>
      <c r="G195" t="b">
        <v>1</v>
      </c>
      <c r="H195" s="2" t="n">
        <v>4.5</v>
      </c>
      <c r="I195" t="inlineStr">
        <is>
          <t>d</t>
        </is>
      </c>
      <c r="J195" t="inlineStr">
        <is>
          <t>Unspecified injury - 75% chance of playing</t>
        </is>
      </c>
      <c r="K195" s="2" t="n">
        <v>1980</v>
      </c>
      <c r="L195" t="n">
        <v>71</v>
      </c>
      <c r="M195" s="3" t="n">
        <v>35</v>
      </c>
      <c r="N195" s="8" t="n">
        <v>35</v>
      </c>
      <c r="O195" s="8" t="n">
        <v>0</v>
      </c>
      <c r="Q195" t="inlineStr">
        <is>
          <t>flat</t>
        </is>
      </c>
      <c r="R195" s="6" t="n">
        <v>35</v>
      </c>
      <c r="S195" t="inlineStr">
        <is>
          <t>Solio</t>
        </is>
      </c>
      <c r="U195" s="6" t="n">
        <v>89.90000000000001</v>
      </c>
      <c r="V195" s="2" t="n">
        <v>22</v>
      </c>
      <c r="W195" s="7">
        <f>IF(N(U195)&lt;=0,0,MIN(Assumptions!$B$15,N(R195)/N(U195)))</f>
        <v/>
      </c>
      <c r="X195" s="6" t="n">
        <v>0.334</v>
      </c>
      <c r="Y195" s="10" t="n">
        <v>0</v>
      </c>
      <c r="Z195" t="inlineStr">
        <is>
          <t>blended xG</t>
        </is>
      </c>
      <c r="AA195" s="3" t="n">
        <v>1</v>
      </c>
      <c r="AB195" s="3" t="n">
        <v>1</v>
      </c>
      <c r="AC195" s="3" t="n">
        <v>0</v>
      </c>
      <c r="AD195" s="10" t="n">
        <v>0.0011</v>
      </c>
      <c r="AE195" s="3" t="n">
        <v>0</v>
      </c>
      <c r="AF195" s="3" t="n">
        <v>0</v>
      </c>
      <c r="AG195" s="3" t="n">
        <v>0.2273</v>
      </c>
      <c r="AH195" s="3" t="n">
        <v>44</v>
      </c>
      <c r="AI195" s="3" t="n">
        <v>2.2165</v>
      </c>
      <c r="AJ195" s="3" t="n">
        <v>1.1467</v>
      </c>
      <c r="AK195" s="3" t="n">
        <v>-0.0601653404837744</v>
      </c>
      <c r="AL195" s="6" t="n">
        <v>0</v>
      </c>
      <c r="AM195" s="3" t="n">
        <v>0.0250532964057661</v>
      </c>
      <c r="AN195" s="10" t="n">
        <v>0</v>
      </c>
      <c r="AO195" s="10" t="n">
        <v>0.004356</v>
      </c>
      <c r="AP195" s="3">
        <f>N(X195)*N(BI195)</f>
        <v/>
      </c>
      <c r="AQ195" s="3" t="n">
        <v>0.2273</v>
      </c>
      <c r="AR195" s="3" t="n">
        <v>0.407909225741714</v>
      </c>
      <c r="AS195" s="3" t="n">
        <v>-0.348580685135232</v>
      </c>
      <c r="AT195" s="3" t="n">
        <v>-0.0601653404837744</v>
      </c>
      <c r="AU195" s="3">
        <f>SUM(AN195:AT195)</f>
        <v/>
      </c>
      <c r="AV195" s="7">
        <f>IF(OR(N(W195)&lt;=0,N(BG195)=0),0,N(W195)*IF(N(R195)/N(W195)&gt;=60,N(BG195),1))</f>
        <v/>
      </c>
      <c r="AW195" s="7">
        <f>N(W195)*N(AF195)*N(BH195)</f>
        <v/>
      </c>
      <c r="AX195" s="7">
        <f>N(AL195)*(Assumptions!$B$13*N(BJ195)-(1-Assumptions!$B$13)*Assumptions!$B$14)+N(AM195)</f>
        <v/>
      </c>
      <c r="AY195" s="7">
        <f>N(AU195)*N(R195)/90+N(AV195)+N(AW195)+N(AX195)</f>
        <v/>
      </c>
      <c r="AZ195" s="3">
        <f>IF(N(R195)&lt;=0,0,(N(AY195)-N(AX195))*90/N(R195))</f>
        <v/>
      </c>
      <c r="BA195" s="7">
        <f>IFERROR(AY195-VLOOKUP($E195,Assumptions!$A$40:$C$43,3,FALSE),"")</f>
        <v/>
      </c>
      <c r="BB195" s="3">
        <f>IFERROR(BA195/H195,"")</f>
        <v/>
      </c>
      <c r="BC195">
        <f>IF(AND($G195=TRUE,$E195="GKP"),AY195,"")</f>
        <v/>
      </c>
      <c r="BD195">
        <f>IF(AND($G195=TRUE,$E195="DEF"),AY195,"")</f>
        <v/>
      </c>
      <c r="BE195">
        <f>IF(AND($G195=TRUE,$E195="MID"),AY195,"")</f>
        <v/>
      </c>
      <c r="BF195">
        <f>IF(AND($G195=TRUE,$E195="FWD"),AY195,"")</f>
        <v/>
      </c>
      <c r="BG195" t="n">
        <v>2</v>
      </c>
      <c r="BH195" t="n">
        <v>0</v>
      </c>
      <c r="BI195" t="n">
        <v>4</v>
      </c>
      <c r="BJ195" t="n">
        <v>10</v>
      </c>
    </row>
    <row r="196">
      <c r="A196" t="inlineStr">
        <is>
          <t>Pape Matar Sarr</t>
        </is>
      </c>
      <c r="B196" t="inlineStr">
        <is>
          <t>TOT</t>
        </is>
      </c>
      <c r="C196" t="inlineStr">
        <is>
          <t>TOT</t>
        </is>
      </c>
      <c r="D196" t="b">
        <v>0</v>
      </c>
      <c r="E196" t="inlineStr">
        <is>
          <t>MID</t>
        </is>
      </c>
      <c r="F196" t="inlineStr">
        <is>
          <t>MID</t>
        </is>
      </c>
      <c r="G196" t="b">
        <v>1</v>
      </c>
      <c r="H196" s="2" t="n">
        <v>5</v>
      </c>
      <c r="I196" t="inlineStr">
        <is>
          <t>a</t>
        </is>
      </c>
      <c r="K196" s="2" t="n">
        <v>1388</v>
      </c>
      <c r="L196" t="n">
        <v>71</v>
      </c>
      <c r="M196" s="3" t="n">
        <v>174</v>
      </c>
      <c r="N196" s="8" t="n">
        <v>174</v>
      </c>
      <c r="O196" s="8" t="n">
        <v>0</v>
      </c>
      <c r="Q196" t="inlineStr">
        <is>
          <t>flat</t>
        </is>
      </c>
      <c r="R196" s="6" t="n">
        <v>174</v>
      </c>
      <c r="S196" t="inlineStr">
        <is>
          <t>Solio</t>
        </is>
      </c>
      <c r="U196" s="6" t="n">
        <v>84.90000000000001</v>
      </c>
      <c r="V196" s="2" t="n">
        <v>13</v>
      </c>
      <c r="W196" s="7">
        <f>IF(N(U196)&lt;=0,0,MIN(Assumptions!$B$15,N(R196)/N(U196)))</f>
        <v/>
      </c>
      <c r="X196" s="6" t="n">
        <v>0.286</v>
      </c>
      <c r="Y196" s="3" t="n">
        <v>0.1013</v>
      </c>
      <c r="Z196" t="inlineStr">
        <is>
          <t>adjusted xGOT</t>
        </is>
      </c>
      <c r="AA196" s="3" t="n">
        <v>1</v>
      </c>
      <c r="AB196" s="3" t="n">
        <v>0.959</v>
      </c>
      <c r="AC196" s="3" t="n">
        <v>8.6</v>
      </c>
      <c r="AD196" s="3" t="n">
        <v>0.1149</v>
      </c>
      <c r="AE196" s="3" t="n">
        <v>10.743</v>
      </c>
      <c r="AF196" s="3" t="n">
        <v>0.3185885548983641</v>
      </c>
      <c r="AG196" s="3" t="n">
        <v>0.1297</v>
      </c>
      <c r="AH196" s="3" t="n">
        <v>39</v>
      </c>
      <c r="AI196" s="3" t="n">
        <v>2.5739</v>
      </c>
      <c r="AJ196" s="3" t="n">
        <v>1.3096</v>
      </c>
      <c r="AK196" s="3" t="n">
        <v>-0.2680320500317106</v>
      </c>
      <c r="AL196" s="6" t="n">
        <v>0</v>
      </c>
      <c r="AM196" s="3" t="n">
        <v>0</v>
      </c>
      <c r="AN196" s="3" t="n">
        <v>0.5065</v>
      </c>
      <c r="AO196" s="3" t="n">
        <v>0.455004</v>
      </c>
      <c r="AP196" s="3">
        <f>N(X196)*N(BI196)</f>
        <v/>
      </c>
      <c r="AQ196" s="3" t="n">
        <v>0.1297</v>
      </c>
      <c r="AR196" s="3" t="n">
        <v>0</v>
      </c>
      <c r="AS196" s="3" t="n">
        <v>-0</v>
      </c>
      <c r="AT196" s="3" t="n">
        <v>-0.2680320500317106</v>
      </c>
      <c r="AU196" s="3">
        <f>SUM(AN196:AT196)</f>
        <v/>
      </c>
      <c r="AV196" s="7">
        <f>IF(OR(N(W196)&lt;=0,N(BG196)=0),0,N(W196)*IF(N(R196)/N(W196)&gt;=60,N(BG196),1))</f>
        <v/>
      </c>
      <c r="AW196" s="7">
        <f>N(W196)*N(AF196)*N(BH196)</f>
        <v/>
      </c>
      <c r="AX196" s="7">
        <f>N(AL196)*(Assumptions!$B$13*N(BJ196)-(1-Assumptions!$B$13)*Assumptions!$B$14)+N(AM196)</f>
        <v/>
      </c>
      <c r="AY196" s="7">
        <f>N(AU196)*N(R196)/90+N(AV196)+N(AW196)+N(AX196)</f>
        <v/>
      </c>
      <c r="AZ196" s="3">
        <f>IF(N(R196)&lt;=0,0,(N(AY196)-N(AX196))*90/N(R196))</f>
        <v/>
      </c>
      <c r="BA196" s="7">
        <f>IFERROR(AY196-VLOOKUP($E196,Assumptions!$A$40:$C$43,3,FALSE),"")</f>
        <v/>
      </c>
      <c r="BB196" s="3">
        <f>IFERROR(BA196/H196,"")</f>
        <v/>
      </c>
      <c r="BC196">
        <f>IF(AND($G196=TRUE,$E196="GKP"),AY196,"")</f>
        <v/>
      </c>
      <c r="BD196">
        <f>IF(AND($G196=TRUE,$E196="DEF"),AY196,"")</f>
        <v/>
      </c>
      <c r="BE196">
        <f>IF(AND($G196=TRUE,$E196="MID"),AY196,"")</f>
        <v/>
      </c>
      <c r="BF196">
        <f>IF(AND($G196=TRUE,$E196="FWD"),AY196,"")</f>
        <v/>
      </c>
      <c r="BG196" t="n">
        <v>2</v>
      </c>
      <c r="BH196" t="n">
        <v>2</v>
      </c>
      <c r="BI196" t="n">
        <v>1</v>
      </c>
      <c r="BJ196" t="n">
        <v>5</v>
      </c>
    </row>
    <row r="197">
      <c r="A197" t="inlineStr">
        <is>
          <t>Jefferson Lerma</t>
        </is>
      </c>
      <c r="B197" t="inlineStr">
        <is>
          <t>CRY</t>
        </is>
      </c>
      <c r="C197" t="inlineStr">
        <is>
          <t>CRY</t>
        </is>
      </c>
      <c r="D197" t="b">
        <v>0</v>
      </c>
      <c r="E197" t="inlineStr">
        <is>
          <t>MID</t>
        </is>
      </c>
      <c r="F197" t="inlineStr">
        <is>
          <t>MID</t>
        </is>
      </c>
      <c r="G197" t="b">
        <v>1</v>
      </c>
      <c r="H197" s="2" t="n">
        <v>5</v>
      </c>
      <c r="I197" t="inlineStr">
        <is>
          <t>a</t>
        </is>
      </c>
      <c r="K197" s="2" t="n">
        <v>1722</v>
      </c>
      <c r="L197" t="n">
        <v>69</v>
      </c>
      <c r="M197" s="3" t="n">
        <v>528</v>
      </c>
      <c r="N197" s="8" t="n">
        <v>528</v>
      </c>
      <c r="O197" s="8" t="n">
        <v>0</v>
      </c>
      <c r="Q197" t="inlineStr">
        <is>
          <t>flat</t>
        </is>
      </c>
      <c r="R197" s="6" t="n">
        <v>528</v>
      </c>
      <c r="S197" t="inlineStr">
        <is>
          <t>Solio</t>
        </is>
      </c>
      <c r="U197" s="6" t="n">
        <v>82.2</v>
      </c>
      <c r="V197" s="2" t="n">
        <v>18</v>
      </c>
      <c r="W197" s="7">
        <f>IF(N(U197)&lt;=0,0,MIN(Assumptions!$B$15,N(R197)/N(U197)))</f>
        <v/>
      </c>
      <c r="X197" s="6" t="n">
        <v>0.216</v>
      </c>
      <c r="Y197" s="3" t="n">
        <v>0.083</v>
      </c>
      <c r="Z197" t="inlineStr">
        <is>
          <t>adjusted xGOT</t>
        </is>
      </c>
      <c r="AA197" s="3" t="n">
        <v>1</v>
      </c>
      <c r="AB197" s="3" t="n">
        <v>0.863</v>
      </c>
      <c r="AC197" s="3" t="n">
        <v>8.1</v>
      </c>
      <c r="AD197" s="3" t="n">
        <v>0.0853</v>
      </c>
      <c r="AE197" s="3" t="n">
        <v>10.637</v>
      </c>
      <c r="AF197" s="3" t="n">
        <v>0.2713283425811619</v>
      </c>
      <c r="AG197" s="3" t="n">
        <v>0.1568</v>
      </c>
      <c r="AH197" s="3" t="n">
        <v>47</v>
      </c>
      <c r="AI197" s="3" t="n">
        <v>3.2035</v>
      </c>
      <c r="AJ197" s="3" t="n">
        <v>1.5923</v>
      </c>
      <c r="AK197" s="3" t="n">
        <v>-0.3250358652709306</v>
      </c>
      <c r="AL197" s="6" t="n">
        <v>0</v>
      </c>
      <c r="AM197" s="3" t="n">
        <v>0</v>
      </c>
      <c r="AN197" s="3" t="n">
        <v>0.415</v>
      </c>
      <c r="AO197" s="3" t="n">
        <v>0.337788</v>
      </c>
      <c r="AP197" s="3">
        <f>N(X197)*N(BI197)</f>
        <v/>
      </c>
      <c r="AQ197" s="3" t="n">
        <v>0.1568</v>
      </c>
      <c r="AR197" s="3" t="n">
        <v>0</v>
      </c>
      <c r="AS197" s="3" t="n">
        <v>-0</v>
      </c>
      <c r="AT197" s="3" t="n">
        <v>-0.3250358652709306</v>
      </c>
      <c r="AU197" s="3">
        <f>SUM(AN197:AT197)</f>
        <v/>
      </c>
      <c r="AV197" s="7">
        <f>IF(OR(N(W197)&lt;=0,N(BG197)=0),0,N(W197)*IF(N(R197)/N(W197)&gt;=60,N(BG197),1))</f>
        <v/>
      </c>
      <c r="AW197" s="7">
        <f>N(W197)*N(AF197)*N(BH197)</f>
        <v/>
      </c>
      <c r="AX197" s="7">
        <f>N(AL197)*(Assumptions!$B$13*N(BJ197)-(1-Assumptions!$B$13)*Assumptions!$B$14)+N(AM197)</f>
        <v/>
      </c>
      <c r="AY197" s="7">
        <f>N(AU197)*N(R197)/90+N(AV197)+N(AW197)+N(AX197)</f>
        <v/>
      </c>
      <c r="AZ197" s="3">
        <f>IF(N(R197)&lt;=0,0,(N(AY197)-N(AX197))*90/N(R197))</f>
        <v/>
      </c>
      <c r="BA197" s="7">
        <f>IFERROR(AY197-VLOOKUP($E197,Assumptions!$A$40:$C$43,3,FALSE),"")</f>
        <v/>
      </c>
      <c r="BB197" s="3">
        <f>IFERROR(BA197/H197,"")</f>
        <v/>
      </c>
      <c r="BC197">
        <f>IF(AND($G197=TRUE,$E197="GKP"),AY197,"")</f>
        <v/>
      </c>
      <c r="BD197">
        <f>IF(AND($G197=TRUE,$E197="DEF"),AY197,"")</f>
        <v/>
      </c>
      <c r="BE197">
        <f>IF(AND($G197=TRUE,$E197="MID"),AY197,"")</f>
        <v/>
      </c>
      <c r="BF197">
        <f>IF(AND($G197=TRUE,$E197="FWD"),AY197,"")</f>
        <v/>
      </c>
      <c r="BG197" t="n">
        <v>2</v>
      </c>
      <c r="BH197" t="n">
        <v>2</v>
      </c>
      <c r="BI197" t="n">
        <v>1</v>
      </c>
      <c r="BJ197" t="n">
        <v>5</v>
      </c>
    </row>
    <row r="198">
      <c r="A198" t="inlineStr">
        <is>
          <t>Rodri</t>
        </is>
      </c>
      <c r="B198" t="inlineStr">
        <is>
          <t>MCI</t>
        </is>
      </c>
      <c r="C198" t="inlineStr">
        <is>
          <t>MCI</t>
        </is>
      </c>
      <c r="D198" t="b">
        <v>0</v>
      </c>
      <c r="E198" t="inlineStr">
        <is>
          <t>MID</t>
        </is>
      </c>
      <c r="F198" t="inlineStr">
        <is>
          <t>MID</t>
        </is>
      </c>
      <c r="G198" t="b">
        <v>1</v>
      </c>
      <c r="H198" s="2" t="n">
        <v>6.5</v>
      </c>
      <c r="I198" t="inlineStr">
        <is>
          <t>i</t>
        </is>
      </c>
      <c r="J198" t="inlineStr">
        <is>
          <t>Back injury - Unknown return date</t>
        </is>
      </c>
      <c r="K198" s="2" t="n">
        <v>1510</v>
      </c>
      <c r="L198" t="n">
        <v>69</v>
      </c>
      <c r="M198" s="3" t="n">
        <v>2804</v>
      </c>
      <c r="N198" s="4" t="n">
        <v>1600</v>
      </c>
      <c r="O198" s="4" t="n">
        <v>-1204</v>
      </c>
      <c r="P198" s="5" t="inlineStr">
        <is>
          <t>medium</t>
        </is>
      </c>
      <c r="Q198" t="inlineStr">
        <is>
          <t>ramp-up (injury / late WC return)</t>
        </is>
      </c>
      <c r="R198" s="6" t="n">
        <v>1600</v>
      </c>
      <c r="S198" t="inlineStr">
        <is>
          <t>research</t>
        </is>
      </c>
      <c r="T198" s="5" t="inlineStr">
        <is>
          <t>Two independent hits on the same number. Fitness: he had back surgery after the World Cup and Sky report he misses both the Community Shield and the opening league fixture. Transfer: one year left on his deal, Barcelona have bid three times (rising to around €70m) and Real Madrid have offered more, with City resisting rather than refusing; ESPN's Manchester correspondent and two other panellists all predicted he would not be a City player when the window shuts. 2,804 minutes prices in neither. This is a probability-weighted number across stays-and-ramps-up and leaves-in-August, not a prediction that he plays 1,600.</t>
        </is>
      </c>
      <c r="U198" s="6" t="n">
        <v>82.40000000000001</v>
      </c>
      <c r="V198" s="2" t="n">
        <v>17</v>
      </c>
      <c r="W198" s="7">
        <f>IF(N(U198)&lt;=0,0,MIN(Assumptions!$B$15,N(R198)/N(U198)))</f>
        <v/>
      </c>
      <c r="X198" s="6" t="n">
        <v>0.371</v>
      </c>
      <c r="Y198" s="3" t="n">
        <v>0.0659</v>
      </c>
      <c r="Z198" t="inlineStr">
        <is>
          <t>adjusted xGOT</t>
        </is>
      </c>
      <c r="AA198" s="3" t="n">
        <v>1</v>
      </c>
      <c r="AB198" s="3" t="n">
        <v>0.962</v>
      </c>
      <c r="AC198" s="3" t="n">
        <v>9.699999999999999</v>
      </c>
      <c r="AD198" s="3" t="n">
        <v>0.1408</v>
      </c>
      <c r="AE198" s="3" t="n">
        <v>11.083</v>
      </c>
      <c r="AF198" s="3" t="n">
        <v>0.320071733649598</v>
      </c>
      <c r="AG198" s="3" t="n">
        <v>0.3576</v>
      </c>
      <c r="AH198" s="3" t="n">
        <v>37</v>
      </c>
      <c r="AI198" s="3" t="n">
        <v>1.9737</v>
      </c>
      <c r="AJ198" s="3" t="n">
        <v>1.0365</v>
      </c>
      <c r="AK198" s="3" t="n">
        <v>-0.219522304299945</v>
      </c>
      <c r="AL198" s="6" t="n">
        <v>0</v>
      </c>
      <c r="AM198" s="3" t="n">
        <v>0</v>
      </c>
      <c r="AN198" s="3" t="n">
        <v>0.3295</v>
      </c>
      <c r="AO198" s="3" t="n">
        <v>0.5575680000000001</v>
      </c>
      <c r="AP198" s="3">
        <f>N(X198)*N(BI198)</f>
        <v/>
      </c>
      <c r="AQ198" s="3" t="n">
        <v>0.3576</v>
      </c>
      <c r="AR198" s="3" t="n">
        <v>0</v>
      </c>
      <c r="AS198" s="3" t="n">
        <v>-0</v>
      </c>
      <c r="AT198" s="3" t="n">
        <v>-0.219522304299945</v>
      </c>
      <c r="AU198" s="3">
        <f>SUM(AN198:AT198)</f>
        <v/>
      </c>
      <c r="AV198" s="7">
        <f>IF(OR(N(W198)&lt;=0,N(BG198)=0),0,N(W198)*IF(N(R198)/N(W198)&gt;=60,N(BG198),1))</f>
        <v/>
      </c>
      <c r="AW198" s="7">
        <f>N(W198)*N(AF198)*N(BH198)</f>
        <v/>
      </c>
      <c r="AX198" s="7">
        <f>N(AL198)*(Assumptions!$B$13*N(BJ198)-(1-Assumptions!$B$13)*Assumptions!$B$14)+N(AM198)</f>
        <v/>
      </c>
      <c r="AY198" s="7">
        <f>N(AU198)*N(R198)/90+N(AV198)+N(AW198)+N(AX198)</f>
        <v/>
      </c>
      <c r="AZ198" s="3">
        <f>IF(N(R198)&lt;=0,0,(N(AY198)-N(AX198))*90/N(R198))</f>
        <v/>
      </c>
      <c r="BA198" s="7">
        <f>IFERROR(AY198-VLOOKUP($E198,Assumptions!$A$40:$C$43,3,FALSE),"")</f>
        <v/>
      </c>
      <c r="BB198" s="3">
        <f>IFERROR(BA198/H198,"")</f>
        <v/>
      </c>
      <c r="BC198">
        <f>IF(AND($G198=TRUE,$E198="GKP"),AY198,"")</f>
        <v/>
      </c>
      <c r="BD198">
        <f>IF(AND($G198=TRUE,$E198="DEF"),AY198,"")</f>
        <v/>
      </c>
      <c r="BE198">
        <f>IF(AND($G198=TRUE,$E198="MID"),AY198,"")</f>
        <v/>
      </c>
      <c r="BF198">
        <f>IF(AND($G198=TRUE,$E198="FWD"),AY198,"")</f>
        <v/>
      </c>
      <c r="BG198" t="n">
        <v>2</v>
      </c>
      <c r="BH198" t="n">
        <v>2</v>
      </c>
      <c r="BI198" t="n">
        <v>1</v>
      </c>
      <c r="BJ198" t="n">
        <v>5</v>
      </c>
    </row>
    <row r="199">
      <c r="A199" t="inlineStr">
        <is>
          <t>Gabriel Gudmundsson</t>
        </is>
      </c>
      <c r="B199" t="inlineStr">
        <is>
          <t>LEE</t>
        </is>
      </c>
      <c r="C199" t="inlineStr">
        <is>
          <t>LEE</t>
        </is>
      </c>
      <c r="D199" t="b">
        <v>0</v>
      </c>
      <c r="E199" t="inlineStr">
        <is>
          <t>DEF</t>
        </is>
      </c>
      <c r="F199" t="inlineStr">
        <is>
          <t>DEF</t>
        </is>
      </c>
      <c r="G199" t="b">
        <v>1</v>
      </c>
      <c r="H199" s="2" t="n">
        <v>4.5</v>
      </c>
      <c r="I199" t="inlineStr">
        <is>
          <t>i</t>
        </is>
      </c>
      <c r="J199" t="inlineStr">
        <is>
          <t>Hamstring injury - Expected back 30 Aug</t>
        </is>
      </c>
      <c r="K199" s="2" t="n">
        <v>2637</v>
      </c>
      <c r="L199" t="n">
        <v>68</v>
      </c>
      <c r="M199" s="3" t="n">
        <v>2770</v>
      </c>
      <c r="N199" s="4" t="n">
        <v>2500</v>
      </c>
      <c r="O199" s="4" t="n">
        <v>-270</v>
      </c>
      <c r="P199" s="5" t="inlineStr">
        <is>
          <t>medium</t>
        </is>
      </c>
      <c r="Q199" t="inlineStr">
        <is>
          <t>flat</t>
        </is>
      </c>
      <c r="R199" s="6" t="n">
        <v>2500</v>
      </c>
      <c r="S199" t="inlineStr">
        <is>
          <t>research</t>
        </is>
      </c>
      <c r="T199" s="5" t="inlineStr">
        <is>
          <t>Hamstring injury sustained in the 4-2 friendly win over Liverpool on 2 Aug. FPL says back 30 Aug (so GW1 out, GW2 borderline) and local press on 15 Aug said he is 'out for an extended period and likely to miss the season opener'. James Justin has covered at left wing-back in both August friendlies. Solio's 2770 is 81% of a full season, which leaves too little room for a hamstring that has already cost him the start of the campaign plus the reported acceleration of Leeds' left-back search.</t>
        </is>
      </c>
      <c r="U199" s="6" t="n">
        <v>85.59999999999999</v>
      </c>
      <c r="V199" s="2" t="n">
        <v>30</v>
      </c>
      <c r="W199" s="7">
        <f>IF(N(U199)&lt;=0,0,MIN(Assumptions!$B$15,N(R199)/N(U199)))</f>
        <v/>
      </c>
      <c r="X199" s="6" t="n">
        <v>0.218</v>
      </c>
      <c r="Y199" s="3" t="n">
        <v>0.0334</v>
      </c>
      <c r="Z199" t="inlineStr">
        <is>
          <t>adjusted xGOT</t>
        </is>
      </c>
      <c r="AA199" s="3" t="n">
        <v>1</v>
      </c>
      <c r="AB199" s="3" t="n">
        <v>0.89</v>
      </c>
      <c r="AC199" s="3" t="n">
        <v>1.1</v>
      </c>
      <c r="AD199" s="3" t="n">
        <v>0.1022</v>
      </c>
      <c r="AE199" s="3" t="n">
        <v>6.581</v>
      </c>
      <c r="AF199" s="3" t="n">
        <v>0.102925857411015</v>
      </c>
      <c r="AG199" s="3" t="n">
        <v>0.273</v>
      </c>
      <c r="AH199" s="3" t="n">
        <v>60</v>
      </c>
      <c r="AI199" s="3" t="n">
        <v>3.0611</v>
      </c>
      <c r="AJ199" s="3" t="n">
        <v>1.5875</v>
      </c>
      <c r="AK199" s="3" t="n">
        <v>-0.1742493246807302</v>
      </c>
      <c r="AL199" s="6" t="n">
        <v>0</v>
      </c>
      <c r="AM199" s="3" t="n">
        <v>0</v>
      </c>
      <c r="AN199" s="3" t="n">
        <v>0.2004</v>
      </c>
      <c r="AO199" s="3" t="n">
        <v>0.404712</v>
      </c>
      <c r="AP199" s="3">
        <f>N(X199)*N(BI199)</f>
        <v/>
      </c>
      <c r="AQ199" s="3" t="n">
        <v>0.273</v>
      </c>
      <c r="AR199" s="3" t="n">
        <v>0</v>
      </c>
      <c r="AS199" s="3" t="n">
        <v>-0.5541985260210861</v>
      </c>
      <c r="AT199" s="3" t="n">
        <v>-0.1742493246807302</v>
      </c>
      <c r="AU199" s="3">
        <f>SUM(AN199:AT199)</f>
        <v/>
      </c>
      <c r="AV199" s="7">
        <f>IF(OR(N(W199)&lt;=0,N(BG199)=0),0,N(W199)*IF(N(R199)/N(W199)&gt;=60,N(BG199),1))</f>
        <v/>
      </c>
      <c r="AW199" s="7">
        <f>N(W199)*N(AF199)*N(BH199)</f>
        <v/>
      </c>
      <c r="AX199" s="7">
        <f>N(AL199)*(Assumptions!$B$13*N(BJ199)-(1-Assumptions!$B$13)*Assumptions!$B$14)+N(AM199)</f>
        <v/>
      </c>
      <c r="AY199" s="7">
        <f>N(AU199)*N(R199)/90+N(AV199)+N(AW199)+N(AX199)</f>
        <v/>
      </c>
      <c r="AZ199" s="3">
        <f>IF(N(R199)&lt;=0,0,(N(AY199)-N(AX199))*90/N(R199))</f>
        <v/>
      </c>
      <c r="BA199" s="7">
        <f>IFERROR(AY199-VLOOKUP($E199,Assumptions!$A$40:$C$43,3,FALSE),"")</f>
        <v/>
      </c>
      <c r="BB199" s="3">
        <f>IFERROR(BA199/H199,"")</f>
        <v/>
      </c>
      <c r="BC199">
        <f>IF(AND($G199=TRUE,$E199="GKP"),AY199,"")</f>
        <v/>
      </c>
      <c r="BD199">
        <f>IF(AND($G199=TRUE,$E199="DEF"),AY199,"")</f>
        <v/>
      </c>
      <c r="BE199">
        <f>IF(AND($G199=TRUE,$E199="MID"),AY199,"")</f>
        <v/>
      </c>
      <c r="BF199">
        <f>IF(AND($G199=TRUE,$E199="FWD"),AY199,"")</f>
        <v/>
      </c>
      <c r="BG199" t="n">
        <v>2</v>
      </c>
      <c r="BH199" t="n">
        <v>2</v>
      </c>
      <c r="BI199" t="n">
        <v>4</v>
      </c>
      <c r="BJ199" t="n">
        <v>6</v>
      </c>
    </row>
    <row r="200">
      <c r="A200" t="inlineStr">
        <is>
          <t>Tim Iroegbunam</t>
        </is>
      </c>
      <c r="B200" t="inlineStr">
        <is>
          <t>EVE</t>
        </is>
      </c>
      <c r="C200" t="inlineStr">
        <is>
          <t>EVE</t>
        </is>
      </c>
      <c r="D200" t="b">
        <v>0</v>
      </c>
      <c r="E200" t="inlineStr">
        <is>
          <t>MID</t>
        </is>
      </c>
      <c r="F200" t="inlineStr">
        <is>
          <t>MID</t>
        </is>
      </c>
      <c r="G200" t="b">
        <v>1</v>
      </c>
      <c r="H200" s="2" t="n">
        <v>5</v>
      </c>
      <c r="I200" t="inlineStr">
        <is>
          <t>a</t>
        </is>
      </c>
      <c r="K200" s="2" t="n">
        <v>1477</v>
      </c>
      <c r="L200" t="n">
        <v>68</v>
      </c>
      <c r="M200" s="3" t="n">
        <v>328</v>
      </c>
      <c r="N200" s="4" t="n">
        <v>150</v>
      </c>
      <c r="O200" s="4" t="n">
        <v>-178</v>
      </c>
      <c r="P200" s="5" t="inlineStr">
        <is>
          <t>medium</t>
        </is>
      </c>
      <c r="Q200" t="inlineStr">
        <is>
          <t>fade (losing his place)</t>
        </is>
      </c>
      <c r="R200" s="6" t="n">
        <v>150</v>
      </c>
      <c r="S200" t="inlineStr">
        <is>
          <t>research</t>
        </is>
      </c>
      <c r="T200" s="5" t="inlineStr">
        <is>
          <t>Already low, but still too high. The official FPL game lists him status 'i' with a groin injury and no return date. Read Everton's injury tracker on 14 August flags him as newly sidelined after coming off early against Stuttgart, and separately reports Hull City opened formal talks with an offer worth more than GBP 15m, with the move now in doubt only because of the injury. Either outcome - a long lay-off or a Championship move before 1 September - leaves him with fewer Everton minutes than 328.</t>
        </is>
      </c>
      <c r="U200" s="6" t="n">
        <v>79.3</v>
      </c>
      <c r="V200" s="2" t="n">
        <v>17</v>
      </c>
      <c r="W200" s="7">
        <f>IF(N(U200)&lt;=0,0,MIN(Assumptions!$B$15,N(R200)/N(U200)))</f>
        <v/>
      </c>
      <c r="X200" s="6" t="n">
        <v>0.231</v>
      </c>
      <c r="Y200" s="3" t="n">
        <v>0.0304</v>
      </c>
      <c r="Z200" t="inlineStr">
        <is>
          <t>adjusted xGOT</t>
        </is>
      </c>
      <c r="AA200" s="3" t="n">
        <v>1</v>
      </c>
      <c r="AB200" s="3" t="n">
        <v>0.924</v>
      </c>
      <c r="AC200" s="3" t="n">
        <v>0.8</v>
      </c>
      <c r="AD200" s="3" t="n">
        <v>0.0779</v>
      </c>
      <c r="AE200" s="3" t="n">
        <v>10.553</v>
      </c>
      <c r="AF200" s="3" t="n">
        <v>0.2268600881263317</v>
      </c>
      <c r="AG200" s="3" t="n">
        <v>0.0609</v>
      </c>
      <c r="AH200" s="3" t="n">
        <v>45</v>
      </c>
      <c r="AI200" s="3" t="n">
        <v>3.0311</v>
      </c>
      <c r="AJ200" s="3" t="n">
        <v>1.5252</v>
      </c>
      <c r="AK200" s="3" t="n">
        <v>-0.4125191100430851</v>
      </c>
      <c r="AL200" s="6" t="n">
        <v>0</v>
      </c>
      <c r="AM200" s="3" t="n">
        <v>0</v>
      </c>
      <c r="AN200" s="3" t="n">
        <v>0.152</v>
      </c>
      <c r="AO200" s="3" t="n">
        <v>0.308484</v>
      </c>
      <c r="AP200" s="3">
        <f>N(X200)*N(BI200)</f>
        <v/>
      </c>
      <c r="AQ200" s="3" t="n">
        <v>0.0609</v>
      </c>
      <c r="AR200" s="3" t="n">
        <v>0</v>
      </c>
      <c r="AS200" s="3" t="n">
        <v>-0</v>
      </c>
      <c r="AT200" s="3" t="n">
        <v>-0.4125191100430851</v>
      </c>
      <c r="AU200" s="3">
        <f>SUM(AN200:AT200)</f>
        <v/>
      </c>
      <c r="AV200" s="7">
        <f>IF(OR(N(W200)&lt;=0,N(BG200)=0),0,N(W200)*IF(N(R200)/N(W200)&gt;=60,N(BG200),1))</f>
        <v/>
      </c>
      <c r="AW200" s="7">
        <f>N(W200)*N(AF200)*N(BH200)</f>
        <v/>
      </c>
      <c r="AX200" s="7">
        <f>N(AL200)*(Assumptions!$B$13*N(BJ200)-(1-Assumptions!$B$13)*Assumptions!$B$14)+N(AM200)</f>
        <v/>
      </c>
      <c r="AY200" s="7">
        <f>N(AU200)*N(R200)/90+N(AV200)+N(AW200)+N(AX200)</f>
        <v/>
      </c>
      <c r="AZ200" s="3">
        <f>IF(N(R200)&lt;=0,0,(N(AY200)-N(AX200))*90/N(R200))</f>
        <v/>
      </c>
      <c r="BA200" s="7">
        <f>IFERROR(AY200-VLOOKUP($E200,Assumptions!$A$40:$C$43,3,FALSE),"")</f>
        <v/>
      </c>
      <c r="BB200" s="3">
        <f>IFERROR(BA200/H200,"")</f>
        <v/>
      </c>
      <c r="BC200">
        <f>IF(AND($G200=TRUE,$E200="GKP"),AY200,"")</f>
        <v/>
      </c>
      <c r="BD200">
        <f>IF(AND($G200=TRUE,$E200="DEF"),AY200,"")</f>
        <v/>
      </c>
      <c r="BE200">
        <f>IF(AND($G200=TRUE,$E200="MID"),AY200,"")</f>
        <v/>
      </c>
      <c r="BF200">
        <f>IF(AND($G200=TRUE,$E200="FWD"),AY200,"")</f>
        <v/>
      </c>
      <c r="BG200" t="n">
        <v>2</v>
      </c>
      <c r="BH200" t="n">
        <v>2</v>
      </c>
      <c r="BI200" t="n">
        <v>1</v>
      </c>
      <c r="BJ200" t="n">
        <v>5</v>
      </c>
    </row>
    <row r="201">
      <c r="A201" s="9" t="inlineStr">
        <is>
          <t>Youri Tielemans</t>
        </is>
      </c>
      <c r="B201" t="inlineStr">
        <is>
          <t>MUN</t>
        </is>
      </c>
      <c r="C201" s="9" t="inlineStr">
        <is>
          <t>AVL</t>
        </is>
      </c>
      <c r="D201" t="b">
        <v>1</v>
      </c>
      <c r="E201" t="inlineStr">
        <is>
          <t>MID</t>
        </is>
      </c>
      <c r="F201" t="inlineStr">
        <is>
          <t>MID</t>
        </is>
      </c>
      <c r="G201" t="b">
        <v>1</v>
      </c>
      <c r="H201" s="2" t="n">
        <v>6</v>
      </c>
      <c r="I201" t="inlineStr">
        <is>
          <t>a</t>
        </is>
      </c>
      <c r="K201" s="2" t="n">
        <v>1857</v>
      </c>
      <c r="L201" t="n">
        <v>68</v>
      </c>
      <c r="M201" s="3" t="n">
        <v>2764</v>
      </c>
      <c r="N201" s="4" t="n">
        <v>2350</v>
      </c>
      <c r="O201" s="4" t="n">
        <v>-414</v>
      </c>
      <c r="P201" s="5" t="inlineStr">
        <is>
          <t>medium</t>
        </is>
      </c>
      <c r="Q201" t="inlineStr">
        <is>
          <t>flat</t>
        </is>
      </c>
      <c r="R201" s="6" t="n">
        <v>2350</v>
      </c>
      <c r="S201" t="inlineStr">
        <is>
          <t>research</t>
        </is>
      </c>
      <c r="T201" s="5" t="inlineStr">
        <is>
          <t>Solio gives Santos 2,861 and Tielemans 2,764, which consumes 5,625 of the 6,840 minutes available in a two-man pivot and leaves almost nothing for Mainoo and Mount. That allocation would be right if Carrick played a midfield three, but the dress rehearsal was a 4-2-3-1 with Fernandes at No. 10 and only two holding players. Tielemans started that game and is not being demoted below Mainoo here — the pivot is simply narrower than Solio assumes, and Carrick has said he wants a third central midfielder as well.</t>
        </is>
      </c>
      <c r="U201" s="6" t="n">
        <v>83.2</v>
      </c>
      <c r="V201" s="2" t="n">
        <v>21</v>
      </c>
      <c r="W201" s="7">
        <f>IF(N(U201)&lt;=0,0,MIN(Assumptions!$B$15,N(R201)/N(U201)))</f>
        <v/>
      </c>
      <c r="X201" s="6" t="n">
        <v>0.334</v>
      </c>
      <c r="Y201" s="10" t="n">
        <v>0.0594</v>
      </c>
      <c r="Z201" t="inlineStr">
        <is>
          <t>adjusted xGOT</t>
        </is>
      </c>
      <c r="AA201" s="3" t="n">
        <v>1</v>
      </c>
      <c r="AB201" s="3" t="n">
        <v>1.075</v>
      </c>
      <c r="AC201" s="3" t="n">
        <v>8.199999999999999</v>
      </c>
      <c r="AD201" s="10" t="n">
        <v>0.1513</v>
      </c>
      <c r="AE201" s="3" t="n">
        <v>9.486000000000001</v>
      </c>
      <c r="AF201" s="3" t="n">
        <v>0.1751975659617065</v>
      </c>
      <c r="AG201" s="3" t="n">
        <v>0.1454</v>
      </c>
      <c r="AH201" s="3" t="n">
        <v>45</v>
      </c>
      <c r="AI201" s="3" t="n">
        <v>2.2165</v>
      </c>
      <c r="AJ201" s="3" t="n">
        <v>1.1467</v>
      </c>
      <c r="AK201" s="3" t="n">
        <v>-0.1227884961429194</v>
      </c>
      <c r="AL201" s="6" t="n">
        <v>0.0193417288476089</v>
      </c>
      <c r="AM201" s="3" t="n">
        <v>0</v>
      </c>
      <c r="AN201" s="10" t="n">
        <v>0.297</v>
      </c>
      <c r="AO201" s="10" t="n">
        <v>0.599148</v>
      </c>
      <c r="AP201" s="3">
        <f>N(X201)*N(BI201)</f>
        <v/>
      </c>
      <c r="AQ201" s="3" t="n">
        <v>0.1454</v>
      </c>
      <c r="AR201" s="3" t="n">
        <v>0</v>
      </c>
      <c r="AS201" s="3" t="n">
        <v>-0</v>
      </c>
      <c r="AT201" s="3" t="n">
        <v>-0.1227884961429194</v>
      </c>
      <c r="AU201" s="3">
        <f>SUM(AN201:AT201)</f>
        <v/>
      </c>
      <c r="AV201" s="7">
        <f>IF(OR(N(W201)&lt;=0,N(BG201)=0),0,N(W201)*IF(N(R201)/N(W201)&gt;=60,N(BG201),1))</f>
        <v/>
      </c>
      <c r="AW201" s="7">
        <f>N(W201)*N(AF201)*N(BH201)</f>
        <v/>
      </c>
      <c r="AX201" s="7">
        <f>N(AL201)*(Assumptions!$B$13*N(BJ201)-(1-Assumptions!$B$13)*Assumptions!$B$14)+N(AM201)</f>
        <v/>
      </c>
      <c r="AY201" s="7">
        <f>N(AU201)*N(R201)/90+N(AV201)+N(AW201)+N(AX201)</f>
        <v/>
      </c>
      <c r="AZ201" s="3">
        <f>IF(N(R201)&lt;=0,0,(N(AY201)-N(AX201))*90/N(R201))</f>
        <v/>
      </c>
      <c r="BA201" s="7">
        <f>IFERROR(AY201-VLOOKUP($E201,Assumptions!$A$40:$C$43,3,FALSE),"")</f>
        <v/>
      </c>
      <c r="BB201" s="3">
        <f>IFERROR(BA201/H201,"")</f>
        <v/>
      </c>
      <c r="BC201">
        <f>IF(AND($G201=TRUE,$E201="GKP"),AY201,"")</f>
        <v/>
      </c>
      <c r="BD201">
        <f>IF(AND($G201=TRUE,$E201="DEF"),AY201,"")</f>
        <v/>
      </c>
      <c r="BE201">
        <f>IF(AND($G201=TRUE,$E201="MID"),AY201,"")</f>
        <v/>
      </c>
      <c r="BF201">
        <f>IF(AND($G201=TRUE,$E201="FWD"),AY201,"")</f>
        <v/>
      </c>
      <c r="BG201" t="n">
        <v>2</v>
      </c>
      <c r="BH201" t="n">
        <v>2</v>
      </c>
      <c r="BI201" t="n">
        <v>1</v>
      </c>
      <c r="BJ201" t="n">
        <v>5</v>
      </c>
    </row>
    <row r="202">
      <c r="A202" t="inlineStr">
        <is>
          <t>Amine Adli</t>
        </is>
      </c>
      <c r="B202" t="inlineStr">
        <is>
          <t>BOU</t>
        </is>
      </c>
      <c r="C202" t="inlineStr">
        <is>
          <t>BOU</t>
        </is>
      </c>
      <c r="D202" t="b">
        <v>0</v>
      </c>
      <c r="E202" t="inlineStr">
        <is>
          <t>MID</t>
        </is>
      </c>
      <c r="F202" t="inlineStr">
        <is>
          <t>MID</t>
        </is>
      </c>
      <c r="G202" t="b">
        <v>1</v>
      </c>
      <c r="H202" s="2" t="n">
        <v>5</v>
      </c>
      <c r="I202" t="inlineStr">
        <is>
          <t>a</t>
        </is>
      </c>
      <c r="K202" s="2" t="n">
        <v>1074</v>
      </c>
      <c r="L202" t="n">
        <v>67</v>
      </c>
      <c r="M202" s="3" t="n">
        <v>390</v>
      </c>
      <c r="N202" s="4" t="n">
        <v>250</v>
      </c>
      <c r="O202" s="4" t="n">
        <v>-140</v>
      </c>
      <c r="P202" s="5" t="inlineStr">
        <is>
          <t>medium</t>
        </is>
      </c>
      <c r="Q202" t="inlineStr">
        <is>
          <t>flat</t>
        </is>
      </c>
      <c r="R202" s="6" t="n">
        <v>250</v>
      </c>
      <c r="S202" t="inlineStr">
        <is>
          <t>research</t>
        </is>
      </c>
      <c r="T202" s="5" t="inlineStr">
        <is>
          <t>The brief's snapshot has Adli as status 'a' with no news, but he picked up an injury after coming on in the 8 Aug Betis friendly and the FPL bootstrap now carries him as status 'i', 'Unspecified injury - Unknown return date', 0% chance of playing. Small downward correction to reflect a state change that post-dates the input data.</t>
        </is>
      </c>
      <c r="U202" s="6" t="n">
        <v>76.5</v>
      </c>
      <c r="V202" s="2" t="n">
        <v>10</v>
      </c>
      <c r="W202" s="7">
        <f>IF(N(U202)&lt;=0,0,MIN(Assumptions!$B$15,N(R202)/N(U202)))</f>
        <v/>
      </c>
      <c r="X202" s="6" t="n">
        <v>0.23</v>
      </c>
      <c r="Y202" s="3" t="n">
        <v>0.2302</v>
      </c>
      <c r="Z202" t="inlineStr">
        <is>
          <t>adjusted xGOT</t>
        </is>
      </c>
      <c r="AA202" s="3" t="n">
        <v>1</v>
      </c>
      <c r="AB202" s="3" t="n">
        <v>1.057</v>
      </c>
      <c r="AC202" s="3" t="n">
        <v>2.6</v>
      </c>
      <c r="AD202" s="3" t="n">
        <v>0.1214</v>
      </c>
      <c r="AE202" s="3" t="n">
        <v>9.613</v>
      </c>
      <c r="AF202" s="3" t="n">
        <v>0.1246660316764728</v>
      </c>
      <c r="AG202" s="3" t="n">
        <v>0.3352</v>
      </c>
      <c r="AH202" s="3" t="n">
        <v>39</v>
      </c>
      <c r="AI202" s="3" t="n">
        <v>3.0957</v>
      </c>
      <c r="AJ202" s="3" t="n">
        <v>1.53</v>
      </c>
      <c r="AK202" s="3" t="n">
        <v>-0.202453543529448</v>
      </c>
      <c r="AL202" s="6" t="n">
        <v>0</v>
      </c>
      <c r="AM202" s="3" t="n">
        <v>0</v>
      </c>
      <c r="AN202" s="3" t="n">
        <v>1.151</v>
      </c>
      <c r="AO202" s="3" t="n">
        <v>0.480744</v>
      </c>
      <c r="AP202" s="3">
        <f>N(X202)*N(BI202)</f>
        <v/>
      </c>
      <c r="AQ202" s="3" t="n">
        <v>0.3352</v>
      </c>
      <c r="AR202" s="3" t="n">
        <v>0</v>
      </c>
      <c r="AS202" s="3" t="n">
        <v>-0</v>
      </c>
      <c r="AT202" s="3" t="n">
        <v>-0.202453543529448</v>
      </c>
      <c r="AU202" s="3">
        <f>SUM(AN202:AT202)</f>
        <v/>
      </c>
      <c r="AV202" s="7">
        <f>IF(OR(N(W202)&lt;=0,N(BG202)=0),0,N(W202)*IF(N(R202)/N(W202)&gt;=60,N(BG202),1))</f>
        <v/>
      </c>
      <c r="AW202" s="7">
        <f>N(W202)*N(AF202)*N(BH202)</f>
        <v/>
      </c>
      <c r="AX202" s="7">
        <f>N(AL202)*(Assumptions!$B$13*N(BJ202)-(1-Assumptions!$B$13)*Assumptions!$B$14)+N(AM202)</f>
        <v/>
      </c>
      <c r="AY202" s="7">
        <f>N(AU202)*N(R202)/90+N(AV202)+N(AW202)+N(AX202)</f>
        <v/>
      </c>
      <c r="AZ202" s="3">
        <f>IF(N(R202)&lt;=0,0,(N(AY202)-N(AX202))*90/N(R202))</f>
        <v/>
      </c>
      <c r="BA202" s="7">
        <f>IFERROR(AY202-VLOOKUP($E202,Assumptions!$A$40:$C$43,3,FALSE),"")</f>
        <v/>
      </c>
      <c r="BB202" s="3">
        <f>IFERROR(BA202/H202,"")</f>
        <v/>
      </c>
      <c r="BC202">
        <f>IF(AND($G202=TRUE,$E202="GKP"),AY202,"")</f>
        <v/>
      </c>
      <c r="BD202">
        <f>IF(AND($G202=TRUE,$E202="DEF"),AY202,"")</f>
        <v/>
      </c>
      <c r="BE202">
        <f>IF(AND($G202=TRUE,$E202="MID"),AY202,"")</f>
        <v/>
      </c>
      <c r="BF202">
        <f>IF(AND($G202=TRUE,$E202="FWD"),AY202,"")</f>
        <v/>
      </c>
      <c r="BG202" t="n">
        <v>2</v>
      </c>
      <c r="BH202" t="n">
        <v>2</v>
      </c>
      <c r="BI202" t="n">
        <v>1</v>
      </c>
      <c r="BJ202" t="n">
        <v>5</v>
      </c>
    </row>
    <row r="203">
      <c r="A203" t="inlineStr">
        <is>
          <t>Abdukodir Khusanov</t>
        </is>
      </c>
      <c r="B203" t="inlineStr">
        <is>
          <t>MCI</t>
        </is>
      </c>
      <c r="C203" t="inlineStr">
        <is>
          <t>MCI</t>
        </is>
      </c>
      <c r="D203" t="b">
        <v>0</v>
      </c>
      <c r="E203" t="inlineStr">
        <is>
          <t>DEF</t>
        </is>
      </c>
      <c r="F203" t="inlineStr">
        <is>
          <t>DEF</t>
        </is>
      </c>
      <c r="G203" t="b">
        <v>1</v>
      </c>
      <c r="H203" s="2" t="n">
        <v>5.5</v>
      </c>
      <c r="I203" t="inlineStr">
        <is>
          <t>a</t>
        </is>
      </c>
      <c r="K203" s="2" t="n">
        <v>1427</v>
      </c>
      <c r="L203" t="n">
        <v>67</v>
      </c>
      <c r="M203" s="3" t="n">
        <v>690</v>
      </c>
      <c r="N203" s="4" t="n">
        <v>1700</v>
      </c>
      <c r="O203" s="4" t="n">
        <v>1010</v>
      </c>
      <c r="P203" s="5" t="inlineStr">
        <is>
          <t>high</t>
        </is>
      </c>
      <c r="Q203" t="inlineStr">
        <is>
          <t>flat</t>
        </is>
      </c>
      <c r="R203" s="6" t="n">
        <v>1700</v>
      </c>
      <c r="S203" t="inlineStr">
        <is>
          <t>research</t>
        </is>
      </c>
      <c r="T203" s="5" t="inlineStr">
        <is>
          <t>Clearest error found. Khusanov and Guehi are described as City's preferred centre-back pairing after being 'exceptional together during the back end of last season' — Guehi the calm, Khusanov the muscle. He then started the final pre-season match v Atletico and appears in the Community Shield predicted XIs. Meanwhile Akanji, Ake and Stones have all left, leaving four senior centre-backs for two slots. 690 minutes is 7.7 full matches, which is a fourth-choice number for a player the City-specific coverage has as joint-first-choice.</t>
        </is>
      </c>
      <c r="U203" s="6" t="n">
        <v>85</v>
      </c>
      <c r="V203" s="2" t="n">
        <v>15</v>
      </c>
      <c r="W203" s="7">
        <f>IF(N(U203)&lt;=0,0,MIN(Assumptions!$B$15,N(R203)/N(U203)))</f>
        <v/>
      </c>
      <c r="X203" s="6" t="n">
        <v>0.371</v>
      </c>
      <c r="Y203" s="3" t="n">
        <v>0.0378</v>
      </c>
      <c r="Z203" t="inlineStr">
        <is>
          <t>adjusted xGOT</t>
        </is>
      </c>
      <c r="AA203" s="3" t="n">
        <v>1</v>
      </c>
      <c r="AB203" s="3" t="n">
        <v>0.923</v>
      </c>
      <c r="AC203" s="3" t="n">
        <v>0.7</v>
      </c>
      <c r="AD203" s="3" t="n">
        <v>0.0562</v>
      </c>
      <c r="AE203" s="3" t="n">
        <v>7.733</v>
      </c>
      <c r="AF203" s="3" t="n">
        <v>0.201551551119491</v>
      </c>
      <c r="AG203" s="3" t="n">
        <v>0.1892</v>
      </c>
      <c r="AH203" s="3" t="n">
        <v>35</v>
      </c>
      <c r="AI203" s="3" t="n">
        <v>1.9737</v>
      </c>
      <c r="AJ203" s="3" t="n">
        <v>1.0365</v>
      </c>
      <c r="AK203" s="3" t="n">
        <v>-0.1783519062466148</v>
      </c>
      <c r="AL203" s="6" t="n">
        <v>0</v>
      </c>
      <c r="AM203" s="3" t="n">
        <v>0</v>
      </c>
      <c r="AN203" s="3" t="n">
        <v>0.2268</v>
      </c>
      <c r="AO203" s="3" t="n">
        <v>0.222552</v>
      </c>
      <c r="AP203" s="3">
        <f>N(X203)*N(BI203)</f>
        <v/>
      </c>
      <c r="AQ203" s="3" t="n">
        <v>0.1892</v>
      </c>
      <c r="AR203" s="3" t="n">
        <v>0</v>
      </c>
      <c r="AS203" s="3" t="n">
        <v>-0.2997019479071323</v>
      </c>
      <c r="AT203" s="3" t="n">
        <v>-0.1783519062466148</v>
      </c>
      <c r="AU203" s="3">
        <f>SUM(AN203:AT203)</f>
        <v/>
      </c>
      <c r="AV203" s="7">
        <f>IF(OR(N(W203)&lt;=0,N(BG203)=0),0,N(W203)*IF(N(R203)/N(W203)&gt;=60,N(BG203),1))</f>
        <v/>
      </c>
      <c r="AW203" s="7">
        <f>N(W203)*N(AF203)*N(BH203)</f>
        <v/>
      </c>
      <c r="AX203" s="7">
        <f>N(AL203)*(Assumptions!$B$13*N(BJ203)-(1-Assumptions!$B$13)*Assumptions!$B$14)+N(AM203)</f>
        <v/>
      </c>
      <c r="AY203" s="7">
        <f>N(AU203)*N(R203)/90+N(AV203)+N(AW203)+N(AX203)</f>
        <v/>
      </c>
      <c r="AZ203" s="3">
        <f>IF(N(R203)&lt;=0,0,(N(AY203)-N(AX203))*90/N(R203))</f>
        <v/>
      </c>
      <c r="BA203" s="7">
        <f>IFERROR(AY203-VLOOKUP($E203,Assumptions!$A$40:$C$43,3,FALSE),"")</f>
        <v/>
      </c>
      <c r="BB203" s="3">
        <f>IFERROR(BA203/H203,"")</f>
        <v/>
      </c>
      <c r="BC203">
        <f>IF(AND($G203=TRUE,$E203="GKP"),AY203,"")</f>
        <v/>
      </c>
      <c r="BD203">
        <f>IF(AND($G203=TRUE,$E203="DEF"),AY203,"")</f>
        <v/>
      </c>
      <c r="BE203">
        <f>IF(AND($G203=TRUE,$E203="MID"),AY203,"")</f>
        <v/>
      </c>
      <c r="BF203">
        <f>IF(AND($G203=TRUE,$E203="FWD"),AY203,"")</f>
        <v/>
      </c>
      <c r="BG203" t="n">
        <v>2</v>
      </c>
      <c r="BH203" t="n">
        <v>2</v>
      </c>
      <c r="BI203" t="n">
        <v>4</v>
      </c>
      <c r="BJ203" t="n">
        <v>6</v>
      </c>
    </row>
    <row r="204">
      <c r="A204" t="inlineStr">
        <is>
          <t>Ao Tanaka</t>
        </is>
      </c>
      <c r="B204" t="inlineStr">
        <is>
          <t>LEE</t>
        </is>
      </c>
      <c r="C204" t="inlineStr">
        <is>
          <t>LEE</t>
        </is>
      </c>
      <c r="D204" t="b">
        <v>0</v>
      </c>
      <c r="E204" t="inlineStr">
        <is>
          <t>MID</t>
        </is>
      </c>
      <c r="F204" t="inlineStr">
        <is>
          <t>MID</t>
        </is>
      </c>
      <c r="G204" t="b">
        <v>1</v>
      </c>
      <c r="H204" s="2" t="n">
        <v>5</v>
      </c>
      <c r="I204" t="inlineStr">
        <is>
          <t>a</t>
        </is>
      </c>
      <c r="K204" s="2" t="n">
        <v>1307</v>
      </c>
      <c r="L204" t="n">
        <v>67</v>
      </c>
      <c r="M204" s="3" t="n">
        <v>662</v>
      </c>
      <c r="N204" s="8" t="n">
        <v>662</v>
      </c>
      <c r="O204" s="8" t="n">
        <v>0</v>
      </c>
      <c r="Q204" t="inlineStr">
        <is>
          <t>flat</t>
        </is>
      </c>
      <c r="R204" s="6" t="n">
        <v>662</v>
      </c>
      <c r="S204" t="inlineStr">
        <is>
          <t>Solio</t>
        </is>
      </c>
      <c r="U204" s="6" t="n">
        <v>77.3</v>
      </c>
      <c r="V204" s="2" t="n">
        <v>14</v>
      </c>
      <c r="W204" s="7">
        <f>IF(N(U204)&lt;=0,0,MIN(Assumptions!$B$15,N(R204)/N(U204)))</f>
        <v/>
      </c>
      <c r="X204" s="6" t="n">
        <v>0.218</v>
      </c>
      <c r="Y204" s="3" t="n">
        <v>0.0977</v>
      </c>
      <c r="Z204" t="inlineStr">
        <is>
          <t>adjusted xGOT</t>
        </is>
      </c>
      <c r="AA204" s="3" t="n">
        <v>1</v>
      </c>
      <c r="AB204" s="3" t="n">
        <v>0.985</v>
      </c>
      <c r="AC204" s="3" t="n">
        <v>1.4</v>
      </c>
      <c r="AD204" s="3" t="n">
        <v>0.0946</v>
      </c>
      <c r="AE204" s="3" t="n">
        <v>9.573</v>
      </c>
      <c r="AF204" s="3" t="n">
        <v>0.1286236947970036</v>
      </c>
      <c r="AG204" s="3" t="n">
        <v>0.2066</v>
      </c>
      <c r="AH204" s="3" t="n">
        <v>40</v>
      </c>
      <c r="AI204" s="3" t="n">
        <v>3.0611</v>
      </c>
      <c r="AJ204" s="3" t="n">
        <v>1.5875</v>
      </c>
      <c r="AK204" s="3" t="n">
        <v>-0.1539294131870054</v>
      </c>
      <c r="AL204" s="6" t="n">
        <v>0</v>
      </c>
      <c r="AM204" s="3" t="n">
        <v>0</v>
      </c>
      <c r="AN204" s="3" t="n">
        <v>0.4885</v>
      </c>
      <c r="AO204" s="3" t="n">
        <v>0.374616</v>
      </c>
      <c r="AP204" s="3">
        <f>N(X204)*N(BI204)</f>
        <v/>
      </c>
      <c r="AQ204" s="3" t="n">
        <v>0.2066</v>
      </c>
      <c r="AR204" s="3" t="n">
        <v>0</v>
      </c>
      <c r="AS204" s="3" t="n">
        <v>-0</v>
      </c>
      <c r="AT204" s="3" t="n">
        <v>-0.1539294131870054</v>
      </c>
      <c r="AU204" s="3">
        <f>SUM(AN204:AT204)</f>
        <v/>
      </c>
      <c r="AV204" s="7">
        <f>IF(OR(N(W204)&lt;=0,N(BG204)=0),0,N(W204)*IF(N(R204)/N(W204)&gt;=60,N(BG204),1))</f>
        <v/>
      </c>
      <c r="AW204" s="7">
        <f>N(W204)*N(AF204)*N(BH204)</f>
        <v/>
      </c>
      <c r="AX204" s="7">
        <f>N(AL204)*(Assumptions!$B$13*N(BJ204)-(1-Assumptions!$B$13)*Assumptions!$B$14)+N(AM204)</f>
        <v/>
      </c>
      <c r="AY204" s="7">
        <f>N(AU204)*N(R204)/90+N(AV204)+N(AW204)+N(AX204)</f>
        <v/>
      </c>
      <c r="AZ204" s="3">
        <f>IF(N(R204)&lt;=0,0,(N(AY204)-N(AX204))*90/N(R204))</f>
        <v/>
      </c>
      <c r="BA204" s="7">
        <f>IFERROR(AY204-VLOOKUP($E204,Assumptions!$A$40:$C$43,3,FALSE),"")</f>
        <v/>
      </c>
      <c r="BB204" s="3">
        <f>IFERROR(BA204/H204,"")</f>
        <v/>
      </c>
      <c r="BC204">
        <f>IF(AND($G204=TRUE,$E204="GKP"),AY204,"")</f>
        <v/>
      </c>
      <c r="BD204">
        <f>IF(AND($G204=TRUE,$E204="DEF"),AY204,"")</f>
        <v/>
      </c>
      <c r="BE204">
        <f>IF(AND($G204=TRUE,$E204="MID"),AY204,"")</f>
        <v/>
      </c>
      <c r="BF204">
        <f>IF(AND($G204=TRUE,$E204="FWD"),AY204,"")</f>
        <v/>
      </c>
      <c r="BG204" t="n">
        <v>2</v>
      </c>
      <c r="BH204" t="n">
        <v>2</v>
      </c>
      <c r="BI204" t="n">
        <v>1</v>
      </c>
      <c r="BJ204" t="n">
        <v>5</v>
      </c>
    </row>
    <row r="205">
      <c r="A205" t="inlineStr">
        <is>
          <t>Rayan</t>
        </is>
      </c>
      <c r="B205" t="inlineStr">
        <is>
          <t>BOU</t>
        </is>
      </c>
      <c r="C205" t="inlineStr">
        <is>
          <t>BOU</t>
        </is>
      </c>
      <c r="D205" t="b">
        <v>0</v>
      </c>
      <c r="E205" t="inlineStr">
        <is>
          <t>MID</t>
        </is>
      </c>
      <c r="F205" t="inlineStr">
        <is>
          <t>MID</t>
        </is>
      </c>
      <c r="G205" t="b">
        <v>1</v>
      </c>
      <c r="H205" s="2" t="n">
        <v>6.5</v>
      </c>
      <c r="I205" t="inlineStr">
        <is>
          <t>a</t>
        </is>
      </c>
      <c r="K205" s="2" t="n">
        <v>1110</v>
      </c>
      <c r="L205" t="n">
        <v>67</v>
      </c>
      <c r="M205" s="3" t="n">
        <v>2861</v>
      </c>
      <c r="N205" s="8" t="n">
        <v>2861</v>
      </c>
      <c r="O205" s="8" t="n">
        <v>0</v>
      </c>
      <c r="Q205" t="inlineStr">
        <is>
          <t>flat</t>
        </is>
      </c>
      <c r="R205" s="6" t="n">
        <v>2861</v>
      </c>
      <c r="S205" t="inlineStr">
        <is>
          <t>Solio</t>
        </is>
      </c>
      <c r="U205" s="6" t="n">
        <v>81.09999999999999</v>
      </c>
      <c r="V205" s="2" t="n">
        <v>13</v>
      </c>
      <c r="W205" s="7">
        <f>IF(N(U205)&lt;=0,0,MIN(Assumptions!$B$15,N(R205)/N(U205)))</f>
        <v/>
      </c>
      <c r="X205" s="6" t="n">
        <v>0.23</v>
      </c>
      <c r="Y205" s="3" t="n">
        <v>0.2313</v>
      </c>
      <c r="Z205" t="inlineStr">
        <is>
          <t>adjusted xGOT</t>
        </is>
      </c>
      <c r="AA205" s="3" t="n">
        <v>1</v>
      </c>
      <c r="AB205" s="3" t="n">
        <v>1.068</v>
      </c>
      <c r="AC205" s="3" t="n">
        <v>2.7</v>
      </c>
      <c r="AD205" s="3" t="n">
        <v>0.1873</v>
      </c>
      <c r="AE205" s="3" t="n">
        <v>7.407</v>
      </c>
      <c r="AF205" s="3" t="n">
        <v>0.03998568279206338</v>
      </c>
      <c r="AG205" s="3" t="n">
        <v>0.2432</v>
      </c>
      <c r="AH205" s="3" t="n">
        <v>28</v>
      </c>
      <c r="AI205" s="3" t="n">
        <v>3.0957</v>
      </c>
      <c r="AJ205" s="3" t="n">
        <v>1.53</v>
      </c>
      <c r="AK205" s="3" t="n">
        <v>-0.1645361013047155</v>
      </c>
      <c r="AL205" s="6" t="n">
        <v>0</v>
      </c>
      <c r="AM205" s="3" t="n">
        <v>0</v>
      </c>
      <c r="AN205" s="3" t="n">
        <v>1.1565</v>
      </c>
      <c r="AO205" s="3" t="n">
        <v>0.7417079999999999</v>
      </c>
      <c r="AP205" s="3">
        <f>N(X205)*N(BI205)</f>
        <v/>
      </c>
      <c r="AQ205" s="3" t="n">
        <v>0.2432</v>
      </c>
      <c r="AR205" s="3" t="n">
        <v>0</v>
      </c>
      <c r="AS205" s="3" t="n">
        <v>-0</v>
      </c>
      <c r="AT205" s="3" t="n">
        <v>-0.1645361013047155</v>
      </c>
      <c r="AU205" s="3">
        <f>SUM(AN205:AT205)</f>
        <v/>
      </c>
      <c r="AV205" s="7">
        <f>IF(OR(N(W205)&lt;=0,N(BG205)=0),0,N(W205)*IF(N(R205)/N(W205)&gt;=60,N(BG205),1))</f>
        <v/>
      </c>
      <c r="AW205" s="7">
        <f>N(W205)*N(AF205)*N(BH205)</f>
        <v/>
      </c>
      <c r="AX205" s="7">
        <f>N(AL205)*(Assumptions!$B$13*N(BJ205)-(1-Assumptions!$B$13)*Assumptions!$B$14)+N(AM205)</f>
        <v/>
      </c>
      <c r="AY205" s="7">
        <f>N(AU205)*N(R205)/90+N(AV205)+N(AW205)+N(AX205)</f>
        <v/>
      </c>
      <c r="AZ205" s="3">
        <f>IF(N(R205)&lt;=0,0,(N(AY205)-N(AX205))*90/N(R205))</f>
        <v/>
      </c>
      <c r="BA205" s="7">
        <f>IFERROR(AY205-VLOOKUP($E205,Assumptions!$A$40:$C$43,3,FALSE),"")</f>
        <v/>
      </c>
      <c r="BB205" s="3">
        <f>IFERROR(BA205/H205,"")</f>
        <v/>
      </c>
      <c r="BC205">
        <f>IF(AND($G205=TRUE,$E205="GKP"),AY205,"")</f>
        <v/>
      </c>
      <c r="BD205">
        <f>IF(AND($G205=TRUE,$E205="DEF"),AY205,"")</f>
        <v/>
      </c>
      <c r="BE205">
        <f>IF(AND($G205=TRUE,$E205="MID"),AY205,"")</f>
        <v/>
      </c>
      <c r="BF205">
        <f>IF(AND($G205=TRUE,$E205="FWD"),AY205,"")</f>
        <v/>
      </c>
      <c r="BG205" t="n">
        <v>2</v>
      </c>
      <c r="BH205" t="n">
        <v>2</v>
      </c>
      <c r="BI205" t="n">
        <v>1</v>
      </c>
      <c r="BJ205" t="n">
        <v>5</v>
      </c>
    </row>
    <row r="206">
      <c r="A206" t="inlineStr">
        <is>
          <t>Mikel Merino</t>
        </is>
      </c>
      <c r="B206" t="inlineStr">
        <is>
          <t>ARS</t>
        </is>
      </c>
      <c r="C206" t="inlineStr">
        <is>
          <t>ARS</t>
        </is>
      </c>
      <c r="D206" t="b">
        <v>0</v>
      </c>
      <c r="E206" t="inlineStr">
        <is>
          <t>MID</t>
        </is>
      </c>
      <c r="F206" t="inlineStr">
        <is>
          <t>MID</t>
        </is>
      </c>
      <c r="G206" t="b">
        <v>1</v>
      </c>
      <c r="H206" s="2" t="n">
        <v>6</v>
      </c>
      <c r="I206" t="inlineStr">
        <is>
          <t>a</t>
        </is>
      </c>
      <c r="K206" s="2" t="n">
        <v>1024</v>
      </c>
      <c r="L206" t="n">
        <v>67</v>
      </c>
      <c r="M206" s="3" t="n">
        <v>173</v>
      </c>
      <c r="N206" s="8" t="n">
        <v>173</v>
      </c>
      <c r="O206" s="8" t="n">
        <v>0</v>
      </c>
      <c r="Q206" t="inlineStr">
        <is>
          <t>flat</t>
        </is>
      </c>
      <c r="R206" s="6" t="n">
        <v>173</v>
      </c>
      <c r="S206" t="inlineStr">
        <is>
          <t>Solio</t>
        </is>
      </c>
      <c r="U206" s="6" t="n">
        <v>78.40000000000001</v>
      </c>
      <c r="V206" s="2" t="n">
        <v>10</v>
      </c>
      <c r="W206" s="7">
        <f>IF(N(U206)&lt;=0,0,MIN(Assumptions!$B$15,N(R206)/N(U206)))</f>
        <v/>
      </c>
      <c r="X206" s="6" t="n">
        <v>0.391</v>
      </c>
      <c r="Y206" s="3" t="n">
        <v>0.3227</v>
      </c>
      <c r="Z206" t="inlineStr">
        <is>
          <t>adjusted xGOT</t>
        </is>
      </c>
      <c r="AA206" s="3" t="n">
        <v>1</v>
      </c>
      <c r="AB206" s="3" t="n">
        <v>1.093</v>
      </c>
      <c r="AC206" s="3" t="n">
        <v>9.1</v>
      </c>
      <c r="AD206" s="3" t="n">
        <v>0.1644</v>
      </c>
      <c r="AE206" s="3" t="n">
        <v>9.372</v>
      </c>
      <c r="AF206" s="3" t="n">
        <v>0.1241294651182095</v>
      </c>
      <c r="AG206" s="3" t="n">
        <v>0.4395</v>
      </c>
      <c r="AH206" s="3" t="n">
        <v>30</v>
      </c>
      <c r="AI206" s="3" t="n">
        <v>2.067</v>
      </c>
      <c r="AJ206" s="3" t="n">
        <v>0.9838</v>
      </c>
      <c r="AK206" s="3" t="n">
        <v>-0.1589487480746403</v>
      </c>
      <c r="AL206" s="6" t="n">
        <v>0</v>
      </c>
      <c r="AM206" s="3" t="n">
        <v>0</v>
      </c>
      <c r="AN206" s="3" t="n">
        <v>1.6135</v>
      </c>
      <c r="AO206" s="3" t="n">
        <v>0.651024</v>
      </c>
      <c r="AP206" s="3">
        <f>N(X206)*N(BI206)</f>
        <v/>
      </c>
      <c r="AQ206" s="3" t="n">
        <v>0.4395</v>
      </c>
      <c r="AR206" s="3" t="n">
        <v>0</v>
      </c>
      <c r="AS206" s="3" t="n">
        <v>-0</v>
      </c>
      <c r="AT206" s="3" t="n">
        <v>-0.1589487480746403</v>
      </c>
      <c r="AU206" s="3">
        <f>SUM(AN206:AT206)</f>
        <v/>
      </c>
      <c r="AV206" s="7">
        <f>IF(OR(N(W206)&lt;=0,N(BG206)=0),0,N(W206)*IF(N(R206)/N(W206)&gt;=60,N(BG206),1))</f>
        <v/>
      </c>
      <c r="AW206" s="7">
        <f>N(W206)*N(AF206)*N(BH206)</f>
        <v/>
      </c>
      <c r="AX206" s="7">
        <f>N(AL206)*(Assumptions!$B$13*N(BJ206)-(1-Assumptions!$B$13)*Assumptions!$B$14)+N(AM206)</f>
        <v/>
      </c>
      <c r="AY206" s="7">
        <f>N(AU206)*N(R206)/90+N(AV206)+N(AW206)+N(AX206)</f>
        <v/>
      </c>
      <c r="AZ206" s="3">
        <f>IF(N(R206)&lt;=0,0,(N(AY206)-N(AX206))*90/N(R206))</f>
        <v/>
      </c>
      <c r="BA206" s="7">
        <f>IFERROR(AY206-VLOOKUP($E206,Assumptions!$A$40:$C$43,3,FALSE),"")</f>
        <v/>
      </c>
      <c r="BB206" s="3">
        <f>IFERROR(BA206/H206,"")</f>
        <v/>
      </c>
      <c r="BC206">
        <f>IF(AND($G206=TRUE,$E206="GKP"),AY206,"")</f>
        <v/>
      </c>
      <c r="BD206">
        <f>IF(AND($G206=TRUE,$E206="DEF"),AY206,"")</f>
        <v/>
      </c>
      <c r="BE206">
        <f>IF(AND($G206=TRUE,$E206="MID"),AY206,"")</f>
        <v/>
      </c>
      <c r="BF206">
        <f>IF(AND($G206=TRUE,$E206="FWD"),AY206,"")</f>
        <v/>
      </c>
      <c r="BG206" t="n">
        <v>2</v>
      </c>
      <c r="BH206" t="n">
        <v>2</v>
      </c>
      <c r="BI206" t="n">
        <v>1</v>
      </c>
      <c r="BJ206" t="n">
        <v>5</v>
      </c>
    </row>
    <row r="207">
      <c r="A207" t="inlineStr">
        <is>
          <t>Daichi Kamada</t>
        </is>
      </c>
      <c r="B207" t="inlineStr">
        <is>
          <t>CRY</t>
        </is>
      </c>
      <c r="C207" t="inlineStr">
        <is>
          <t>CRY</t>
        </is>
      </c>
      <c r="D207" t="b">
        <v>0</v>
      </c>
      <c r="E207" t="inlineStr">
        <is>
          <t>MID</t>
        </is>
      </c>
      <c r="F207" t="inlineStr">
        <is>
          <t>MID</t>
        </is>
      </c>
      <c r="G207" t="b">
        <v>1</v>
      </c>
      <c r="H207" s="2" t="n">
        <v>5</v>
      </c>
      <c r="I207" t="inlineStr">
        <is>
          <t>a</t>
        </is>
      </c>
      <c r="K207" s="2" t="n">
        <v>1899</v>
      </c>
      <c r="L207" t="n">
        <v>67</v>
      </c>
      <c r="M207" s="3" t="n">
        <v>1932</v>
      </c>
      <c r="N207" s="8" t="n">
        <v>1932</v>
      </c>
      <c r="O207" s="8" t="n">
        <v>0</v>
      </c>
      <c r="Q207" t="inlineStr">
        <is>
          <t>flat</t>
        </is>
      </c>
      <c r="R207" s="6" t="n">
        <v>1932</v>
      </c>
      <c r="S207" t="inlineStr">
        <is>
          <t>Solio</t>
        </is>
      </c>
      <c r="U207" s="6" t="n">
        <v>80.40000000000001</v>
      </c>
      <c r="V207" s="2" t="n">
        <v>22</v>
      </c>
      <c r="W207" s="7">
        <f>IF(N(U207)&lt;=0,0,MIN(Assumptions!$B$15,N(R207)/N(U207)))</f>
        <v/>
      </c>
      <c r="X207" s="6" t="n">
        <v>0.216</v>
      </c>
      <c r="Y207" s="3" t="n">
        <v>0.0708</v>
      </c>
      <c r="Z207" t="inlineStr">
        <is>
          <t>adjusted xGOT</t>
        </is>
      </c>
      <c r="AA207" s="3" t="n">
        <v>1</v>
      </c>
      <c r="AB207" s="3" t="n">
        <v>0.911</v>
      </c>
      <c r="AC207" s="3" t="n">
        <v>2.8</v>
      </c>
      <c r="AD207" s="3" t="n">
        <v>0.1381</v>
      </c>
      <c r="AE207" s="3" t="n">
        <v>9.506</v>
      </c>
      <c r="AF207" s="3" t="n">
        <v>0.1506586266737209</v>
      </c>
      <c r="AG207" s="3" t="n">
        <v>0</v>
      </c>
      <c r="AH207" s="3" t="n">
        <v>48</v>
      </c>
      <c r="AI207" s="3" t="n">
        <v>3.2035</v>
      </c>
      <c r="AJ207" s="3" t="n">
        <v>1.5923</v>
      </c>
      <c r="AK207" s="3" t="n">
        <v>-0.1978697225989962</v>
      </c>
      <c r="AL207" s="6" t="n">
        <v>0</v>
      </c>
      <c r="AM207" s="3" t="n">
        <v>0</v>
      </c>
      <c r="AN207" s="3" t="n">
        <v>0.354</v>
      </c>
      <c r="AO207" s="3" t="n">
        <v>0.546876</v>
      </c>
      <c r="AP207" s="3">
        <f>N(X207)*N(BI207)</f>
        <v/>
      </c>
      <c r="AQ207" s="3" t="n">
        <v>0</v>
      </c>
      <c r="AR207" s="3" t="n">
        <v>0</v>
      </c>
      <c r="AS207" s="3" t="n">
        <v>-0</v>
      </c>
      <c r="AT207" s="3" t="n">
        <v>-0.1978697225989962</v>
      </c>
      <c r="AU207" s="3">
        <f>SUM(AN207:AT207)</f>
        <v/>
      </c>
      <c r="AV207" s="7">
        <f>IF(OR(N(W207)&lt;=0,N(BG207)=0),0,N(W207)*IF(N(R207)/N(W207)&gt;=60,N(BG207),1))</f>
        <v/>
      </c>
      <c r="AW207" s="7">
        <f>N(W207)*N(AF207)*N(BH207)</f>
        <v/>
      </c>
      <c r="AX207" s="7">
        <f>N(AL207)*(Assumptions!$B$13*N(BJ207)-(1-Assumptions!$B$13)*Assumptions!$B$14)+N(AM207)</f>
        <v/>
      </c>
      <c r="AY207" s="7">
        <f>N(AU207)*N(R207)/90+N(AV207)+N(AW207)+N(AX207)</f>
        <v/>
      </c>
      <c r="AZ207" s="3">
        <f>IF(N(R207)&lt;=0,0,(N(AY207)-N(AX207))*90/N(R207))</f>
        <v/>
      </c>
      <c r="BA207" s="7">
        <f>IFERROR(AY207-VLOOKUP($E207,Assumptions!$A$40:$C$43,3,FALSE),"")</f>
        <v/>
      </c>
      <c r="BB207" s="3">
        <f>IFERROR(BA207/H207,"")</f>
        <v/>
      </c>
      <c r="BC207">
        <f>IF(AND($G207=TRUE,$E207="GKP"),AY207,"")</f>
        <v/>
      </c>
      <c r="BD207">
        <f>IF(AND($G207=TRUE,$E207="DEF"),AY207,"")</f>
        <v/>
      </c>
      <c r="BE207">
        <f>IF(AND($G207=TRUE,$E207="MID"),AY207,"")</f>
        <v/>
      </c>
      <c r="BF207">
        <f>IF(AND($G207=TRUE,$E207="FWD"),AY207,"")</f>
        <v/>
      </c>
      <c r="BG207" t="n">
        <v>2</v>
      </c>
      <c r="BH207" t="n">
        <v>2</v>
      </c>
      <c r="BI207" t="n">
        <v>1</v>
      </c>
      <c r="BJ207" t="n">
        <v>5</v>
      </c>
    </row>
    <row r="208">
      <c r="A208" s="9" t="inlineStr">
        <is>
          <t>Sasa Lukic</t>
        </is>
      </c>
      <c r="B208" t="inlineStr">
        <is>
          <t>IPS</t>
        </is>
      </c>
      <c r="C208" s="9" t="inlineStr">
        <is>
          <t>FUL</t>
        </is>
      </c>
      <c r="D208" t="b">
        <v>1</v>
      </c>
      <c r="E208" t="inlineStr">
        <is>
          <t>MID</t>
        </is>
      </c>
      <c r="F208" t="inlineStr">
        <is>
          <t>MID</t>
        </is>
      </c>
      <c r="G208" t="b">
        <v>1</v>
      </c>
      <c r="H208" s="2" t="n">
        <v>5</v>
      </c>
      <c r="I208" t="inlineStr">
        <is>
          <t>a</t>
        </is>
      </c>
      <c r="K208" s="2" t="n">
        <v>1730</v>
      </c>
      <c r="L208" t="n">
        <v>67</v>
      </c>
      <c r="M208" s="3" t="n">
        <v>2217</v>
      </c>
      <c r="N208" s="8" t="n">
        <v>2217</v>
      </c>
      <c r="O208" s="8" t="n">
        <v>0</v>
      </c>
      <c r="Q208" t="inlineStr">
        <is>
          <t>flat</t>
        </is>
      </c>
      <c r="R208" s="6" t="n">
        <v>2217</v>
      </c>
      <c r="S208" t="inlineStr">
        <is>
          <t>Solio</t>
        </is>
      </c>
      <c r="U208" s="6" t="n">
        <v>79.8</v>
      </c>
      <c r="V208" s="2" t="n">
        <v>20</v>
      </c>
      <c r="W208" s="7">
        <f>IF(N(U208)&lt;=0,0,MIN(Assumptions!$B$15,N(R208)/N(U208)))</f>
        <v/>
      </c>
      <c r="X208" s="6" t="n">
        <v>0.17</v>
      </c>
      <c r="Y208" s="10" t="n">
        <v>0.1034</v>
      </c>
      <c r="Z208" t="inlineStr">
        <is>
          <t>adjusted xGOT</t>
        </is>
      </c>
      <c r="AA208" s="3" t="n">
        <v>1</v>
      </c>
      <c r="AB208" s="3" t="n">
        <v>0.892</v>
      </c>
      <c r="AC208" s="3" t="n">
        <v>5</v>
      </c>
      <c r="AD208" s="10" t="n">
        <v>0.106</v>
      </c>
      <c r="AE208" s="3" t="n">
        <v>9.243</v>
      </c>
      <c r="AF208" s="3" t="n">
        <v>0.1265481893686531</v>
      </c>
      <c r="AG208" s="3" t="n">
        <v>0.2081</v>
      </c>
      <c r="AH208" s="3" t="n">
        <v>43</v>
      </c>
      <c r="AI208" s="3" t="n">
        <v>3.5741</v>
      </c>
      <c r="AJ208" s="3" t="n">
        <v>1.8319</v>
      </c>
      <c r="AK208" s="3" t="n">
        <v>-0.3854939000437318</v>
      </c>
      <c r="AL208" s="6" t="n">
        <v>0</v>
      </c>
      <c r="AM208" s="3" t="n">
        <v>0</v>
      </c>
      <c r="AN208" s="10" t="n">
        <v>0.517</v>
      </c>
      <c r="AO208" s="10" t="n">
        <v>0.41976</v>
      </c>
      <c r="AP208" s="3">
        <f>N(X208)*N(BI208)</f>
        <v/>
      </c>
      <c r="AQ208" s="3" t="n">
        <v>0.2081</v>
      </c>
      <c r="AR208" s="3" t="n">
        <v>0</v>
      </c>
      <c r="AS208" s="3" t="n">
        <v>-0</v>
      </c>
      <c r="AT208" s="3" t="n">
        <v>-0.3854939000437318</v>
      </c>
      <c r="AU208" s="3">
        <f>SUM(AN208:AT208)</f>
        <v/>
      </c>
      <c r="AV208" s="7">
        <f>IF(OR(N(W208)&lt;=0,N(BG208)=0),0,N(W208)*IF(N(R208)/N(W208)&gt;=60,N(BG208),1))</f>
        <v/>
      </c>
      <c r="AW208" s="7">
        <f>N(W208)*N(AF208)*N(BH208)</f>
        <v/>
      </c>
      <c r="AX208" s="7">
        <f>N(AL208)*(Assumptions!$B$13*N(BJ208)-(1-Assumptions!$B$13)*Assumptions!$B$14)+N(AM208)</f>
        <v/>
      </c>
      <c r="AY208" s="7">
        <f>N(AU208)*N(R208)/90+N(AV208)+N(AW208)+N(AX208)</f>
        <v/>
      </c>
      <c r="AZ208" s="3">
        <f>IF(N(R208)&lt;=0,0,(N(AY208)-N(AX208))*90/N(R208))</f>
        <v/>
      </c>
      <c r="BA208" s="7">
        <f>IFERROR(AY208-VLOOKUP($E208,Assumptions!$A$40:$C$43,3,FALSE),"")</f>
        <v/>
      </c>
      <c r="BB208" s="3">
        <f>IFERROR(BA208/H208,"")</f>
        <v/>
      </c>
      <c r="BC208">
        <f>IF(AND($G208=TRUE,$E208="GKP"),AY208,"")</f>
        <v/>
      </c>
      <c r="BD208">
        <f>IF(AND($G208=TRUE,$E208="DEF"),AY208,"")</f>
        <v/>
      </c>
      <c r="BE208">
        <f>IF(AND($G208=TRUE,$E208="MID"),AY208,"")</f>
        <v/>
      </c>
      <c r="BF208">
        <f>IF(AND($G208=TRUE,$E208="FWD"),AY208,"")</f>
        <v/>
      </c>
      <c r="BG208" t="n">
        <v>2</v>
      </c>
      <c r="BH208" t="n">
        <v>2</v>
      </c>
      <c r="BI208" t="n">
        <v>1</v>
      </c>
      <c r="BJ208" t="n">
        <v>5</v>
      </c>
    </row>
    <row r="209">
      <c r="A209" t="inlineStr">
        <is>
          <t>Ola Aina</t>
        </is>
      </c>
      <c r="B209" t="inlineStr">
        <is>
          <t>NFO</t>
        </is>
      </c>
      <c r="C209" t="inlineStr">
        <is>
          <t>NFO</t>
        </is>
      </c>
      <c r="D209" t="b">
        <v>0</v>
      </c>
      <c r="E209" t="inlineStr">
        <is>
          <t>DEF</t>
        </is>
      </c>
      <c r="F209" t="inlineStr">
        <is>
          <t>DEF</t>
        </is>
      </c>
      <c r="G209" t="b">
        <v>1</v>
      </c>
      <c r="H209" s="2" t="n">
        <v>4.5</v>
      </c>
      <c r="I209" t="inlineStr">
        <is>
          <t>a</t>
        </is>
      </c>
      <c r="K209" s="2" t="n">
        <v>1587</v>
      </c>
      <c r="L209" t="n">
        <v>67</v>
      </c>
      <c r="M209" s="3" t="n">
        <v>2953</v>
      </c>
      <c r="N209" s="4" t="n">
        <v>2550</v>
      </c>
      <c r="O209" s="4" t="n">
        <v>-403</v>
      </c>
      <c r="P209" s="5" t="inlineStr">
        <is>
          <t>medium</t>
        </is>
      </c>
      <c r="Q209" t="inlineStr">
        <is>
          <t>flat</t>
        </is>
      </c>
      <c r="R209" s="6" t="n">
        <v>2550</v>
      </c>
      <c r="S209" t="inlineStr">
        <is>
          <t>research</t>
        </is>
      </c>
      <c r="T209" s="5" t="inlineStr">
        <is>
          <t>Solio projects 86% of all available minutes for a 29-year-old who managed 1,587 league minutes last season after tearing a hamstring on international duty and having surgery on 13 Sept 2025. He is a starter and healthy now, but a full rebound to near-ever-present is the single most optimistic assumption in the allocation, and his only natural deputy at left wing-back is Luca Netz.</t>
        </is>
      </c>
      <c r="U209" s="6" t="n">
        <v>87.2</v>
      </c>
      <c r="V209" s="2" t="n">
        <v>18</v>
      </c>
      <c r="W209" s="7">
        <f>IF(N(U209)&lt;=0,0,MIN(Assumptions!$B$15,N(R209)/N(U209)))</f>
        <v/>
      </c>
      <c r="X209" s="6" t="n">
        <v>0.224</v>
      </c>
      <c r="Y209" s="3" t="n">
        <v>0.0226</v>
      </c>
      <c r="Z209" t="inlineStr">
        <is>
          <t>adjusted xGOT</t>
        </is>
      </c>
      <c r="AA209" s="3" t="n">
        <v>1</v>
      </c>
      <c r="AB209" s="3" t="n">
        <v>0.97</v>
      </c>
      <c r="AC209" s="3" t="n">
        <v>1.4</v>
      </c>
      <c r="AD209" s="3" t="n">
        <v>0.0335</v>
      </c>
      <c r="AE209" s="3" t="n">
        <v>7.47</v>
      </c>
      <c r="AF209" s="3" t="n">
        <v>0.1943914275034606</v>
      </c>
      <c r="AG209" s="3" t="n">
        <v>0.2836</v>
      </c>
      <c r="AH209" s="3" t="n">
        <v>36</v>
      </c>
      <c r="AI209" s="3" t="n">
        <v>3.1134</v>
      </c>
      <c r="AJ209" s="3" t="n">
        <v>1.5588</v>
      </c>
      <c r="AK209" s="3" t="n">
        <v>-0.1869965935960393</v>
      </c>
      <c r="AL209" s="6" t="n">
        <v>0</v>
      </c>
      <c r="AM209" s="3" t="n">
        <v>0</v>
      </c>
      <c r="AN209" s="3" t="n">
        <v>0.1356</v>
      </c>
      <c r="AO209" s="3" t="n">
        <v>0.13266</v>
      </c>
      <c r="AP209" s="3">
        <f>N(X209)*N(BI209)</f>
        <v/>
      </c>
      <c r="AQ209" s="3" t="n">
        <v>0.2836</v>
      </c>
      <c r="AR209" s="3" t="n">
        <v>0</v>
      </c>
      <c r="AS209" s="3" t="n">
        <v>-0.5404658182244797</v>
      </c>
      <c r="AT209" s="3" t="n">
        <v>-0.1869965935960393</v>
      </c>
      <c r="AU209" s="3">
        <f>SUM(AN209:AT209)</f>
        <v/>
      </c>
      <c r="AV209" s="7">
        <f>IF(OR(N(W209)&lt;=0,N(BG209)=0),0,N(W209)*IF(N(R209)/N(W209)&gt;=60,N(BG209),1))</f>
        <v/>
      </c>
      <c r="AW209" s="7">
        <f>N(W209)*N(AF209)*N(BH209)</f>
        <v/>
      </c>
      <c r="AX209" s="7">
        <f>N(AL209)*(Assumptions!$B$13*N(BJ209)-(1-Assumptions!$B$13)*Assumptions!$B$14)+N(AM209)</f>
        <v/>
      </c>
      <c r="AY209" s="7">
        <f>N(AU209)*N(R209)/90+N(AV209)+N(AW209)+N(AX209)</f>
        <v/>
      </c>
      <c r="AZ209" s="3">
        <f>IF(N(R209)&lt;=0,0,(N(AY209)-N(AX209))*90/N(R209))</f>
        <v/>
      </c>
      <c r="BA209" s="7">
        <f>IFERROR(AY209-VLOOKUP($E209,Assumptions!$A$40:$C$43,3,FALSE),"")</f>
        <v/>
      </c>
      <c r="BB209" s="3">
        <f>IFERROR(BA209/H209,"")</f>
        <v/>
      </c>
      <c r="BC209">
        <f>IF(AND($G209=TRUE,$E209="GKP"),AY209,"")</f>
        <v/>
      </c>
      <c r="BD209">
        <f>IF(AND($G209=TRUE,$E209="DEF"),AY209,"")</f>
        <v/>
      </c>
      <c r="BE209">
        <f>IF(AND($G209=TRUE,$E209="MID"),AY209,"")</f>
        <v/>
      </c>
      <c r="BF209">
        <f>IF(AND($G209=TRUE,$E209="FWD"),AY209,"")</f>
        <v/>
      </c>
      <c r="BG209" t="n">
        <v>2</v>
      </c>
      <c r="BH209" t="n">
        <v>2</v>
      </c>
      <c r="BI209" t="n">
        <v>4</v>
      </c>
      <c r="BJ209" t="n">
        <v>6</v>
      </c>
    </row>
    <row r="210">
      <c r="A210" t="inlineStr">
        <is>
          <t>Habib Diarra</t>
        </is>
      </c>
      <c r="B210" t="inlineStr">
        <is>
          <t>SUN</t>
        </is>
      </c>
      <c r="C210" t="inlineStr">
        <is>
          <t>SUN</t>
        </is>
      </c>
      <c r="D210" t="b">
        <v>0</v>
      </c>
      <c r="E210" t="inlineStr">
        <is>
          <t>MID</t>
        </is>
      </c>
      <c r="F210" t="inlineStr">
        <is>
          <t>MID</t>
        </is>
      </c>
      <c r="G210" t="b">
        <v>1</v>
      </c>
      <c r="H210" s="2" t="n">
        <v>5.5</v>
      </c>
      <c r="I210" t="inlineStr">
        <is>
          <t>a</t>
        </is>
      </c>
      <c r="K210" s="2" t="n">
        <v>1403</v>
      </c>
      <c r="L210" t="n">
        <v>65</v>
      </c>
      <c r="M210" s="3" t="n">
        <v>1602</v>
      </c>
      <c r="N210" s="8" t="n">
        <v>1602</v>
      </c>
      <c r="O210" s="8" t="n">
        <v>0</v>
      </c>
      <c r="Q210" t="inlineStr">
        <is>
          <t>flat</t>
        </is>
      </c>
      <c r="R210" s="6" t="n">
        <v>1602</v>
      </c>
      <c r="S210" t="inlineStr">
        <is>
          <t>Solio</t>
        </is>
      </c>
      <c r="U210" s="6" t="n">
        <v>82.90000000000001</v>
      </c>
      <c r="V210" s="2" t="n">
        <v>15</v>
      </c>
      <c r="W210" s="7">
        <f>IF(N(U210)&lt;=0,0,MIN(Assumptions!$B$15,N(R210)/N(U210)))</f>
        <v/>
      </c>
      <c r="X210" s="6" t="n">
        <v>0.204</v>
      </c>
      <c r="Y210" s="3" t="n">
        <v>0.1497</v>
      </c>
      <c r="Z210" t="inlineStr">
        <is>
          <t>adjusted xGOT</t>
        </is>
      </c>
      <c r="AA210" s="3" t="n">
        <v>0.766</v>
      </c>
      <c r="AB210" s="3" t="n">
        <v>0.9320000000000001</v>
      </c>
      <c r="AC210" s="3" t="n">
        <v>3.3</v>
      </c>
      <c r="AD210" s="3" t="n">
        <v>0.0479</v>
      </c>
      <c r="AE210" s="3" t="n">
        <v>6.258</v>
      </c>
      <c r="AF210" s="3" t="n">
        <v>0.01528429474740867</v>
      </c>
      <c r="AG210" s="3" t="n">
        <v>0.2566</v>
      </c>
      <c r="AH210" s="3" t="n">
        <v>35</v>
      </c>
      <c r="AI210" s="3" t="n">
        <v>3.3348</v>
      </c>
      <c r="AJ210" s="3" t="n">
        <v>1.6498</v>
      </c>
      <c r="AK210" s="3" t="n">
        <v>-0.3075768663648786</v>
      </c>
      <c r="AL210" s="6" t="n">
        <v>1.889390579450971</v>
      </c>
      <c r="AM210" s="3" t="n">
        <v>0</v>
      </c>
      <c r="AN210" s="3" t="n">
        <v>0.7484999999999999</v>
      </c>
      <c r="AO210" s="3" t="n">
        <v>0.189684</v>
      </c>
      <c r="AP210" s="3">
        <f>N(X210)*N(BI210)</f>
        <v/>
      </c>
      <c r="AQ210" s="3" t="n">
        <v>0.2566</v>
      </c>
      <c r="AR210" s="3" t="n">
        <v>0</v>
      </c>
      <c r="AS210" s="3" t="n">
        <v>-0</v>
      </c>
      <c r="AT210" s="3" t="n">
        <v>-0.3075768663648786</v>
      </c>
      <c r="AU210" s="3">
        <f>SUM(AN210:AT210)</f>
        <v/>
      </c>
      <c r="AV210" s="7">
        <f>IF(OR(N(W210)&lt;=0,N(BG210)=0),0,N(W210)*IF(N(R210)/N(W210)&gt;=60,N(BG210),1))</f>
        <v/>
      </c>
      <c r="AW210" s="7">
        <f>N(W210)*N(AF210)*N(BH210)</f>
        <v/>
      </c>
      <c r="AX210" s="7">
        <f>N(AL210)*(Assumptions!$B$13*N(BJ210)-(1-Assumptions!$B$13)*Assumptions!$B$14)+N(AM210)</f>
        <v/>
      </c>
      <c r="AY210" s="7">
        <f>N(AU210)*N(R210)/90+N(AV210)+N(AW210)+N(AX210)</f>
        <v/>
      </c>
      <c r="AZ210" s="3">
        <f>IF(N(R210)&lt;=0,0,(N(AY210)-N(AX210))*90/N(R210))</f>
        <v/>
      </c>
      <c r="BA210" s="7">
        <f>IFERROR(AY210-VLOOKUP($E210,Assumptions!$A$40:$C$43,3,FALSE),"")</f>
        <v/>
      </c>
      <c r="BB210" s="3">
        <f>IFERROR(BA210/H210,"")</f>
        <v/>
      </c>
      <c r="BC210">
        <f>IF(AND($G210=TRUE,$E210="GKP"),AY210,"")</f>
        <v/>
      </c>
      <c r="BD210">
        <f>IF(AND($G210=TRUE,$E210="DEF"),AY210,"")</f>
        <v/>
      </c>
      <c r="BE210">
        <f>IF(AND($G210=TRUE,$E210="MID"),AY210,"")</f>
        <v/>
      </c>
      <c r="BF210">
        <f>IF(AND($G210=TRUE,$E210="FWD"),AY210,"")</f>
        <v/>
      </c>
      <c r="BG210" t="n">
        <v>2</v>
      </c>
      <c r="BH210" t="n">
        <v>2</v>
      </c>
      <c r="BI210" t="n">
        <v>1</v>
      </c>
      <c r="BJ210" t="n">
        <v>5</v>
      </c>
    </row>
    <row r="211">
      <c r="A211" s="9" t="inlineStr">
        <is>
          <t>Brennan Johnson</t>
        </is>
      </c>
      <c r="B211" t="inlineStr">
        <is>
          <t>EVE</t>
        </is>
      </c>
      <c r="C211" s="9" t="inlineStr">
        <is>
          <t>CRY</t>
        </is>
      </c>
      <c r="D211" t="b">
        <v>1</v>
      </c>
      <c r="E211" t="inlineStr">
        <is>
          <t>MID</t>
        </is>
      </c>
      <c r="F211" t="inlineStr">
        <is>
          <t>MID</t>
        </is>
      </c>
      <c r="G211" t="b">
        <v>1</v>
      </c>
      <c r="H211" s="2" t="n">
        <v>6</v>
      </c>
      <c r="I211" t="inlineStr">
        <is>
          <t>a</t>
        </is>
      </c>
      <c r="K211" s="2" t="n">
        <v>1710</v>
      </c>
      <c r="L211" t="n">
        <v>65</v>
      </c>
      <c r="M211" s="3" t="n">
        <v>1082</v>
      </c>
      <c r="N211" s="4" t="n">
        <v>2100</v>
      </c>
      <c r="O211" s="4" t="n">
        <v>1018</v>
      </c>
      <c r="P211" s="5" t="inlineStr">
        <is>
          <t>medium</t>
        </is>
      </c>
      <c r="Q211" t="inlineStr">
        <is>
          <t>flat</t>
        </is>
      </c>
      <c r="R211" s="6" t="n">
        <v>2100</v>
      </c>
      <c r="S211" t="inlineStr">
        <is>
          <t>research</t>
        </is>
      </c>
      <c r="T211" s="5" t="inlineStr">
        <is>
          <t>Solio has him at bench level. He arrived on 10-11 August 2026 in a straight swap with Dwight McNeil, who had made 114 appearances as Everton's first-choice wide man, and signed a four-year deal to 2030. Read Everton's transfer tracker calls him a source of 'pace, direct running and goals' who can also play centrally; the official FPL game prices him at GBP 6.0m, joint second-highest in the squad and level with Tarkowski and Ndiaye, which is not how the game prices a rotation winger. He was an unused substitute against Lille on 15 August, his first Everton matchday squad. Sized below a nailed-on 3,000-plus because he scored nothing in 26 Palace appearances, has had no pre-season with Everton, and Tyrique George (GBP 20m+ permanent), Tyler Dibling and Merlin Röhl all play wide.</t>
        </is>
      </c>
      <c r="U211" s="6" t="n">
        <v>77.90000000000001</v>
      </c>
      <c r="V211" s="2" t="n">
        <v>19</v>
      </c>
      <c r="W211" s="7">
        <f>IF(N(U211)&lt;=0,0,MIN(Assumptions!$B$15,N(R211)/N(U211)))</f>
        <v/>
      </c>
      <c r="X211" s="6" t="n">
        <v>0.231</v>
      </c>
      <c r="Y211" s="10" t="n">
        <v>0.1194</v>
      </c>
      <c r="Z211" t="inlineStr">
        <is>
          <t>adjusted xGOT</t>
        </is>
      </c>
      <c r="AA211" s="3" t="n">
        <v>1</v>
      </c>
      <c r="AB211" s="3" t="n">
        <v>0.926</v>
      </c>
      <c r="AC211" s="3" t="n">
        <v>32</v>
      </c>
      <c r="AD211" s="10" t="n">
        <v>0.0682</v>
      </c>
      <c r="AE211" s="3" t="n">
        <v>7.023</v>
      </c>
      <c r="AF211" s="3" t="n">
        <v>0.02192616524412738</v>
      </c>
      <c r="AG211" s="3" t="n">
        <v>0.1053</v>
      </c>
      <c r="AH211" s="3" t="n">
        <v>50</v>
      </c>
      <c r="AI211" s="3" t="n">
        <v>3.0311</v>
      </c>
      <c r="AJ211" s="3" t="n">
        <v>1.5252</v>
      </c>
      <c r="AK211" s="3" t="n">
        <v>-0.2406650059580908</v>
      </c>
      <c r="AL211" s="6" t="n">
        <v>0</v>
      </c>
      <c r="AM211" s="3" t="n">
        <v>0</v>
      </c>
      <c r="AN211" s="10" t="n">
        <v>0.597</v>
      </c>
      <c r="AO211" s="10" t="n">
        <v>0.270072</v>
      </c>
      <c r="AP211" s="3">
        <f>N(X211)*N(BI211)</f>
        <v/>
      </c>
      <c r="AQ211" s="3" t="n">
        <v>0.1053</v>
      </c>
      <c r="AR211" s="3" t="n">
        <v>0</v>
      </c>
      <c r="AS211" s="3" t="n">
        <v>-0</v>
      </c>
      <c r="AT211" s="3" t="n">
        <v>-0.2406650059580908</v>
      </c>
      <c r="AU211" s="3">
        <f>SUM(AN211:AT211)</f>
        <v/>
      </c>
      <c r="AV211" s="7">
        <f>IF(OR(N(W211)&lt;=0,N(BG211)=0),0,N(W211)*IF(N(R211)/N(W211)&gt;=60,N(BG211),1))</f>
        <v/>
      </c>
      <c r="AW211" s="7">
        <f>N(W211)*N(AF211)*N(BH211)</f>
        <v/>
      </c>
      <c r="AX211" s="7">
        <f>N(AL211)*(Assumptions!$B$13*N(BJ211)-(1-Assumptions!$B$13)*Assumptions!$B$14)+N(AM211)</f>
        <v/>
      </c>
      <c r="AY211" s="7">
        <f>N(AU211)*N(R211)/90+N(AV211)+N(AW211)+N(AX211)</f>
        <v/>
      </c>
      <c r="AZ211" s="3">
        <f>IF(N(R211)&lt;=0,0,(N(AY211)-N(AX211))*90/N(R211))</f>
        <v/>
      </c>
      <c r="BA211" s="7">
        <f>IFERROR(AY211-VLOOKUP($E211,Assumptions!$A$40:$C$43,3,FALSE),"")</f>
        <v/>
      </c>
      <c r="BB211" s="3">
        <f>IFERROR(BA211/H211,"")</f>
        <v/>
      </c>
      <c r="BC211">
        <f>IF(AND($G211=TRUE,$E211="GKP"),AY211,"")</f>
        <v/>
      </c>
      <c r="BD211">
        <f>IF(AND($G211=TRUE,$E211="DEF"),AY211,"")</f>
        <v/>
      </c>
      <c r="BE211">
        <f>IF(AND($G211=TRUE,$E211="MID"),AY211,"")</f>
        <v/>
      </c>
      <c r="BF211">
        <f>IF(AND($G211=TRUE,$E211="FWD"),AY211,"")</f>
        <v/>
      </c>
      <c r="BG211" t="n">
        <v>2</v>
      </c>
      <c r="BH211" t="n">
        <v>2</v>
      </c>
      <c r="BI211" t="n">
        <v>1</v>
      </c>
      <c r="BJ211" t="n">
        <v>5</v>
      </c>
    </row>
    <row r="212">
      <c r="A212" t="inlineStr">
        <is>
          <t>Wesley Fofana</t>
        </is>
      </c>
      <c r="B212" t="inlineStr">
        <is>
          <t>CHE</t>
        </is>
      </c>
      <c r="C212" t="inlineStr">
        <is>
          <t>CHE</t>
        </is>
      </c>
      <c r="D212" t="b">
        <v>0</v>
      </c>
      <c r="E212" t="inlineStr">
        <is>
          <t>DEF</t>
        </is>
      </c>
      <c r="F212" t="inlineStr">
        <is>
          <t>DEF</t>
        </is>
      </c>
      <c r="G212" t="b">
        <v>1</v>
      </c>
      <c r="H212" s="2" t="n">
        <v>5</v>
      </c>
      <c r="I212" t="inlineStr">
        <is>
          <t>s</t>
        </is>
      </c>
      <c r="J212" t="inlineStr">
        <is>
          <t>Suspended until 6 Sep</t>
        </is>
      </c>
      <c r="K212" s="2" t="n">
        <v>1718</v>
      </c>
      <c r="L212" t="n">
        <v>65</v>
      </c>
      <c r="M212" s="3" t="n">
        <v>1693</v>
      </c>
      <c r="N212" s="8" t="n">
        <v>1693</v>
      </c>
      <c r="O212" s="8" t="n">
        <v>0</v>
      </c>
      <c r="Q212" t="inlineStr">
        <is>
          <t>flat</t>
        </is>
      </c>
      <c r="R212" s="6" t="n">
        <v>1693</v>
      </c>
      <c r="S212" t="inlineStr">
        <is>
          <t>Solio</t>
        </is>
      </c>
      <c r="U212" s="6" t="n">
        <v>82.7</v>
      </c>
      <c r="V212" s="2" t="n">
        <v>18</v>
      </c>
      <c r="W212" s="7">
        <f>IF(N(U212)&lt;=0,0,MIN(Assumptions!$B$15,N(R212)/N(U212)))</f>
        <v/>
      </c>
      <c r="X212" s="6" t="n">
        <v>0.322</v>
      </c>
      <c r="Y212" s="3" t="n">
        <v>0.0335</v>
      </c>
      <c r="Z212" t="inlineStr">
        <is>
          <t>adjusted xGOT</t>
        </is>
      </c>
      <c r="AA212" s="3" t="n">
        <v>1</v>
      </c>
      <c r="AB212" s="3" t="n">
        <v>0.889</v>
      </c>
      <c r="AC212" s="3" t="n">
        <v>1.9</v>
      </c>
      <c r="AD212" s="3" t="n">
        <v>0.033</v>
      </c>
      <c r="AE212" s="3" t="n">
        <v>9.874000000000001</v>
      </c>
      <c r="AF212" s="3" t="n">
        <v>0.4222233146279868</v>
      </c>
      <c r="AG212" s="3" t="n">
        <v>0.1048</v>
      </c>
      <c r="AH212" s="3" t="n">
        <v>43</v>
      </c>
      <c r="AI212" s="3" t="n">
        <v>2.4232</v>
      </c>
      <c r="AJ212" s="3" t="n">
        <v>1.1851</v>
      </c>
      <c r="AK212" s="3" t="n">
        <v>-0.3040090495108185</v>
      </c>
      <c r="AL212" s="6" t="n">
        <v>0</v>
      </c>
      <c r="AM212" s="3" t="n">
        <v>0</v>
      </c>
      <c r="AN212" s="3" t="n">
        <v>0.201</v>
      </c>
      <c r="AO212" s="3" t="n">
        <v>0.13068</v>
      </c>
      <c r="AP212" s="3">
        <f>N(X212)*N(BI212)</f>
        <v/>
      </c>
      <c r="AQ212" s="3" t="n">
        <v>0.1048</v>
      </c>
      <c r="AR212" s="3" t="n">
        <v>0</v>
      </c>
      <c r="AS212" s="3" t="n">
        <v>-0.365915508000572</v>
      </c>
      <c r="AT212" s="3" t="n">
        <v>-0.3040090495108185</v>
      </c>
      <c r="AU212" s="3">
        <f>SUM(AN212:AT212)</f>
        <v/>
      </c>
      <c r="AV212" s="7">
        <f>IF(OR(N(W212)&lt;=0,N(BG212)=0),0,N(W212)*IF(N(R212)/N(W212)&gt;=60,N(BG212),1))</f>
        <v/>
      </c>
      <c r="AW212" s="7">
        <f>N(W212)*N(AF212)*N(BH212)</f>
        <v/>
      </c>
      <c r="AX212" s="7">
        <f>N(AL212)*(Assumptions!$B$13*N(BJ212)-(1-Assumptions!$B$13)*Assumptions!$B$14)+N(AM212)</f>
        <v/>
      </c>
      <c r="AY212" s="7">
        <f>N(AU212)*N(R212)/90+N(AV212)+N(AW212)+N(AX212)</f>
        <v/>
      </c>
      <c r="AZ212" s="3">
        <f>IF(N(R212)&lt;=0,0,(N(AY212)-N(AX212))*90/N(R212))</f>
        <v/>
      </c>
      <c r="BA212" s="7">
        <f>IFERROR(AY212-VLOOKUP($E212,Assumptions!$A$40:$C$43,3,FALSE),"")</f>
        <v/>
      </c>
      <c r="BB212" s="3">
        <f>IFERROR(BA212/H212,"")</f>
        <v/>
      </c>
      <c r="BC212">
        <f>IF(AND($G212=TRUE,$E212="GKP"),AY212,"")</f>
        <v/>
      </c>
      <c r="BD212">
        <f>IF(AND($G212=TRUE,$E212="DEF"),AY212,"")</f>
        <v/>
      </c>
      <c r="BE212">
        <f>IF(AND($G212=TRUE,$E212="MID"),AY212,"")</f>
        <v/>
      </c>
      <c r="BF212">
        <f>IF(AND($G212=TRUE,$E212="FWD"),AY212,"")</f>
        <v/>
      </c>
      <c r="BG212" t="n">
        <v>2</v>
      </c>
      <c r="BH212" t="n">
        <v>2</v>
      </c>
      <c r="BI212" t="n">
        <v>4</v>
      </c>
      <c r="BJ212" t="n">
        <v>6</v>
      </c>
    </row>
    <row r="213">
      <c r="A213" t="inlineStr">
        <is>
          <t>Antonee Robinson</t>
        </is>
      </c>
      <c r="B213" t="inlineStr">
        <is>
          <t>FUL</t>
        </is>
      </c>
      <c r="C213" t="inlineStr">
        <is>
          <t>FUL</t>
        </is>
      </c>
      <c r="D213" t="b">
        <v>0</v>
      </c>
      <c r="E213" t="inlineStr">
        <is>
          <t>DEF</t>
        </is>
      </c>
      <c r="F213" t="inlineStr">
        <is>
          <t>DEF</t>
        </is>
      </c>
      <c r="G213" t="b">
        <v>1</v>
      </c>
      <c r="H213" s="2" t="n">
        <v>4.5</v>
      </c>
      <c r="I213" t="inlineStr">
        <is>
          <t>a</t>
        </is>
      </c>
      <c r="K213" s="2" t="n">
        <v>1487</v>
      </c>
      <c r="L213" t="n">
        <v>65</v>
      </c>
      <c r="M213" s="3" t="n">
        <v>1887</v>
      </c>
      <c r="N213" s="4" t="n">
        <v>2200</v>
      </c>
      <c r="O213" s="4" t="n">
        <v>313</v>
      </c>
      <c r="P213" s="5" t="inlineStr">
        <is>
          <t>medium</t>
        </is>
      </c>
      <c r="Q213" t="inlineStr">
        <is>
          <t>flat</t>
        </is>
      </c>
      <c r="R213" s="6" t="n">
        <v>2200</v>
      </c>
      <c r="S213" t="inlineStr">
        <is>
          <t>research</t>
        </is>
      </c>
      <c r="T213" s="5" t="inlineStr">
        <is>
          <t>Started all three of Fulham's last three friendlies at left-back (7 Aug v Crystal Palace, scoring; 12 Aug v Malaga; 15 Aug v Stuttgart), with Sessegnon used off the bench in two of them. Solio's 1887 is anchored to an injury-hit 1487 minutes in 2025/26; fitness remains the caveat, so this is a partial rather than full restoration.</t>
        </is>
      </c>
      <c r="U213" s="6" t="n">
        <v>83.8</v>
      </c>
      <c r="V213" s="2" t="n">
        <v>17</v>
      </c>
      <c r="W213" s="7">
        <f>IF(N(U213)&lt;=0,0,MIN(Assumptions!$B$15,N(R213)/N(U213)))</f>
        <v/>
      </c>
      <c r="X213" s="6" t="n">
        <v>0.214</v>
      </c>
      <c r="Y213" s="3" t="n">
        <v>0.0144</v>
      </c>
      <c r="Z213" t="inlineStr">
        <is>
          <t>adjusted xGOT</t>
        </is>
      </c>
      <c r="AA213" s="3" t="n">
        <v>0.221</v>
      </c>
      <c r="AB213" s="3" t="n">
        <v>1.008</v>
      </c>
      <c r="AC213" s="3" t="n">
        <v>2.5</v>
      </c>
      <c r="AD213" s="3" t="n">
        <v>0.0808</v>
      </c>
      <c r="AE213" s="3" t="n">
        <v>8.053000000000001</v>
      </c>
      <c r="AF213" s="3" t="n">
        <v>0.2233907529500363</v>
      </c>
      <c r="AG213" s="3" t="n">
        <v>0.4237</v>
      </c>
      <c r="AH213" s="3" t="n">
        <v>38</v>
      </c>
      <c r="AI213" s="3" t="n">
        <v>3.22</v>
      </c>
      <c r="AJ213" s="3" t="n">
        <v>1.6019</v>
      </c>
      <c r="AK213" s="3" t="n">
        <v>-0.2432740487946192</v>
      </c>
      <c r="AL213" s="6" t="n">
        <v>0.4930201863642248</v>
      </c>
      <c r="AM213" s="3" t="n">
        <v>0</v>
      </c>
      <c r="AN213" s="3" t="n">
        <v>0.0864</v>
      </c>
      <c r="AO213" s="3" t="n">
        <v>0.319968</v>
      </c>
      <c r="AP213" s="3">
        <f>N(X213)*N(BI213)</f>
        <v/>
      </c>
      <c r="AQ213" s="3" t="n">
        <v>0.4237</v>
      </c>
      <c r="AR213" s="3" t="n">
        <v>0</v>
      </c>
      <c r="AS213" s="3" t="n">
        <v>-0.5611019003833156</v>
      </c>
      <c r="AT213" s="3" t="n">
        <v>-0.2432740487946192</v>
      </c>
      <c r="AU213" s="3">
        <f>SUM(AN213:AT213)</f>
        <v/>
      </c>
      <c r="AV213" s="7">
        <f>IF(OR(N(W213)&lt;=0,N(BG213)=0),0,N(W213)*IF(N(R213)/N(W213)&gt;=60,N(BG213),1))</f>
        <v/>
      </c>
      <c r="AW213" s="7">
        <f>N(W213)*N(AF213)*N(BH213)</f>
        <v/>
      </c>
      <c r="AX213" s="7">
        <f>N(AL213)*(Assumptions!$B$13*N(BJ213)-(1-Assumptions!$B$13)*Assumptions!$B$14)+N(AM213)</f>
        <v/>
      </c>
      <c r="AY213" s="7">
        <f>N(AU213)*N(R213)/90+N(AV213)+N(AW213)+N(AX213)</f>
        <v/>
      </c>
      <c r="AZ213" s="3">
        <f>IF(N(R213)&lt;=0,0,(N(AY213)-N(AX213))*90/N(R213))</f>
        <v/>
      </c>
      <c r="BA213" s="7">
        <f>IFERROR(AY213-VLOOKUP($E213,Assumptions!$A$40:$C$43,3,FALSE),"")</f>
        <v/>
      </c>
      <c r="BB213" s="3">
        <f>IFERROR(BA213/H213,"")</f>
        <v/>
      </c>
      <c r="BC213">
        <f>IF(AND($G213=TRUE,$E213="GKP"),AY213,"")</f>
        <v/>
      </c>
      <c r="BD213">
        <f>IF(AND($G213=TRUE,$E213="DEF"),AY213,"")</f>
        <v/>
      </c>
      <c r="BE213">
        <f>IF(AND($G213=TRUE,$E213="MID"),AY213,"")</f>
        <v/>
      </c>
      <c r="BF213">
        <f>IF(AND($G213=TRUE,$E213="FWD"),AY213,"")</f>
        <v/>
      </c>
      <c r="BG213" t="n">
        <v>2</v>
      </c>
      <c r="BH213" t="n">
        <v>2</v>
      </c>
      <c r="BI213" t="n">
        <v>4</v>
      </c>
      <c r="BJ213" t="n">
        <v>6</v>
      </c>
    </row>
    <row r="214">
      <c r="A214" t="inlineStr">
        <is>
          <t>Pau Torres</t>
        </is>
      </c>
      <c r="B214" t="inlineStr">
        <is>
          <t>AVL</t>
        </is>
      </c>
      <c r="C214" t="inlineStr">
        <is>
          <t>AVL</t>
        </is>
      </c>
      <c r="D214" t="b">
        <v>0</v>
      </c>
      <c r="E214" t="inlineStr">
        <is>
          <t>DEF</t>
        </is>
      </c>
      <c r="F214" t="inlineStr">
        <is>
          <t>DEF</t>
        </is>
      </c>
      <c r="G214" t="b">
        <v>1</v>
      </c>
      <c r="H214" s="2" t="n">
        <v>4.5</v>
      </c>
      <c r="I214" t="inlineStr">
        <is>
          <t>a</t>
        </is>
      </c>
      <c r="K214" s="2" t="n">
        <v>1673</v>
      </c>
      <c r="L214" t="n">
        <v>64</v>
      </c>
      <c r="M214" s="3" t="n">
        <v>1955</v>
      </c>
      <c r="N214" s="4" t="n">
        <v>2200</v>
      </c>
      <c r="O214" s="4" t="n">
        <v>245</v>
      </c>
      <c r="P214" s="5" t="inlineStr">
        <is>
          <t>medium</t>
        </is>
      </c>
      <c r="Q214" t="inlineStr">
        <is>
          <t>flat</t>
        </is>
      </c>
      <c r="R214" s="6" t="n">
        <v>2200</v>
      </c>
      <c r="S214" t="inlineStr">
        <is>
          <t>research</t>
        </is>
      </c>
      <c r="T214" s="5" t="inlineStr">
        <is>
          <t>Started the Super Cup final at centre-back and featured again against Monchengladbach; he looks the settled left-sided partner for Konsa rather than a rotation option, and Digne's departure removes another left-sided body from the back line.</t>
        </is>
      </c>
      <c r="U214" s="6" t="n">
        <v>87</v>
      </c>
      <c r="V214" s="2" t="n">
        <v>18</v>
      </c>
      <c r="W214" s="7">
        <f>IF(N(U214)&lt;=0,0,MIN(Assumptions!$B$15,N(R214)/N(U214)))</f>
        <v/>
      </c>
      <c r="X214" s="6" t="n">
        <v>0.273</v>
      </c>
      <c r="Y214" s="3" t="n">
        <v>0.0669</v>
      </c>
      <c r="Z214" t="inlineStr">
        <is>
          <t>adjusted xGOT</t>
        </is>
      </c>
      <c r="AA214" s="3" t="n">
        <v>1</v>
      </c>
      <c r="AB214" s="3" t="n">
        <v>0.9350000000000001</v>
      </c>
      <c r="AC214" s="3" t="n">
        <v>2.8</v>
      </c>
      <c r="AD214" s="3" t="n">
        <v>0.0107</v>
      </c>
      <c r="AE214" s="3" t="n">
        <v>6.525</v>
      </c>
      <c r="AF214" s="3" t="n">
        <v>0.1067148644048088</v>
      </c>
      <c r="AG214" s="3" t="n">
        <v>0.1076</v>
      </c>
      <c r="AH214" s="3" t="n">
        <v>39</v>
      </c>
      <c r="AI214" s="3" t="n">
        <v>2.7451</v>
      </c>
      <c r="AJ214" s="3" t="n">
        <v>1.3575</v>
      </c>
      <c r="AK214" s="3" t="n">
        <v>-0.1149958496148794</v>
      </c>
      <c r="AL214" s="6" t="n">
        <v>0</v>
      </c>
      <c r="AM214" s="3" t="n">
        <v>0</v>
      </c>
      <c r="AN214" s="3" t="n">
        <v>0.4014</v>
      </c>
      <c r="AO214" s="3" t="n">
        <v>0.042372</v>
      </c>
      <c r="AP214" s="3">
        <f>N(X214)*N(BI214)</f>
        <v/>
      </c>
      <c r="AQ214" s="3" t="n">
        <v>0.1076</v>
      </c>
      <c r="AR214" s="3" t="n">
        <v>0</v>
      </c>
      <c r="AS214" s="3" t="n">
        <v>-0.4453012382517575</v>
      </c>
      <c r="AT214" s="3" t="n">
        <v>-0.1149958496148794</v>
      </c>
      <c r="AU214" s="3">
        <f>SUM(AN214:AT214)</f>
        <v/>
      </c>
      <c r="AV214" s="7">
        <f>IF(OR(N(W214)&lt;=0,N(BG214)=0),0,N(W214)*IF(N(R214)/N(W214)&gt;=60,N(BG214),1))</f>
        <v/>
      </c>
      <c r="AW214" s="7">
        <f>N(W214)*N(AF214)*N(BH214)</f>
        <v/>
      </c>
      <c r="AX214" s="7">
        <f>N(AL214)*(Assumptions!$B$13*N(BJ214)-(1-Assumptions!$B$13)*Assumptions!$B$14)+N(AM214)</f>
        <v/>
      </c>
      <c r="AY214" s="7">
        <f>N(AU214)*N(R214)/90+N(AV214)+N(AW214)+N(AX214)</f>
        <v/>
      </c>
      <c r="AZ214" s="3">
        <f>IF(N(R214)&lt;=0,0,(N(AY214)-N(AX214))*90/N(R214))</f>
        <v/>
      </c>
      <c r="BA214" s="7">
        <f>IFERROR(AY214-VLOOKUP($E214,Assumptions!$A$40:$C$43,3,FALSE),"")</f>
        <v/>
      </c>
      <c r="BB214" s="3">
        <f>IFERROR(BA214/H214,"")</f>
        <v/>
      </c>
      <c r="BC214">
        <f>IF(AND($G214=TRUE,$E214="GKP"),AY214,"")</f>
        <v/>
      </c>
      <c r="BD214">
        <f>IF(AND($G214=TRUE,$E214="DEF"),AY214,"")</f>
        <v/>
      </c>
      <c r="BE214">
        <f>IF(AND($G214=TRUE,$E214="MID"),AY214,"")</f>
        <v/>
      </c>
      <c r="BF214">
        <f>IF(AND($G214=TRUE,$E214="FWD"),AY214,"")</f>
        <v/>
      </c>
      <c r="BG214" t="n">
        <v>2</v>
      </c>
      <c r="BH214" t="n">
        <v>2</v>
      </c>
      <c r="BI214" t="n">
        <v>4</v>
      </c>
      <c r="BJ214" t="n">
        <v>6</v>
      </c>
    </row>
    <row r="215">
      <c r="A215" t="inlineStr">
        <is>
          <t>Nico González</t>
        </is>
      </c>
      <c r="B215" t="inlineStr">
        <is>
          <t>MCI</t>
        </is>
      </c>
      <c r="C215" t="inlineStr">
        <is>
          <t>MCI</t>
        </is>
      </c>
      <c r="D215" t="b">
        <v>0</v>
      </c>
      <c r="E215" t="inlineStr">
        <is>
          <t>MID</t>
        </is>
      </c>
      <c r="F215" t="inlineStr">
        <is>
          <t>MID</t>
        </is>
      </c>
      <c r="G215" t="b">
        <v>1</v>
      </c>
      <c r="H215" s="2" t="n">
        <v>5.5</v>
      </c>
      <c r="I215" t="inlineStr">
        <is>
          <t>a</t>
        </is>
      </c>
      <c r="K215" s="2" t="n">
        <v>1561</v>
      </c>
      <c r="L215" t="n">
        <v>63</v>
      </c>
      <c r="M215" s="3" t="n">
        <v>722</v>
      </c>
      <c r="N215" s="4" t="n">
        <v>950</v>
      </c>
      <c r="O215" s="4" t="n">
        <v>228</v>
      </c>
      <c r="P215" s="5" t="inlineStr">
        <is>
          <t>medium</t>
        </is>
      </c>
      <c r="Q215" t="inlineStr">
        <is>
          <t>fade (losing his place)</t>
        </is>
      </c>
      <c r="R215" s="6" t="n">
        <v>950</v>
      </c>
      <c r="S215" t="inlineStr">
        <is>
          <t>research</t>
        </is>
      </c>
      <c r="T215" s="5" t="inlineStr">
        <is>
          <t>Solio flags him 'fade (losing his place)', but he publicly ruled out leaving in early August, Reijnders' sale removes a direct competitor, and with Rodri out he was named the safe bet to start the Community Shield ahead of the barely-trained Anderson. Deliberately a small raise, not a big one: Bouaddi's arrival would land squarely on top of him.</t>
        </is>
      </c>
      <c r="U215" s="6" t="n">
        <v>80.40000000000001</v>
      </c>
      <c r="V215" s="2" t="n">
        <v>17</v>
      </c>
      <c r="W215" s="7">
        <f>IF(N(U215)&lt;=0,0,MIN(Assumptions!$B$15,N(R215)/N(U215)))</f>
        <v/>
      </c>
      <c r="X215" s="6" t="n">
        <v>0.371</v>
      </c>
      <c r="Y215" s="3" t="n">
        <v>0.0382</v>
      </c>
      <c r="Z215" t="inlineStr">
        <is>
          <t>adjusted xGOT</t>
        </is>
      </c>
      <c r="AA215" s="3" t="n">
        <v>1</v>
      </c>
      <c r="AB215" s="3" t="n">
        <v>0.975</v>
      </c>
      <c r="AC215" s="3" t="n">
        <v>1.1</v>
      </c>
      <c r="AD215" s="3" t="n">
        <v>0.0579</v>
      </c>
      <c r="AE215" s="3" t="n">
        <v>10.835</v>
      </c>
      <c r="AF215" s="3" t="n">
        <v>0.267391740645224</v>
      </c>
      <c r="AG215" s="3" t="n">
        <v>0.0577</v>
      </c>
      <c r="AH215" s="3" t="n">
        <v>42</v>
      </c>
      <c r="AI215" s="3" t="n">
        <v>1.9737</v>
      </c>
      <c r="AJ215" s="3" t="n">
        <v>1.0365</v>
      </c>
      <c r="AK215" s="3" t="n">
        <v>-0.3027638844986323</v>
      </c>
      <c r="AL215" s="6" t="n">
        <v>0</v>
      </c>
      <c r="AM215" s="3" t="n">
        <v>0</v>
      </c>
      <c r="AN215" s="3" t="n">
        <v>0.191</v>
      </c>
      <c r="AO215" s="3" t="n">
        <v>0.229284</v>
      </c>
      <c r="AP215" s="3">
        <f>N(X215)*N(BI215)</f>
        <v/>
      </c>
      <c r="AQ215" s="3" t="n">
        <v>0.0577</v>
      </c>
      <c r="AR215" s="3" t="n">
        <v>0</v>
      </c>
      <c r="AS215" s="3" t="n">
        <v>-0</v>
      </c>
      <c r="AT215" s="3" t="n">
        <v>-0.3027638844986323</v>
      </c>
      <c r="AU215" s="3">
        <f>SUM(AN215:AT215)</f>
        <v/>
      </c>
      <c r="AV215" s="7">
        <f>IF(OR(N(W215)&lt;=0,N(BG215)=0),0,N(W215)*IF(N(R215)/N(W215)&gt;=60,N(BG215),1))</f>
        <v/>
      </c>
      <c r="AW215" s="7">
        <f>N(W215)*N(AF215)*N(BH215)</f>
        <v/>
      </c>
      <c r="AX215" s="7">
        <f>N(AL215)*(Assumptions!$B$13*N(BJ215)-(1-Assumptions!$B$13)*Assumptions!$B$14)+N(AM215)</f>
        <v/>
      </c>
      <c r="AY215" s="7">
        <f>N(AU215)*N(R215)/90+N(AV215)+N(AW215)+N(AX215)</f>
        <v/>
      </c>
      <c r="AZ215" s="3">
        <f>IF(N(R215)&lt;=0,0,(N(AY215)-N(AX215))*90/N(R215))</f>
        <v/>
      </c>
      <c r="BA215" s="7">
        <f>IFERROR(AY215-VLOOKUP($E215,Assumptions!$A$40:$C$43,3,FALSE),"")</f>
        <v/>
      </c>
      <c r="BB215" s="3">
        <f>IFERROR(BA215/H215,"")</f>
        <v/>
      </c>
      <c r="BC215">
        <f>IF(AND($G215=TRUE,$E215="GKP"),AY215,"")</f>
        <v/>
      </c>
      <c r="BD215">
        <f>IF(AND($G215=TRUE,$E215="DEF"),AY215,"")</f>
        <v/>
      </c>
      <c r="BE215">
        <f>IF(AND($G215=TRUE,$E215="MID"),AY215,"")</f>
        <v/>
      </c>
      <c r="BF215">
        <f>IF(AND($G215=TRUE,$E215="FWD"),AY215,"")</f>
        <v/>
      </c>
      <c r="BG215" t="n">
        <v>2</v>
      </c>
      <c r="BH215" t="n">
        <v>2</v>
      </c>
      <c r="BI215" t="n">
        <v>1</v>
      </c>
      <c r="BJ215" t="n">
        <v>5</v>
      </c>
    </row>
    <row r="216">
      <c r="A216" t="inlineStr">
        <is>
          <t>Jeremie Frimpong</t>
        </is>
      </c>
      <c r="B216" t="inlineStr">
        <is>
          <t>LIV</t>
        </is>
      </c>
      <c r="C216" t="inlineStr">
        <is>
          <t>LIV</t>
        </is>
      </c>
      <c r="D216" t="b">
        <v>0</v>
      </c>
      <c r="E216" t="inlineStr">
        <is>
          <t>DEF</t>
        </is>
      </c>
      <c r="F216" t="inlineStr">
        <is>
          <t>DEF</t>
        </is>
      </c>
      <c r="G216" t="b">
        <v>1</v>
      </c>
      <c r="H216" s="2" t="n">
        <v>5.5</v>
      </c>
      <c r="I216" t="inlineStr">
        <is>
          <t>a</t>
        </is>
      </c>
      <c r="K216" s="2" t="n">
        <v>1032</v>
      </c>
      <c r="L216" t="n">
        <v>63</v>
      </c>
      <c r="M216" s="3" t="n">
        <v>1699</v>
      </c>
      <c r="N216" s="4" t="n">
        <v>2030</v>
      </c>
      <c r="O216" s="4" t="n">
        <v>331</v>
      </c>
      <c r="P216" s="5" t="inlineStr">
        <is>
          <t>medium</t>
        </is>
      </c>
      <c r="Q216" t="inlineStr">
        <is>
          <t>flat</t>
        </is>
      </c>
      <c r="R216" s="6" t="n">
        <v>2030</v>
      </c>
      <c r="S216" t="inlineStr">
        <is>
          <t>research</t>
        </is>
      </c>
      <c r="T216" s="5" t="inlineStr">
        <is>
          <t>Liverpool have no fit senior specialist right-back: Bradley is out until roughly October and Ramsay is 'not at the level to assume the role beyond pre-season'. Frimpong trained normally after his US-tour withdrawal and starts in every pre-season first-choice XI. Solio's 1699 prices in his injury record; raised, but not to a nailed-starter level, because that record is real.</t>
        </is>
      </c>
      <c r="U216" s="6" t="n">
        <v>79.7</v>
      </c>
      <c r="V216" s="2" t="n">
        <v>12</v>
      </c>
      <c r="W216" s="7">
        <f>IF(N(U216)&lt;=0,0,MIN(Assumptions!$B$15,N(R216)/N(U216)))</f>
        <v/>
      </c>
      <c r="X216" s="6" t="n">
        <v>0.342</v>
      </c>
      <c r="Y216" s="3" t="n">
        <v>0.042</v>
      </c>
      <c r="Z216" t="inlineStr">
        <is>
          <t>adjusted xGOT</t>
        </is>
      </c>
      <c r="AA216" s="3" t="n">
        <v>1</v>
      </c>
      <c r="AB216" s="3" t="n">
        <v>0.965</v>
      </c>
      <c r="AC216" s="3" t="n">
        <v>0.5</v>
      </c>
      <c r="AD216" s="3" t="n">
        <v>0.1849</v>
      </c>
      <c r="AE216" s="3" t="n">
        <v>4.699</v>
      </c>
      <c r="AF216" s="3" t="n">
        <v>0.01048968348947754</v>
      </c>
      <c r="AG216" s="3" t="n">
        <v>0.0872</v>
      </c>
      <c r="AH216" s="3" t="n">
        <v>31</v>
      </c>
      <c r="AI216" s="3" t="n">
        <v>2.409</v>
      </c>
      <c r="AJ216" s="3" t="n">
        <v>1.1228</v>
      </c>
      <c r="AK216" s="3" t="n">
        <v>-0.1643972585931323</v>
      </c>
      <c r="AL216" s="6" t="n">
        <v>0</v>
      </c>
      <c r="AM216" s="3" t="n">
        <v>0</v>
      </c>
      <c r="AN216" s="3" t="n">
        <v>0.252</v>
      </c>
      <c r="AO216" s="3" t="n">
        <v>0.732204</v>
      </c>
      <c r="AP216" s="3">
        <f>N(X216)*N(BI216)</f>
        <v/>
      </c>
      <c r="AQ216" s="3" t="n">
        <v>0.0872</v>
      </c>
      <c r="AR216" s="3" t="n">
        <v>0</v>
      </c>
      <c r="AS216" s="3" t="n">
        <v>-0.3378660007281162</v>
      </c>
      <c r="AT216" s="3" t="n">
        <v>-0.1643972585931323</v>
      </c>
      <c r="AU216" s="3">
        <f>SUM(AN216:AT216)</f>
        <v/>
      </c>
      <c r="AV216" s="7">
        <f>IF(OR(N(W216)&lt;=0,N(BG216)=0),0,N(W216)*IF(N(R216)/N(W216)&gt;=60,N(BG216),1))</f>
        <v/>
      </c>
      <c r="AW216" s="7">
        <f>N(W216)*N(AF216)*N(BH216)</f>
        <v/>
      </c>
      <c r="AX216" s="7">
        <f>N(AL216)*(Assumptions!$B$13*N(BJ216)-(1-Assumptions!$B$13)*Assumptions!$B$14)+N(AM216)</f>
        <v/>
      </c>
      <c r="AY216" s="7">
        <f>N(AU216)*N(R216)/90+N(AV216)+N(AW216)+N(AX216)</f>
        <v/>
      </c>
      <c r="AZ216" s="3">
        <f>IF(N(R216)&lt;=0,0,(N(AY216)-N(AX216))*90/N(R216))</f>
        <v/>
      </c>
      <c r="BA216" s="7">
        <f>IFERROR(AY216-VLOOKUP($E216,Assumptions!$A$40:$C$43,3,FALSE),"")</f>
        <v/>
      </c>
      <c r="BB216" s="3">
        <f>IFERROR(BA216/H216,"")</f>
        <v/>
      </c>
      <c r="BC216">
        <f>IF(AND($G216=TRUE,$E216="GKP"),AY216,"")</f>
        <v/>
      </c>
      <c r="BD216">
        <f>IF(AND($G216=TRUE,$E216="DEF"),AY216,"")</f>
        <v/>
      </c>
      <c r="BE216">
        <f>IF(AND($G216=TRUE,$E216="MID"),AY216,"")</f>
        <v/>
      </c>
      <c r="BF216">
        <f>IF(AND($G216=TRUE,$E216="FWD"),AY216,"")</f>
        <v/>
      </c>
      <c r="BG216" t="n">
        <v>2</v>
      </c>
      <c r="BH216" t="n">
        <v>2</v>
      </c>
      <c r="BI216" t="n">
        <v>4</v>
      </c>
      <c r="BJ216" t="n">
        <v>6</v>
      </c>
    </row>
    <row r="217">
      <c r="A217" t="inlineStr">
        <is>
          <t>Kevin Danso</t>
        </is>
      </c>
      <c r="B217" t="inlineStr">
        <is>
          <t>TOT</t>
        </is>
      </c>
      <c r="C217" t="inlineStr">
        <is>
          <t>TOT</t>
        </is>
      </c>
      <c r="D217" t="b">
        <v>0</v>
      </c>
      <c r="E217" t="inlineStr">
        <is>
          <t>DEF</t>
        </is>
      </c>
      <c r="F217" t="inlineStr">
        <is>
          <t>DEF</t>
        </is>
      </c>
      <c r="G217" t="b">
        <v>1</v>
      </c>
      <c r="H217" s="2" t="n">
        <v>5</v>
      </c>
      <c r="I217" t="inlineStr">
        <is>
          <t>a</t>
        </is>
      </c>
      <c r="K217" s="2" t="n">
        <v>1489</v>
      </c>
      <c r="L217" t="n">
        <v>63</v>
      </c>
      <c r="M217" s="3" t="n">
        <v>304</v>
      </c>
      <c r="N217" s="8" t="n">
        <v>304</v>
      </c>
      <c r="O217" s="8" t="n">
        <v>0</v>
      </c>
      <c r="Q217" t="inlineStr">
        <is>
          <t>flat</t>
        </is>
      </c>
      <c r="R217" s="6" t="n">
        <v>304</v>
      </c>
      <c r="S217" t="inlineStr">
        <is>
          <t>Solio</t>
        </is>
      </c>
      <c r="U217" s="6" t="n">
        <v>85</v>
      </c>
      <c r="V217" s="2" t="n">
        <v>17</v>
      </c>
      <c r="W217" s="7">
        <f>IF(N(U217)&lt;=0,0,MIN(Assumptions!$B$15,N(R217)/N(U217)))</f>
        <v/>
      </c>
      <c r="X217" s="6" t="n">
        <v>0.286</v>
      </c>
      <c r="Y217" s="3" t="n">
        <v>0.0337</v>
      </c>
      <c r="Z217" t="inlineStr">
        <is>
          <t>adjusted xGOT</t>
        </is>
      </c>
      <c r="AA217" s="3" t="n">
        <v>1</v>
      </c>
      <c r="AB217" s="3" t="n">
        <v>0.898</v>
      </c>
      <c r="AC217" s="3" t="n">
        <v>1</v>
      </c>
      <c r="AD217" s="3" t="n">
        <v>0.0133</v>
      </c>
      <c r="AE217" s="3" t="n">
        <v>10.327</v>
      </c>
      <c r="AF217" s="3" t="n">
        <v>0.510847971231742</v>
      </c>
      <c r="AG217" s="3" t="n">
        <v>0.0604</v>
      </c>
      <c r="AH217" s="3" t="n">
        <v>39</v>
      </c>
      <c r="AI217" s="3" t="n">
        <v>2.5739</v>
      </c>
      <c r="AJ217" s="3" t="n">
        <v>1.3096</v>
      </c>
      <c r="AK217" s="3" t="n">
        <v>-0.3077245786767728</v>
      </c>
      <c r="AL217" s="6" t="n">
        <v>0</v>
      </c>
      <c r="AM217" s="3" t="n">
        <v>0</v>
      </c>
      <c r="AN217" s="3" t="n">
        <v>0.2022</v>
      </c>
      <c r="AO217" s="3" t="n">
        <v>0.052668</v>
      </c>
      <c r="AP217" s="3">
        <f>N(X217)*N(BI217)</f>
        <v/>
      </c>
      <c r="AQ217" s="3" t="n">
        <v>0.0604</v>
      </c>
      <c r="AR217" s="3" t="n">
        <v>0</v>
      </c>
      <c r="AS217" s="3" t="n">
        <v>-0.4230152821052008</v>
      </c>
      <c r="AT217" s="3" t="n">
        <v>-0.3077245786767728</v>
      </c>
      <c r="AU217" s="3">
        <f>SUM(AN217:AT217)</f>
        <v/>
      </c>
      <c r="AV217" s="7">
        <f>IF(OR(N(W217)&lt;=0,N(BG217)=0),0,N(W217)*IF(N(R217)/N(W217)&gt;=60,N(BG217),1))</f>
        <v/>
      </c>
      <c r="AW217" s="7">
        <f>N(W217)*N(AF217)*N(BH217)</f>
        <v/>
      </c>
      <c r="AX217" s="7">
        <f>N(AL217)*(Assumptions!$B$13*N(BJ217)-(1-Assumptions!$B$13)*Assumptions!$B$14)+N(AM217)</f>
        <v/>
      </c>
      <c r="AY217" s="7">
        <f>N(AU217)*N(R217)/90+N(AV217)+N(AW217)+N(AX217)</f>
        <v/>
      </c>
      <c r="AZ217" s="3">
        <f>IF(N(R217)&lt;=0,0,(N(AY217)-N(AX217))*90/N(R217))</f>
        <v/>
      </c>
      <c r="BA217" s="7">
        <f>IFERROR(AY217-VLOOKUP($E217,Assumptions!$A$40:$C$43,3,FALSE),"")</f>
        <v/>
      </c>
      <c r="BB217" s="3">
        <f>IFERROR(BA217/H217,"")</f>
        <v/>
      </c>
      <c r="BC217">
        <f>IF(AND($G217=TRUE,$E217="GKP"),AY217,"")</f>
        <v/>
      </c>
      <c r="BD217">
        <f>IF(AND($G217=TRUE,$E217="DEF"),AY217,"")</f>
        <v/>
      </c>
      <c r="BE217">
        <f>IF(AND($G217=TRUE,$E217="MID"),AY217,"")</f>
        <v/>
      </c>
      <c r="BF217">
        <f>IF(AND($G217=TRUE,$E217="FWD"),AY217,"")</f>
        <v/>
      </c>
      <c r="BG217" t="n">
        <v>2</v>
      </c>
      <c r="BH217" t="n">
        <v>2</v>
      </c>
      <c r="BI217" t="n">
        <v>4</v>
      </c>
      <c r="BJ217" t="n">
        <v>6</v>
      </c>
    </row>
    <row r="218">
      <c r="A218" t="inlineStr">
        <is>
          <t>Josh King</t>
        </is>
      </c>
      <c r="B218" t="inlineStr">
        <is>
          <t>FUL</t>
        </is>
      </c>
      <c r="C218" t="inlineStr">
        <is>
          <t>FUL</t>
        </is>
      </c>
      <c r="D218" t="b">
        <v>0</v>
      </c>
      <c r="E218" t="inlineStr">
        <is>
          <t>MID</t>
        </is>
      </c>
      <c r="F218" t="inlineStr">
        <is>
          <t>MID</t>
        </is>
      </c>
      <c r="G218" t="b">
        <v>1</v>
      </c>
      <c r="H218" s="2" t="n">
        <v>5.5</v>
      </c>
      <c r="I218" t="inlineStr">
        <is>
          <t>a</t>
        </is>
      </c>
      <c r="K218" s="2" t="n">
        <v>1290</v>
      </c>
      <c r="L218" t="n">
        <v>63</v>
      </c>
      <c r="M218" s="3" t="n">
        <v>1693</v>
      </c>
      <c r="N218" s="4" t="n">
        <v>1250</v>
      </c>
      <c r="O218" s="4" t="n">
        <v>-443</v>
      </c>
      <c r="P218" s="5" t="inlineStr">
        <is>
          <t>medium</t>
        </is>
      </c>
      <c r="Q218" t="inlineStr">
        <is>
          <t>flat</t>
        </is>
      </c>
      <c r="R218" s="6" t="n">
        <v>1250</v>
      </c>
      <c r="S218" t="inlineStr">
        <is>
          <t>research</t>
        </is>
      </c>
      <c r="T218" s="5" t="inlineStr">
        <is>
          <t>Started the second pivot alongside Berge v Stuttgart on 15 Aug, but that role is precisely what Fulham spent £27m + £6m on Shea Charles to fill four days earlier. King is 19 and managed 1290 minutes in 2025/26 with a fuller squad; the Charles signing is the direct arithmetic offset to promoting Charles.</t>
        </is>
      </c>
      <c r="U218" s="6" t="n">
        <v>71.2</v>
      </c>
      <c r="V218" s="2" t="n">
        <v>15</v>
      </c>
      <c r="W218" s="7">
        <f>IF(N(U218)&lt;=0,0,MIN(Assumptions!$B$15,N(R218)/N(U218)))</f>
        <v/>
      </c>
      <c r="X218" s="6" t="n">
        <v>0.214</v>
      </c>
      <c r="Y218" s="3" t="n">
        <v>0.1716</v>
      </c>
      <c r="Z218" t="inlineStr">
        <is>
          <t>adjusted xGOT</t>
        </is>
      </c>
      <c r="AA218" s="3" t="n">
        <v>1</v>
      </c>
      <c r="AB218" s="3" t="n">
        <v>0.995</v>
      </c>
      <c r="AC218" s="3" t="n">
        <v>2.8</v>
      </c>
      <c r="AD218" s="3" t="n">
        <v>0.0593</v>
      </c>
      <c r="AE218" s="3" t="n">
        <v>7.863</v>
      </c>
      <c r="AF218" s="3" t="n">
        <v>0.02553162793736874</v>
      </c>
      <c r="AG218" s="3" t="n">
        <v>0.2093</v>
      </c>
      <c r="AH218" s="3" t="n">
        <v>45</v>
      </c>
      <c r="AI218" s="3" t="n">
        <v>3.22</v>
      </c>
      <c r="AJ218" s="3" t="n">
        <v>1.6019</v>
      </c>
      <c r="AK218" s="3" t="n">
        <v>-0.2472978659018994</v>
      </c>
      <c r="AL218" s="6" t="n">
        <v>0</v>
      </c>
      <c r="AM218" s="3" t="n">
        <v>0</v>
      </c>
      <c r="AN218" s="3" t="n">
        <v>0.858</v>
      </c>
      <c r="AO218" s="3" t="n">
        <v>0.234828</v>
      </c>
      <c r="AP218" s="3">
        <f>N(X218)*N(BI218)</f>
        <v/>
      </c>
      <c r="AQ218" s="3" t="n">
        <v>0.2093</v>
      </c>
      <c r="AR218" s="3" t="n">
        <v>0</v>
      </c>
      <c r="AS218" s="3" t="n">
        <v>-0</v>
      </c>
      <c r="AT218" s="3" t="n">
        <v>-0.2472978659018994</v>
      </c>
      <c r="AU218" s="3">
        <f>SUM(AN218:AT218)</f>
        <v/>
      </c>
      <c r="AV218" s="7">
        <f>IF(OR(N(W218)&lt;=0,N(BG218)=0),0,N(W218)*IF(N(R218)/N(W218)&gt;=60,N(BG218),1))</f>
        <v/>
      </c>
      <c r="AW218" s="7">
        <f>N(W218)*N(AF218)*N(BH218)</f>
        <v/>
      </c>
      <c r="AX218" s="7">
        <f>N(AL218)*(Assumptions!$B$13*N(BJ218)-(1-Assumptions!$B$13)*Assumptions!$B$14)+N(AM218)</f>
        <v/>
      </c>
      <c r="AY218" s="7">
        <f>N(AU218)*N(R218)/90+N(AV218)+N(AW218)+N(AX218)</f>
        <v/>
      </c>
      <c r="AZ218" s="3">
        <f>IF(N(R218)&lt;=0,0,(N(AY218)-N(AX218))*90/N(R218))</f>
        <v/>
      </c>
      <c r="BA218" s="7">
        <f>IFERROR(AY218-VLOOKUP($E218,Assumptions!$A$40:$C$43,3,FALSE),"")</f>
        <v/>
      </c>
      <c r="BB218" s="3">
        <f>IFERROR(BA218/H218,"")</f>
        <v/>
      </c>
      <c r="BC218">
        <f>IF(AND($G218=TRUE,$E218="GKP"),AY218,"")</f>
        <v/>
      </c>
      <c r="BD218">
        <f>IF(AND($G218=TRUE,$E218="DEF"),AY218,"")</f>
        <v/>
      </c>
      <c r="BE218">
        <f>IF(AND($G218=TRUE,$E218="MID"),AY218,"")</f>
        <v/>
      </c>
      <c r="BF218">
        <f>IF(AND($G218=TRUE,$E218="FWD"),AY218,"")</f>
        <v/>
      </c>
      <c r="BG218" t="n">
        <v>2</v>
      </c>
      <c r="BH218" t="n">
        <v>2</v>
      </c>
      <c r="BI218" t="n">
        <v>1</v>
      </c>
      <c r="BJ218" t="n">
        <v>5</v>
      </c>
    </row>
    <row r="219">
      <c r="A219" t="inlineStr">
        <is>
          <t>Kaoru Mitoma</t>
        </is>
      </c>
      <c r="B219" t="inlineStr">
        <is>
          <t>BHA</t>
        </is>
      </c>
      <c r="C219" t="inlineStr">
        <is>
          <t>BHA</t>
        </is>
      </c>
      <c r="D219" t="b">
        <v>0</v>
      </c>
      <c r="E219" t="inlineStr">
        <is>
          <t>MID</t>
        </is>
      </c>
      <c r="F219" t="inlineStr">
        <is>
          <t>MID</t>
        </is>
      </c>
      <c r="G219" t="b">
        <v>1</v>
      </c>
      <c r="H219" s="2" t="n">
        <v>6</v>
      </c>
      <c r="I219" t="inlineStr">
        <is>
          <t>i</t>
        </is>
      </c>
      <c r="J219" t="inlineStr">
        <is>
          <t>Hamstring injury - Unknown return date</t>
        </is>
      </c>
      <c r="K219" s="2" t="n">
        <v>1714</v>
      </c>
      <c r="L219" t="n">
        <v>62</v>
      </c>
      <c r="M219" s="3" t="n">
        <v>1353</v>
      </c>
      <c r="N219" s="4" t="n">
        <v>1150</v>
      </c>
      <c r="O219" s="4" t="n">
        <v>-203</v>
      </c>
      <c r="P219" s="5" t="inlineStr">
        <is>
          <t>low</t>
        </is>
      </c>
      <c r="Q219" t="inlineStr">
        <is>
          <t>fade (losing his place)</t>
        </is>
      </c>
      <c r="R219" s="6" t="n">
        <v>1150</v>
      </c>
      <c r="S219" t="inlineStr">
        <is>
          <t>research</t>
        </is>
      </c>
      <c r="T219" s="5" t="inlineStr">
        <is>
          <t>Brighton confirmed on 25 May 2026 that he had hamstring surgery and had begun early-stage rehab, giving no return date; FPL still lists 'Hamstring injury - Unknown return date' as of 2026-07-24. Solio already fades him to 1353, so this is a trim rather than a correction - it reflects that he will miss at least the opening weeks and that De Cuyper started ahead of him on the left on 15 Aug.</t>
        </is>
      </c>
      <c r="U219" s="6" t="n">
        <v>81.09999999999999</v>
      </c>
      <c r="V219" s="2" t="n">
        <v>19</v>
      </c>
      <c r="W219" s="7">
        <f>IF(N(U219)&lt;=0,0,MIN(Assumptions!$B$15,N(R219)/N(U219)))</f>
        <v/>
      </c>
      <c r="X219" s="6" t="n">
        <v>0.252</v>
      </c>
      <c r="Y219" s="3" t="n">
        <v>0.2198</v>
      </c>
      <c r="Z219" t="inlineStr">
        <is>
          <t>adjusted xGOT</t>
        </is>
      </c>
      <c r="AA219" s="3" t="n">
        <v>1</v>
      </c>
      <c r="AB219" s="3" t="n">
        <v>1.036</v>
      </c>
      <c r="AC219" s="3" t="n">
        <v>25</v>
      </c>
      <c r="AD219" s="3" t="n">
        <v>0.165</v>
      </c>
      <c r="AE219" s="3" t="n">
        <v>6.494</v>
      </c>
      <c r="AF219" s="3" t="n">
        <v>0.01695486308015282</v>
      </c>
      <c r="AG219" s="3" t="n">
        <v>0.105</v>
      </c>
      <c r="AH219" s="3" t="n">
        <v>42</v>
      </c>
      <c r="AI219" s="3" t="n">
        <v>2.8404</v>
      </c>
      <c r="AJ219" s="3" t="n">
        <v>1.439</v>
      </c>
      <c r="AK219" s="3" t="n">
        <v>-0.1928716730616705</v>
      </c>
      <c r="AL219" s="6" t="n">
        <v>0</v>
      </c>
      <c r="AM219" s="3" t="n">
        <v>0</v>
      </c>
      <c r="AN219" s="3" t="n">
        <v>1.099</v>
      </c>
      <c r="AO219" s="3" t="n">
        <v>0.6534</v>
      </c>
      <c r="AP219" s="3">
        <f>N(X219)*N(BI219)</f>
        <v/>
      </c>
      <c r="AQ219" s="3" t="n">
        <v>0.105</v>
      </c>
      <c r="AR219" s="3" t="n">
        <v>0</v>
      </c>
      <c r="AS219" s="3" t="n">
        <v>-0</v>
      </c>
      <c r="AT219" s="3" t="n">
        <v>-0.1928716730616705</v>
      </c>
      <c r="AU219" s="3">
        <f>SUM(AN219:AT219)</f>
        <v/>
      </c>
      <c r="AV219" s="7">
        <f>IF(OR(N(W219)&lt;=0,N(BG219)=0),0,N(W219)*IF(N(R219)/N(W219)&gt;=60,N(BG219),1))</f>
        <v/>
      </c>
      <c r="AW219" s="7">
        <f>N(W219)*N(AF219)*N(BH219)</f>
        <v/>
      </c>
      <c r="AX219" s="7">
        <f>N(AL219)*(Assumptions!$B$13*N(BJ219)-(1-Assumptions!$B$13)*Assumptions!$B$14)+N(AM219)</f>
        <v/>
      </c>
      <c r="AY219" s="7">
        <f>N(AU219)*N(R219)/90+N(AV219)+N(AW219)+N(AX219)</f>
        <v/>
      </c>
      <c r="AZ219" s="3">
        <f>IF(N(R219)&lt;=0,0,(N(AY219)-N(AX219))*90/N(R219))</f>
        <v/>
      </c>
      <c r="BA219" s="7">
        <f>IFERROR(AY219-VLOOKUP($E219,Assumptions!$A$40:$C$43,3,FALSE),"")</f>
        <v/>
      </c>
      <c r="BB219" s="3">
        <f>IFERROR(BA219/H219,"")</f>
        <v/>
      </c>
      <c r="BC219">
        <f>IF(AND($G219=TRUE,$E219="GKP"),AY219,"")</f>
        <v/>
      </c>
      <c r="BD219">
        <f>IF(AND($G219=TRUE,$E219="DEF"),AY219,"")</f>
        <v/>
      </c>
      <c r="BE219">
        <f>IF(AND($G219=TRUE,$E219="MID"),AY219,"")</f>
        <v/>
      </c>
      <c r="BF219">
        <f>IF(AND($G219=TRUE,$E219="FWD"),AY219,"")</f>
        <v/>
      </c>
      <c r="BG219" t="n">
        <v>2</v>
      </c>
      <c r="BH219" t="n">
        <v>2</v>
      </c>
      <c r="BI219" t="n">
        <v>1</v>
      </c>
      <c r="BJ219" t="n">
        <v>5</v>
      </c>
    </row>
    <row r="220">
      <c r="A220" t="inlineStr">
        <is>
          <t>Jacob Ramsey</t>
        </is>
      </c>
      <c r="B220" t="inlineStr">
        <is>
          <t>NEW</t>
        </is>
      </c>
      <c r="C220" t="inlineStr">
        <is>
          <t>NEW</t>
        </is>
      </c>
      <c r="D220" t="b">
        <v>0</v>
      </c>
      <c r="E220" t="inlineStr">
        <is>
          <t>MID</t>
        </is>
      </c>
      <c r="F220" t="inlineStr">
        <is>
          <t>MID</t>
        </is>
      </c>
      <c r="G220" t="b">
        <v>1</v>
      </c>
      <c r="H220" s="2" t="n">
        <v>5</v>
      </c>
      <c r="I220" t="inlineStr">
        <is>
          <t>a</t>
        </is>
      </c>
      <c r="K220" s="2" t="n">
        <v>1441</v>
      </c>
      <c r="L220" t="n">
        <v>62</v>
      </c>
      <c r="M220" s="3" t="n">
        <v>889</v>
      </c>
      <c r="N220" s="4" t="n">
        <v>1200</v>
      </c>
      <c r="O220" s="4" t="n">
        <v>311</v>
      </c>
      <c r="P220" s="5" t="inlineStr">
        <is>
          <t>medium</t>
        </is>
      </c>
      <c r="Q220" t="inlineStr">
        <is>
          <t>flat</t>
        </is>
      </c>
      <c r="R220" s="6" t="n">
        <v>1200</v>
      </c>
      <c r="S220" t="inlineStr">
        <is>
          <t>research</t>
        </is>
      </c>
      <c r="T220" s="5" t="inlineStr">
        <is>
          <t>889 minutes is a fringe allocation in a midfield that lost both Bruno Guimaraes and Sandro Tonali and has not yet replaced them. He was an available, unused substitute v Everton (so fit) and The Mag's predicted XI for the Liverpool opener starts him. Raised only modestly because he did not start either August friendly and Newcastle are actively pursuing an experienced central midfielder.</t>
        </is>
      </c>
      <c r="U220" s="6" t="n">
        <v>79.2</v>
      </c>
      <c r="V220" s="2" t="n">
        <v>14</v>
      </c>
      <c r="W220" s="7">
        <f>IF(N(U220)&lt;=0,0,MIN(Assumptions!$B$15,N(R220)/N(U220)))</f>
        <v/>
      </c>
      <c r="X220" s="6" t="n">
        <v>0.248</v>
      </c>
      <c r="Y220" s="3" t="n">
        <v>0.06510000000000001</v>
      </c>
      <c r="Z220" t="inlineStr">
        <is>
          <t>adjusted xGOT</t>
        </is>
      </c>
      <c r="AA220" s="3" t="n">
        <v>1</v>
      </c>
      <c r="AB220" s="3" t="n">
        <v>0.869</v>
      </c>
      <c r="AC220" s="3" t="n">
        <v>10</v>
      </c>
      <c r="AD220" s="3" t="n">
        <v>0.09420000000000001</v>
      </c>
      <c r="AE220" s="3" t="n">
        <v>9.063000000000001</v>
      </c>
      <c r="AF220" s="3" t="n">
        <v>0.1101591796376405</v>
      </c>
      <c r="AG220" s="3" t="n">
        <v>0.1874</v>
      </c>
      <c r="AH220" s="3" t="n">
        <v>41</v>
      </c>
      <c r="AI220" s="3" t="n">
        <v>3.0912</v>
      </c>
      <c r="AJ220" s="3" t="n">
        <v>1.4534</v>
      </c>
      <c r="AK220" s="3" t="n">
        <v>-0.1925735526751558</v>
      </c>
      <c r="AL220" s="6" t="n">
        <v>0</v>
      </c>
      <c r="AM220" s="3" t="n">
        <v>0</v>
      </c>
      <c r="AN220" s="3" t="n">
        <v>0.3255</v>
      </c>
      <c r="AO220" s="3" t="n">
        <v>0.373032</v>
      </c>
      <c r="AP220" s="3">
        <f>N(X220)*N(BI220)</f>
        <v/>
      </c>
      <c r="AQ220" s="3" t="n">
        <v>0.1874</v>
      </c>
      <c r="AR220" s="3" t="n">
        <v>0</v>
      </c>
      <c r="AS220" s="3" t="n">
        <v>-0</v>
      </c>
      <c r="AT220" s="3" t="n">
        <v>-0.1925735526751558</v>
      </c>
      <c r="AU220" s="3">
        <f>SUM(AN220:AT220)</f>
        <v/>
      </c>
      <c r="AV220" s="7">
        <f>IF(OR(N(W220)&lt;=0,N(BG220)=0),0,N(W220)*IF(N(R220)/N(W220)&gt;=60,N(BG220),1))</f>
        <v/>
      </c>
      <c r="AW220" s="7">
        <f>N(W220)*N(AF220)*N(BH220)</f>
        <v/>
      </c>
      <c r="AX220" s="7">
        <f>N(AL220)*(Assumptions!$B$13*N(BJ220)-(1-Assumptions!$B$13)*Assumptions!$B$14)+N(AM220)</f>
        <v/>
      </c>
      <c r="AY220" s="7">
        <f>N(AU220)*N(R220)/90+N(AV220)+N(AW220)+N(AX220)</f>
        <v/>
      </c>
      <c r="AZ220" s="3">
        <f>IF(N(R220)&lt;=0,0,(N(AY220)-N(AX220))*90/N(R220))</f>
        <v/>
      </c>
      <c r="BA220" s="7">
        <f>IFERROR(AY220-VLOOKUP($E220,Assumptions!$A$40:$C$43,3,FALSE),"")</f>
        <v/>
      </c>
      <c r="BB220" s="3">
        <f>IFERROR(BA220/H220,"")</f>
        <v/>
      </c>
      <c r="BC220">
        <f>IF(AND($G220=TRUE,$E220="GKP"),AY220,"")</f>
        <v/>
      </c>
      <c r="BD220">
        <f>IF(AND($G220=TRUE,$E220="DEF"),AY220,"")</f>
        <v/>
      </c>
      <c r="BE220">
        <f>IF(AND($G220=TRUE,$E220="MID"),AY220,"")</f>
        <v/>
      </c>
      <c r="BF220">
        <f>IF(AND($G220=TRUE,$E220="FWD"),AY220,"")</f>
        <v/>
      </c>
      <c r="BG220" t="n">
        <v>2</v>
      </c>
      <c r="BH220" t="n">
        <v>2</v>
      </c>
      <c r="BI220" t="n">
        <v>1</v>
      </c>
      <c r="BJ220" t="n">
        <v>5</v>
      </c>
    </row>
    <row r="221">
      <c r="A221" t="inlineStr">
        <is>
          <t>Boubacar Kamara</t>
        </is>
      </c>
      <c r="B221" t="inlineStr">
        <is>
          <t>AVL</t>
        </is>
      </c>
      <c r="C221" t="inlineStr">
        <is>
          <t>AVL</t>
        </is>
      </c>
      <c r="D221" t="b">
        <v>0</v>
      </c>
      <c r="E221" t="inlineStr">
        <is>
          <t>MID</t>
        </is>
      </c>
      <c r="F221" t="inlineStr">
        <is>
          <t>MID</t>
        </is>
      </c>
      <c r="G221" t="b">
        <v>1</v>
      </c>
      <c r="H221" s="2" t="n">
        <v>5</v>
      </c>
      <c r="I221" t="inlineStr">
        <is>
          <t>a</t>
        </is>
      </c>
      <c r="K221" s="2" t="n">
        <v>1410</v>
      </c>
      <c r="L221" t="n">
        <v>61</v>
      </c>
      <c r="M221" s="3" t="n">
        <v>1761</v>
      </c>
      <c r="N221" s="4" t="n">
        <v>2350</v>
      </c>
      <c r="O221" s="4" t="n">
        <v>589</v>
      </c>
      <c r="P221" s="5" t="inlineStr">
        <is>
          <t>medium</t>
        </is>
      </c>
      <c r="Q221" t="inlineStr">
        <is>
          <t>fade (losing his place)</t>
        </is>
      </c>
      <c r="R221" s="6" t="n">
        <v>2350</v>
      </c>
      <c r="S221" t="inlineStr">
        <is>
          <t>research</t>
        </is>
      </c>
      <c r="T221" s="5" t="inlineStr">
        <is>
          <t>Solio flags him as 'fade (losing his place)', which the evidence contradicts. He was unavailable from January with a PCL tear, is now fit, started the Super Cup final in the double pivot and played against Monchengladbach. Tielemans has been sold, Onana is out for nine months and Manzambi is injured, so the holding role is his. Held below 2,500 because of his own two-serious-knee-injury history.</t>
        </is>
      </c>
      <c r="U221" s="6" t="n">
        <v>81.2</v>
      </c>
      <c r="V221" s="2" t="n">
        <v>17</v>
      </c>
      <c r="W221" s="7">
        <f>IF(N(U221)&lt;=0,0,MIN(Assumptions!$B$15,N(R221)/N(U221)))</f>
        <v/>
      </c>
      <c r="X221" s="6" t="n">
        <v>0.273</v>
      </c>
      <c r="Y221" s="3" t="n">
        <v>0.0327</v>
      </c>
      <c r="Z221" t="inlineStr">
        <is>
          <t>adjusted xGOT</t>
        </is>
      </c>
      <c r="AA221" s="3" t="n">
        <v>1</v>
      </c>
      <c r="AB221" s="3" t="n">
        <v>0.966</v>
      </c>
      <c r="AC221" s="3" t="n">
        <v>1.6</v>
      </c>
      <c r="AD221" s="3" t="n">
        <v>0.0501</v>
      </c>
      <c r="AE221" s="3" t="n">
        <v>9.195</v>
      </c>
      <c r="AF221" s="3" t="n">
        <v>0.1344609177516175</v>
      </c>
      <c r="AG221" s="3" t="n">
        <v>0.4468</v>
      </c>
      <c r="AH221" s="3" t="n">
        <v>34</v>
      </c>
      <c r="AI221" s="3" t="n">
        <v>2.7451</v>
      </c>
      <c r="AJ221" s="3" t="n">
        <v>1.3575</v>
      </c>
      <c r="AK221" s="3" t="n">
        <v>-0.2581271748527597</v>
      </c>
      <c r="AL221" s="6" t="n">
        <v>0</v>
      </c>
      <c r="AM221" s="3" t="n">
        <v>0</v>
      </c>
      <c r="AN221" s="3" t="n">
        <v>0.1635</v>
      </c>
      <c r="AO221" s="3" t="n">
        <v>0.198396</v>
      </c>
      <c r="AP221" s="3">
        <f>N(X221)*N(BI221)</f>
        <v/>
      </c>
      <c r="AQ221" s="3" t="n">
        <v>0.4468</v>
      </c>
      <c r="AR221" s="3" t="n">
        <v>0</v>
      </c>
      <c r="AS221" s="3" t="n">
        <v>-0</v>
      </c>
      <c r="AT221" s="3" t="n">
        <v>-0.2581271748527597</v>
      </c>
      <c r="AU221" s="3">
        <f>SUM(AN221:AT221)</f>
        <v/>
      </c>
      <c r="AV221" s="7">
        <f>IF(OR(N(W221)&lt;=0,N(BG221)=0),0,N(W221)*IF(N(R221)/N(W221)&gt;=60,N(BG221),1))</f>
        <v/>
      </c>
      <c r="AW221" s="7">
        <f>N(W221)*N(AF221)*N(BH221)</f>
        <v/>
      </c>
      <c r="AX221" s="7">
        <f>N(AL221)*(Assumptions!$B$13*N(BJ221)-(1-Assumptions!$B$13)*Assumptions!$B$14)+N(AM221)</f>
        <v/>
      </c>
      <c r="AY221" s="7">
        <f>N(AU221)*N(R221)/90+N(AV221)+N(AW221)+N(AX221)</f>
        <v/>
      </c>
      <c r="AZ221" s="3">
        <f>IF(N(R221)&lt;=0,0,(N(AY221)-N(AX221))*90/N(R221))</f>
        <v/>
      </c>
      <c r="BA221" s="7">
        <f>IFERROR(AY221-VLOOKUP($E221,Assumptions!$A$40:$C$43,3,FALSE),"")</f>
        <v/>
      </c>
      <c r="BB221" s="3">
        <f>IFERROR(BA221/H221,"")</f>
        <v/>
      </c>
      <c r="BC221">
        <f>IF(AND($G221=TRUE,$E221="GKP"),AY221,"")</f>
        <v/>
      </c>
      <c r="BD221">
        <f>IF(AND($G221=TRUE,$E221="DEF"),AY221,"")</f>
        <v/>
      </c>
      <c r="BE221">
        <f>IF(AND($G221=TRUE,$E221="MID"),AY221,"")</f>
        <v/>
      </c>
      <c r="BF221">
        <f>IF(AND($G221=TRUE,$E221="FWD"),AY221,"")</f>
        <v/>
      </c>
      <c r="BG221" t="n">
        <v>2</v>
      </c>
      <c r="BH221" t="n">
        <v>2</v>
      </c>
      <c r="BI221" t="n">
        <v>1</v>
      </c>
      <c r="BJ221" t="n">
        <v>5</v>
      </c>
    </row>
    <row r="222">
      <c r="A222" t="inlineStr">
        <is>
          <t>Timothy Castagne</t>
        </is>
      </c>
      <c r="B222" t="inlineStr">
        <is>
          <t>FUL</t>
        </is>
      </c>
      <c r="C222" t="inlineStr">
        <is>
          <t>FUL</t>
        </is>
      </c>
      <c r="D222" t="b">
        <v>0</v>
      </c>
      <c r="E222" t="inlineStr">
        <is>
          <t>DEF</t>
        </is>
      </c>
      <c r="F222" t="inlineStr">
        <is>
          <t>DEF</t>
        </is>
      </c>
      <c r="G222" t="b">
        <v>1</v>
      </c>
      <c r="H222" s="2" t="n">
        <v>4.5</v>
      </c>
      <c r="I222" t="inlineStr">
        <is>
          <t>a</t>
        </is>
      </c>
      <c r="K222" s="2" t="n">
        <v>1838</v>
      </c>
      <c r="L222" t="n">
        <v>61</v>
      </c>
      <c r="M222" s="3" t="n">
        <v>2035</v>
      </c>
      <c r="N222" s="8" t="n">
        <v>2035</v>
      </c>
      <c r="O222" s="8" t="n">
        <v>0</v>
      </c>
      <c r="Q222" t="inlineStr">
        <is>
          <t>flat</t>
        </is>
      </c>
      <c r="R222" s="6" t="n">
        <v>2035</v>
      </c>
      <c r="S222" t="inlineStr">
        <is>
          <t>Solio</t>
        </is>
      </c>
      <c r="U222" s="6" t="n">
        <v>86</v>
      </c>
      <c r="V222" s="2" t="n">
        <v>20</v>
      </c>
      <c r="W222" s="7">
        <f>IF(N(U222)&lt;=0,0,MIN(Assumptions!$B$15,N(R222)/N(U222)))</f>
        <v/>
      </c>
      <c r="X222" s="6" t="n">
        <v>0.214</v>
      </c>
      <c r="Y222" s="3" t="n">
        <v>0.0595</v>
      </c>
      <c r="Z222" t="inlineStr">
        <is>
          <t>adjusted xGOT</t>
        </is>
      </c>
      <c r="AA222" s="3" t="n">
        <v>1</v>
      </c>
      <c r="AB222" s="3" t="n">
        <v>0.8100000000000001</v>
      </c>
      <c r="AC222" s="3" t="n">
        <v>5.3</v>
      </c>
      <c r="AD222" s="3" t="n">
        <v>0.07870000000000001</v>
      </c>
      <c r="AE222" s="3" t="n">
        <v>7.3</v>
      </c>
      <c r="AF222" s="3" t="n">
        <v>0.1670339630773192</v>
      </c>
      <c r="AG222" s="3" t="n">
        <v>0.1959</v>
      </c>
      <c r="AH222" s="3" t="n">
        <v>49</v>
      </c>
      <c r="AI222" s="3" t="n">
        <v>3.22</v>
      </c>
      <c r="AJ222" s="3" t="n">
        <v>1.6019</v>
      </c>
      <c r="AK222" s="3" t="n">
        <v>-0.1690741945869779</v>
      </c>
      <c r="AL222" s="6" t="n">
        <v>0</v>
      </c>
      <c r="AM222" s="3" t="n">
        <v>0</v>
      </c>
      <c r="AN222" s="3" t="n">
        <v>0.357</v>
      </c>
      <c r="AO222" s="3" t="n">
        <v>0.311652</v>
      </c>
      <c r="AP222" s="3">
        <f>N(X222)*N(BI222)</f>
        <v/>
      </c>
      <c r="AQ222" s="3" t="n">
        <v>0.1959</v>
      </c>
      <c r="AR222" s="3" t="n">
        <v>0</v>
      </c>
      <c r="AS222" s="3" t="n">
        <v>-0.5611019003833156</v>
      </c>
      <c r="AT222" s="3" t="n">
        <v>-0.1690741945869779</v>
      </c>
      <c r="AU222" s="3">
        <f>SUM(AN222:AT222)</f>
        <v/>
      </c>
      <c r="AV222" s="7">
        <f>IF(OR(N(W222)&lt;=0,N(BG222)=0),0,N(W222)*IF(N(R222)/N(W222)&gt;=60,N(BG222),1))</f>
        <v/>
      </c>
      <c r="AW222" s="7">
        <f>N(W222)*N(AF222)*N(BH222)</f>
        <v/>
      </c>
      <c r="AX222" s="7">
        <f>N(AL222)*(Assumptions!$B$13*N(BJ222)-(1-Assumptions!$B$13)*Assumptions!$B$14)+N(AM222)</f>
        <v/>
      </c>
      <c r="AY222" s="7">
        <f>N(AU222)*N(R222)/90+N(AV222)+N(AW222)+N(AX222)</f>
        <v/>
      </c>
      <c r="AZ222" s="3">
        <f>IF(N(R222)&lt;=0,0,(N(AY222)-N(AX222))*90/N(R222))</f>
        <v/>
      </c>
      <c r="BA222" s="7">
        <f>IFERROR(AY222-VLOOKUP($E222,Assumptions!$A$40:$C$43,3,FALSE),"")</f>
        <v/>
      </c>
      <c r="BB222" s="3">
        <f>IFERROR(BA222/H222,"")</f>
        <v/>
      </c>
      <c r="BC222">
        <f>IF(AND($G222=TRUE,$E222="GKP"),AY222,"")</f>
        <v/>
      </c>
      <c r="BD222">
        <f>IF(AND($G222=TRUE,$E222="DEF"),AY222,"")</f>
        <v/>
      </c>
      <c r="BE222">
        <f>IF(AND($G222=TRUE,$E222="MID"),AY222,"")</f>
        <v/>
      </c>
      <c r="BF222">
        <f>IF(AND($G222=TRUE,$E222="FWD"),AY222,"")</f>
        <v/>
      </c>
      <c r="BG222" t="n">
        <v>2</v>
      </c>
      <c r="BH222" t="n">
        <v>2</v>
      </c>
      <c r="BI222" t="n">
        <v>4</v>
      </c>
      <c r="BJ222" t="n">
        <v>6</v>
      </c>
    </row>
    <row r="223">
      <c r="A223" t="inlineStr">
        <is>
          <t>Archie Gray</t>
        </is>
      </c>
      <c r="B223" t="inlineStr">
        <is>
          <t>TOT</t>
        </is>
      </c>
      <c r="C223" t="inlineStr">
        <is>
          <t>TOT</t>
        </is>
      </c>
      <c r="D223" t="b">
        <v>0</v>
      </c>
      <c r="E223" t="inlineStr">
        <is>
          <t>MID</t>
        </is>
      </c>
      <c r="F223" t="inlineStr">
        <is>
          <t>MID</t>
        </is>
      </c>
      <c r="G223" t="b">
        <v>1</v>
      </c>
      <c r="H223" s="2" t="n">
        <v>5</v>
      </c>
      <c r="I223" t="inlineStr">
        <is>
          <t>a</t>
        </is>
      </c>
      <c r="K223" s="2" t="n">
        <v>1471</v>
      </c>
      <c r="L223" t="n">
        <v>61</v>
      </c>
      <c r="M223" s="3" t="n">
        <v>285</v>
      </c>
      <c r="N223" s="4" t="n">
        <v>800</v>
      </c>
      <c r="O223" s="4" t="n">
        <v>515</v>
      </c>
      <c r="P223" s="5" t="inlineStr">
        <is>
          <t>medium</t>
        </is>
      </c>
      <c r="Q223" t="inlineStr">
        <is>
          <t>flat</t>
        </is>
      </c>
      <c r="R223" s="6" t="n">
        <v>800</v>
      </c>
      <c r="S223" t="inlineStr">
        <is>
          <t>research</t>
        </is>
      </c>
      <c r="T223" s="5" t="inlineStr">
        <is>
          <t>Spurs have decided not to replace Spence at right-back and will rely on Gray as Porro's cover for the whole season. He started at right-back in both August friendlies while Porro was still on World Cup leave. 285 minutes is not a plausible figure for the only backup at a position across 38 matches, and Gray is also midfield cover.</t>
        </is>
      </c>
      <c r="U223" s="6" t="n">
        <v>79</v>
      </c>
      <c r="V223" s="2" t="n">
        <v>18</v>
      </c>
      <c r="W223" s="7">
        <f>IF(N(U223)&lt;=0,0,MIN(Assumptions!$B$15,N(R223)/N(U223)))</f>
        <v/>
      </c>
      <c r="X223" s="6" t="n">
        <v>0.286</v>
      </c>
      <c r="Y223" s="3" t="n">
        <v>0.0982</v>
      </c>
      <c r="Z223" t="inlineStr">
        <is>
          <t>adjusted xGOT</t>
        </is>
      </c>
      <c r="AA223" s="3" t="n">
        <v>1</v>
      </c>
      <c r="AB223" s="3" t="n">
        <v>1.07</v>
      </c>
      <c r="AC223" s="3" t="n">
        <v>1.5</v>
      </c>
      <c r="AD223" s="3" t="n">
        <v>0.0902</v>
      </c>
      <c r="AE223" s="3" t="n">
        <v>8.241</v>
      </c>
      <c r="AF223" s="3" t="n">
        <v>0.06462345635609223</v>
      </c>
      <c r="AG223" s="3" t="n">
        <v>0.3671</v>
      </c>
      <c r="AH223" s="3" t="n">
        <v>39</v>
      </c>
      <c r="AI223" s="3" t="n">
        <v>2.5739</v>
      </c>
      <c r="AJ223" s="3" t="n">
        <v>1.3096</v>
      </c>
      <c r="AK223" s="3" t="n">
        <v>-0.2163692621125125</v>
      </c>
      <c r="AL223" s="6" t="n">
        <v>0</v>
      </c>
      <c r="AM223" s="3" t="n">
        <v>0</v>
      </c>
      <c r="AN223" s="3" t="n">
        <v>0.491</v>
      </c>
      <c r="AO223" s="3" t="n">
        <v>0.357192</v>
      </c>
      <c r="AP223" s="3">
        <f>N(X223)*N(BI223)</f>
        <v/>
      </c>
      <c r="AQ223" s="3" t="n">
        <v>0.3671</v>
      </c>
      <c r="AR223" s="3" t="n">
        <v>0</v>
      </c>
      <c r="AS223" s="3" t="n">
        <v>-0</v>
      </c>
      <c r="AT223" s="3" t="n">
        <v>-0.2163692621125125</v>
      </c>
      <c r="AU223" s="3">
        <f>SUM(AN223:AT223)</f>
        <v/>
      </c>
      <c r="AV223" s="7">
        <f>IF(OR(N(W223)&lt;=0,N(BG223)=0),0,N(W223)*IF(N(R223)/N(W223)&gt;=60,N(BG223),1))</f>
        <v/>
      </c>
      <c r="AW223" s="7">
        <f>N(W223)*N(AF223)*N(BH223)</f>
        <v/>
      </c>
      <c r="AX223" s="7">
        <f>N(AL223)*(Assumptions!$B$13*N(BJ223)-(1-Assumptions!$B$13)*Assumptions!$B$14)+N(AM223)</f>
        <v/>
      </c>
      <c r="AY223" s="7">
        <f>N(AU223)*N(R223)/90+N(AV223)+N(AW223)+N(AX223)</f>
        <v/>
      </c>
      <c r="AZ223" s="3">
        <f>IF(N(R223)&lt;=0,0,(N(AY223)-N(AX223))*90/N(R223))</f>
        <v/>
      </c>
      <c r="BA223" s="7">
        <f>IFERROR(AY223-VLOOKUP($E223,Assumptions!$A$40:$C$43,3,FALSE),"")</f>
        <v/>
      </c>
      <c r="BB223" s="3">
        <f>IFERROR(BA223/H223,"")</f>
        <v/>
      </c>
      <c r="BC223">
        <f>IF(AND($G223=TRUE,$E223="GKP"),AY223,"")</f>
        <v/>
      </c>
      <c r="BD223">
        <f>IF(AND($G223=TRUE,$E223="DEF"),AY223,"")</f>
        <v/>
      </c>
      <c r="BE223">
        <f>IF(AND($G223=TRUE,$E223="MID"),AY223,"")</f>
        <v/>
      </c>
      <c r="BF223">
        <f>IF(AND($G223=TRUE,$E223="FWD"),AY223,"")</f>
        <v/>
      </c>
      <c r="BG223" t="n">
        <v>2</v>
      </c>
      <c r="BH223" t="n">
        <v>2</v>
      </c>
      <c r="BI223" t="n">
        <v>1</v>
      </c>
      <c r="BJ223" t="n">
        <v>5</v>
      </c>
    </row>
    <row r="224">
      <c r="A224" t="inlineStr">
        <is>
          <t>Rayan Aït-Nouri</t>
        </is>
      </c>
      <c r="B224" t="inlineStr">
        <is>
          <t>MCI</t>
        </is>
      </c>
      <c r="C224" t="inlineStr">
        <is>
          <t>MCI</t>
        </is>
      </c>
      <c r="D224" t="b">
        <v>0</v>
      </c>
      <c r="E224" t="inlineStr">
        <is>
          <t>DEF</t>
        </is>
      </c>
      <c r="F224" t="inlineStr">
        <is>
          <t>DEF</t>
        </is>
      </c>
      <c r="G224" t="b">
        <v>1</v>
      </c>
      <c r="H224" s="2" t="n">
        <v>5.5</v>
      </c>
      <c r="I224" t="inlineStr">
        <is>
          <t>a</t>
        </is>
      </c>
      <c r="K224" s="2" t="n">
        <v>971</v>
      </c>
      <c r="L224" t="n">
        <v>60</v>
      </c>
      <c r="M224" s="3" t="n">
        <v>975</v>
      </c>
      <c r="N224" s="8" t="n">
        <v>975</v>
      </c>
      <c r="O224" s="8" t="n">
        <v>0</v>
      </c>
      <c r="Q224" t="inlineStr">
        <is>
          <t>flat</t>
        </is>
      </c>
      <c r="R224" s="6" t="n">
        <v>975</v>
      </c>
      <c r="S224" t="inlineStr">
        <is>
          <t>Solio</t>
        </is>
      </c>
      <c r="U224" s="6" t="n">
        <v>80.7</v>
      </c>
      <c r="V224" s="2" t="n">
        <v>12</v>
      </c>
      <c r="W224" s="7">
        <f>IF(N(U224)&lt;=0,0,MIN(Assumptions!$B$15,N(R224)/N(U224)))</f>
        <v/>
      </c>
      <c r="X224" s="6" t="n">
        <v>0.371</v>
      </c>
      <c r="Y224" s="3" t="n">
        <v>0.0466</v>
      </c>
      <c r="Z224" t="inlineStr">
        <is>
          <t>adjusted xGOT</t>
        </is>
      </c>
      <c r="AA224" s="3" t="n">
        <v>1</v>
      </c>
      <c r="AB224" s="3" t="n">
        <v>0.949</v>
      </c>
      <c r="AC224" s="3" t="n">
        <v>7.6</v>
      </c>
      <c r="AD224" s="3" t="n">
        <v>0.1735</v>
      </c>
      <c r="AE224" s="3" t="n">
        <v>6.838</v>
      </c>
      <c r="AF224" s="3" t="n">
        <v>0.09326688169072317</v>
      </c>
      <c r="AG224" s="3" t="n">
        <v>0.9268999999999999</v>
      </c>
      <c r="AH224" s="3" t="n">
        <v>27</v>
      </c>
      <c r="AI224" s="3" t="n">
        <v>1.9737</v>
      </c>
      <c r="AJ224" s="3" t="n">
        <v>1.0365</v>
      </c>
      <c r="AK224" s="3" t="n">
        <v>-0.2066446189433191</v>
      </c>
      <c r="AL224" s="6" t="n">
        <v>0</v>
      </c>
      <c r="AM224" s="3" t="n">
        <v>0</v>
      </c>
      <c r="AN224" s="3" t="n">
        <v>0.2796</v>
      </c>
      <c r="AO224" s="3" t="n">
        <v>0.68706</v>
      </c>
      <c r="AP224" s="3">
        <f>N(X224)*N(BI224)</f>
        <v/>
      </c>
      <c r="AQ224" s="3" t="n">
        <v>0.9268999999999999</v>
      </c>
      <c r="AR224" s="3" t="n">
        <v>0</v>
      </c>
      <c r="AS224" s="3" t="n">
        <v>-0.2997019479071323</v>
      </c>
      <c r="AT224" s="3" t="n">
        <v>-0.2066446189433191</v>
      </c>
      <c r="AU224" s="3">
        <f>SUM(AN224:AT224)</f>
        <v/>
      </c>
      <c r="AV224" s="7">
        <f>IF(OR(N(W224)&lt;=0,N(BG224)=0),0,N(W224)*IF(N(R224)/N(W224)&gt;=60,N(BG224),1))</f>
        <v/>
      </c>
      <c r="AW224" s="7">
        <f>N(W224)*N(AF224)*N(BH224)</f>
        <v/>
      </c>
      <c r="AX224" s="7">
        <f>N(AL224)*(Assumptions!$B$13*N(BJ224)-(1-Assumptions!$B$13)*Assumptions!$B$14)+N(AM224)</f>
        <v/>
      </c>
      <c r="AY224" s="7">
        <f>N(AU224)*N(R224)/90+N(AV224)+N(AW224)+N(AX224)</f>
        <v/>
      </c>
      <c r="AZ224" s="3">
        <f>IF(N(R224)&lt;=0,0,(N(AY224)-N(AX224))*90/N(R224))</f>
        <v/>
      </c>
      <c r="BA224" s="7">
        <f>IFERROR(AY224-VLOOKUP($E224,Assumptions!$A$40:$C$43,3,FALSE),"")</f>
        <v/>
      </c>
      <c r="BB224" s="3">
        <f>IFERROR(BA224/H224,"")</f>
        <v/>
      </c>
      <c r="BC224">
        <f>IF(AND($G224=TRUE,$E224="GKP"),AY224,"")</f>
        <v/>
      </c>
      <c r="BD224">
        <f>IF(AND($G224=TRUE,$E224="DEF"),AY224,"")</f>
        <v/>
      </c>
      <c r="BE224">
        <f>IF(AND($G224=TRUE,$E224="MID"),AY224,"")</f>
        <v/>
      </c>
      <c r="BF224">
        <f>IF(AND($G224=TRUE,$E224="FWD"),AY224,"")</f>
        <v/>
      </c>
      <c r="BG224" t="n">
        <v>2</v>
      </c>
      <c r="BH224" t="n">
        <v>2</v>
      </c>
      <c r="BI224" t="n">
        <v>4</v>
      </c>
      <c r="BJ224" t="n">
        <v>6</v>
      </c>
    </row>
    <row r="225">
      <c r="A225" s="9" t="inlineStr">
        <is>
          <t>Loum Tchaouna</t>
        </is>
      </c>
      <c r="B225" t="inlineStr">
        <is>
          <t>COV</t>
        </is>
      </c>
      <c r="C225" s="9" t="inlineStr">
        <is>
          <t>BUR</t>
        </is>
      </c>
      <c r="D225" t="b">
        <v>1</v>
      </c>
      <c r="E225" t="inlineStr">
        <is>
          <t>MID</t>
        </is>
      </c>
      <c r="F225" t="inlineStr">
        <is>
          <t>MID</t>
        </is>
      </c>
      <c r="G225" t="b">
        <v>1</v>
      </c>
      <c r="H225" s="2" t="n">
        <v>5.5</v>
      </c>
      <c r="I225" t="inlineStr">
        <is>
          <t>a</t>
        </is>
      </c>
      <c r="K225" s="2" t="n">
        <v>1259</v>
      </c>
      <c r="L225" t="n">
        <v>59</v>
      </c>
      <c r="M225" s="3" t="n">
        <v>2212</v>
      </c>
      <c r="N225" s="8" t="n">
        <v>2212</v>
      </c>
      <c r="O225" s="8" t="n">
        <v>0</v>
      </c>
      <c r="Q225" t="inlineStr">
        <is>
          <t>flat</t>
        </is>
      </c>
      <c r="R225" s="6" t="n">
        <v>2212</v>
      </c>
      <c r="S225" t="inlineStr">
        <is>
          <t>Solio</t>
        </is>
      </c>
      <c r="U225" s="6" t="n">
        <v>75</v>
      </c>
      <c r="V225" s="2" t="n">
        <v>14</v>
      </c>
      <c r="W225" s="7">
        <f>IF(N(U225)&lt;=0,0,MIN(Assumptions!$B$15,N(R225)/N(U225)))</f>
        <v/>
      </c>
      <c r="X225" s="6" t="n">
        <v>0.17</v>
      </c>
      <c r="Y225" s="10" t="n">
        <v>0.0891</v>
      </c>
      <c r="Z225" t="inlineStr">
        <is>
          <t>adjusted xGOT</t>
        </is>
      </c>
      <c r="AA225" s="3" t="n">
        <v>1</v>
      </c>
      <c r="AB225" s="3" t="n">
        <v>0.982</v>
      </c>
      <c r="AC225" s="3" t="n">
        <v>1.3</v>
      </c>
      <c r="AD225" s="10" t="n">
        <v>0.07539999999999999</v>
      </c>
      <c r="AE225" s="3" t="n">
        <v>6.258</v>
      </c>
      <c r="AF225" s="3" t="n">
        <v>0.007467630461278851</v>
      </c>
      <c r="AG225" s="3" t="n">
        <v>0</v>
      </c>
      <c r="AH225" s="3" t="n">
        <v>41</v>
      </c>
      <c r="AI225" s="3" t="n">
        <v>3.6194</v>
      </c>
      <c r="AJ225" s="3" t="n">
        <v>1.8271</v>
      </c>
      <c r="AK225" s="3" t="n">
        <v>-0.1897167956648318</v>
      </c>
      <c r="AL225" s="6" t="n">
        <v>0</v>
      </c>
      <c r="AM225" s="3" t="n">
        <v>0</v>
      </c>
      <c r="AN225" s="10" t="n">
        <v>0.4455</v>
      </c>
      <c r="AO225" s="10" t="n">
        <v>0.298584</v>
      </c>
      <c r="AP225" s="3">
        <f>N(X225)*N(BI225)</f>
        <v/>
      </c>
      <c r="AQ225" s="3" t="n">
        <v>0</v>
      </c>
      <c r="AR225" s="3" t="n">
        <v>0</v>
      </c>
      <c r="AS225" s="3" t="n">
        <v>-0</v>
      </c>
      <c r="AT225" s="3" t="n">
        <v>-0.1897167956648318</v>
      </c>
      <c r="AU225" s="3">
        <f>SUM(AN225:AT225)</f>
        <v/>
      </c>
      <c r="AV225" s="7">
        <f>IF(OR(N(W225)&lt;=0,N(BG225)=0),0,N(W225)*IF(N(R225)/N(W225)&gt;=60,N(BG225),1))</f>
        <v/>
      </c>
      <c r="AW225" s="7">
        <f>N(W225)*N(AF225)*N(BH225)</f>
        <v/>
      </c>
      <c r="AX225" s="7">
        <f>N(AL225)*(Assumptions!$B$13*N(BJ225)-(1-Assumptions!$B$13)*Assumptions!$B$14)+N(AM225)</f>
        <v/>
      </c>
      <c r="AY225" s="7">
        <f>N(AU225)*N(R225)/90+N(AV225)+N(AW225)+N(AX225)</f>
        <v/>
      </c>
      <c r="AZ225" s="3">
        <f>IF(N(R225)&lt;=0,0,(N(AY225)-N(AX225))*90/N(R225))</f>
        <v/>
      </c>
      <c r="BA225" s="7">
        <f>IFERROR(AY225-VLOOKUP($E225,Assumptions!$A$40:$C$43,3,FALSE),"")</f>
        <v/>
      </c>
      <c r="BB225" s="3">
        <f>IFERROR(BA225/H225,"")</f>
        <v/>
      </c>
      <c r="BC225">
        <f>IF(AND($G225=TRUE,$E225="GKP"),AY225,"")</f>
        <v/>
      </c>
      <c r="BD225">
        <f>IF(AND($G225=TRUE,$E225="DEF"),AY225,"")</f>
        <v/>
      </c>
      <c r="BE225">
        <f>IF(AND($G225=TRUE,$E225="MID"),AY225,"")</f>
        <v/>
      </c>
      <c r="BF225">
        <f>IF(AND($G225=TRUE,$E225="FWD"),AY225,"")</f>
        <v/>
      </c>
      <c r="BG225" t="n">
        <v>2</v>
      </c>
      <c r="BH225" t="n">
        <v>2</v>
      </c>
      <c r="BI225" t="n">
        <v>1</v>
      </c>
      <c r="BJ225" t="n">
        <v>5</v>
      </c>
    </row>
    <row r="226">
      <c r="A226" t="inlineStr">
        <is>
          <t>Tino Livramento</t>
        </is>
      </c>
      <c r="B226" t="inlineStr">
        <is>
          <t>NEW</t>
        </is>
      </c>
      <c r="C226" t="inlineStr">
        <is>
          <t>NEW</t>
        </is>
      </c>
      <c r="D226" t="b">
        <v>0</v>
      </c>
      <c r="E226" t="inlineStr">
        <is>
          <t>DEF</t>
        </is>
      </c>
      <c r="F226" t="inlineStr">
        <is>
          <t>DEF</t>
        </is>
      </c>
      <c r="G226" t="b">
        <v>1</v>
      </c>
      <c r="H226" s="2" t="n">
        <v>5</v>
      </c>
      <c r="I226" t="inlineStr">
        <is>
          <t>d</t>
        </is>
      </c>
      <c r="J226" t="inlineStr">
        <is>
          <t>Calf injury - 75% chance of playing</t>
        </is>
      </c>
      <c r="K226" s="2" t="n">
        <v>1326</v>
      </c>
      <c r="L226" t="n">
        <v>59</v>
      </c>
      <c r="M226" s="3" t="n">
        <v>3215</v>
      </c>
      <c r="N226" s="4" t="n">
        <v>1550</v>
      </c>
      <c r="O226" s="4" t="n">
        <v>-1665</v>
      </c>
      <c r="P226" s="5" t="inlineStr">
        <is>
          <t>high</t>
        </is>
      </c>
      <c r="Q226" t="inlineStr">
        <is>
          <t>flat</t>
        </is>
      </c>
      <c r="R226" s="6" t="n">
        <v>1550</v>
      </c>
      <c r="S226" t="inlineStr">
        <is>
          <t>research</t>
        </is>
      </c>
      <c r="T226" s="5" t="inlineStr">
        <is>
          <t>Solio has him as a near-nailed 3,215-minute starter. He is ruled out of the Liverpool opener, still rehabbing his calf/knee in the United States, and is only hoped to be available for MD2 at Tottenham. Meanwhile Newcastle agreed roughly GBP 30m with Benfica for right-back Amar Dedic on 15 Aug, arranged his medical, and want him registered in time to face Liverpool - and Jaissle coached Dedic at Salzburg. Livramento also managed only 1,326 league minutes in 2025/26. Late return plus a GBP 30m incumbent-displacing signing makes a full-season allocation untenable.</t>
        </is>
      </c>
      <c r="U226" s="6" t="n">
        <v>86.8</v>
      </c>
      <c r="V226" s="2" t="n">
        <v>14</v>
      </c>
      <c r="W226" s="7">
        <f>IF(N(U226)&lt;=0,0,MIN(Assumptions!$B$15,N(R226)/N(U226)))</f>
        <v/>
      </c>
      <c r="X226" s="6" t="n">
        <v>0.248</v>
      </c>
      <c r="Y226" s="3" t="n">
        <v>0.009299999999999999</v>
      </c>
      <c r="Z226" t="inlineStr">
        <is>
          <t>adjusted xGOT</t>
        </is>
      </c>
      <c r="AA226" s="3" t="n">
        <v>1</v>
      </c>
      <c r="AB226" s="3" t="n">
        <v>1.052</v>
      </c>
      <c r="AC226" s="3" t="n">
        <v>0.8</v>
      </c>
      <c r="AD226" s="3" t="n">
        <v>0.0511</v>
      </c>
      <c r="AE226" s="3" t="n">
        <v>5.696</v>
      </c>
      <c r="AF226" s="3" t="n">
        <v>0.05343977587944893</v>
      </c>
      <c r="AG226" s="3" t="n">
        <v>0.2036</v>
      </c>
      <c r="AH226" s="3" t="n">
        <v>31</v>
      </c>
      <c r="AI226" s="3" t="n">
        <v>3.0912</v>
      </c>
      <c r="AJ226" s="3" t="n">
        <v>1.4534</v>
      </c>
      <c r="AK226" s="3" t="n">
        <v>-0.1102134388827811</v>
      </c>
      <c r="AL226" s="6" t="n">
        <v>0</v>
      </c>
      <c r="AM226" s="3" t="n">
        <v>0</v>
      </c>
      <c r="AN226" s="3" t="n">
        <v>0.0558</v>
      </c>
      <c r="AO226" s="3" t="n">
        <v>0.202356</v>
      </c>
      <c r="AP226" s="3">
        <f>N(X226)*N(BI226)</f>
        <v/>
      </c>
      <c r="AQ226" s="3" t="n">
        <v>0.2036</v>
      </c>
      <c r="AR226" s="3" t="n">
        <v>0</v>
      </c>
      <c r="AS226" s="3" t="n">
        <v>-0.4903625828545308</v>
      </c>
      <c r="AT226" s="3" t="n">
        <v>-0.1102134388827811</v>
      </c>
      <c r="AU226" s="3">
        <f>SUM(AN226:AT226)</f>
        <v/>
      </c>
      <c r="AV226" s="7">
        <f>IF(OR(N(W226)&lt;=0,N(BG226)=0),0,N(W226)*IF(N(R226)/N(W226)&gt;=60,N(BG226),1))</f>
        <v/>
      </c>
      <c r="AW226" s="7">
        <f>N(W226)*N(AF226)*N(BH226)</f>
        <v/>
      </c>
      <c r="AX226" s="7">
        <f>N(AL226)*(Assumptions!$B$13*N(BJ226)-(1-Assumptions!$B$13)*Assumptions!$B$14)+N(AM226)</f>
        <v/>
      </c>
      <c r="AY226" s="7">
        <f>N(AU226)*N(R226)/90+N(AV226)+N(AW226)+N(AX226)</f>
        <v/>
      </c>
      <c r="AZ226" s="3">
        <f>IF(N(R226)&lt;=0,0,(N(AY226)-N(AX226))*90/N(R226))</f>
        <v/>
      </c>
      <c r="BA226" s="7">
        <f>IFERROR(AY226-VLOOKUP($E226,Assumptions!$A$40:$C$43,3,FALSE),"")</f>
        <v/>
      </c>
      <c r="BB226" s="3">
        <f>IFERROR(BA226/H226,"")</f>
        <v/>
      </c>
      <c r="BC226">
        <f>IF(AND($G226=TRUE,$E226="GKP"),AY226,"")</f>
        <v/>
      </c>
      <c r="BD226">
        <f>IF(AND($G226=TRUE,$E226="DEF"),AY226,"")</f>
        <v/>
      </c>
      <c r="BE226">
        <f>IF(AND($G226=TRUE,$E226="MID"),AY226,"")</f>
        <v/>
      </c>
      <c r="BF226">
        <f>IF(AND($G226=TRUE,$E226="FWD"),AY226,"")</f>
        <v/>
      </c>
      <c r="BG226" t="n">
        <v>2</v>
      </c>
      <c r="BH226" t="n">
        <v>2</v>
      </c>
      <c r="BI226" t="n">
        <v>4</v>
      </c>
      <c r="BJ226" t="n">
        <v>6</v>
      </c>
    </row>
    <row r="227">
      <c r="A227" t="inlineStr">
        <is>
          <t>David Brooks</t>
        </is>
      </c>
      <c r="B227" t="inlineStr">
        <is>
          <t>BOU</t>
        </is>
      </c>
      <c r="C227" t="inlineStr">
        <is>
          <t>BOU</t>
        </is>
      </c>
      <c r="D227" t="b">
        <v>0</v>
      </c>
      <c r="E227" t="inlineStr">
        <is>
          <t>MID</t>
        </is>
      </c>
      <c r="F227" t="inlineStr">
        <is>
          <t>MID</t>
        </is>
      </c>
      <c r="G227" t="b">
        <v>1</v>
      </c>
      <c r="H227" s="2" t="n">
        <v>5</v>
      </c>
      <c r="I227" t="inlineStr">
        <is>
          <t>a</t>
        </is>
      </c>
      <c r="K227" s="2" t="n">
        <v>1188</v>
      </c>
      <c r="L227" t="n">
        <v>59</v>
      </c>
      <c r="M227" s="3" t="n">
        <v>484</v>
      </c>
      <c r="N227" s="8" t="n">
        <v>484</v>
      </c>
      <c r="O227" s="8" t="n">
        <v>0</v>
      </c>
      <c r="Q227" t="inlineStr">
        <is>
          <t>flat</t>
        </is>
      </c>
      <c r="R227" s="6" t="n">
        <v>484</v>
      </c>
      <c r="S227" t="inlineStr">
        <is>
          <t>Solio</t>
        </is>
      </c>
      <c r="U227" s="6" t="n">
        <v>72.7</v>
      </c>
      <c r="V227" s="2" t="n">
        <v>13</v>
      </c>
      <c r="W227" s="7">
        <f>IF(N(U227)&lt;=0,0,MIN(Assumptions!$B$15,N(R227)/N(U227)))</f>
        <v/>
      </c>
      <c r="X227" s="6" t="n">
        <v>0.23</v>
      </c>
      <c r="Y227" s="3" t="n">
        <v>0.3903</v>
      </c>
      <c r="Z227" t="inlineStr">
        <is>
          <t>adjusted xGOT</t>
        </is>
      </c>
      <c r="AA227" s="3" t="n">
        <v>1</v>
      </c>
      <c r="AB227" s="3" t="n">
        <v>0.887</v>
      </c>
      <c r="AC227" s="3" t="n">
        <v>11.2</v>
      </c>
      <c r="AD227" s="3" t="n">
        <v>0.2878</v>
      </c>
      <c r="AE227" s="3" t="n">
        <v>7.671</v>
      </c>
      <c r="AF227" s="3" t="n">
        <v>0.02489134279191973</v>
      </c>
      <c r="AG227" s="3" t="n">
        <v>0.303</v>
      </c>
      <c r="AH227" s="3" t="n">
        <v>43</v>
      </c>
      <c r="AI227" s="3" t="n">
        <v>3.0957</v>
      </c>
      <c r="AJ227" s="3" t="n">
        <v>1.53</v>
      </c>
      <c r="AK227" s="3" t="n">
        <v>-0.3544561443515518</v>
      </c>
      <c r="AL227" s="6" t="n">
        <v>0</v>
      </c>
      <c r="AM227" s="3" t="n">
        <v>0</v>
      </c>
      <c r="AN227" s="3" t="n">
        <v>1.9515</v>
      </c>
      <c r="AO227" s="3" t="n">
        <v>1.139688</v>
      </c>
      <c r="AP227" s="3">
        <f>N(X227)*N(BI227)</f>
        <v/>
      </c>
      <c r="AQ227" s="3" t="n">
        <v>0.303</v>
      </c>
      <c r="AR227" s="3" t="n">
        <v>0</v>
      </c>
      <c r="AS227" s="3" t="n">
        <v>-0</v>
      </c>
      <c r="AT227" s="3" t="n">
        <v>-0.3544561443515518</v>
      </c>
      <c r="AU227" s="3">
        <f>SUM(AN227:AT227)</f>
        <v/>
      </c>
      <c r="AV227" s="7">
        <f>IF(OR(N(W227)&lt;=0,N(BG227)=0),0,N(W227)*IF(N(R227)/N(W227)&gt;=60,N(BG227),1))</f>
        <v/>
      </c>
      <c r="AW227" s="7">
        <f>N(W227)*N(AF227)*N(BH227)</f>
        <v/>
      </c>
      <c r="AX227" s="7">
        <f>N(AL227)*(Assumptions!$B$13*N(BJ227)-(1-Assumptions!$B$13)*Assumptions!$B$14)+N(AM227)</f>
        <v/>
      </c>
      <c r="AY227" s="7">
        <f>N(AU227)*N(R227)/90+N(AV227)+N(AW227)+N(AX227)</f>
        <v/>
      </c>
      <c r="AZ227" s="3">
        <f>IF(N(R227)&lt;=0,0,(N(AY227)-N(AX227))*90/N(R227))</f>
        <v/>
      </c>
      <c r="BA227" s="7">
        <f>IFERROR(AY227-VLOOKUP($E227,Assumptions!$A$40:$C$43,3,FALSE),"")</f>
        <v/>
      </c>
      <c r="BB227" s="3">
        <f>IFERROR(BA227/H227,"")</f>
        <v/>
      </c>
      <c r="BC227">
        <f>IF(AND($G227=TRUE,$E227="GKP"),AY227,"")</f>
        <v/>
      </c>
      <c r="BD227">
        <f>IF(AND($G227=TRUE,$E227="DEF"),AY227,"")</f>
        <v/>
      </c>
      <c r="BE227">
        <f>IF(AND($G227=TRUE,$E227="MID"),AY227,"")</f>
        <v/>
      </c>
      <c r="BF227">
        <f>IF(AND($G227=TRUE,$E227="FWD"),AY227,"")</f>
        <v/>
      </c>
      <c r="BG227" t="n">
        <v>2</v>
      </c>
      <c r="BH227" t="n">
        <v>2</v>
      </c>
      <c r="BI227" t="n">
        <v>1</v>
      </c>
      <c r="BJ227" t="n">
        <v>5</v>
      </c>
    </row>
    <row r="228">
      <c r="A228" t="inlineStr">
        <is>
          <t>Adam Smith</t>
        </is>
      </c>
      <c r="B228" t="inlineStr">
        <is>
          <t>BOU</t>
        </is>
      </c>
      <c r="C228" t="inlineStr">
        <is>
          <t>BOU</t>
        </is>
      </c>
      <c r="D228" t="b">
        <v>0</v>
      </c>
      <c r="E228" t="inlineStr">
        <is>
          <t>DEF</t>
        </is>
      </c>
      <c r="F228" t="inlineStr">
        <is>
          <t>DEF</t>
        </is>
      </c>
      <c r="G228" t="b">
        <v>1</v>
      </c>
      <c r="H228" s="2" t="n">
        <v>4.5</v>
      </c>
      <c r="I228" t="inlineStr">
        <is>
          <t>a</t>
        </is>
      </c>
      <c r="K228" s="2" t="n">
        <v>1073</v>
      </c>
      <c r="L228" t="n">
        <v>58</v>
      </c>
      <c r="M228" s="3" t="n">
        <v>379</v>
      </c>
      <c r="N228" s="4" t="n">
        <v>900</v>
      </c>
      <c r="O228" s="4" t="n">
        <v>521</v>
      </c>
      <c r="P228" s="5" t="inlineStr">
        <is>
          <t>medium</t>
        </is>
      </c>
      <c r="Q228" t="inlineStr">
        <is>
          <t>flat</t>
        </is>
      </c>
      <c r="R228" s="6" t="n">
        <v>900</v>
      </c>
      <c r="S228" t="inlineStr">
        <is>
          <t>research</t>
        </is>
      </c>
      <c r="T228" s="5" t="inlineStr">
        <is>
          <t>The mirror of the Juanlu delta. Smith started at right-back in both friendlies including the 15 Aug dress rehearsal, i.e. after Juanlu had already signed, and the Guardian's season preview describes him as 'evergreen' in his 14th season at the club. He is very likely to start the opener and to keep meaningful minutes as Europa League cover, well above Solio's 379.</t>
        </is>
      </c>
      <c r="U228" s="6" t="n">
        <v>78.3</v>
      </c>
      <c r="V228" s="2" t="n">
        <v>14</v>
      </c>
      <c r="W228" s="7">
        <f>IF(N(U228)&lt;=0,0,MIN(Assumptions!$B$15,N(R228)/N(U228)))</f>
        <v/>
      </c>
      <c r="X228" s="6" t="n">
        <v>0.23</v>
      </c>
      <c r="Y228" s="3" t="n">
        <v>0</v>
      </c>
      <c r="Z228" t="inlineStr">
        <is>
          <t>adjusted xGOT</t>
        </is>
      </c>
      <c r="AA228" s="3" t="n">
        <v>1</v>
      </c>
      <c r="AB228" s="3" t="n">
        <v>0.9350000000000001</v>
      </c>
      <c r="AC228" s="3" t="n">
        <v>1.2</v>
      </c>
      <c r="AD228" s="3" t="n">
        <v>0.0306</v>
      </c>
      <c r="AE228" s="3" t="n">
        <v>6.6</v>
      </c>
      <c r="AF228" s="3" t="n">
        <v>0.06730711318589733</v>
      </c>
      <c r="AG228" s="3" t="n">
        <v>0.3355</v>
      </c>
      <c r="AH228" s="3" t="n">
        <v>33</v>
      </c>
      <c r="AI228" s="3" t="n">
        <v>3.0957</v>
      </c>
      <c r="AJ228" s="3" t="n">
        <v>1.53</v>
      </c>
      <c r="AK228" s="3" t="n">
        <v>-0.2820774369747298</v>
      </c>
      <c r="AL228" s="6" t="n">
        <v>0</v>
      </c>
      <c r="AM228" s="3" t="n">
        <v>0</v>
      </c>
      <c r="AN228" s="3" t="n">
        <v>0</v>
      </c>
      <c r="AO228" s="3" t="n">
        <v>0.121176</v>
      </c>
      <c r="AP228" s="3">
        <f>N(X228)*N(BI228)</f>
        <v/>
      </c>
      <c r="AQ228" s="3" t="n">
        <v>0.3355</v>
      </c>
      <c r="AR228" s="3" t="n">
        <v>0</v>
      </c>
      <c r="AS228" s="3" t="n">
        <v>-0.5267219238049191</v>
      </c>
      <c r="AT228" s="3" t="n">
        <v>-0.2820774369747298</v>
      </c>
      <c r="AU228" s="3">
        <f>SUM(AN228:AT228)</f>
        <v/>
      </c>
      <c r="AV228" s="7">
        <f>IF(OR(N(W228)&lt;=0,N(BG228)=0),0,N(W228)*IF(N(R228)/N(W228)&gt;=60,N(BG228),1))</f>
        <v/>
      </c>
      <c r="AW228" s="7">
        <f>N(W228)*N(AF228)*N(BH228)</f>
        <v/>
      </c>
      <c r="AX228" s="7">
        <f>N(AL228)*(Assumptions!$B$13*N(BJ228)-(1-Assumptions!$B$13)*Assumptions!$B$14)+N(AM228)</f>
        <v/>
      </c>
      <c r="AY228" s="7">
        <f>N(AU228)*N(R228)/90+N(AV228)+N(AW228)+N(AX228)</f>
        <v/>
      </c>
      <c r="AZ228" s="3">
        <f>IF(N(R228)&lt;=0,0,(N(AY228)-N(AX228))*90/N(R228))</f>
        <v/>
      </c>
      <c r="BA228" s="7">
        <f>IFERROR(AY228-VLOOKUP($E228,Assumptions!$A$40:$C$43,3,FALSE),"")</f>
        <v/>
      </c>
      <c r="BB228" s="3">
        <f>IFERROR(BA228/H228,"")</f>
        <v/>
      </c>
      <c r="BC228">
        <f>IF(AND($G228=TRUE,$E228="GKP"),AY228,"")</f>
        <v/>
      </c>
      <c r="BD228">
        <f>IF(AND($G228=TRUE,$E228="DEF"),AY228,"")</f>
        <v/>
      </c>
      <c r="BE228">
        <f>IF(AND($G228=TRUE,$E228="MID"),AY228,"")</f>
        <v/>
      </c>
      <c r="BF228">
        <f>IF(AND($G228=TRUE,$E228="FWD"),AY228,"")</f>
        <v/>
      </c>
      <c r="BG228" t="n">
        <v>2</v>
      </c>
      <c r="BH228" t="n">
        <v>2</v>
      </c>
      <c r="BI228" t="n">
        <v>4</v>
      </c>
      <c r="BJ228" t="n">
        <v>6</v>
      </c>
    </row>
    <row r="229">
      <c r="A229" t="inlineStr">
        <is>
          <t>Mason Mount</t>
        </is>
      </c>
      <c r="B229" t="inlineStr">
        <is>
          <t>MUN</t>
        </is>
      </c>
      <c r="C229" t="inlineStr">
        <is>
          <t>MUN</t>
        </is>
      </c>
      <c r="D229" t="b">
        <v>0</v>
      </c>
      <c r="E229" t="inlineStr">
        <is>
          <t>MID</t>
        </is>
      </c>
      <c r="F229" t="inlineStr">
        <is>
          <t>MID</t>
        </is>
      </c>
      <c r="G229" t="b">
        <v>1</v>
      </c>
      <c r="H229" s="2" t="n">
        <v>5.5</v>
      </c>
      <c r="I229" t="inlineStr">
        <is>
          <t>a</t>
        </is>
      </c>
      <c r="K229" s="2" t="n">
        <v>1010</v>
      </c>
      <c r="L229" t="n">
        <v>58</v>
      </c>
      <c r="M229" s="3" t="n">
        <v>412</v>
      </c>
      <c r="N229" s="8" t="n">
        <v>412</v>
      </c>
      <c r="O229" s="8" t="n">
        <v>0</v>
      </c>
      <c r="Q229" t="inlineStr">
        <is>
          <t>flat</t>
        </is>
      </c>
      <c r="R229" s="6" t="n">
        <v>412</v>
      </c>
      <c r="S229" t="inlineStr">
        <is>
          <t>Solio</t>
        </is>
      </c>
      <c r="U229" s="6" t="n">
        <v>74.59999999999999</v>
      </c>
      <c r="V229" s="2" t="n">
        <v>12</v>
      </c>
      <c r="W229" s="7">
        <f>IF(N(U229)&lt;=0,0,MIN(Assumptions!$B$15,N(R229)/N(U229)))</f>
        <v/>
      </c>
      <c r="X229" s="6" t="n">
        <v>0.334</v>
      </c>
      <c r="Y229" s="3" t="n">
        <v>0.122</v>
      </c>
      <c r="Z229" t="inlineStr">
        <is>
          <t>adjusted xGOT</t>
        </is>
      </c>
      <c r="AA229" s="3" t="n">
        <v>1</v>
      </c>
      <c r="AB229" s="3" t="n">
        <v>0.878</v>
      </c>
      <c r="AC229" s="3" t="n">
        <v>7.3</v>
      </c>
      <c r="AD229" s="3" t="n">
        <v>0.1335</v>
      </c>
      <c r="AE229" s="3" t="n">
        <v>8.875999999999999</v>
      </c>
      <c r="AF229" s="3" t="n">
        <v>0.07116321869658049</v>
      </c>
      <c r="AG229" s="3" t="n">
        <v>0.2673</v>
      </c>
      <c r="AH229" s="3" t="n">
        <v>33</v>
      </c>
      <c r="AI229" s="3" t="n">
        <v>2.2165</v>
      </c>
      <c r="AJ229" s="3" t="n">
        <v>1.1467</v>
      </c>
      <c r="AK229" s="3" t="n">
        <v>-0.2486955269062244</v>
      </c>
      <c r="AL229" s="6" t="n">
        <v>0</v>
      </c>
      <c r="AM229" s="3" t="n">
        <v>0</v>
      </c>
      <c r="AN229" s="3" t="n">
        <v>0.61</v>
      </c>
      <c r="AO229" s="3" t="n">
        <v>0.52866</v>
      </c>
      <c r="AP229" s="3">
        <f>N(X229)*N(BI229)</f>
        <v/>
      </c>
      <c r="AQ229" s="3" t="n">
        <v>0.2673</v>
      </c>
      <c r="AR229" s="3" t="n">
        <v>0</v>
      </c>
      <c r="AS229" s="3" t="n">
        <v>-0</v>
      </c>
      <c r="AT229" s="3" t="n">
        <v>-0.2486955269062244</v>
      </c>
      <c r="AU229" s="3">
        <f>SUM(AN229:AT229)</f>
        <v/>
      </c>
      <c r="AV229" s="7">
        <f>IF(OR(N(W229)&lt;=0,N(BG229)=0),0,N(W229)*IF(N(R229)/N(W229)&gt;=60,N(BG229),1))</f>
        <v/>
      </c>
      <c r="AW229" s="7">
        <f>N(W229)*N(AF229)*N(BH229)</f>
        <v/>
      </c>
      <c r="AX229" s="7">
        <f>N(AL229)*(Assumptions!$B$13*N(BJ229)-(1-Assumptions!$B$13)*Assumptions!$B$14)+N(AM229)</f>
        <v/>
      </c>
      <c r="AY229" s="7">
        <f>N(AU229)*N(R229)/90+N(AV229)+N(AW229)+N(AX229)</f>
        <v/>
      </c>
      <c r="AZ229" s="3">
        <f>IF(N(R229)&lt;=0,0,(N(AY229)-N(AX229))*90/N(R229))</f>
        <v/>
      </c>
      <c r="BA229" s="7">
        <f>IFERROR(AY229-VLOOKUP($E229,Assumptions!$A$40:$C$43,3,FALSE),"")</f>
        <v/>
      </c>
      <c r="BB229" s="3">
        <f>IFERROR(BA229/H229,"")</f>
        <v/>
      </c>
      <c r="BC229">
        <f>IF(AND($G229=TRUE,$E229="GKP"),AY229,"")</f>
        <v/>
      </c>
      <c r="BD229">
        <f>IF(AND($G229=TRUE,$E229="DEF"),AY229,"")</f>
        <v/>
      </c>
      <c r="BE229">
        <f>IF(AND($G229=TRUE,$E229="MID"),AY229,"")</f>
        <v/>
      </c>
      <c r="BF229">
        <f>IF(AND($G229=TRUE,$E229="FWD"),AY229,"")</f>
        <v/>
      </c>
      <c r="BG229" t="n">
        <v>2</v>
      </c>
      <c r="BH229" t="n">
        <v>2</v>
      </c>
      <c r="BI229" t="n">
        <v>1</v>
      </c>
      <c r="BJ229" t="n">
        <v>5</v>
      </c>
    </row>
    <row r="230">
      <c r="A230" t="inlineStr">
        <is>
          <t>Estêvão</t>
        </is>
      </c>
      <c r="B230" t="inlineStr">
        <is>
          <t>CHE</t>
        </is>
      </c>
      <c r="C230" t="inlineStr">
        <is>
          <t>CHE</t>
        </is>
      </c>
      <c r="D230" t="b">
        <v>0</v>
      </c>
      <c r="E230" t="inlineStr">
        <is>
          <t>MID</t>
        </is>
      </c>
      <c r="F230" t="inlineStr">
        <is>
          <t>MID</t>
        </is>
      </c>
      <c r="G230" t="b">
        <v>1</v>
      </c>
      <c r="H230" s="2" t="n">
        <v>6.5</v>
      </c>
      <c r="I230" t="inlineStr">
        <is>
          <t>a</t>
        </is>
      </c>
      <c r="K230" s="2" t="n">
        <v>839</v>
      </c>
      <c r="L230" t="n">
        <v>58</v>
      </c>
      <c r="M230" s="3" t="n">
        <v>684</v>
      </c>
      <c r="N230" s="8" t="n">
        <v>684</v>
      </c>
      <c r="O230" s="8" t="n">
        <v>0</v>
      </c>
      <c r="Q230" t="inlineStr">
        <is>
          <t>flat</t>
        </is>
      </c>
      <c r="R230" s="6" t="n">
        <v>684</v>
      </c>
      <c r="S230" t="inlineStr">
        <is>
          <t>Solio</t>
        </is>
      </c>
      <c r="U230" s="6" t="n">
        <v>66.09999999999999</v>
      </c>
      <c r="V230" s="2" t="n">
        <v>12</v>
      </c>
      <c r="W230" s="7">
        <f>IF(N(U230)&lt;=0,0,MIN(Assumptions!$B$15,N(R230)/N(U230)))</f>
        <v/>
      </c>
      <c r="X230" s="6" t="n">
        <v>0.322</v>
      </c>
      <c r="Y230" s="3" t="n">
        <v>0.3376</v>
      </c>
      <c r="Z230" t="inlineStr">
        <is>
          <t>adjusted xGOT</t>
        </is>
      </c>
      <c r="AA230" s="3" t="n">
        <v>1</v>
      </c>
      <c r="AB230" s="3" t="n">
        <v>1.082</v>
      </c>
      <c r="AC230" s="3" t="n">
        <v>2.9</v>
      </c>
      <c r="AD230" s="3" t="n">
        <v>0.2658</v>
      </c>
      <c r="AE230" s="3" t="n">
        <v>7.194</v>
      </c>
      <c r="AF230" s="3" t="n">
        <v>0.008220233724842707</v>
      </c>
      <c r="AG230" s="3" t="n">
        <v>0.4291</v>
      </c>
      <c r="AH230" s="3" t="n">
        <v>29</v>
      </c>
      <c r="AI230" s="3" t="n">
        <v>2.4232</v>
      </c>
      <c r="AJ230" s="3" t="n">
        <v>1.1851</v>
      </c>
      <c r="AK230" s="3" t="n">
        <v>-0.3005963358502878</v>
      </c>
      <c r="AL230" s="6" t="n">
        <v>0.0146943132788909</v>
      </c>
      <c r="AM230" s="3" t="n">
        <v>0</v>
      </c>
      <c r="AN230" s="3" t="n">
        <v>1.688</v>
      </c>
      <c r="AO230" s="3" t="n">
        <v>1.052568</v>
      </c>
      <c r="AP230" s="3">
        <f>N(X230)*N(BI230)</f>
        <v/>
      </c>
      <c r="AQ230" s="3" t="n">
        <v>0.4291</v>
      </c>
      <c r="AR230" s="3" t="n">
        <v>0</v>
      </c>
      <c r="AS230" s="3" t="n">
        <v>-0</v>
      </c>
      <c r="AT230" s="3" t="n">
        <v>-0.3005963358502878</v>
      </c>
      <c r="AU230" s="3">
        <f>SUM(AN230:AT230)</f>
        <v/>
      </c>
      <c r="AV230" s="7">
        <f>IF(OR(N(W230)&lt;=0,N(BG230)=0),0,N(W230)*IF(N(R230)/N(W230)&gt;=60,N(BG230),1))</f>
        <v/>
      </c>
      <c r="AW230" s="7">
        <f>N(W230)*N(AF230)*N(BH230)</f>
        <v/>
      </c>
      <c r="AX230" s="7">
        <f>N(AL230)*(Assumptions!$B$13*N(BJ230)-(1-Assumptions!$B$13)*Assumptions!$B$14)+N(AM230)</f>
        <v/>
      </c>
      <c r="AY230" s="7">
        <f>N(AU230)*N(R230)/90+N(AV230)+N(AW230)+N(AX230)</f>
        <v/>
      </c>
      <c r="AZ230" s="3">
        <f>IF(N(R230)&lt;=0,0,(N(AY230)-N(AX230))*90/N(R230))</f>
        <v/>
      </c>
      <c r="BA230" s="7">
        <f>IFERROR(AY230-VLOOKUP($E230,Assumptions!$A$40:$C$43,3,FALSE),"")</f>
        <v/>
      </c>
      <c r="BB230" s="3">
        <f>IFERROR(BA230/H230,"")</f>
        <v/>
      </c>
      <c r="BC230">
        <f>IF(AND($G230=TRUE,$E230="GKP"),AY230,"")</f>
        <v/>
      </c>
      <c r="BD230">
        <f>IF(AND($G230=TRUE,$E230="DEF"),AY230,"")</f>
        <v/>
      </c>
      <c r="BE230">
        <f>IF(AND($G230=TRUE,$E230="MID"),AY230,"")</f>
        <v/>
      </c>
      <c r="BF230">
        <f>IF(AND($G230=TRUE,$E230="FWD"),AY230,"")</f>
        <v/>
      </c>
      <c r="BG230" t="n">
        <v>2</v>
      </c>
      <c r="BH230" t="n">
        <v>2</v>
      </c>
      <c r="BI230" t="n">
        <v>1</v>
      </c>
      <c r="BJ230" t="n">
        <v>5</v>
      </c>
    </row>
    <row r="231">
      <c r="A231" t="inlineStr">
        <is>
          <t>Gabriel Martinelli</t>
        </is>
      </c>
      <c r="B231" t="inlineStr">
        <is>
          <t>ARS</t>
        </is>
      </c>
      <c r="C231" t="inlineStr">
        <is>
          <t>ARS</t>
        </is>
      </c>
      <c r="D231" t="b">
        <v>0</v>
      </c>
      <c r="E231" t="inlineStr">
        <is>
          <t>MID</t>
        </is>
      </c>
      <c r="F231" t="inlineStr">
        <is>
          <t>MID</t>
        </is>
      </c>
      <c r="G231" t="b">
        <v>1</v>
      </c>
      <c r="H231" s="2" t="n">
        <v>6.5</v>
      </c>
      <c r="I231" t="inlineStr">
        <is>
          <t>a</t>
        </is>
      </c>
      <c r="K231" s="2" t="n">
        <v>1065</v>
      </c>
      <c r="L231" t="n">
        <v>57</v>
      </c>
      <c r="M231" s="3" t="n">
        <v>507</v>
      </c>
      <c r="N231" s="4" t="n">
        <v>1000</v>
      </c>
      <c r="O231" s="4" t="n">
        <v>493</v>
      </c>
      <c r="P231" s="5" t="inlineStr">
        <is>
          <t>medium</t>
        </is>
      </c>
      <c r="Q231" t="inlineStr">
        <is>
          <t>flat</t>
        </is>
      </c>
      <c r="R231" s="6" t="n">
        <v>1000</v>
      </c>
      <c r="S231" t="inlineStr">
        <is>
          <t>research</t>
        </is>
      </c>
      <c r="T231" s="5" t="inlineStr">
        <is>
          <t>Solio's 507 minutes reads as an assumption that he leaves. As of 14-15 August that has not happened and looks less likely: David Ornstein reported that Martinelli's camp told Arsenal he has no interest in joining Galatasaray despite a €45m bid, and Arseblog's read is that the interest was generated by Arsenal's own sporting director rather than by the player. Arsenal missed on Vinicius Junior and have no left-wing replacement lined up, so Arseblog's stated expectation is a 'Tzolis and Martinelli left side'. Arteta has publicly backed him. 1000 minutes reflects a rotation role, not a starting one, and still discounts a deadline-day sale.</t>
        </is>
      </c>
      <c r="U231" s="6" t="n">
        <v>71.59999999999999</v>
      </c>
      <c r="V231" s="2" t="n">
        <v>11</v>
      </c>
      <c r="W231" s="7">
        <f>IF(N(U231)&lt;=0,0,MIN(Assumptions!$B$15,N(R231)/N(U231)))</f>
        <v/>
      </c>
      <c r="X231" s="6" t="n">
        <v>0.391</v>
      </c>
      <c r="Y231" s="3" t="n">
        <v>0.3586</v>
      </c>
      <c r="Z231" t="inlineStr">
        <is>
          <t>adjusted xGOT</t>
        </is>
      </c>
      <c r="AA231" s="3" t="n">
        <v>1</v>
      </c>
      <c r="AB231" s="3" t="n">
        <v>1.03</v>
      </c>
      <c r="AC231" s="3" t="n">
        <v>26.8</v>
      </c>
      <c r="AD231" s="3" t="n">
        <v>0.1622</v>
      </c>
      <c r="AE231" s="3" t="n">
        <v>7.342</v>
      </c>
      <c r="AF231" s="3" t="n">
        <v>0.01674064649553464</v>
      </c>
      <c r="AG231" s="3" t="n">
        <v>0.2535</v>
      </c>
      <c r="AH231" s="3" t="n">
        <v>35</v>
      </c>
      <c r="AI231" s="3" t="n">
        <v>2.067</v>
      </c>
      <c r="AJ231" s="3" t="n">
        <v>0.9838</v>
      </c>
      <c r="AK231" s="3" t="n">
        <v>-0.1549320488858959</v>
      </c>
      <c r="AL231" s="6" t="n">
        <v>0</v>
      </c>
      <c r="AM231" s="3" t="n">
        <v>0</v>
      </c>
      <c r="AN231" s="3" t="n">
        <v>1.793</v>
      </c>
      <c r="AO231" s="3" t="n">
        <v>0.6423120000000001</v>
      </c>
      <c r="AP231" s="3">
        <f>N(X231)*N(BI231)</f>
        <v/>
      </c>
      <c r="AQ231" s="3" t="n">
        <v>0.2535</v>
      </c>
      <c r="AR231" s="3" t="n">
        <v>0</v>
      </c>
      <c r="AS231" s="3" t="n">
        <v>-0</v>
      </c>
      <c r="AT231" s="3" t="n">
        <v>-0.1549320488858959</v>
      </c>
      <c r="AU231" s="3">
        <f>SUM(AN231:AT231)</f>
        <v/>
      </c>
      <c r="AV231" s="7">
        <f>IF(OR(N(W231)&lt;=0,N(BG231)=0),0,N(W231)*IF(N(R231)/N(W231)&gt;=60,N(BG231),1))</f>
        <v/>
      </c>
      <c r="AW231" s="7">
        <f>N(W231)*N(AF231)*N(BH231)</f>
        <v/>
      </c>
      <c r="AX231" s="7">
        <f>N(AL231)*(Assumptions!$B$13*N(BJ231)-(1-Assumptions!$B$13)*Assumptions!$B$14)+N(AM231)</f>
        <v/>
      </c>
      <c r="AY231" s="7">
        <f>N(AU231)*N(R231)/90+N(AV231)+N(AW231)+N(AX231)</f>
        <v/>
      </c>
      <c r="AZ231" s="3">
        <f>IF(N(R231)&lt;=0,0,(N(AY231)-N(AX231))*90/N(R231))</f>
        <v/>
      </c>
      <c r="BA231" s="7">
        <f>IFERROR(AY231-VLOOKUP($E231,Assumptions!$A$40:$C$43,3,FALSE),"")</f>
        <v/>
      </c>
      <c r="BB231" s="3">
        <f>IFERROR(BA231/H231,"")</f>
        <v/>
      </c>
      <c r="BC231">
        <f>IF(AND($G231=TRUE,$E231="GKP"),AY231,"")</f>
        <v/>
      </c>
      <c r="BD231">
        <f>IF(AND($G231=TRUE,$E231="DEF"),AY231,"")</f>
        <v/>
      </c>
      <c r="BE231">
        <f>IF(AND($G231=TRUE,$E231="MID"),AY231,"")</f>
        <v/>
      </c>
      <c r="BF231">
        <f>IF(AND($G231=TRUE,$E231="FWD"),AY231,"")</f>
        <v/>
      </c>
      <c r="BG231" t="n">
        <v>2</v>
      </c>
      <c r="BH231" t="n">
        <v>2</v>
      </c>
      <c r="BI231" t="n">
        <v>1</v>
      </c>
      <c r="BJ231" t="n">
        <v>5</v>
      </c>
    </row>
    <row r="232">
      <c r="A232" t="inlineStr">
        <is>
          <t>Leny Yoro</t>
        </is>
      </c>
      <c r="B232" t="inlineStr">
        <is>
          <t>MUN</t>
        </is>
      </c>
      <c r="C232" t="inlineStr">
        <is>
          <t>MUN</t>
        </is>
      </c>
      <c r="D232" t="b">
        <v>0</v>
      </c>
      <c r="E232" t="inlineStr">
        <is>
          <t>DEF</t>
        </is>
      </c>
      <c r="F232" t="inlineStr">
        <is>
          <t>DEF</t>
        </is>
      </c>
      <c r="G232" t="b">
        <v>1</v>
      </c>
      <c r="H232" s="2" t="n">
        <v>5</v>
      </c>
      <c r="I232" t="inlineStr">
        <is>
          <t>a</t>
        </is>
      </c>
      <c r="K232" s="2" t="n">
        <v>1730</v>
      </c>
      <c r="L232" t="n">
        <v>56</v>
      </c>
      <c r="M232" s="3" t="n">
        <v>807</v>
      </c>
      <c r="N232" s="4" t="n">
        <v>1450</v>
      </c>
      <c r="O232" s="4" t="n">
        <v>643</v>
      </c>
      <c r="P232" s="5" t="inlineStr">
        <is>
          <t>medium</t>
        </is>
      </c>
      <c r="Q232" t="inlineStr">
        <is>
          <t>fade (losing his place)</t>
        </is>
      </c>
      <c r="R232" s="6" t="n">
        <v>1450</v>
      </c>
      <c r="S232" t="inlineStr">
        <is>
          <t>research</t>
        </is>
      </c>
      <c r="T232" s="5" t="inlineStr">
        <is>
          <t>Solio flags him 'fade (losing his place)' on 807 minutes, but he is named as one of the two candidates to start at left-sided centre-back in the opener, and he impressed filling in at right-back during pre-season, which gives him a second route into the XI. He played 1,730 minutes in 2025/26. He was dropped for the Milan game in favour of Heaven, which is why this is a partial rather than a full promotion.</t>
        </is>
      </c>
      <c r="U232" s="6" t="n">
        <v>82.90000000000001</v>
      </c>
      <c r="V232" s="2" t="n">
        <v>18</v>
      </c>
      <c r="W232" s="7">
        <f>IF(N(U232)&lt;=0,0,MIN(Assumptions!$B$15,N(R232)/N(U232)))</f>
        <v/>
      </c>
      <c r="X232" s="6" t="n">
        <v>0.334</v>
      </c>
      <c r="Y232" s="3" t="n">
        <v>0.0674</v>
      </c>
      <c r="Z232" t="inlineStr">
        <is>
          <t>adjusted xGOT</t>
        </is>
      </c>
      <c r="AA232" s="3" t="n">
        <v>1</v>
      </c>
      <c r="AB232" s="3" t="n">
        <v>0.966</v>
      </c>
      <c r="AC232" s="3" t="n">
        <v>2</v>
      </c>
      <c r="AD232" s="3" t="n">
        <v>0.0211</v>
      </c>
      <c r="AE232" s="3" t="n">
        <v>7.989</v>
      </c>
      <c r="AF232" s="3" t="n">
        <v>0.2076630955025032</v>
      </c>
      <c r="AG232" s="3" t="n">
        <v>0.052</v>
      </c>
      <c r="AH232" s="3" t="n">
        <v>49</v>
      </c>
      <c r="AI232" s="3" t="n">
        <v>2.2165</v>
      </c>
      <c r="AJ232" s="3" t="n">
        <v>1.1467</v>
      </c>
      <c r="AK232" s="3" t="n">
        <v>-0.1826025601153342</v>
      </c>
      <c r="AL232" s="6" t="n">
        <v>0</v>
      </c>
      <c r="AM232" s="3" t="n">
        <v>0</v>
      </c>
      <c r="AN232" s="3" t="n">
        <v>0.4044</v>
      </c>
      <c r="AO232" s="3" t="n">
        <v>0.08355599999999999</v>
      </c>
      <c r="AP232" s="3">
        <f>N(X232)*N(BI232)</f>
        <v/>
      </c>
      <c r="AQ232" s="3" t="n">
        <v>0.052</v>
      </c>
      <c r="AR232" s="3" t="n">
        <v>0</v>
      </c>
      <c r="AS232" s="3" t="n">
        <v>-0.348580685135232</v>
      </c>
      <c r="AT232" s="3" t="n">
        <v>-0.1826025601153342</v>
      </c>
      <c r="AU232" s="3">
        <f>SUM(AN232:AT232)</f>
        <v/>
      </c>
      <c r="AV232" s="7">
        <f>IF(OR(N(W232)&lt;=0,N(BG232)=0),0,N(W232)*IF(N(R232)/N(W232)&gt;=60,N(BG232),1))</f>
        <v/>
      </c>
      <c r="AW232" s="7">
        <f>N(W232)*N(AF232)*N(BH232)</f>
        <v/>
      </c>
      <c r="AX232" s="7">
        <f>N(AL232)*(Assumptions!$B$13*N(BJ232)-(1-Assumptions!$B$13)*Assumptions!$B$14)+N(AM232)</f>
        <v/>
      </c>
      <c r="AY232" s="7">
        <f>N(AU232)*N(R232)/90+N(AV232)+N(AW232)+N(AX232)</f>
        <v/>
      </c>
      <c r="AZ232" s="3">
        <f>IF(N(R232)&lt;=0,0,(N(AY232)-N(AX232))*90/N(R232))</f>
        <v/>
      </c>
      <c r="BA232" s="7">
        <f>IFERROR(AY232-VLOOKUP($E232,Assumptions!$A$40:$C$43,3,FALSE),"")</f>
        <v/>
      </c>
      <c r="BB232" s="3">
        <f>IFERROR(BA232/H232,"")</f>
        <v/>
      </c>
      <c r="BC232">
        <f>IF(AND($G232=TRUE,$E232="GKP"),AY232,"")</f>
        <v/>
      </c>
      <c r="BD232">
        <f>IF(AND($G232=TRUE,$E232="DEF"),AY232,"")</f>
        <v/>
      </c>
      <c r="BE232">
        <f>IF(AND($G232=TRUE,$E232="MID"),AY232,"")</f>
        <v/>
      </c>
      <c r="BF232">
        <f>IF(AND($G232=TRUE,$E232="FWD"),AY232,"")</f>
        <v/>
      </c>
      <c r="BG232" t="n">
        <v>2</v>
      </c>
      <c r="BH232" t="n">
        <v>2</v>
      </c>
      <c r="BI232" t="n">
        <v>4</v>
      </c>
      <c r="BJ232" t="n">
        <v>6</v>
      </c>
    </row>
    <row r="233">
      <c r="A233" t="inlineStr">
        <is>
          <t>Carlos Baleba</t>
        </is>
      </c>
      <c r="B233" t="inlineStr">
        <is>
          <t>BHA</t>
        </is>
      </c>
      <c r="C233" t="inlineStr">
        <is>
          <t>BHA</t>
        </is>
      </c>
      <c r="D233" t="b">
        <v>0</v>
      </c>
      <c r="E233" t="inlineStr">
        <is>
          <t>MID</t>
        </is>
      </c>
      <c r="F233" t="inlineStr">
        <is>
          <t>MID</t>
        </is>
      </c>
      <c r="G233" t="b">
        <v>1</v>
      </c>
      <c r="H233" s="2" t="n">
        <v>5</v>
      </c>
      <c r="I233" t="inlineStr">
        <is>
          <t>i</t>
        </is>
      </c>
      <c r="J233" t="inlineStr">
        <is>
          <t>Ankle injury - Expected back 23 Aug</t>
        </is>
      </c>
      <c r="K233" s="2" t="n">
        <v>1646</v>
      </c>
      <c r="L233" t="n">
        <v>56</v>
      </c>
      <c r="M233" s="3" t="n">
        <v>1989</v>
      </c>
      <c r="N233" s="8" t="n">
        <v>1989</v>
      </c>
      <c r="O233" s="8" t="n">
        <v>0</v>
      </c>
      <c r="Q233" t="inlineStr">
        <is>
          <t>flat</t>
        </is>
      </c>
      <c r="R233" s="6" t="n">
        <v>1989</v>
      </c>
      <c r="S233" t="inlineStr">
        <is>
          <t>Solio</t>
        </is>
      </c>
      <c r="U233" s="6" t="n">
        <v>70.5</v>
      </c>
      <c r="V233" s="2" t="n">
        <v>23</v>
      </c>
      <c r="W233" s="7">
        <f>IF(N(U233)&lt;=0,0,MIN(Assumptions!$B$15,N(R233)/N(U233)))</f>
        <v/>
      </c>
      <c r="X233" s="6" t="n">
        <v>0.252</v>
      </c>
      <c r="Y233" s="3" t="n">
        <v>0.0429</v>
      </c>
      <c r="Z233" t="inlineStr">
        <is>
          <t>adjusted xGOT</t>
        </is>
      </c>
      <c r="AA233" s="3" t="n">
        <v>1</v>
      </c>
      <c r="AB233" s="3" t="n">
        <v>1.006</v>
      </c>
      <c r="AC233" s="3" t="n">
        <v>4.7</v>
      </c>
      <c r="AD233" s="3" t="n">
        <v>0.0419</v>
      </c>
      <c r="AE233" s="3" t="n">
        <v>10.56</v>
      </c>
      <c r="AF233" s="3" t="n">
        <v>0.1325519979532317</v>
      </c>
      <c r="AG233" s="3" t="n">
        <v>0</v>
      </c>
      <c r="AH233" s="3" t="n">
        <v>46</v>
      </c>
      <c r="AI233" s="3" t="n">
        <v>2.8404</v>
      </c>
      <c r="AJ233" s="3" t="n">
        <v>1.439</v>
      </c>
      <c r="AK233" s="3" t="n">
        <v>-0.2687947400489801</v>
      </c>
      <c r="AL233" s="6" t="n">
        <v>0</v>
      </c>
      <c r="AM233" s="3" t="n">
        <v>0</v>
      </c>
      <c r="AN233" s="3" t="n">
        <v>0.2145</v>
      </c>
      <c r="AO233" s="3" t="n">
        <v>0.165924</v>
      </c>
      <c r="AP233" s="3">
        <f>N(X233)*N(BI233)</f>
        <v/>
      </c>
      <c r="AQ233" s="3" t="n">
        <v>0</v>
      </c>
      <c r="AR233" s="3" t="n">
        <v>0</v>
      </c>
      <c r="AS233" s="3" t="n">
        <v>-0</v>
      </c>
      <c r="AT233" s="3" t="n">
        <v>-0.2687947400489801</v>
      </c>
      <c r="AU233" s="3">
        <f>SUM(AN233:AT233)</f>
        <v/>
      </c>
      <c r="AV233" s="7">
        <f>IF(OR(N(W233)&lt;=0,N(BG233)=0),0,N(W233)*IF(N(R233)/N(W233)&gt;=60,N(BG233),1))</f>
        <v/>
      </c>
      <c r="AW233" s="7">
        <f>N(W233)*N(AF233)*N(BH233)</f>
        <v/>
      </c>
      <c r="AX233" s="7">
        <f>N(AL233)*(Assumptions!$B$13*N(BJ233)-(1-Assumptions!$B$13)*Assumptions!$B$14)+N(AM233)</f>
        <v/>
      </c>
      <c r="AY233" s="7">
        <f>N(AU233)*N(R233)/90+N(AV233)+N(AW233)+N(AX233)</f>
        <v/>
      </c>
      <c r="AZ233" s="3">
        <f>IF(N(R233)&lt;=0,0,(N(AY233)-N(AX233))*90/N(R233))</f>
        <v/>
      </c>
      <c r="BA233" s="7">
        <f>IFERROR(AY233-VLOOKUP($E233,Assumptions!$A$40:$C$43,3,FALSE),"")</f>
        <v/>
      </c>
      <c r="BB233" s="3">
        <f>IFERROR(BA233/H233,"")</f>
        <v/>
      </c>
      <c r="BC233">
        <f>IF(AND($G233=TRUE,$E233="GKP"),AY233,"")</f>
        <v/>
      </c>
      <c r="BD233">
        <f>IF(AND($G233=TRUE,$E233="DEF"),AY233,"")</f>
        <v/>
      </c>
      <c r="BE233">
        <f>IF(AND($G233=TRUE,$E233="MID"),AY233,"")</f>
        <v/>
      </c>
      <c r="BF233">
        <f>IF(AND($G233=TRUE,$E233="FWD"),AY233,"")</f>
        <v/>
      </c>
      <c r="BG233" t="n">
        <v>2</v>
      </c>
      <c r="BH233" t="n">
        <v>2</v>
      </c>
      <c r="BI233" t="n">
        <v>1</v>
      </c>
      <c r="BJ233" t="n">
        <v>5</v>
      </c>
    </row>
    <row r="234">
      <c r="A234" t="inlineStr">
        <is>
          <t>Sean Longstaff</t>
        </is>
      </c>
      <c r="B234" t="inlineStr">
        <is>
          <t>LEE</t>
        </is>
      </c>
      <c r="C234" t="inlineStr">
        <is>
          <t>LEE</t>
        </is>
      </c>
      <c r="D234" t="b">
        <v>0</v>
      </c>
      <c r="E234" t="inlineStr">
        <is>
          <t>MID</t>
        </is>
      </c>
      <c r="F234" t="inlineStr">
        <is>
          <t>MID</t>
        </is>
      </c>
      <c r="G234" t="b">
        <v>1</v>
      </c>
      <c r="H234" s="2" t="n">
        <v>5</v>
      </c>
      <c r="I234" t="inlineStr">
        <is>
          <t>a</t>
        </is>
      </c>
      <c r="K234" s="2" t="n">
        <v>1003</v>
      </c>
      <c r="L234" t="n">
        <v>56</v>
      </c>
      <c r="M234" s="3" t="n">
        <v>452</v>
      </c>
      <c r="N234" s="8" t="n">
        <v>452</v>
      </c>
      <c r="O234" s="8" t="n">
        <v>0</v>
      </c>
      <c r="Q234" t="inlineStr">
        <is>
          <t>flat</t>
        </is>
      </c>
      <c r="R234" s="6" t="n">
        <v>452</v>
      </c>
      <c r="S234" t="inlineStr">
        <is>
          <t>Solio</t>
        </is>
      </c>
      <c r="U234" s="6" t="n">
        <v>82.2</v>
      </c>
      <c r="V234" s="2" t="n">
        <v>10</v>
      </c>
      <c r="W234" s="7">
        <f>IF(N(U234)&lt;=0,0,MIN(Assumptions!$B$15,N(R234)/N(U234)))</f>
        <v/>
      </c>
      <c r="X234" s="6" t="n">
        <v>0.218</v>
      </c>
      <c r="Y234" s="3" t="n">
        <v>0.1032</v>
      </c>
      <c r="Z234" t="inlineStr">
        <is>
          <t>adjusted xGOT</t>
        </is>
      </c>
      <c r="AA234" s="3" t="n">
        <v>1</v>
      </c>
      <c r="AB234" s="3" t="n">
        <v>0.9350000000000001</v>
      </c>
      <c r="AC234" s="3" t="n">
        <v>11.9</v>
      </c>
      <c r="AD234" s="3" t="n">
        <v>0.2081</v>
      </c>
      <c r="AE234" s="3" t="n">
        <v>9.33</v>
      </c>
      <c r="AF234" s="3" t="n">
        <v>0.1531691114946067</v>
      </c>
      <c r="AG234" s="3" t="n">
        <v>0.4487</v>
      </c>
      <c r="AH234" s="3" t="n">
        <v>32</v>
      </c>
      <c r="AI234" s="3" t="n">
        <v>3.0611</v>
      </c>
      <c r="AJ234" s="3" t="n">
        <v>1.5875</v>
      </c>
      <c r="AK234" s="3" t="n">
        <v>-0.222926749447464</v>
      </c>
      <c r="AL234" s="6" t="n">
        <v>0</v>
      </c>
      <c r="AM234" s="3" t="n">
        <v>0</v>
      </c>
      <c r="AN234" s="3" t="n">
        <v>0.516</v>
      </c>
      <c r="AO234" s="3" t="n">
        <v>0.8240760000000001</v>
      </c>
      <c r="AP234" s="3">
        <f>N(X234)*N(BI234)</f>
        <v/>
      </c>
      <c r="AQ234" s="3" t="n">
        <v>0.4487</v>
      </c>
      <c r="AR234" s="3" t="n">
        <v>0</v>
      </c>
      <c r="AS234" s="3" t="n">
        <v>-0</v>
      </c>
      <c r="AT234" s="3" t="n">
        <v>-0.222926749447464</v>
      </c>
      <c r="AU234" s="3">
        <f>SUM(AN234:AT234)</f>
        <v/>
      </c>
      <c r="AV234" s="7">
        <f>IF(OR(N(W234)&lt;=0,N(BG234)=0),0,N(W234)*IF(N(R234)/N(W234)&gt;=60,N(BG234),1))</f>
        <v/>
      </c>
      <c r="AW234" s="7">
        <f>N(W234)*N(AF234)*N(BH234)</f>
        <v/>
      </c>
      <c r="AX234" s="7">
        <f>N(AL234)*(Assumptions!$B$13*N(BJ234)-(1-Assumptions!$B$13)*Assumptions!$B$14)+N(AM234)</f>
        <v/>
      </c>
      <c r="AY234" s="7">
        <f>N(AU234)*N(R234)/90+N(AV234)+N(AW234)+N(AX234)</f>
        <v/>
      </c>
      <c r="AZ234" s="3">
        <f>IF(N(R234)&lt;=0,0,(N(AY234)-N(AX234))*90/N(R234))</f>
        <v/>
      </c>
      <c r="BA234" s="7">
        <f>IFERROR(AY234-VLOOKUP($E234,Assumptions!$A$40:$C$43,3,FALSE),"")</f>
        <v/>
      </c>
      <c r="BB234" s="3">
        <f>IFERROR(BA234/H234,"")</f>
        <v/>
      </c>
      <c r="BC234">
        <f>IF(AND($G234=TRUE,$E234="GKP"),AY234,"")</f>
        <v/>
      </c>
      <c r="BD234">
        <f>IF(AND($G234=TRUE,$E234="DEF"),AY234,"")</f>
        <v/>
      </c>
      <c r="BE234">
        <f>IF(AND($G234=TRUE,$E234="MID"),AY234,"")</f>
        <v/>
      </c>
      <c r="BF234">
        <f>IF(AND($G234=TRUE,$E234="FWD"),AY234,"")</f>
        <v/>
      </c>
      <c r="BG234" t="n">
        <v>2</v>
      </c>
      <c r="BH234" t="n">
        <v>2</v>
      </c>
      <c r="BI234" t="n">
        <v>1</v>
      </c>
      <c r="BJ234" t="n">
        <v>5</v>
      </c>
    </row>
    <row r="235">
      <c r="A235" t="inlineStr">
        <is>
          <t>Omar Marmoush</t>
        </is>
      </c>
      <c r="B235" t="inlineStr">
        <is>
          <t>MCI</t>
        </is>
      </c>
      <c r="C235" t="inlineStr">
        <is>
          <t>MCI</t>
        </is>
      </c>
      <c r="D235" t="b">
        <v>0</v>
      </c>
      <c r="E235" t="inlineStr">
        <is>
          <t>FWD</t>
        </is>
      </c>
      <c r="F235" t="inlineStr">
        <is>
          <t>MID</t>
        </is>
      </c>
      <c r="G235" t="b">
        <v>1</v>
      </c>
      <c r="H235" s="2" t="n">
        <v>7</v>
      </c>
      <c r="I235" t="inlineStr">
        <is>
          <t>a</t>
        </is>
      </c>
      <c r="K235" s="2" t="n">
        <v>691</v>
      </c>
      <c r="L235" t="n">
        <v>56</v>
      </c>
      <c r="M235" s="3" t="n">
        <v>349</v>
      </c>
      <c r="N235" s="8" t="n">
        <v>349</v>
      </c>
      <c r="O235" s="8" t="n">
        <v>0</v>
      </c>
      <c r="Q235" t="inlineStr">
        <is>
          <t>flat</t>
        </is>
      </c>
      <c r="R235" s="6" t="n">
        <v>349</v>
      </c>
      <c r="S235" t="inlineStr">
        <is>
          <t>Solio</t>
        </is>
      </c>
      <c r="U235" s="6" t="n">
        <v>73.3</v>
      </c>
      <c r="V235" s="2" t="n">
        <v>8</v>
      </c>
      <c r="W235" s="7">
        <f>IF(N(U235)&lt;=0,0,MIN(Assumptions!$B$15,N(R235)/N(U235)))</f>
        <v/>
      </c>
      <c r="X235" s="6" t="n">
        <v>0.371</v>
      </c>
      <c r="Y235" s="3" t="n">
        <v>0.3489</v>
      </c>
      <c r="Z235" t="inlineStr">
        <is>
          <t>adjusted xGOT</t>
        </is>
      </c>
      <c r="AA235" s="3" t="n">
        <v>1</v>
      </c>
      <c r="AB235" s="3" t="n">
        <v>0.964</v>
      </c>
      <c r="AC235" s="3" t="n">
        <v>8.199999999999999</v>
      </c>
      <c r="AD235" s="3" t="n">
        <v>0.1887</v>
      </c>
      <c r="AE235" s="3" t="n">
        <v>6.864</v>
      </c>
      <c r="AF235" s="3" t="n">
        <v>0.01233609390679369</v>
      </c>
      <c r="AG235" s="3" t="n">
        <v>0.6512</v>
      </c>
      <c r="AH235" s="3" t="n">
        <v>26</v>
      </c>
      <c r="AI235" s="3" t="n">
        <v>1.9737</v>
      </c>
      <c r="AJ235" s="3" t="n">
        <v>1.0365</v>
      </c>
      <c r="AK235" s="3" t="n">
        <v>-0.189665894755715</v>
      </c>
      <c r="AL235" s="6" t="n">
        <v>0.0414562730263571</v>
      </c>
      <c r="AM235" s="3" t="n">
        <v>0</v>
      </c>
      <c r="AN235" s="3" t="n">
        <v>1.3956</v>
      </c>
      <c r="AO235" s="3" t="n">
        <v>0.7472520000000001</v>
      </c>
      <c r="AP235" s="3">
        <f>N(X235)*N(BI235)</f>
        <v/>
      </c>
      <c r="AQ235" s="3" t="n">
        <v>0.6512</v>
      </c>
      <c r="AR235" s="3" t="n">
        <v>0</v>
      </c>
      <c r="AS235" s="3" t="n">
        <v>-0</v>
      </c>
      <c r="AT235" s="3" t="n">
        <v>-0.189665894755715</v>
      </c>
      <c r="AU235" s="3">
        <f>SUM(AN235:AT235)</f>
        <v/>
      </c>
      <c r="AV235" s="7">
        <f>IF(OR(N(W235)&lt;=0,N(BG235)=0),0,N(W235)*IF(N(R235)/N(W235)&gt;=60,N(BG235),1))</f>
        <v/>
      </c>
      <c r="AW235" s="7">
        <f>N(W235)*N(AF235)*N(BH235)</f>
        <v/>
      </c>
      <c r="AX235" s="7">
        <f>N(AL235)*(Assumptions!$B$13*N(BJ235)-(1-Assumptions!$B$13)*Assumptions!$B$14)+N(AM235)</f>
        <v/>
      </c>
      <c r="AY235" s="7">
        <f>N(AU235)*N(R235)/90+N(AV235)+N(AW235)+N(AX235)</f>
        <v/>
      </c>
      <c r="AZ235" s="3">
        <f>IF(N(R235)&lt;=0,0,(N(AY235)-N(AX235))*90/N(R235))</f>
        <v/>
      </c>
      <c r="BA235" s="7">
        <f>IFERROR(AY235-VLOOKUP($E235,Assumptions!$A$40:$C$43,3,FALSE),"")</f>
        <v/>
      </c>
      <c r="BB235" s="3">
        <f>IFERROR(BA235/H235,"")</f>
        <v/>
      </c>
      <c r="BC235">
        <f>IF(AND($G235=TRUE,$E235="GKP"),AY235,"")</f>
        <v/>
      </c>
      <c r="BD235">
        <f>IF(AND($G235=TRUE,$E235="DEF"),AY235,"")</f>
        <v/>
      </c>
      <c r="BE235">
        <f>IF(AND($G235=TRUE,$E235="MID"),AY235,"")</f>
        <v/>
      </c>
      <c r="BF235">
        <f>IF(AND($G235=TRUE,$E235="FWD"),AY235,"")</f>
        <v/>
      </c>
      <c r="BG235" t="n">
        <v>2</v>
      </c>
      <c r="BH235" t="n">
        <v>2</v>
      </c>
      <c r="BI235" t="n">
        <v>0</v>
      </c>
      <c r="BJ235" t="n">
        <v>4</v>
      </c>
    </row>
    <row r="236">
      <c r="A236" s="9" t="inlineStr">
        <is>
          <t>Alejandro Garnacho</t>
        </is>
      </c>
      <c r="B236" t="inlineStr">
        <is>
          <t>AVL</t>
        </is>
      </c>
      <c r="C236" s="9" t="inlineStr">
        <is>
          <t>CHE</t>
        </is>
      </c>
      <c r="D236" t="b">
        <v>1</v>
      </c>
      <c r="E236" t="inlineStr">
        <is>
          <t>MID</t>
        </is>
      </c>
      <c r="F236" t="inlineStr">
        <is>
          <t>MID</t>
        </is>
      </c>
      <c r="G236" t="b">
        <v>1</v>
      </c>
      <c r="H236" s="2" t="n">
        <v>6</v>
      </c>
      <c r="I236" t="inlineStr">
        <is>
          <t>a</t>
        </is>
      </c>
      <c r="K236" s="2" t="n">
        <v>1261</v>
      </c>
      <c r="L236" t="n">
        <v>56</v>
      </c>
      <c r="M236" s="3" t="n">
        <v>1949</v>
      </c>
      <c r="N236" s="4" t="n">
        <v>2400</v>
      </c>
      <c r="O236" s="4" t="n">
        <v>451</v>
      </c>
      <c r="P236" s="5" t="inlineStr">
        <is>
          <t>medium</t>
        </is>
      </c>
      <c r="Q236" t="inlineStr">
        <is>
          <t>flat</t>
        </is>
      </c>
      <c r="R236" s="6" t="n">
        <v>2400</v>
      </c>
      <c r="S236" t="inlineStr">
        <is>
          <t>research</t>
        </is>
      </c>
      <c r="T236" s="5" t="inlineStr">
        <is>
          <t>Recruited on a season-long loan from Chelsea specifically to replace Morgan Rogers's attacking output, with a conditional obligation to buy triggered by a set number of appearances - Villa are structurally incentivised to play him. He was in the projected Super Cup XI and only missed it under concussion protocol after a facial injury on 4 August; back in group training on 11 August, so available for the Brighton opener. Capped at 2,400 because his minutes-per-start is 68.2 (he gets substituted) and Villa may still add another winger.</t>
        </is>
      </c>
      <c r="U236" s="6" t="n">
        <v>73.2</v>
      </c>
      <c r="V236" s="2" t="n">
        <v>14</v>
      </c>
      <c r="W236" s="7">
        <f>IF(N(U236)&lt;=0,0,MIN(Assumptions!$B$15,N(R236)/N(U236)))</f>
        <v/>
      </c>
      <c r="X236" s="6" t="n">
        <v>0.273</v>
      </c>
      <c r="Y236" s="10" t="n">
        <v>0.2183</v>
      </c>
      <c r="Z236" t="inlineStr">
        <is>
          <t>adjusted xGOT</t>
        </is>
      </c>
      <c r="AA236" s="3" t="n">
        <v>1</v>
      </c>
      <c r="AB236" s="3" t="n">
        <v>0.889</v>
      </c>
      <c r="AC236" s="3" t="n">
        <v>22</v>
      </c>
      <c r="AD236" s="10" t="n">
        <v>0.2819</v>
      </c>
      <c r="AE236" s="3" t="n">
        <v>6.343</v>
      </c>
      <c r="AF236" s="3" t="n">
        <v>0.006893944871771418</v>
      </c>
      <c r="AG236" s="3" t="n">
        <v>0.2141</v>
      </c>
      <c r="AH236" s="3" t="n">
        <v>34</v>
      </c>
      <c r="AI236" s="3" t="n">
        <v>2.7451</v>
      </c>
      <c r="AJ236" s="3" t="n">
        <v>1.3575</v>
      </c>
      <c r="AK236" s="3" t="n">
        <v>-0.1700554686066959</v>
      </c>
      <c r="AL236" s="6" t="n">
        <v>0</v>
      </c>
      <c r="AM236" s="3" t="n">
        <v>0</v>
      </c>
      <c r="AN236" s="10" t="n">
        <v>1.0915</v>
      </c>
      <c r="AO236" s="10" t="n">
        <v>1.116324</v>
      </c>
      <c r="AP236" s="3">
        <f>N(X236)*N(BI236)</f>
        <v/>
      </c>
      <c r="AQ236" s="3" t="n">
        <v>0.2141</v>
      </c>
      <c r="AR236" s="3" t="n">
        <v>0</v>
      </c>
      <c r="AS236" s="3" t="n">
        <v>-0</v>
      </c>
      <c r="AT236" s="3" t="n">
        <v>-0.1700554686066959</v>
      </c>
      <c r="AU236" s="3">
        <f>SUM(AN236:AT236)</f>
        <v/>
      </c>
      <c r="AV236" s="7">
        <f>IF(OR(N(W236)&lt;=0,N(BG236)=0),0,N(W236)*IF(N(R236)/N(W236)&gt;=60,N(BG236),1))</f>
        <v/>
      </c>
      <c r="AW236" s="7">
        <f>N(W236)*N(AF236)*N(BH236)</f>
        <v/>
      </c>
      <c r="AX236" s="7">
        <f>N(AL236)*(Assumptions!$B$13*N(BJ236)-(1-Assumptions!$B$13)*Assumptions!$B$14)+N(AM236)</f>
        <v/>
      </c>
      <c r="AY236" s="7">
        <f>N(AU236)*N(R236)/90+N(AV236)+N(AW236)+N(AX236)</f>
        <v/>
      </c>
      <c r="AZ236" s="3">
        <f>IF(N(R236)&lt;=0,0,(N(AY236)-N(AX236))*90/N(R236))</f>
        <v/>
      </c>
      <c r="BA236" s="7">
        <f>IFERROR(AY236-VLOOKUP($E236,Assumptions!$A$40:$C$43,3,FALSE),"")</f>
        <v/>
      </c>
      <c r="BB236" s="3">
        <f>IFERROR(BA236/H236,"")</f>
        <v/>
      </c>
      <c r="BC236">
        <f>IF(AND($G236=TRUE,$E236="GKP"),AY236,"")</f>
        <v/>
      </c>
      <c r="BD236">
        <f>IF(AND($G236=TRUE,$E236="DEF"),AY236,"")</f>
        <v/>
      </c>
      <c r="BE236">
        <f>IF(AND($G236=TRUE,$E236="MID"),AY236,"")</f>
        <v/>
      </c>
      <c r="BF236">
        <f>IF(AND($G236=TRUE,$E236="FWD"),AY236,"")</f>
        <v/>
      </c>
      <c r="BG236" t="n">
        <v>2</v>
      </c>
      <c r="BH236" t="n">
        <v>2</v>
      </c>
      <c r="BI236" t="n">
        <v>1</v>
      </c>
      <c r="BJ236" t="n">
        <v>5</v>
      </c>
    </row>
    <row r="237">
      <c r="A237" t="inlineStr">
        <is>
          <t>Ross Barkley</t>
        </is>
      </c>
      <c r="B237" t="inlineStr">
        <is>
          <t>AVL</t>
        </is>
      </c>
      <c r="C237" t="inlineStr">
        <is>
          <t>AVL</t>
        </is>
      </c>
      <c r="D237" t="b">
        <v>0</v>
      </c>
      <c r="E237" t="inlineStr">
        <is>
          <t>MID</t>
        </is>
      </c>
      <c r="F237" t="inlineStr">
        <is>
          <t>MID</t>
        </is>
      </c>
      <c r="G237" t="b">
        <v>1</v>
      </c>
      <c r="H237" s="2" t="n">
        <v>5</v>
      </c>
      <c r="I237" t="inlineStr">
        <is>
          <t>a</t>
        </is>
      </c>
      <c r="K237" s="2" t="n">
        <v>844</v>
      </c>
      <c r="L237" t="n">
        <v>56</v>
      </c>
      <c r="M237" s="3" t="n">
        <v>670</v>
      </c>
      <c r="N237" s="4" t="n">
        <v>900</v>
      </c>
      <c r="O237" s="4" t="n">
        <v>230</v>
      </c>
      <c r="P237" s="5" t="inlineStr">
        <is>
          <t>low</t>
        </is>
      </c>
      <c r="Q237" t="inlineStr">
        <is>
          <t>fade (losing his place)</t>
        </is>
      </c>
      <c r="R237" s="6" t="n">
        <v>900</v>
      </c>
      <c r="S237" t="inlineStr">
        <is>
          <t>research</t>
        </is>
      </c>
      <c r="T237" s="5" t="inlineStr">
        <is>
          <t>Came on in the Super Cup and started against Monchengladbach. Villa's central midfield has lost Tielemans permanently and Onana for nine months, with Gomes out 2-4 weeks and Manzambi not yet fit, so the experienced fourth/fifth option gets more of the early load than Solio's 'fade' flag implies.</t>
        </is>
      </c>
      <c r="U237" s="6" t="n">
        <v>78.90000000000001</v>
      </c>
      <c r="V237" s="2" t="n">
        <v>7</v>
      </c>
      <c r="W237" s="7">
        <f>IF(N(U237)&lt;=0,0,MIN(Assumptions!$B$15,N(R237)/N(U237)))</f>
        <v/>
      </c>
      <c r="X237" s="6" t="n">
        <v>0.273</v>
      </c>
      <c r="Y237" s="3" t="n">
        <v>0.183</v>
      </c>
      <c r="Z237" t="inlineStr">
        <is>
          <t>adjusted xGOT</t>
        </is>
      </c>
      <c r="AA237" s="3" t="n">
        <v>1</v>
      </c>
      <c r="AB237" s="3" t="n">
        <v>1.086</v>
      </c>
      <c r="AC237" s="3" t="n">
        <v>7.3</v>
      </c>
      <c r="AD237" s="3" t="n">
        <v>0.1755</v>
      </c>
      <c r="AE237" s="3" t="n">
        <v>8.207000000000001</v>
      </c>
      <c r="AF237" s="3" t="n">
        <v>0.06264419008351096</v>
      </c>
      <c r="AG237" s="3" t="n">
        <v>0.5332</v>
      </c>
      <c r="AH237" s="3" t="n">
        <v>28</v>
      </c>
      <c r="AI237" s="3" t="n">
        <v>2.7451</v>
      </c>
      <c r="AJ237" s="3" t="n">
        <v>1.3575</v>
      </c>
      <c r="AK237" s="3" t="n">
        <v>-0.2223636257694815</v>
      </c>
      <c r="AL237" s="6" t="n">
        <v>0</v>
      </c>
      <c r="AM237" s="3" t="n">
        <v>0</v>
      </c>
      <c r="AN237" s="3" t="n">
        <v>0.915</v>
      </c>
      <c r="AO237" s="3" t="n">
        <v>0.69498</v>
      </c>
      <c r="AP237" s="3">
        <f>N(X237)*N(BI237)</f>
        <v/>
      </c>
      <c r="AQ237" s="3" t="n">
        <v>0.5332</v>
      </c>
      <c r="AR237" s="3" t="n">
        <v>0</v>
      </c>
      <c r="AS237" s="3" t="n">
        <v>-0</v>
      </c>
      <c r="AT237" s="3" t="n">
        <v>-0.2223636257694815</v>
      </c>
      <c r="AU237" s="3">
        <f>SUM(AN237:AT237)</f>
        <v/>
      </c>
      <c r="AV237" s="7">
        <f>IF(OR(N(W237)&lt;=0,N(BG237)=0),0,N(W237)*IF(N(R237)/N(W237)&gt;=60,N(BG237),1))</f>
        <v/>
      </c>
      <c r="AW237" s="7">
        <f>N(W237)*N(AF237)*N(BH237)</f>
        <v/>
      </c>
      <c r="AX237" s="7">
        <f>N(AL237)*(Assumptions!$B$13*N(BJ237)-(1-Assumptions!$B$13)*Assumptions!$B$14)+N(AM237)</f>
        <v/>
      </c>
      <c r="AY237" s="7">
        <f>N(AU237)*N(R237)/90+N(AV237)+N(AW237)+N(AX237)</f>
        <v/>
      </c>
      <c r="AZ237" s="3">
        <f>IF(N(R237)&lt;=0,0,(N(AY237)-N(AX237))*90/N(R237))</f>
        <v/>
      </c>
      <c r="BA237" s="7">
        <f>IFERROR(AY237-VLOOKUP($E237,Assumptions!$A$40:$C$43,3,FALSE),"")</f>
        <v/>
      </c>
      <c r="BB237" s="3">
        <f>IFERROR(BA237/H237,"")</f>
        <v/>
      </c>
      <c r="BC237">
        <f>IF(AND($G237=TRUE,$E237="GKP"),AY237,"")</f>
        <v/>
      </c>
      <c r="BD237">
        <f>IF(AND($G237=TRUE,$E237="DEF"),AY237,"")</f>
        <v/>
      </c>
      <c r="BE237">
        <f>IF(AND($G237=TRUE,$E237="MID"),AY237,"")</f>
        <v/>
      </c>
      <c r="BF237">
        <f>IF(AND($G237=TRUE,$E237="FWD"),AY237,"")</f>
        <v/>
      </c>
      <c r="BG237" t="n">
        <v>2</v>
      </c>
      <c r="BH237" t="n">
        <v>2</v>
      </c>
      <c r="BI237" t="n">
        <v>1</v>
      </c>
      <c r="BJ237" t="n">
        <v>5</v>
      </c>
    </row>
    <row r="238">
      <c r="A238" t="inlineStr">
        <is>
          <t>Ilia Gruev</t>
        </is>
      </c>
      <c r="B238" t="inlineStr">
        <is>
          <t>LEE</t>
        </is>
      </c>
      <c r="C238" t="inlineStr">
        <is>
          <t>LEE</t>
        </is>
      </c>
      <c r="D238" t="b">
        <v>0</v>
      </c>
      <c r="E238" t="inlineStr">
        <is>
          <t>MID</t>
        </is>
      </c>
      <c r="F238" t="inlineStr">
        <is>
          <t>MID</t>
        </is>
      </c>
      <c r="G238" t="b">
        <v>1</v>
      </c>
      <c r="H238" s="2" t="n">
        <v>5</v>
      </c>
      <c r="I238" t="inlineStr">
        <is>
          <t>a</t>
        </is>
      </c>
      <c r="K238" s="2" t="n">
        <v>1318</v>
      </c>
      <c r="L238" t="n">
        <v>56</v>
      </c>
      <c r="M238" s="3" t="n">
        <v>502</v>
      </c>
      <c r="N238" s="4" t="n">
        <v>220</v>
      </c>
      <c r="O238" s="4" t="n">
        <v>-282</v>
      </c>
      <c r="P238" s="5" t="inlineStr">
        <is>
          <t>medium</t>
        </is>
      </c>
      <c r="Q238" t="inlineStr">
        <is>
          <t>flat</t>
        </is>
      </c>
      <c r="R238" s="6" t="n">
        <v>220</v>
      </c>
      <c r="S238" t="inlineStr">
        <is>
          <t>research</t>
        </is>
      </c>
      <c r="T238" s="5" t="inlineStr">
        <is>
          <t>Newly flagged and the brief's data is stale here: the FPL feed carries 'Knee injury - Unknown return date' added 2026-08-14, whereas the brief has him as status 'a' with no news. This is a meniscus injury sustained in training in April 2026 that ended his season, his second serious knee problem at Leeds. He was described as a long-term absentee in the 14-15 Aug injury round-ups and is behind Ampadu, Stach, Tanaka and Longstaff in a two-man midfield.</t>
        </is>
      </c>
      <c r="U238" s="6" t="n">
        <v>79.59999999999999</v>
      </c>
      <c r="V238" s="2" t="n">
        <v>15</v>
      </c>
      <c r="W238" s="7">
        <f>IF(N(U238)&lt;=0,0,MIN(Assumptions!$B$15,N(R238)/N(U238)))</f>
        <v/>
      </c>
      <c r="X238" s="6" t="n">
        <v>0.218</v>
      </c>
      <c r="Y238" s="3" t="n">
        <v>0.0323</v>
      </c>
      <c r="Z238" t="inlineStr">
        <is>
          <t>adjusted xGOT</t>
        </is>
      </c>
      <c r="AA238" s="3" t="n">
        <v>1</v>
      </c>
      <c r="AB238" s="3" t="n">
        <v>0.966</v>
      </c>
      <c r="AC238" s="3" t="n">
        <v>0.5</v>
      </c>
      <c r="AD238" s="3" t="n">
        <v>0.0804</v>
      </c>
      <c r="AE238" s="3" t="n">
        <v>8.064</v>
      </c>
      <c r="AF238" s="3" t="n">
        <v>0.05954656095751498</v>
      </c>
      <c r="AG238" s="3" t="n">
        <v>0.2049</v>
      </c>
      <c r="AH238" s="3" t="n">
        <v>37</v>
      </c>
      <c r="AI238" s="3" t="n">
        <v>3.0611</v>
      </c>
      <c r="AJ238" s="3" t="n">
        <v>1.5875</v>
      </c>
      <c r="AK238" s="3" t="n">
        <v>-0.2186465119422614</v>
      </c>
      <c r="AL238" s="6" t="n">
        <v>0</v>
      </c>
      <c r="AM238" s="3" t="n">
        <v>0</v>
      </c>
      <c r="AN238" s="3" t="n">
        <v>0.1615</v>
      </c>
      <c r="AO238" s="3" t="n">
        <v>0.318384</v>
      </c>
      <c r="AP238" s="3">
        <f>N(X238)*N(BI238)</f>
        <v/>
      </c>
      <c r="AQ238" s="3" t="n">
        <v>0.2049</v>
      </c>
      <c r="AR238" s="3" t="n">
        <v>0</v>
      </c>
      <c r="AS238" s="3" t="n">
        <v>-0</v>
      </c>
      <c r="AT238" s="3" t="n">
        <v>-0.2186465119422614</v>
      </c>
      <c r="AU238" s="3">
        <f>SUM(AN238:AT238)</f>
        <v/>
      </c>
      <c r="AV238" s="7">
        <f>IF(OR(N(W238)&lt;=0,N(BG238)=0),0,N(W238)*IF(N(R238)/N(W238)&gt;=60,N(BG238),1))</f>
        <v/>
      </c>
      <c r="AW238" s="7">
        <f>N(W238)*N(AF238)*N(BH238)</f>
        <v/>
      </c>
      <c r="AX238" s="7">
        <f>N(AL238)*(Assumptions!$B$13*N(BJ238)-(1-Assumptions!$B$13)*Assumptions!$B$14)+N(AM238)</f>
        <v/>
      </c>
      <c r="AY238" s="7">
        <f>N(AU238)*N(R238)/90+N(AV238)+N(AW238)+N(AX238)</f>
        <v/>
      </c>
      <c r="AZ238" s="3">
        <f>IF(N(R238)&lt;=0,0,(N(AY238)-N(AX238))*90/N(R238))</f>
        <v/>
      </c>
      <c r="BA238" s="7">
        <f>IFERROR(AY238-VLOOKUP($E238,Assumptions!$A$40:$C$43,3,FALSE),"")</f>
        <v/>
      </c>
      <c r="BB238" s="3">
        <f>IFERROR(BA238/H238,"")</f>
        <v/>
      </c>
      <c r="BC238">
        <f>IF(AND($G238=TRUE,$E238="GKP"),AY238,"")</f>
        <v/>
      </c>
      <c r="BD238">
        <f>IF(AND($G238=TRUE,$E238="DEF"),AY238,"")</f>
        <v/>
      </c>
      <c r="BE238">
        <f>IF(AND($G238=TRUE,$E238="MID"),AY238,"")</f>
        <v/>
      </c>
      <c r="BF238">
        <f>IF(AND($G238=TRUE,$E238="FWD"),AY238,"")</f>
        <v/>
      </c>
      <c r="BG238" t="n">
        <v>2</v>
      </c>
      <c r="BH238" t="n">
        <v>2</v>
      </c>
      <c r="BI238" t="n">
        <v>1</v>
      </c>
      <c r="BJ238" t="n">
        <v>5</v>
      </c>
    </row>
    <row r="239">
      <c r="A239" s="9" t="inlineStr">
        <is>
          <t>Andy Robertson</t>
        </is>
      </c>
      <c r="B239" t="inlineStr">
        <is>
          <t>TOT</t>
        </is>
      </c>
      <c r="C239" s="9" t="inlineStr">
        <is>
          <t>LIV</t>
        </is>
      </c>
      <c r="D239" t="b">
        <v>1</v>
      </c>
      <c r="E239" t="inlineStr">
        <is>
          <t>DEF</t>
        </is>
      </c>
      <c r="F239" t="inlineStr">
        <is>
          <t>DEF</t>
        </is>
      </c>
      <c r="G239" t="b">
        <v>1</v>
      </c>
      <c r="H239" s="2" t="n">
        <v>4.5</v>
      </c>
      <c r="I239" t="inlineStr">
        <is>
          <t>a</t>
        </is>
      </c>
      <c r="K239" s="2" t="n">
        <v>1165</v>
      </c>
      <c r="L239" t="n">
        <v>55</v>
      </c>
      <c r="M239" s="3" t="n">
        <v>718</v>
      </c>
      <c r="N239" s="4" t="n">
        <v>1800</v>
      </c>
      <c r="O239" s="4" t="n">
        <v>1082</v>
      </c>
      <c r="P239" s="5" t="inlineStr">
        <is>
          <t>medium</t>
        </is>
      </c>
      <c r="Q239" t="inlineStr">
        <is>
          <t>flat</t>
        </is>
      </c>
      <c r="R239" s="6" t="n">
        <v>1800</v>
      </c>
      <c r="S239" t="inlineStr">
        <is>
          <t>research</t>
        </is>
      </c>
      <c r="T239" s="5" t="inlineStr">
        <is>
          <t>Solio has Robertson as a bit-part third-choice, which was defensible only while Spence was still at the club. Spence has gone, leaving two senior left-backs. Robertson started both August friendlies (Getafe on the 8th, Hoffenheim on the 15th) while Udogie was withheld, and Udogie's own absence against Chelsea in Sydney forced Robertson into extra minutes. He is expected to start the season at left-back.</t>
        </is>
      </c>
      <c r="U239" s="6" t="n">
        <v>82.40000000000001</v>
      </c>
      <c r="V239" s="2" t="n">
        <v>11</v>
      </c>
      <c r="W239" s="7">
        <f>IF(N(U239)&lt;=0,0,MIN(Assumptions!$B$15,N(R239)/N(U239)))</f>
        <v/>
      </c>
      <c r="X239" s="6" t="n">
        <v>0.286</v>
      </c>
      <c r="Y239" s="10" t="n">
        <v>0.0814</v>
      </c>
      <c r="Z239" t="inlineStr">
        <is>
          <t>adjusted xGOT</t>
        </is>
      </c>
      <c r="AA239" s="3" t="n">
        <v>1</v>
      </c>
      <c r="AB239" s="3" t="n">
        <v>0.958</v>
      </c>
      <c r="AC239" s="3" t="n">
        <v>5.4</v>
      </c>
      <c r="AD239" s="10" t="n">
        <v>0.1124</v>
      </c>
      <c r="AE239" s="3" t="n">
        <v>5.561</v>
      </c>
      <c r="AF239" s="3" t="n">
        <v>0.0352653586021765</v>
      </c>
      <c r="AG239" s="3" t="n">
        <v>0.309</v>
      </c>
      <c r="AH239" s="3" t="n">
        <v>33</v>
      </c>
      <c r="AI239" s="3" t="n">
        <v>2.5739</v>
      </c>
      <c r="AJ239" s="3" t="n">
        <v>1.3096</v>
      </c>
      <c r="AK239" s="3" t="n">
        <v>-0.1256424160049873</v>
      </c>
      <c r="AL239" s="6" t="n">
        <v>0</v>
      </c>
      <c r="AM239" s="3" t="n">
        <v>0</v>
      </c>
      <c r="AN239" s="10" t="n">
        <v>0.4884</v>
      </c>
      <c r="AO239" s="10" t="n">
        <v>0.445104</v>
      </c>
      <c r="AP239" s="3">
        <f>N(X239)*N(BI239)</f>
        <v/>
      </c>
      <c r="AQ239" s="3" t="n">
        <v>0.309</v>
      </c>
      <c r="AR239" s="3" t="n">
        <v>0</v>
      </c>
      <c r="AS239" s="3" t="n">
        <v>-0.4230152821052008</v>
      </c>
      <c r="AT239" s="3" t="n">
        <v>-0.1256424160049873</v>
      </c>
      <c r="AU239" s="3">
        <f>SUM(AN239:AT239)</f>
        <v/>
      </c>
      <c r="AV239" s="7">
        <f>IF(OR(N(W239)&lt;=0,N(BG239)=0),0,N(W239)*IF(N(R239)/N(W239)&gt;=60,N(BG239),1))</f>
        <v/>
      </c>
      <c r="AW239" s="7">
        <f>N(W239)*N(AF239)*N(BH239)</f>
        <v/>
      </c>
      <c r="AX239" s="7">
        <f>N(AL239)*(Assumptions!$B$13*N(BJ239)-(1-Assumptions!$B$13)*Assumptions!$B$14)+N(AM239)</f>
        <v/>
      </c>
      <c r="AY239" s="7">
        <f>N(AU239)*N(R239)/90+N(AV239)+N(AW239)+N(AX239)</f>
        <v/>
      </c>
      <c r="AZ239" s="3">
        <f>IF(N(R239)&lt;=0,0,(N(AY239)-N(AX239))*90/N(R239))</f>
        <v/>
      </c>
      <c r="BA239" s="7">
        <f>IFERROR(AY239-VLOOKUP($E239,Assumptions!$A$40:$C$43,3,FALSE),"")</f>
        <v/>
      </c>
      <c r="BB239" s="3">
        <f>IFERROR(BA239/H239,"")</f>
        <v/>
      </c>
      <c r="BC239">
        <f>IF(AND($G239=TRUE,$E239="GKP"),AY239,"")</f>
        <v/>
      </c>
      <c r="BD239">
        <f>IF(AND($G239=TRUE,$E239="DEF"),AY239,"")</f>
        <v/>
      </c>
      <c r="BE239">
        <f>IF(AND($G239=TRUE,$E239="MID"),AY239,"")</f>
        <v/>
      </c>
      <c r="BF239">
        <f>IF(AND($G239=TRUE,$E239="FWD"),AY239,"")</f>
        <v/>
      </c>
      <c r="BG239" t="n">
        <v>2</v>
      </c>
      <c r="BH239" t="n">
        <v>2</v>
      </c>
      <c r="BI239" t="n">
        <v>4</v>
      </c>
      <c r="BJ239" t="n">
        <v>6</v>
      </c>
    </row>
    <row r="240">
      <c r="A240" t="inlineStr">
        <is>
          <t>Ian Maatsen</t>
        </is>
      </c>
      <c r="B240" t="inlineStr">
        <is>
          <t>AVL</t>
        </is>
      </c>
      <c r="C240" t="inlineStr">
        <is>
          <t>AVL</t>
        </is>
      </c>
      <c r="D240" t="b">
        <v>0</v>
      </c>
      <c r="E240" t="inlineStr">
        <is>
          <t>DEF</t>
        </is>
      </c>
      <c r="F240" t="inlineStr">
        <is>
          <t>DEF</t>
        </is>
      </c>
      <c r="G240" t="b">
        <v>1</v>
      </c>
      <c r="H240" s="2" t="n">
        <v>4.5</v>
      </c>
      <c r="I240" t="inlineStr">
        <is>
          <t>a</t>
        </is>
      </c>
      <c r="K240" s="2" t="n">
        <v>1590</v>
      </c>
      <c r="L240" t="n">
        <v>54</v>
      </c>
      <c r="M240" s="3" t="n">
        <v>3004</v>
      </c>
      <c r="N240" s="8" t="n">
        <v>3004</v>
      </c>
      <c r="O240" s="8" t="n">
        <v>0</v>
      </c>
      <c r="Q240" t="inlineStr">
        <is>
          <t>flat</t>
        </is>
      </c>
      <c r="R240" s="6" t="n">
        <v>3004</v>
      </c>
      <c r="S240" t="inlineStr">
        <is>
          <t>Solio</t>
        </is>
      </c>
      <c r="U240" s="6" t="n">
        <v>82.90000000000001</v>
      </c>
      <c r="V240" s="2" t="n">
        <v>17</v>
      </c>
      <c r="W240" s="7">
        <f>IF(N(U240)&lt;=0,0,MIN(Assumptions!$B$15,N(R240)/N(U240)))</f>
        <v/>
      </c>
      <c r="X240" s="6" t="n">
        <v>0.273</v>
      </c>
      <c r="Y240" s="3" t="n">
        <v>0.0643</v>
      </c>
      <c r="Z240" t="inlineStr">
        <is>
          <t>adjusted xGOT</t>
        </is>
      </c>
      <c r="AA240" s="3" t="n">
        <v>1</v>
      </c>
      <c r="AB240" s="3" t="n">
        <v>0.902</v>
      </c>
      <c r="AC240" s="3" t="n">
        <v>2.9</v>
      </c>
      <c r="AD240" s="3" t="n">
        <v>0.1516</v>
      </c>
      <c r="AE240" s="3" t="n">
        <v>7.382</v>
      </c>
      <c r="AF240" s="3" t="n">
        <v>0.1497816788817284</v>
      </c>
      <c r="AG240" s="3" t="n">
        <v>0.0566</v>
      </c>
      <c r="AH240" s="3" t="n">
        <v>47</v>
      </c>
      <c r="AI240" s="3" t="n">
        <v>2.7451</v>
      </c>
      <c r="AJ240" s="3" t="n">
        <v>1.3575</v>
      </c>
      <c r="AK240" s="3" t="n">
        <v>-0.1765454093646375</v>
      </c>
      <c r="AL240" s="6" t="n">
        <v>0</v>
      </c>
      <c r="AM240" s="3" t="n">
        <v>0</v>
      </c>
      <c r="AN240" s="3" t="n">
        <v>0.3858</v>
      </c>
      <c r="AO240" s="3" t="n">
        <v>0.6003360000000001</v>
      </c>
      <c r="AP240" s="3">
        <f>N(X240)*N(BI240)</f>
        <v/>
      </c>
      <c r="AQ240" s="3" t="n">
        <v>0.0566</v>
      </c>
      <c r="AR240" s="3" t="n">
        <v>0</v>
      </c>
      <c r="AS240" s="3" t="n">
        <v>-0.4453012382517575</v>
      </c>
      <c r="AT240" s="3" t="n">
        <v>-0.1765454093646375</v>
      </c>
      <c r="AU240" s="3">
        <f>SUM(AN240:AT240)</f>
        <v/>
      </c>
      <c r="AV240" s="7">
        <f>IF(OR(N(W240)&lt;=0,N(BG240)=0),0,N(W240)*IF(N(R240)/N(W240)&gt;=60,N(BG240),1))</f>
        <v/>
      </c>
      <c r="AW240" s="7">
        <f>N(W240)*N(AF240)*N(BH240)</f>
        <v/>
      </c>
      <c r="AX240" s="7">
        <f>N(AL240)*(Assumptions!$B$13*N(BJ240)-(1-Assumptions!$B$13)*Assumptions!$B$14)+N(AM240)</f>
        <v/>
      </c>
      <c r="AY240" s="7">
        <f>N(AU240)*N(R240)/90+N(AV240)+N(AW240)+N(AX240)</f>
        <v/>
      </c>
      <c r="AZ240" s="3">
        <f>IF(N(R240)&lt;=0,0,(N(AY240)-N(AX240))*90/N(R240))</f>
        <v/>
      </c>
      <c r="BA240" s="7">
        <f>IFERROR(AY240-VLOOKUP($E240,Assumptions!$A$40:$C$43,3,FALSE),"")</f>
        <v/>
      </c>
      <c r="BB240" s="3">
        <f>IFERROR(BA240/H240,"")</f>
        <v/>
      </c>
      <c r="BC240">
        <f>IF(AND($G240=TRUE,$E240="GKP"),AY240,"")</f>
        <v/>
      </c>
      <c r="BD240">
        <f>IF(AND($G240=TRUE,$E240="DEF"),AY240,"")</f>
        <v/>
      </c>
      <c r="BE240">
        <f>IF(AND($G240=TRUE,$E240="MID"),AY240,"")</f>
        <v/>
      </c>
      <c r="BF240">
        <f>IF(AND($G240=TRUE,$E240="FWD"),AY240,"")</f>
        <v/>
      </c>
      <c r="BG240" t="n">
        <v>2</v>
      </c>
      <c r="BH240" t="n">
        <v>2</v>
      </c>
      <c r="BI240" t="n">
        <v>4</v>
      </c>
      <c r="BJ240" t="n">
        <v>6</v>
      </c>
    </row>
    <row r="241">
      <c r="A241" s="9" t="inlineStr">
        <is>
          <t>Dwight McNeil</t>
        </is>
      </c>
      <c r="B241" t="inlineStr">
        <is>
          <t>CRY</t>
        </is>
      </c>
      <c r="C241" s="9" t="inlineStr">
        <is>
          <t>EVE</t>
        </is>
      </c>
      <c r="D241" t="b">
        <v>1</v>
      </c>
      <c r="E241" t="inlineStr">
        <is>
          <t>MID</t>
        </is>
      </c>
      <c r="F241" t="inlineStr">
        <is>
          <t>MID</t>
        </is>
      </c>
      <c r="G241" t="b">
        <v>1</v>
      </c>
      <c r="H241" s="2" t="n">
        <v>5.5</v>
      </c>
      <c r="I241" t="inlineStr">
        <is>
          <t>a</t>
        </is>
      </c>
      <c r="K241" s="2" t="n">
        <v>1161</v>
      </c>
      <c r="L241" t="n">
        <v>53</v>
      </c>
      <c r="M241" s="3" t="n">
        <v>445</v>
      </c>
      <c r="N241" s="4" t="n">
        <v>1900</v>
      </c>
      <c r="O241" s="4" t="n">
        <v>1455</v>
      </c>
      <c r="P241" s="5" t="inlineStr">
        <is>
          <t>high</t>
        </is>
      </c>
      <c r="Q241" t="inlineStr">
        <is>
          <t>flat</t>
        </is>
      </c>
      <c r="R241" s="6" t="n">
        <v>1900</v>
      </c>
      <c r="S241" t="inlineStr">
        <is>
          <t>research</t>
        </is>
      </c>
      <c r="T241" s="5" t="inlineStr">
        <is>
          <t>Solio's 445 is a stale artefact: his club_2526 is still listed as EVE and the number looks like a part-season remnant. He joined Palace on 11 August in a straight swap for Brennan Johnson, both sides valued at around EUR 25.8m, and started the Freiburg friendly on 15 August for his first Palace minutes. A club does not trade away its first-choice right winger for a player who then plays five matches' worth of football.</t>
        </is>
      </c>
      <c r="U241" s="6" t="n">
        <v>77.90000000000001</v>
      </c>
      <c r="V241" s="2" t="n">
        <v>14</v>
      </c>
      <c r="W241" s="7">
        <f>IF(N(U241)&lt;=0,0,MIN(Assumptions!$B$15,N(R241)/N(U241)))</f>
        <v/>
      </c>
      <c r="X241" s="6" t="n">
        <v>0.216</v>
      </c>
      <c r="Y241" s="10" t="n">
        <v>0.1112</v>
      </c>
      <c r="Z241" t="inlineStr">
        <is>
          <t>adjusted xGOT</t>
        </is>
      </c>
      <c r="AA241" s="3" t="n">
        <v>1</v>
      </c>
      <c r="AB241" s="3" t="n">
        <v>1.047</v>
      </c>
      <c r="AC241" s="3" t="n">
        <v>9.199999999999999</v>
      </c>
      <c r="AD241" s="10" t="n">
        <v>0.1414</v>
      </c>
      <c r="AE241" s="3" t="n">
        <v>8.593999999999999</v>
      </c>
      <c r="AF241" s="3" t="n">
        <v>0.07569867762882987</v>
      </c>
      <c r="AG241" s="3" t="n">
        <v>0.0775</v>
      </c>
      <c r="AH241" s="3" t="n">
        <v>34</v>
      </c>
      <c r="AI241" s="3" t="n">
        <v>3.2035</v>
      </c>
      <c r="AJ241" s="3" t="n">
        <v>1.5923</v>
      </c>
      <c r="AK241" s="3" t="n">
        <v>-0.1265644820412146</v>
      </c>
      <c r="AL241" s="6" t="n">
        <v>0</v>
      </c>
      <c r="AM241" s="3" t="n">
        <v>0</v>
      </c>
      <c r="AN241" s="10" t="n">
        <v>0.5559999999999999</v>
      </c>
      <c r="AO241" s="10" t="n">
        <v>0.5599440000000001</v>
      </c>
      <c r="AP241" s="3">
        <f>N(X241)*N(BI241)</f>
        <v/>
      </c>
      <c r="AQ241" s="3" t="n">
        <v>0.0775</v>
      </c>
      <c r="AR241" s="3" t="n">
        <v>0</v>
      </c>
      <c r="AS241" s="3" t="n">
        <v>-0</v>
      </c>
      <c r="AT241" s="3" t="n">
        <v>-0.1265644820412146</v>
      </c>
      <c r="AU241" s="3">
        <f>SUM(AN241:AT241)</f>
        <v/>
      </c>
      <c r="AV241" s="7">
        <f>IF(OR(N(W241)&lt;=0,N(BG241)=0),0,N(W241)*IF(N(R241)/N(W241)&gt;=60,N(BG241),1))</f>
        <v/>
      </c>
      <c r="AW241" s="7">
        <f>N(W241)*N(AF241)*N(BH241)</f>
        <v/>
      </c>
      <c r="AX241" s="7">
        <f>N(AL241)*(Assumptions!$B$13*N(BJ241)-(1-Assumptions!$B$13)*Assumptions!$B$14)+N(AM241)</f>
        <v/>
      </c>
      <c r="AY241" s="7">
        <f>N(AU241)*N(R241)/90+N(AV241)+N(AW241)+N(AX241)</f>
        <v/>
      </c>
      <c r="AZ241" s="3">
        <f>IF(N(R241)&lt;=0,0,(N(AY241)-N(AX241))*90/N(R241))</f>
        <v/>
      </c>
      <c r="BA241" s="7">
        <f>IFERROR(AY241-VLOOKUP($E241,Assumptions!$A$40:$C$43,3,FALSE),"")</f>
        <v/>
      </c>
      <c r="BB241" s="3">
        <f>IFERROR(BA241/H241,"")</f>
        <v/>
      </c>
      <c r="BC241">
        <f>IF(AND($G241=TRUE,$E241="GKP"),AY241,"")</f>
        <v/>
      </c>
      <c r="BD241">
        <f>IF(AND($G241=TRUE,$E241="DEF"),AY241,"")</f>
        <v/>
      </c>
      <c r="BE241">
        <f>IF(AND($G241=TRUE,$E241="MID"),AY241,"")</f>
        <v/>
      </c>
      <c r="BF241">
        <f>IF(AND($G241=TRUE,$E241="FWD"),AY241,"")</f>
        <v/>
      </c>
      <c r="BG241" t="n">
        <v>2</v>
      </c>
      <c r="BH241" t="n">
        <v>2</v>
      </c>
      <c r="BI241" t="n">
        <v>1</v>
      </c>
      <c r="BJ241" t="n">
        <v>5</v>
      </c>
    </row>
    <row r="242">
      <c r="A242" t="inlineStr">
        <is>
          <t>Morato</t>
        </is>
      </c>
      <c r="B242" t="inlineStr">
        <is>
          <t>NFO</t>
        </is>
      </c>
      <c r="C242" t="inlineStr">
        <is>
          <t>NFO</t>
        </is>
      </c>
      <c r="D242" t="b">
        <v>0</v>
      </c>
      <c r="E242" t="inlineStr">
        <is>
          <t>DEF</t>
        </is>
      </c>
      <c r="F242" t="inlineStr">
        <is>
          <t>DEF</t>
        </is>
      </c>
      <c r="G242" t="b">
        <v>1</v>
      </c>
      <c r="H242" s="2" t="n">
        <v>5</v>
      </c>
      <c r="I242" t="inlineStr">
        <is>
          <t>a</t>
        </is>
      </c>
      <c r="K242" s="2" t="n">
        <v>1340</v>
      </c>
      <c r="L242" t="n">
        <v>53</v>
      </c>
      <c r="M242" s="3" t="n">
        <v>386</v>
      </c>
      <c r="N242" s="4" t="n">
        <v>740</v>
      </c>
      <c r="O242" s="4" t="n">
        <v>354</v>
      </c>
      <c r="P242" s="5" t="inlineStr">
        <is>
          <t>medium</t>
        </is>
      </c>
      <c r="Q242" t="inlineStr">
        <is>
          <t>flat</t>
        </is>
      </c>
      <c r="R242" s="6" t="n">
        <v>740</v>
      </c>
      <c r="S242" t="inlineStr">
        <is>
          <t>research</t>
        </is>
      </c>
      <c r="T242" s="5" t="inlineStr">
        <is>
          <t>A back three needs 10,260 centre-back minutes, and Solio gives 93.6% of them to Milenkovic, Murillo and Diomande. Morato played 1,340 league minutes last season and started in the back three in Glasner's first pre-season match, so he is the first-choice replacement, not a spare part.</t>
        </is>
      </c>
      <c r="U242" s="6" t="n">
        <v>87.5</v>
      </c>
      <c r="V242" s="2" t="n">
        <v>14</v>
      </c>
      <c r="W242" s="7">
        <f>IF(N(U242)&lt;=0,0,MIN(Assumptions!$B$15,N(R242)/N(U242)))</f>
        <v/>
      </c>
      <c r="X242" s="6" t="n">
        <v>0.224</v>
      </c>
      <c r="Y242" s="3" t="n">
        <v>0.0905</v>
      </c>
      <c r="Z242" t="inlineStr">
        <is>
          <t>adjusted xGOT</t>
        </is>
      </c>
      <c r="AA242" s="3" t="n">
        <v>1</v>
      </c>
      <c r="AB242" s="3" t="n">
        <v>1.021</v>
      </c>
      <c r="AC242" s="3" t="n">
        <v>1.5</v>
      </c>
      <c r="AD242" s="3" t="n">
        <v>0.008200000000000001</v>
      </c>
      <c r="AE242" s="3" t="n">
        <v>8.977</v>
      </c>
      <c r="AF242" s="3" t="n">
        <v>0.3767566357894665</v>
      </c>
      <c r="AG242" s="3" t="n">
        <v>0.0672</v>
      </c>
      <c r="AH242" s="3" t="n">
        <v>35</v>
      </c>
      <c r="AI242" s="3" t="n">
        <v>3.1134</v>
      </c>
      <c r="AJ242" s="3" t="n">
        <v>1.5588</v>
      </c>
      <c r="AK242" s="3" t="n">
        <v>-0.3180632178373214</v>
      </c>
      <c r="AL242" s="6" t="n">
        <v>0</v>
      </c>
      <c r="AM242" s="3" t="n">
        <v>0</v>
      </c>
      <c r="AN242" s="3" t="n">
        <v>0.5429999999999999</v>
      </c>
      <c r="AO242" s="3" t="n">
        <v>0.03247200000000001</v>
      </c>
      <c r="AP242" s="3">
        <f>N(X242)*N(BI242)</f>
        <v/>
      </c>
      <c r="AQ242" s="3" t="n">
        <v>0.0672</v>
      </c>
      <c r="AR242" s="3" t="n">
        <v>0</v>
      </c>
      <c r="AS242" s="3" t="n">
        <v>-0.5404658182244797</v>
      </c>
      <c r="AT242" s="3" t="n">
        <v>-0.3180632178373214</v>
      </c>
      <c r="AU242" s="3">
        <f>SUM(AN242:AT242)</f>
        <v/>
      </c>
      <c r="AV242" s="7">
        <f>IF(OR(N(W242)&lt;=0,N(BG242)=0),0,N(W242)*IF(N(R242)/N(W242)&gt;=60,N(BG242),1))</f>
        <v/>
      </c>
      <c r="AW242" s="7">
        <f>N(W242)*N(AF242)*N(BH242)</f>
        <v/>
      </c>
      <c r="AX242" s="7">
        <f>N(AL242)*(Assumptions!$B$13*N(BJ242)-(1-Assumptions!$B$13)*Assumptions!$B$14)+N(AM242)</f>
        <v/>
      </c>
      <c r="AY242" s="7">
        <f>N(AU242)*N(R242)/90+N(AV242)+N(AW242)+N(AX242)</f>
        <v/>
      </c>
      <c r="AZ242" s="3">
        <f>IF(N(R242)&lt;=0,0,(N(AY242)-N(AX242))*90/N(R242))</f>
        <v/>
      </c>
      <c r="BA242" s="7">
        <f>IFERROR(AY242-VLOOKUP($E242,Assumptions!$A$40:$C$43,3,FALSE),"")</f>
        <v/>
      </c>
      <c r="BB242" s="3">
        <f>IFERROR(BA242/H242,"")</f>
        <v/>
      </c>
      <c r="BC242">
        <f>IF(AND($G242=TRUE,$E242="GKP"),AY242,"")</f>
        <v/>
      </c>
      <c r="BD242">
        <f>IF(AND($G242=TRUE,$E242="DEF"),AY242,"")</f>
        <v/>
      </c>
      <c r="BE242">
        <f>IF(AND($G242=TRUE,$E242="MID"),AY242,"")</f>
        <v/>
      </c>
      <c r="BF242">
        <f>IF(AND($G242=TRUE,$E242="FWD"),AY242,"")</f>
        <v/>
      </c>
      <c r="BG242" t="n">
        <v>2</v>
      </c>
      <c r="BH242" t="n">
        <v>2</v>
      </c>
      <c r="BI242" t="n">
        <v>4</v>
      </c>
      <c r="BJ242" t="n">
        <v>6</v>
      </c>
    </row>
    <row r="243">
      <c r="A243" t="inlineStr">
        <is>
          <t>Noussair Mazraoui</t>
        </is>
      </c>
      <c r="B243" t="inlineStr">
        <is>
          <t>MUN</t>
        </is>
      </c>
      <c r="C243" t="inlineStr">
        <is>
          <t>MUN</t>
        </is>
      </c>
      <c r="D243" t="b">
        <v>0</v>
      </c>
      <c r="E243" t="inlineStr">
        <is>
          <t>DEF</t>
        </is>
      </c>
      <c r="F243" t="inlineStr">
        <is>
          <t>DEF</t>
        </is>
      </c>
      <c r="G243" t="b">
        <v>1</v>
      </c>
      <c r="H243" s="2" t="n">
        <v>4.5</v>
      </c>
      <c r="I243" t="inlineStr">
        <is>
          <t>a</t>
        </is>
      </c>
      <c r="K243" s="2" t="n">
        <v>977</v>
      </c>
      <c r="L243" t="n">
        <v>53</v>
      </c>
      <c r="M243" s="3" t="n">
        <v>808</v>
      </c>
      <c r="N243" s="4" t="n">
        <v>1300</v>
      </c>
      <c r="O243" s="4" t="n">
        <v>492</v>
      </c>
      <c r="P243" s="5" t="inlineStr">
        <is>
          <t>medium</t>
        </is>
      </c>
      <c r="Q243" t="inlineStr">
        <is>
          <t>flat</t>
        </is>
      </c>
      <c r="R243" s="6" t="n">
        <v>1300</v>
      </c>
      <c r="S243" t="inlineStr">
        <is>
          <t>research</t>
        </is>
      </c>
      <c r="T243" s="5" t="inlineStr">
        <is>
          <t>Started at right-back in the final pre-season friendly, the game reporters described as the closest guide to the Hull XI, and was widely reported to have returned from the World Cup in strong form. The offsetting half of the Dalot adjustment.</t>
        </is>
      </c>
      <c r="U243" s="6" t="n">
        <v>78.40000000000001</v>
      </c>
      <c r="V243" s="2" t="n">
        <v>11</v>
      </c>
      <c r="W243" s="7">
        <f>IF(N(U243)&lt;=0,0,MIN(Assumptions!$B$15,N(R243)/N(U243)))</f>
        <v/>
      </c>
      <c r="X243" s="6" t="n">
        <v>0.334</v>
      </c>
      <c r="Y243" s="3" t="n">
        <v>0.0164</v>
      </c>
      <c r="Z243" t="inlineStr">
        <is>
          <t>adjusted xGOT</t>
        </is>
      </c>
      <c r="AA243" s="3" t="n">
        <v>1</v>
      </c>
      <c r="AB243" s="3" t="n">
        <v>0.9350000000000001</v>
      </c>
      <c r="AC243" s="3" t="n">
        <v>0.9</v>
      </c>
      <c r="AD243" s="3" t="n">
        <v>0.0258</v>
      </c>
      <c r="AE243" s="3" t="n">
        <v>8.246</v>
      </c>
      <c r="AF243" s="3" t="n">
        <v>0.1885547173550973</v>
      </c>
      <c r="AG243" s="3" t="n">
        <v>0.5527</v>
      </c>
      <c r="AH243" s="3" t="n">
        <v>30</v>
      </c>
      <c r="AI243" s="3" t="n">
        <v>2.2165</v>
      </c>
      <c r="AJ243" s="3" t="n">
        <v>1.1467</v>
      </c>
      <c r="AK243" s="3" t="n">
        <v>-0.1901851058994535</v>
      </c>
      <c r="AL243" s="6" t="n">
        <v>0</v>
      </c>
      <c r="AM243" s="3" t="n">
        <v>0</v>
      </c>
      <c r="AN243" s="3" t="n">
        <v>0.09840000000000002</v>
      </c>
      <c r="AO243" s="3" t="n">
        <v>0.102168</v>
      </c>
      <c r="AP243" s="3">
        <f>N(X243)*N(BI243)</f>
        <v/>
      </c>
      <c r="AQ243" s="3" t="n">
        <v>0.5527</v>
      </c>
      <c r="AR243" s="3" t="n">
        <v>0</v>
      </c>
      <c r="AS243" s="3" t="n">
        <v>-0.348580685135232</v>
      </c>
      <c r="AT243" s="3" t="n">
        <v>-0.1901851058994535</v>
      </c>
      <c r="AU243" s="3">
        <f>SUM(AN243:AT243)</f>
        <v/>
      </c>
      <c r="AV243" s="7">
        <f>IF(OR(N(W243)&lt;=0,N(BG243)=0),0,N(W243)*IF(N(R243)/N(W243)&gt;=60,N(BG243),1))</f>
        <v/>
      </c>
      <c r="AW243" s="7">
        <f>N(W243)*N(AF243)*N(BH243)</f>
        <v/>
      </c>
      <c r="AX243" s="7">
        <f>N(AL243)*(Assumptions!$B$13*N(BJ243)-(1-Assumptions!$B$13)*Assumptions!$B$14)+N(AM243)</f>
        <v/>
      </c>
      <c r="AY243" s="7">
        <f>N(AU243)*N(R243)/90+N(AV243)+N(AW243)+N(AX243)</f>
        <v/>
      </c>
      <c r="AZ243" s="3">
        <f>IF(N(R243)&lt;=0,0,(N(AY243)-N(AX243))*90/N(R243))</f>
        <v/>
      </c>
      <c r="BA243" s="7">
        <f>IFERROR(AY243-VLOOKUP($E243,Assumptions!$A$40:$C$43,3,FALSE),"")</f>
        <v/>
      </c>
      <c r="BB243" s="3">
        <f>IFERROR(BA243/H243,"")</f>
        <v/>
      </c>
      <c r="BC243">
        <f>IF(AND($G243=TRUE,$E243="GKP"),AY243,"")</f>
        <v/>
      </c>
      <c r="BD243">
        <f>IF(AND($G243=TRUE,$E243="DEF"),AY243,"")</f>
        <v/>
      </c>
      <c r="BE243">
        <f>IF(AND($G243=TRUE,$E243="MID"),AY243,"")</f>
        <v/>
      </c>
      <c r="BF243">
        <f>IF(AND($G243=TRUE,$E243="FWD"),AY243,"")</f>
        <v/>
      </c>
      <c r="BG243" t="n">
        <v>2</v>
      </c>
      <c r="BH243" t="n">
        <v>2</v>
      </c>
      <c r="BI243" t="n">
        <v>4</v>
      </c>
      <c r="BJ243" t="n">
        <v>6</v>
      </c>
    </row>
    <row r="244">
      <c r="A244" t="inlineStr">
        <is>
          <t>Rico Henry</t>
        </is>
      </c>
      <c r="B244" t="inlineStr">
        <is>
          <t>BRE</t>
        </is>
      </c>
      <c r="C244" t="inlineStr">
        <is>
          <t>BRE</t>
        </is>
      </c>
      <c r="D244" t="b">
        <v>0</v>
      </c>
      <c r="E244" t="inlineStr">
        <is>
          <t>DEF</t>
        </is>
      </c>
      <c r="F244" t="inlineStr">
        <is>
          <t>DEF</t>
        </is>
      </c>
      <c r="G244" t="b">
        <v>1</v>
      </c>
      <c r="H244" s="2" t="n">
        <v>4.5</v>
      </c>
      <c r="I244" t="inlineStr">
        <is>
          <t>a</t>
        </is>
      </c>
      <c r="K244" s="2" t="n">
        <v>1322</v>
      </c>
      <c r="L244" t="n">
        <v>52</v>
      </c>
      <c r="M244" s="3" t="n">
        <v>1236</v>
      </c>
      <c r="N244" s="4" t="n">
        <v>850</v>
      </c>
      <c r="O244" s="4" t="n">
        <v>-386</v>
      </c>
      <c r="P244" s="5" t="inlineStr">
        <is>
          <t>medium</t>
        </is>
      </c>
      <c r="Q244" t="inlineStr">
        <is>
          <t>flat</t>
        </is>
      </c>
      <c r="R244" s="6" t="n">
        <v>850</v>
      </c>
      <c r="S244" t="inlineStr">
        <is>
          <t>research</t>
        </is>
      </c>
      <c r="T244" s="5" t="inlineStr">
        <is>
          <t>Lewis-Potter started at left-back in both August friendlies while Henry came off the bench in the final one. Henry has a documented hamstring history and managed only 1322 minutes in 2025/26. Reduced to a backup left-back's share.</t>
        </is>
      </c>
      <c r="U244" s="6" t="n">
        <v>82.09999999999999</v>
      </c>
      <c r="V244" s="2" t="n">
        <v>14</v>
      </c>
      <c r="W244" s="7">
        <f>IF(N(U244)&lt;=0,0,MIN(Assumptions!$B$15,N(R244)/N(U244)))</f>
        <v/>
      </c>
      <c r="X244" s="6" t="n">
        <v>0.228</v>
      </c>
      <c r="Y244" s="3" t="n">
        <v>0.011</v>
      </c>
      <c r="Z244" t="inlineStr">
        <is>
          <t>adjusted xGOT</t>
        </is>
      </c>
      <c r="AA244" s="3" t="n">
        <v>1</v>
      </c>
      <c r="AB244" s="3" t="n">
        <v>0.896</v>
      </c>
      <c r="AC244" s="3" t="n">
        <v>2</v>
      </c>
      <c r="AD244" s="3" t="n">
        <v>0.0291</v>
      </c>
      <c r="AE244" s="3" t="n">
        <v>5.707</v>
      </c>
      <c r="AF244" s="3" t="n">
        <v>0.03993077509662135</v>
      </c>
      <c r="AG244" s="3" t="n">
        <v>0</v>
      </c>
      <c r="AH244" s="3" t="n">
        <v>38</v>
      </c>
      <c r="AI244" s="3" t="n">
        <v>3.2371</v>
      </c>
      <c r="AJ244" s="3" t="n">
        <v>1.5396</v>
      </c>
      <c r="AK244" s="3" t="n">
        <v>-0.1823330539894165</v>
      </c>
      <c r="AL244" s="6" t="n">
        <v>0</v>
      </c>
      <c r="AM244" s="3" t="n">
        <v>0</v>
      </c>
      <c r="AN244" s="3" t="n">
        <v>0.066</v>
      </c>
      <c r="AO244" s="3" t="n">
        <v>0.115236</v>
      </c>
      <c r="AP244" s="3">
        <f>N(X244)*N(BI244)</f>
        <v/>
      </c>
      <c r="AQ244" s="3" t="n">
        <v>0</v>
      </c>
      <c r="AR244" s="3" t="n">
        <v>0</v>
      </c>
      <c r="AS244" s="3" t="n">
        <v>-0.5312990096912251</v>
      </c>
      <c r="AT244" s="3" t="n">
        <v>-0.1823330539894165</v>
      </c>
      <c r="AU244" s="3">
        <f>SUM(AN244:AT244)</f>
        <v/>
      </c>
      <c r="AV244" s="7">
        <f>IF(OR(N(W244)&lt;=0,N(BG244)=0),0,N(W244)*IF(N(R244)/N(W244)&gt;=60,N(BG244),1))</f>
        <v/>
      </c>
      <c r="AW244" s="7">
        <f>N(W244)*N(AF244)*N(BH244)</f>
        <v/>
      </c>
      <c r="AX244" s="7">
        <f>N(AL244)*(Assumptions!$B$13*N(BJ244)-(1-Assumptions!$B$13)*Assumptions!$B$14)+N(AM244)</f>
        <v/>
      </c>
      <c r="AY244" s="7">
        <f>N(AU244)*N(R244)/90+N(AV244)+N(AW244)+N(AX244)</f>
        <v/>
      </c>
      <c r="AZ244" s="3">
        <f>IF(N(R244)&lt;=0,0,(N(AY244)-N(AX244))*90/N(R244))</f>
        <v/>
      </c>
      <c r="BA244" s="7">
        <f>IFERROR(AY244-VLOOKUP($E244,Assumptions!$A$40:$C$43,3,FALSE),"")</f>
        <v/>
      </c>
      <c r="BB244" s="3">
        <f>IFERROR(BA244/H244,"")</f>
        <v/>
      </c>
      <c r="BC244">
        <f>IF(AND($G244=TRUE,$E244="GKP"),AY244,"")</f>
        <v/>
      </c>
      <c r="BD244">
        <f>IF(AND($G244=TRUE,$E244="DEF"),AY244,"")</f>
        <v/>
      </c>
      <c r="BE244">
        <f>IF(AND($G244=TRUE,$E244="MID"),AY244,"")</f>
        <v/>
      </c>
      <c r="BF244">
        <f>IF(AND($G244=TRUE,$E244="FWD"),AY244,"")</f>
        <v/>
      </c>
      <c r="BG244" t="n">
        <v>2</v>
      </c>
      <c r="BH244" t="n">
        <v>2</v>
      </c>
      <c r="BI244" t="n">
        <v>4</v>
      </c>
      <c r="BJ244" t="n">
        <v>6</v>
      </c>
    </row>
    <row r="245">
      <c r="A245" t="inlineStr">
        <is>
          <t>Lisandro Martínez</t>
        </is>
      </c>
      <c r="B245" t="inlineStr">
        <is>
          <t>MUN</t>
        </is>
      </c>
      <c r="C245" t="inlineStr">
        <is>
          <t>MUN</t>
        </is>
      </c>
      <c r="D245" t="b">
        <v>0</v>
      </c>
      <c r="E245" t="inlineStr">
        <is>
          <t>DEF</t>
        </is>
      </c>
      <c r="F245" t="inlineStr">
        <is>
          <t>DEF</t>
        </is>
      </c>
      <c r="G245" t="b">
        <v>1</v>
      </c>
      <c r="H245" s="2" t="n">
        <v>5</v>
      </c>
      <c r="I245" t="inlineStr">
        <is>
          <t>d</t>
        </is>
      </c>
      <c r="J245" t="inlineStr">
        <is>
          <t>Thigh injury - 75% chance of playing</t>
        </is>
      </c>
      <c r="K245" s="2" t="n">
        <v>1229</v>
      </c>
      <c r="L245" t="n">
        <v>51</v>
      </c>
      <c r="M245" s="3" t="n">
        <v>3089</v>
      </c>
      <c r="N245" s="4" t="n">
        <v>1900</v>
      </c>
      <c r="O245" s="4" t="n">
        <v>-1189</v>
      </c>
      <c r="P245" s="5" t="inlineStr">
        <is>
          <t>medium</t>
        </is>
      </c>
      <c r="Q245" t="inlineStr">
        <is>
          <t>flat</t>
        </is>
      </c>
      <c r="R245" s="6" t="n">
        <v>1900</v>
      </c>
      <c r="S245" t="inlineStr">
        <is>
          <t>research</t>
        </is>
      </c>
      <c r="T245" s="5" t="inlineStr">
        <is>
          <t>Solio projects him as an 81%-of-the-season nailed starter, which he has not been at United in four years. He tore a thigh muscle in the World Cup final on 19 July, missed the entire pre-season programme, and managed only a 29-minute substitute cameo against Milan on 15 Aug. He is not expected to start at Hull, with Yoro or Heaven set to partner Maguire. Stretty News counts 92 matches missed across four seasons, and this is his fourth absence of eight weeks or more since 2022. Evidence is genuinely mixed — Andy Mitten reported on 27 July that United were relaxed and optimistic for opening weekend — so this is a cut to roughly half a season rather than a write-off, and still comfortably above his 1,229 minutes in 2025/26.</t>
        </is>
      </c>
      <c r="U245" s="6" t="n">
        <v>87.8</v>
      </c>
      <c r="V245" s="2" t="n">
        <v>12</v>
      </c>
      <c r="W245" s="7">
        <f>IF(N(U245)&lt;=0,0,MIN(Assumptions!$B$15,N(R245)/N(U245)))</f>
        <v/>
      </c>
      <c r="X245" s="6" t="n">
        <v>0.334</v>
      </c>
      <c r="Y245" s="3" t="n">
        <v>0.01</v>
      </c>
      <c r="Z245" t="inlineStr">
        <is>
          <t>adjusted xGOT</t>
        </is>
      </c>
      <c r="AA245" s="3" t="n">
        <v>1</v>
      </c>
      <c r="AB245" s="3" t="n">
        <v>0.916</v>
      </c>
      <c r="AC245" s="3" t="n">
        <v>1.9</v>
      </c>
      <c r="AD245" s="3" t="n">
        <v>0.039</v>
      </c>
      <c r="AE245" s="3" t="n">
        <v>7.688</v>
      </c>
      <c r="AF245" s="3" t="n">
        <v>0.2236005250288305</v>
      </c>
      <c r="AG245" s="3" t="n">
        <v>0.1465</v>
      </c>
      <c r="AH245" s="3" t="n">
        <v>30</v>
      </c>
      <c r="AI245" s="3" t="n">
        <v>2.2165</v>
      </c>
      <c r="AJ245" s="3" t="n">
        <v>1.1467</v>
      </c>
      <c r="AK245" s="3" t="n">
        <v>-0.2097893663306599</v>
      </c>
      <c r="AL245" s="6" t="n">
        <v>0</v>
      </c>
      <c r="AM245" s="3" t="n">
        <v>0</v>
      </c>
      <c r="AN245" s="3" t="n">
        <v>0.06</v>
      </c>
      <c r="AO245" s="3" t="n">
        <v>0.15444</v>
      </c>
      <c r="AP245" s="3">
        <f>N(X245)*N(BI245)</f>
        <v/>
      </c>
      <c r="AQ245" s="3" t="n">
        <v>0.1465</v>
      </c>
      <c r="AR245" s="3" t="n">
        <v>0</v>
      </c>
      <c r="AS245" s="3" t="n">
        <v>-0.348580685135232</v>
      </c>
      <c r="AT245" s="3" t="n">
        <v>-0.2097893663306599</v>
      </c>
      <c r="AU245" s="3">
        <f>SUM(AN245:AT245)</f>
        <v/>
      </c>
      <c r="AV245" s="7">
        <f>IF(OR(N(W245)&lt;=0,N(BG245)=0),0,N(W245)*IF(N(R245)/N(W245)&gt;=60,N(BG245),1))</f>
        <v/>
      </c>
      <c r="AW245" s="7">
        <f>N(W245)*N(AF245)*N(BH245)</f>
        <v/>
      </c>
      <c r="AX245" s="7">
        <f>N(AL245)*(Assumptions!$B$13*N(BJ245)-(1-Assumptions!$B$13)*Assumptions!$B$14)+N(AM245)</f>
        <v/>
      </c>
      <c r="AY245" s="7">
        <f>N(AU245)*N(R245)/90+N(AV245)+N(AW245)+N(AX245)</f>
        <v/>
      </c>
      <c r="AZ245" s="3">
        <f>IF(N(R245)&lt;=0,0,(N(AY245)-N(AX245))*90/N(R245))</f>
        <v/>
      </c>
      <c r="BA245" s="7">
        <f>IFERROR(AY245-VLOOKUP($E245,Assumptions!$A$40:$C$43,3,FALSE),"")</f>
        <v/>
      </c>
      <c r="BB245" s="3">
        <f>IFERROR(BA245/H245,"")</f>
        <v/>
      </c>
      <c r="BC245">
        <f>IF(AND($G245=TRUE,$E245="GKP"),AY245,"")</f>
        <v/>
      </c>
      <c r="BD245">
        <f>IF(AND($G245=TRUE,$E245="DEF"),AY245,"")</f>
        <v/>
      </c>
      <c r="BE245">
        <f>IF(AND($G245=TRUE,$E245="MID"),AY245,"")</f>
        <v/>
      </c>
      <c r="BF245">
        <f>IF(AND($G245=TRUE,$E245="FWD"),AY245,"")</f>
        <v/>
      </c>
      <c r="BG245" t="n">
        <v>2</v>
      </c>
      <c r="BH245" t="n">
        <v>2</v>
      </c>
      <c r="BI245" t="n">
        <v>4</v>
      </c>
      <c r="BJ245" t="n">
        <v>6</v>
      </c>
    </row>
    <row r="246">
      <c r="A246" t="inlineStr">
        <is>
          <t>Fabian Schär</t>
        </is>
      </c>
      <c r="B246" t="inlineStr">
        <is>
          <t>NEW</t>
        </is>
      </c>
      <c r="C246" t="inlineStr">
        <is>
          <t>NEW</t>
        </is>
      </c>
      <c r="D246" t="b">
        <v>0</v>
      </c>
      <c r="E246" t="inlineStr">
        <is>
          <t>DEF</t>
        </is>
      </c>
      <c r="F246" t="inlineStr">
        <is>
          <t>DEF</t>
        </is>
      </c>
      <c r="G246" t="b">
        <v>1</v>
      </c>
      <c r="H246" s="2" t="n">
        <v>5</v>
      </c>
      <c r="I246" t="inlineStr">
        <is>
          <t>a</t>
        </is>
      </c>
      <c r="K246" s="2" t="n">
        <v>1089</v>
      </c>
      <c r="L246" t="n">
        <v>51</v>
      </c>
      <c r="M246" s="3" t="n">
        <v>317</v>
      </c>
      <c r="N246" s="4" t="n">
        <v>750</v>
      </c>
      <c r="O246" s="4" t="n">
        <v>433</v>
      </c>
      <c r="P246" s="5" t="inlineStr">
        <is>
          <t>medium</t>
        </is>
      </c>
      <c r="Q246" t="inlineStr">
        <is>
          <t>flat</t>
        </is>
      </c>
      <c r="R246" s="6" t="n">
        <v>750</v>
      </c>
      <c r="S246" t="inlineStr">
        <is>
          <t>research</t>
        </is>
      </c>
      <c r="T246" s="5" t="inlineStr">
        <is>
          <t>317 minutes is an allocation for a player who is leaving or finished. Schar signed a one-year extension to summer 2027 on 2 Jun 2026, Newcastle signed no centre-back this window, and the senior centre-back group is only Thiaw, Botman, Burn and Schar. Jaissle said on 13 Aug that Schar 'is on the way back now' and hoped to have him in team training within days with a chance of minutes that weekend. Held well below a rotation share because he is 34 and lost most of 2025/26 to ankle, foot and groin problems.</t>
        </is>
      </c>
      <c r="U246" s="6" t="n">
        <v>86.7</v>
      </c>
      <c r="V246" s="2" t="n">
        <v>11</v>
      </c>
      <c r="W246" s="7">
        <f>IF(N(U246)&lt;=0,0,MIN(Assumptions!$B$15,N(R246)/N(U246)))</f>
        <v/>
      </c>
      <c r="X246" s="6" t="n">
        <v>0.248</v>
      </c>
      <c r="Y246" s="3" t="n">
        <v>0.0693</v>
      </c>
      <c r="Z246" t="inlineStr">
        <is>
          <t>adjusted xGOT</t>
        </is>
      </c>
      <c r="AA246" s="3" t="n">
        <v>1</v>
      </c>
      <c r="AB246" s="3" t="n">
        <v>0.865</v>
      </c>
      <c r="AC246" s="3" t="n">
        <v>12</v>
      </c>
      <c r="AD246" s="3" t="n">
        <v>0.0315</v>
      </c>
      <c r="AE246" s="3" t="n">
        <v>8.779999999999999</v>
      </c>
      <c r="AF246" s="3" t="n">
        <v>0.341587428022623</v>
      </c>
      <c r="AG246" s="3" t="n">
        <v>0</v>
      </c>
      <c r="AH246" s="3" t="n">
        <v>27</v>
      </c>
      <c r="AI246" s="3" t="n">
        <v>3.0912</v>
      </c>
      <c r="AJ246" s="3" t="n">
        <v>1.4534</v>
      </c>
      <c r="AK246" s="3" t="n">
        <v>-0.2062473025928537</v>
      </c>
      <c r="AL246" s="6" t="n">
        <v>0</v>
      </c>
      <c r="AM246" s="3" t="n">
        <v>0</v>
      </c>
      <c r="AN246" s="3" t="n">
        <v>0.4158</v>
      </c>
      <c r="AO246" s="3" t="n">
        <v>0.12474</v>
      </c>
      <c r="AP246" s="3">
        <f>N(X246)*N(BI246)</f>
        <v/>
      </c>
      <c r="AQ246" s="3" t="n">
        <v>0</v>
      </c>
      <c r="AR246" s="3" t="n">
        <v>0</v>
      </c>
      <c r="AS246" s="3" t="n">
        <v>-0.4903625828545308</v>
      </c>
      <c r="AT246" s="3" t="n">
        <v>-0.2062473025928537</v>
      </c>
      <c r="AU246" s="3">
        <f>SUM(AN246:AT246)</f>
        <v/>
      </c>
      <c r="AV246" s="7">
        <f>IF(OR(N(W246)&lt;=0,N(BG246)=0),0,N(W246)*IF(N(R246)/N(W246)&gt;=60,N(BG246),1))</f>
        <v/>
      </c>
      <c r="AW246" s="7">
        <f>N(W246)*N(AF246)*N(BH246)</f>
        <v/>
      </c>
      <c r="AX246" s="7">
        <f>N(AL246)*(Assumptions!$B$13*N(BJ246)-(1-Assumptions!$B$13)*Assumptions!$B$14)+N(AM246)</f>
        <v/>
      </c>
      <c r="AY246" s="7">
        <f>N(AU246)*N(R246)/90+N(AV246)+N(AW246)+N(AX246)</f>
        <v/>
      </c>
      <c r="AZ246" s="3">
        <f>IF(N(R246)&lt;=0,0,(N(AY246)-N(AX246))*90/N(R246))</f>
        <v/>
      </c>
      <c r="BA246" s="7">
        <f>IFERROR(AY246-VLOOKUP($E246,Assumptions!$A$40:$C$43,3,FALSE),"")</f>
        <v/>
      </c>
      <c r="BB246" s="3">
        <f>IFERROR(BA246/H246,"")</f>
        <v/>
      </c>
      <c r="BC246">
        <f>IF(AND($G246=TRUE,$E246="GKP"),AY246,"")</f>
        <v/>
      </c>
      <c r="BD246">
        <f>IF(AND($G246=TRUE,$E246="DEF"),AY246,"")</f>
        <v/>
      </c>
      <c r="BE246">
        <f>IF(AND($G246=TRUE,$E246="MID"),AY246,"")</f>
        <v/>
      </c>
      <c r="BF246">
        <f>IF(AND($G246=TRUE,$E246="FWD"),AY246,"")</f>
        <v/>
      </c>
      <c r="BG246" t="n">
        <v>2</v>
      </c>
      <c r="BH246" t="n">
        <v>2</v>
      </c>
      <c r="BI246" t="n">
        <v>4</v>
      </c>
      <c r="BJ246" t="n">
        <v>6</v>
      </c>
    </row>
    <row r="247">
      <c r="A247" t="inlineStr">
        <is>
          <t>Tyrone Mings</t>
        </is>
      </c>
      <c r="B247" t="inlineStr">
        <is>
          <t>AVL</t>
        </is>
      </c>
      <c r="C247" t="inlineStr">
        <is>
          <t>AVL</t>
        </is>
      </c>
      <c r="D247" t="b">
        <v>0</v>
      </c>
      <c r="E247" t="inlineStr">
        <is>
          <t>DEF</t>
        </is>
      </c>
      <c r="F247" t="inlineStr">
        <is>
          <t>DEF</t>
        </is>
      </c>
      <c r="G247" t="b">
        <v>1</v>
      </c>
      <c r="H247" s="2" t="n">
        <v>4.5</v>
      </c>
      <c r="I247" t="inlineStr">
        <is>
          <t>a</t>
        </is>
      </c>
      <c r="K247" s="2" t="n">
        <v>1322</v>
      </c>
      <c r="L247" t="n">
        <v>50</v>
      </c>
      <c r="M247" s="3" t="n">
        <v>1493</v>
      </c>
      <c r="N247" s="4" t="n">
        <v>1370</v>
      </c>
      <c r="O247" s="4" t="n">
        <v>-123</v>
      </c>
      <c r="P247" s="5" t="inlineStr">
        <is>
          <t>low</t>
        </is>
      </c>
      <c r="Q247" t="inlineStr">
        <is>
          <t>flat</t>
        </is>
      </c>
      <c r="R247" s="6" t="n">
        <v>1370</v>
      </c>
      <c r="S247" t="inlineStr">
        <is>
          <t>research</t>
        </is>
      </c>
      <c r="T247" s="5" t="inlineStr">
        <is>
          <t>Small trim to keep the centre-back block near its physical ceiling. Mings is fit (used off the bench in the Super Cup, started against Monchengladbach) but is 33 and now sits in a five-man centre-back group after Villa signed Modou Keba Cisse from LASK on 15 June, with Lindelof starting ahead of him in August.</t>
        </is>
      </c>
      <c r="U247" s="6" t="n">
        <v>85.8</v>
      </c>
      <c r="V247" s="2" t="n">
        <v>15</v>
      </c>
      <c r="W247" s="7">
        <f>IF(N(U247)&lt;=0,0,MIN(Assumptions!$B$15,N(R247)/N(U247)))</f>
        <v/>
      </c>
      <c r="X247" s="6" t="n">
        <v>0.273</v>
      </c>
      <c r="Y247" s="3" t="n">
        <v>0.073</v>
      </c>
      <c r="Z247" t="inlineStr">
        <is>
          <t>adjusted xGOT</t>
        </is>
      </c>
      <c r="AA247" s="3" t="n">
        <v>1</v>
      </c>
      <c r="AB247" s="3" t="n">
        <v>0.825</v>
      </c>
      <c r="AC247" s="3" t="n">
        <v>3.2</v>
      </c>
      <c r="AD247" s="3" t="n">
        <v>0.0384</v>
      </c>
      <c r="AE247" s="3" t="n">
        <v>7.426</v>
      </c>
      <c r="AF247" s="3" t="n">
        <v>0.1776515732651519</v>
      </c>
      <c r="AG247" s="3" t="n">
        <v>0.2723</v>
      </c>
      <c r="AH247" s="3" t="n">
        <v>31</v>
      </c>
      <c r="AI247" s="3" t="n">
        <v>2.7451</v>
      </c>
      <c r="AJ247" s="3" t="n">
        <v>1.3575</v>
      </c>
      <c r="AK247" s="3" t="n">
        <v>-0.1396137393160241</v>
      </c>
      <c r="AL247" s="6" t="n">
        <v>0</v>
      </c>
      <c r="AM247" s="3" t="n">
        <v>0</v>
      </c>
      <c r="AN247" s="3" t="n">
        <v>0.4379999999999999</v>
      </c>
      <c r="AO247" s="3" t="n">
        <v>0.152064</v>
      </c>
      <c r="AP247" s="3">
        <f>N(X247)*N(BI247)</f>
        <v/>
      </c>
      <c r="AQ247" s="3" t="n">
        <v>0.2723</v>
      </c>
      <c r="AR247" s="3" t="n">
        <v>0</v>
      </c>
      <c r="AS247" s="3" t="n">
        <v>-0.4453012382517575</v>
      </c>
      <c r="AT247" s="3" t="n">
        <v>-0.1396137393160241</v>
      </c>
      <c r="AU247" s="3">
        <f>SUM(AN247:AT247)</f>
        <v/>
      </c>
      <c r="AV247" s="7">
        <f>IF(OR(N(W247)&lt;=0,N(BG247)=0),0,N(W247)*IF(N(R247)/N(W247)&gt;=60,N(BG247),1))</f>
        <v/>
      </c>
      <c r="AW247" s="7">
        <f>N(W247)*N(AF247)*N(BH247)</f>
        <v/>
      </c>
      <c r="AX247" s="7">
        <f>N(AL247)*(Assumptions!$B$13*N(BJ247)-(1-Assumptions!$B$13)*Assumptions!$B$14)+N(AM247)</f>
        <v/>
      </c>
      <c r="AY247" s="7">
        <f>N(AU247)*N(R247)/90+N(AV247)+N(AW247)+N(AX247)</f>
        <v/>
      </c>
      <c r="AZ247" s="3">
        <f>IF(N(R247)&lt;=0,0,(N(AY247)-N(AX247))*90/N(R247))</f>
        <v/>
      </c>
      <c r="BA247" s="7">
        <f>IFERROR(AY247-VLOOKUP($E247,Assumptions!$A$40:$C$43,3,FALSE),"")</f>
        <v/>
      </c>
      <c r="BB247" s="3">
        <f>IFERROR(BA247/H247,"")</f>
        <v/>
      </c>
      <c r="BC247">
        <f>IF(AND($G247=TRUE,$E247="GKP"),AY247,"")</f>
        <v/>
      </c>
      <c r="BD247">
        <f>IF(AND($G247=TRUE,$E247="DEF"),AY247,"")</f>
        <v/>
      </c>
      <c r="BE247">
        <f>IF(AND($G247=TRUE,$E247="MID"),AY247,"")</f>
        <v/>
      </c>
      <c r="BF247">
        <f>IF(AND($G247=TRUE,$E247="FWD"),AY247,"")</f>
        <v/>
      </c>
      <c r="BG247" t="n">
        <v>2</v>
      </c>
      <c r="BH247" t="n">
        <v>2</v>
      </c>
      <c r="BI247" t="n">
        <v>4</v>
      </c>
      <c r="BJ247" t="n">
        <v>6</v>
      </c>
    </row>
    <row r="248">
      <c r="A248" t="inlineStr">
        <is>
          <t>Dan Ndoye</t>
        </is>
      </c>
      <c r="B248" t="inlineStr">
        <is>
          <t>NFO</t>
        </is>
      </c>
      <c r="C248" t="inlineStr">
        <is>
          <t>NFO</t>
        </is>
      </c>
      <c r="D248" t="b">
        <v>0</v>
      </c>
      <c r="E248" t="inlineStr">
        <is>
          <t>MID</t>
        </is>
      </c>
      <c r="F248" t="inlineStr">
        <is>
          <t>MID</t>
        </is>
      </c>
      <c r="G248" t="b">
        <v>1</v>
      </c>
      <c r="H248" s="2" t="n">
        <v>5.5</v>
      </c>
      <c r="I248" t="inlineStr">
        <is>
          <t>a</t>
        </is>
      </c>
      <c r="K248" s="2" t="n">
        <v>1167</v>
      </c>
      <c r="L248" t="n">
        <v>50</v>
      </c>
      <c r="M248" s="3" t="n">
        <v>2417</v>
      </c>
      <c r="N248" s="4" t="n">
        <v>2300</v>
      </c>
      <c r="O248" s="4" t="n">
        <v>-117</v>
      </c>
      <c r="P248" s="5" t="inlineStr">
        <is>
          <t>low</t>
        </is>
      </c>
      <c r="Q248" t="inlineStr">
        <is>
          <t>flat</t>
        </is>
      </c>
      <c r="R248" s="6" t="n">
        <v>2300</v>
      </c>
      <c r="S248" t="inlineStr">
        <is>
          <t>research</t>
        </is>
      </c>
      <c r="T248" s="5" t="inlineStr">
        <is>
          <t>Confirmed starter as one of the two tens and scored vs Leverkusen, but Solio adds 1,250 minutes to a 2025-26 return of 1,167, with Hutchinson and Hudson-Odoi contesting the same wide-ten roles.</t>
        </is>
      </c>
      <c r="U248" s="6" t="n">
        <v>74.90000000000001</v>
      </c>
      <c r="V248" s="2" t="n">
        <v>14</v>
      </c>
      <c r="W248" s="7">
        <f>IF(N(U248)&lt;=0,0,MIN(Assumptions!$B$15,N(R248)/N(U248)))</f>
        <v/>
      </c>
      <c r="X248" s="6" t="n">
        <v>0.224</v>
      </c>
      <c r="Y248" s="3" t="n">
        <v>0.07969999999999999</v>
      </c>
      <c r="Z248" t="inlineStr">
        <is>
          <t>adjusted xGOT</t>
        </is>
      </c>
      <c r="AA248" s="3" t="n">
        <v>1</v>
      </c>
      <c r="AB248" s="3" t="n">
        <v>0.983</v>
      </c>
      <c r="AC248" s="3" t="n">
        <v>1</v>
      </c>
      <c r="AD248" s="3" t="n">
        <v>0.1181</v>
      </c>
      <c r="AE248" s="3" t="n">
        <v>7.851</v>
      </c>
      <c r="AF248" s="3" t="n">
        <v>0.03500587420755241</v>
      </c>
      <c r="AG248" s="3" t="n">
        <v>0.3085</v>
      </c>
      <c r="AH248" s="3" t="n">
        <v>34</v>
      </c>
      <c r="AI248" s="3" t="n">
        <v>3.1134</v>
      </c>
      <c r="AJ248" s="3" t="n">
        <v>1.5588</v>
      </c>
      <c r="AK248" s="3" t="n">
        <v>-0.1613023541717858</v>
      </c>
      <c r="AL248" s="6" t="n">
        <v>0</v>
      </c>
      <c r="AM248" s="3" t="n">
        <v>0</v>
      </c>
      <c r="AN248" s="3" t="n">
        <v>0.3985</v>
      </c>
      <c r="AO248" s="3" t="n">
        <v>0.467676</v>
      </c>
      <c r="AP248" s="3">
        <f>N(X248)*N(BI248)</f>
        <v/>
      </c>
      <c r="AQ248" s="3" t="n">
        <v>0.3085</v>
      </c>
      <c r="AR248" s="3" t="n">
        <v>0</v>
      </c>
      <c r="AS248" s="3" t="n">
        <v>-0</v>
      </c>
      <c r="AT248" s="3" t="n">
        <v>-0.1613023541717858</v>
      </c>
      <c r="AU248" s="3">
        <f>SUM(AN248:AT248)</f>
        <v/>
      </c>
      <c r="AV248" s="7">
        <f>IF(OR(N(W248)&lt;=0,N(BG248)=0),0,N(W248)*IF(N(R248)/N(W248)&gt;=60,N(BG248),1))</f>
        <v/>
      </c>
      <c r="AW248" s="7">
        <f>N(W248)*N(AF248)*N(BH248)</f>
        <v/>
      </c>
      <c r="AX248" s="7">
        <f>N(AL248)*(Assumptions!$B$13*N(BJ248)-(1-Assumptions!$B$13)*Assumptions!$B$14)+N(AM248)</f>
        <v/>
      </c>
      <c r="AY248" s="7">
        <f>N(AU248)*N(R248)/90+N(AV248)+N(AW248)+N(AX248)</f>
        <v/>
      </c>
      <c r="AZ248" s="3">
        <f>IF(N(R248)&lt;=0,0,(N(AY248)-N(AX248))*90/N(R248))</f>
        <v/>
      </c>
      <c r="BA248" s="7">
        <f>IFERROR(AY248-VLOOKUP($E248,Assumptions!$A$40:$C$43,3,FALSE),"")</f>
        <v/>
      </c>
      <c r="BB248" s="3">
        <f>IFERROR(BA248/H248,"")</f>
        <v/>
      </c>
      <c r="BC248">
        <f>IF(AND($G248=TRUE,$E248="GKP"),AY248,"")</f>
        <v/>
      </c>
      <c r="BD248">
        <f>IF(AND($G248=TRUE,$E248="DEF"),AY248,"")</f>
        <v/>
      </c>
      <c r="BE248">
        <f>IF(AND($G248=TRUE,$E248="MID"),AY248,"")</f>
        <v/>
      </c>
      <c r="BF248">
        <f>IF(AND($G248=TRUE,$E248="FWD"),AY248,"")</f>
        <v/>
      </c>
      <c r="BG248" t="n">
        <v>2</v>
      </c>
      <c r="BH248" t="n">
        <v>2</v>
      </c>
      <c r="BI248" t="n">
        <v>1</v>
      </c>
      <c r="BJ248" t="n">
        <v>5</v>
      </c>
    </row>
    <row r="249">
      <c r="A249" s="9" t="inlineStr">
        <is>
          <t>Axel Disasi</t>
        </is>
      </c>
      <c r="B249" t="inlineStr">
        <is>
          <t>CHE</t>
        </is>
      </c>
      <c r="C249" s="9" t="inlineStr">
        <is>
          <t>WHU</t>
        </is>
      </c>
      <c r="D249" t="b">
        <v>1</v>
      </c>
      <c r="E249" t="inlineStr">
        <is>
          <t>DEF</t>
        </is>
      </c>
      <c r="F249" t="inlineStr">
        <is>
          <t>DEF</t>
        </is>
      </c>
      <c r="G249" t="b">
        <v>1</v>
      </c>
      <c r="H249" s="2" t="n">
        <v>4.5</v>
      </c>
      <c r="I249" t="inlineStr">
        <is>
          <t>a</t>
        </is>
      </c>
      <c r="K249" s="2" t="n">
        <v>1254</v>
      </c>
      <c r="L249" t="n">
        <v>49</v>
      </c>
      <c r="M249" s="3" t="n">
        <v>0</v>
      </c>
      <c r="N249" s="8" t="n">
        <v>0</v>
      </c>
      <c r="O249" s="8" t="n">
        <v>0</v>
      </c>
      <c r="Q249" t="inlineStr">
        <is>
          <t>flat</t>
        </is>
      </c>
      <c r="R249" s="6" t="n">
        <v>0</v>
      </c>
      <c r="S249" t="inlineStr">
        <is>
          <t>Solio</t>
        </is>
      </c>
      <c r="U249" s="6" t="n">
        <v>87.90000000000001</v>
      </c>
      <c r="V249" s="2" t="n">
        <v>14</v>
      </c>
      <c r="W249" s="7">
        <f>IF(N(U249)&lt;=0,0,MIN(Assumptions!$B$15,N(R249)/N(U249)))</f>
        <v/>
      </c>
      <c r="X249" s="6" t="n">
        <v>0.322</v>
      </c>
      <c r="Y249" s="10" t="n">
        <v>0.08019999999999999</v>
      </c>
      <c r="Z249" t="inlineStr">
        <is>
          <t>adjusted xGOT</t>
        </is>
      </c>
      <c r="AA249" s="3" t="n">
        <v>1</v>
      </c>
      <c r="AB249" s="3" t="n">
        <v>1.015</v>
      </c>
      <c r="AC249" s="3" t="n">
        <v>3.8</v>
      </c>
      <c r="AD249" s="10" t="n">
        <v>0.0019</v>
      </c>
      <c r="AE249" s="3" t="n">
        <v>6.815</v>
      </c>
      <c r="AF249" s="3" t="n">
        <v>0.1363987575151699</v>
      </c>
      <c r="AG249" s="3" t="n">
        <v>0</v>
      </c>
      <c r="AH249" s="3" t="n">
        <v>28</v>
      </c>
      <c r="AI249" s="3" t="n">
        <v>2.4232</v>
      </c>
      <c r="AJ249" s="3" t="n">
        <v>1.1851</v>
      </c>
      <c r="AK249" s="3" t="n">
        <v>-0.193992112107049</v>
      </c>
      <c r="AL249" s="6" t="n">
        <v>0</v>
      </c>
      <c r="AM249" s="3" t="n">
        <v>0</v>
      </c>
      <c r="AN249" s="10" t="n">
        <v>0.4812</v>
      </c>
      <c r="AO249" s="10" t="n">
        <v>0.007524</v>
      </c>
      <c r="AP249" s="3">
        <f>N(X249)*N(BI249)</f>
        <v/>
      </c>
      <c r="AQ249" s="3" t="n">
        <v>0</v>
      </c>
      <c r="AR249" s="3" t="n">
        <v>0</v>
      </c>
      <c r="AS249" s="3" t="n">
        <v>-0.365915508000572</v>
      </c>
      <c r="AT249" s="3" t="n">
        <v>-0.193992112107049</v>
      </c>
      <c r="AU249" s="3">
        <f>SUM(AN249:AT249)</f>
        <v/>
      </c>
      <c r="AV249" s="7">
        <f>IF(OR(N(W249)&lt;=0,N(BG249)=0),0,N(W249)*IF(N(R249)/N(W249)&gt;=60,N(BG249),1))</f>
        <v/>
      </c>
      <c r="AW249" s="7">
        <f>N(W249)*N(AF249)*N(BH249)</f>
        <v/>
      </c>
      <c r="AX249" s="7">
        <f>N(AL249)*(Assumptions!$B$13*N(BJ249)-(1-Assumptions!$B$13)*Assumptions!$B$14)+N(AM249)</f>
        <v/>
      </c>
      <c r="AY249" s="7">
        <f>N(AU249)*N(R249)/90+N(AV249)+N(AW249)+N(AX249)</f>
        <v/>
      </c>
      <c r="AZ249" s="3">
        <f>IF(N(R249)&lt;=0,0,(N(AY249)-N(AX249))*90/N(R249))</f>
        <v/>
      </c>
      <c r="BA249" s="7">
        <f>IFERROR(AY249-VLOOKUP($E249,Assumptions!$A$40:$C$43,3,FALSE),"")</f>
        <v/>
      </c>
      <c r="BB249" s="3">
        <f>IFERROR(BA249/H249,"")</f>
        <v/>
      </c>
      <c r="BC249">
        <f>IF(AND($G249=TRUE,$E249="GKP"),AY249,"")</f>
        <v/>
      </c>
      <c r="BD249">
        <f>IF(AND($G249=TRUE,$E249="DEF"),AY249,"")</f>
        <v/>
      </c>
      <c r="BE249">
        <f>IF(AND($G249=TRUE,$E249="MID"),AY249,"")</f>
        <v/>
      </c>
      <c r="BF249">
        <f>IF(AND($G249=TRUE,$E249="FWD"),AY249,"")</f>
        <v/>
      </c>
      <c r="BG249" t="n">
        <v>2</v>
      </c>
      <c r="BH249" t="n">
        <v>2</v>
      </c>
      <c r="BI249" t="n">
        <v>4</v>
      </c>
      <c r="BJ249" t="n">
        <v>6</v>
      </c>
    </row>
    <row r="250">
      <c r="A250" t="inlineStr">
        <is>
          <t>Lucas Bergvall</t>
        </is>
      </c>
      <c r="B250" t="inlineStr">
        <is>
          <t>TOT</t>
        </is>
      </c>
      <c r="C250" t="inlineStr">
        <is>
          <t>TOT</t>
        </is>
      </c>
      <c r="D250" t="b">
        <v>0</v>
      </c>
      <c r="E250" t="inlineStr">
        <is>
          <t>MID</t>
        </is>
      </c>
      <c r="F250" t="inlineStr">
        <is>
          <t>MID</t>
        </is>
      </c>
      <c r="G250" t="b">
        <v>1</v>
      </c>
      <c r="H250" s="2" t="n">
        <v>5.5</v>
      </c>
      <c r="I250" t="inlineStr">
        <is>
          <t>a</t>
        </is>
      </c>
      <c r="K250" s="2" t="n">
        <v>955</v>
      </c>
      <c r="L250" t="n">
        <v>49</v>
      </c>
      <c r="M250" s="3" t="n">
        <v>277</v>
      </c>
      <c r="N250" s="4" t="n">
        <v>900</v>
      </c>
      <c r="O250" s="4" t="n">
        <v>623</v>
      </c>
      <c r="P250" s="5" t="inlineStr">
        <is>
          <t>low</t>
        </is>
      </c>
      <c r="Q250" t="inlineStr">
        <is>
          <t>flat</t>
        </is>
      </c>
      <c r="R250" s="6" t="n">
        <v>900</v>
      </c>
      <c r="S250" t="inlineStr">
        <is>
          <t>research</t>
        </is>
      </c>
      <c r="T250" s="5" t="inlineStr">
        <is>
          <t>Bergvall started both August friendlies in central midfield. De Zerbi asked him to withdraw his transfer request and commit until January, explicitly promising opportunities in the first half of the season, and Spurs have rejected Newcastle and Nottingham Forest approaches. 277 minutes assumes he is frozen out; the pre-season evidence says otherwise. Kept modest because he still wants to leave and both clubs are expected to bid again.</t>
        </is>
      </c>
      <c r="U250" s="6" t="n">
        <v>72.90000000000001</v>
      </c>
      <c r="V250" s="2" t="n">
        <v>11</v>
      </c>
      <c r="W250" s="7">
        <f>IF(N(U250)&lt;=0,0,MIN(Assumptions!$B$15,N(R250)/N(U250)))</f>
        <v/>
      </c>
      <c r="X250" s="6" t="n">
        <v>0.286</v>
      </c>
      <c r="Y250" s="3" t="n">
        <v>0.1038</v>
      </c>
      <c r="Z250" t="inlineStr">
        <is>
          <t>adjusted xGOT</t>
        </is>
      </c>
      <c r="AA250" s="3" t="n">
        <v>1</v>
      </c>
      <c r="AB250" s="3" t="n">
        <v>0.895</v>
      </c>
      <c r="AC250" s="3" t="n">
        <v>1.9</v>
      </c>
      <c r="AD250" s="3" t="n">
        <v>0.034</v>
      </c>
      <c r="AE250" s="3" t="n">
        <v>7.932</v>
      </c>
      <c r="AF250" s="3" t="n">
        <v>0.0314687778617857</v>
      </c>
      <c r="AG250" s="3" t="n">
        <v>0.09420000000000001</v>
      </c>
      <c r="AH250" s="3" t="n">
        <v>32</v>
      </c>
      <c r="AI250" s="3" t="n">
        <v>2.5739</v>
      </c>
      <c r="AJ250" s="3" t="n">
        <v>1.3096</v>
      </c>
      <c r="AK250" s="3" t="n">
        <v>-0.2186085633126312</v>
      </c>
      <c r="AL250" s="6" t="n">
        <v>0</v>
      </c>
      <c r="AM250" s="3" t="n">
        <v>0</v>
      </c>
      <c r="AN250" s="3" t="n">
        <v>0.519</v>
      </c>
      <c r="AO250" s="3" t="n">
        <v>0.13464</v>
      </c>
      <c r="AP250" s="3">
        <f>N(X250)*N(BI250)</f>
        <v/>
      </c>
      <c r="AQ250" s="3" t="n">
        <v>0.09420000000000001</v>
      </c>
      <c r="AR250" s="3" t="n">
        <v>0</v>
      </c>
      <c r="AS250" s="3" t="n">
        <v>-0</v>
      </c>
      <c r="AT250" s="3" t="n">
        <v>-0.2186085633126312</v>
      </c>
      <c r="AU250" s="3">
        <f>SUM(AN250:AT250)</f>
        <v/>
      </c>
      <c r="AV250" s="7">
        <f>IF(OR(N(W250)&lt;=0,N(BG250)=0),0,N(W250)*IF(N(R250)/N(W250)&gt;=60,N(BG250),1))</f>
        <v/>
      </c>
      <c r="AW250" s="7">
        <f>N(W250)*N(AF250)*N(BH250)</f>
        <v/>
      </c>
      <c r="AX250" s="7">
        <f>N(AL250)*(Assumptions!$B$13*N(BJ250)-(1-Assumptions!$B$13)*Assumptions!$B$14)+N(AM250)</f>
        <v/>
      </c>
      <c r="AY250" s="7">
        <f>N(AU250)*N(R250)/90+N(AV250)+N(AW250)+N(AX250)</f>
        <v/>
      </c>
      <c r="AZ250" s="3">
        <f>IF(N(R250)&lt;=0,0,(N(AY250)-N(AX250))*90/N(R250))</f>
        <v/>
      </c>
      <c r="BA250" s="7">
        <f>IFERROR(AY250-VLOOKUP($E250,Assumptions!$A$40:$C$43,3,FALSE),"")</f>
        <v/>
      </c>
      <c r="BB250" s="3">
        <f>IFERROR(BA250/H250,"")</f>
        <v/>
      </c>
      <c r="BC250">
        <f>IF(AND($G250=TRUE,$E250="GKP"),AY250,"")</f>
        <v/>
      </c>
      <c r="BD250">
        <f>IF(AND($G250=TRUE,$E250="DEF"),AY250,"")</f>
        <v/>
      </c>
      <c r="BE250">
        <f>IF(AND($G250=TRUE,$E250="MID"),AY250,"")</f>
        <v/>
      </c>
      <c r="BF250">
        <f>IF(AND($G250=TRUE,$E250="FWD"),AY250,"")</f>
        <v/>
      </c>
      <c r="BG250" t="n">
        <v>2</v>
      </c>
      <c r="BH250" t="n">
        <v>2</v>
      </c>
      <c r="BI250" t="n">
        <v>1</v>
      </c>
      <c r="BJ250" t="n">
        <v>5</v>
      </c>
    </row>
    <row r="251">
      <c r="A251" t="inlineStr">
        <is>
          <t>Kevin</t>
        </is>
      </c>
      <c r="B251" t="inlineStr">
        <is>
          <t>FUL</t>
        </is>
      </c>
      <c r="C251" t="inlineStr">
        <is>
          <t>FUL</t>
        </is>
      </c>
      <c r="D251" t="b">
        <v>0</v>
      </c>
      <c r="E251" t="inlineStr">
        <is>
          <t>MID</t>
        </is>
      </c>
      <c r="F251" t="inlineStr">
        <is>
          <t>MID</t>
        </is>
      </c>
      <c r="G251" t="b">
        <v>1</v>
      </c>
      <c r="H251" s="2" t="n">
        <v>5.5</v>
      </c>
      <c r="I251" t="inlineStr">
        <is>
          <t>a</t>
        </is>
      </c>
      <c r="K251" s="2" t="n">
        <v>1030</v>
      </c>
      <c r="L251" t="n">
        <v>49</v>
      </c>
      <c r="M251" s="3" t="n">
        <v>2519</v>
      </c>
      <c r="N251" s="4" t="n">
        <v>2100</v>
      </c>
      <c r="O251" s="4" t="n">
        <v>-419</v>
      </c>
      <c r="P251" s="5" t="inlineStr">
        <is>
          <t>low</t>
        </is>
      </c>
      <c r="Q251" t="inlineStr">
        <is>
          <t>flat</t>
        </is>
      </c>
      <c r="R251" s="6" t="n">
        <v>2100</v>
      </c>
      <c r="S251" t="inlineStr">
        <is>
          <t>research</t>
        </is>
      </c>
      <c r="T251" s="5" t="inlineStr">
        <is>
          <t>Left wing is a genuinely contested slot rather than a nailed one. Kevin started only one of the last three friendlies (12 Aug v Malaga), was a substitute on 7 Aug and was not in the matchday squad on 15 Aug, while Bobb started all three and Palacios started two. No injury is listed against him, so this is rotation. Solio's 2519 implies near-nailed status the pre-season evidence does not support.</t>
        </is>
      </c>
      <c r="U251" s="6" t="n">
        <v>74.3</v>
      </c>
      <c r="V251" s="2" t="n">
        <v>9</v>
      </c>
      <c r="W251" s="7">
        <f>IF(N(U251)&lt;=0,0,MIN(Assumptions!$B$15,N(R251)/N(U251)))</f>
        <v/>
      </c>
      <c r="X251" s="6" t="n">
        <v>0.214</v>
      </c>
      <c r="Y251" s="3" t="n">
        <v>0.1148</v>
      </c>
      <c r="Z251" t="inlineStr">
        <is>
          <t>adjusted xGOT</t>
        </is>
      </c>
      <c r="AA251" s="3" t="n">
        <v>1</v>
      </c>
      <c r="AB251" s="3" t="n">
        <v>1.086</v>
      </c>
      <c r="AC251" s="3" t="n">
        <v>1.2</v>
      </c>
      <c r="AD251" s="3" t="n">
        <v>0.1184</v>
      </c>
      <c r="AE251" s="3" t="n">
        <v>7.952</v>
      </c>
      <c r="AF251" s="3" t="n">
        <v>0.03606416051931205</v>
      </c>
      <c r="AG251" s="3" t="n">
        <v>0</v>
      </c>
      <c r="AH251" s="3" t="n">
        <v>32</v>
      </c>
      <c r="AI251" s="3" t="n">
        <v>3.22</v>
      </c>
      <c r="AJ251" s="3" t="n">
        <v>1.6019</v>
      </c>
      <c r="AK251" s="3" t="n">
        <v>-0.1693264294675384</v>
      </c>
      <c r="AL251" s="6" t="n">
        <v>0</v>
      </c>
      <c r="AM251" s="3" t="n">
        <v>0</v>
      </c>
      <c r="AN251" s="3" t="n">
        <v>0.574</v>
      </c>
      <c r="AO251" s="3" t="n">
        <v>0.4688640000000001</v>
      </c>
      <c r="AP251" s="3">
        <f>N(X251)*N(BI251)</f>
        <v/>
      </c>
      <c r="AQ251" s="3" t="n">
        <v>0</v>
      </c>
      <c r="AR251" s="3" t="n">
        <v>0</v>
      </c>
      <c r="AS251" s="3" t="n">
        <v>-0</v>
      </c>
      <c r="AT251" s="3" t="n">
        <v>-0.1693264294675384</v>
      </c>
      <c r="AU251" s="3">
        <f>SUM(AN251:AT251)</f>
        <v/>
      </c>
      <c r="AV251" s="7">
        <f>IF(OR(N(W251)&lt;=0,N(BG251)=0),0,N(W251)*IF(N(R251)/N(W251)&gt;=60,N(BG251),1))</f>
        <v/>
      </c>
      <c r="AW251" s="7">
        <f>N(W251)*N(AF251)*N(BH251)</f>
        <v/>
      </c>
      <c r="AX251" s="7">
        <f>N(AL251)*(Assumptions!$B$13*N(BJ251)-(1-Assumptions!$B$13)*Assumptions!$B$14)+N(AM251)</f>
        <v/>
      </c>
      <c r="AY251" s="7">
        <f>N(AU251)*N(R251)/90+N(AV251)+N(AW251)+N(AX251)</f>
        <v/>
      </c>
      <c r="AZ251" s="3">
        <f>IF(N(R251)&lt;=0,0,(N(AY251)-N(AX251))*90/N(R251))</f>
        <v/>
      </c>
      <c r="BA251" s="7">
        <f>IFERROR(AY251-VLOOKUP($E251,Assumptions!$A$40:$C$43,3,FALSE),"")</f>
        <v/>
      </c>
      <c r="BB251" s="3">
        <f>IFERROR(BA251/H251,"")</f>
        <v/>
      </c>
      <c r="BC251">
        <f>IF(AND($G251=TRUE,$E251="GKP"),AY251,"")</f>
        <v/>
      </c>
      <c r="BD251">
        <f>IF(AND($G251=TRUE,$E251="DEF"),AY251,"")</f>
        <v/>
      </c>
      <c r="BE251">
        <f>IF(AND($G251=TRUE,$E251="MID"),AY251,"")</f>
        <v/>
      </c>
      <c r="BF251">
        <f>IF(AND($G251=TRUE,$E251="FWD"),AY251,"")</f>
        <v/>
      </c>
      <c r="BG251" t="n">
        <v>2</v>
      </c>
      <c r="BH251" t="n">
        <v>2</v>
      </c>
      <c r="BI251" t="n">
        <v>1</v>
      </c>
      <c r="BJ251" t="n">
        <v>5</v>
      </c>
    </row>
    <row r="252">
      <c r="A252" t="inlineStr">
        <is>
          <t>Nicolás Domínguez</t>
        </is>
      </c>
      <c r="B252" t="inlineStr">
        <is>
          <t>NFO</t>
        </is>
      </c>
      <c r="C252" t="inlineStr">
        <is>
          <t>NFO</t>
        </is>
      </c>
      <c r="D252" t="b">
        <v>0</v>
      </c>
      <c r="E252" t="inlineStr">
        <is>
          <t>MID</t>
        </is>
      </c>
      <c r="F252" t="inlineStr">
        <is>
          <t>MID</t>
        </is>
      </c>
      <c r="G252" t="b">
        <v>1</v>
      </c>
      <c r="H252" s="2" t="n">
        <v>5</v>
      </c>
      <c r="I252" t="inlineStr">
        <is>
          <t>a</t>
        </is>
      </c>
      <c r="K252" s="2" t="n">
        <v>1168</v>
      </c>
      <c r="L252" t="n">
        <v>48</v>
      </c>
      <c r="M252" s="3" t="n">
        <v>752</v>
      </c>
      <c r="N252" s="8" t="n">
        <v>752</v>
      </c>
      <c r="O252" s="8" t="n">
        <v>0</v>
      </c>
      <c r="Q252" t="inlineStr">
        <is>
          <t>flat</t>
        </is>
      </c>
      <c r="R252" s="6" t="n">
        <v>752</v>
      </c>
      <c r="S252" t="inlineStr">
        <is>
          <t>Solio</t>
        </is>
      </c>
      <c r="U252" s="6" t="n">
        <v>67.59999999999999</v>
      </c>
      <c r="V252" s="2" t="n">
        <v>17</v>
      </c>
      <c r="W252" s="7">
        <f>IF(N(U252)&lt;=0,0,MIN(Assumptions!$B$15,N(R252)/N(U252)))</f>
        <v/>
      </c>
      <c r="X252" s="6" t="n">
        <v>0.224</v>
      </c>
      <c r="Y252" s="3" t="n">
        <v>0.1147</v>
      </c>
      <c r="Z252" t="inlineStr">
        <is>
          <t>adjusted xGOT</t>
        </is>
      </c>
      <c r="AA252" s="3" t="n">
        <v>1</v>
      </c>
      <c r="AB252" s="3" t="n">
        <v>1.012</v>
      </c>
      <c r="AC252" s="3" t="n">
        <v>4.4</v>
      </c>
      <c r="AD252" s="3" t="n">
        <v>0.079</v>
      </c>
      <c r="AE252" s="3" t="n">
        <v>10.088</v>
      </c>
      <c r="AF252" s="3" t="n">
        <v>0.08384111693874197</v>
      </c>
      <c r="AG252" s="3" t="n">
        <v>0.2312</v>
      </c>
      <c r="AH252" s="3" t="n">
        <v>35</v>
      </c>
      <c r="AI252" s="3" t="n">
        <v>3.1134</v>
      </c>
      <c r="AJ252" s="3" t="n">
        <v>1.5588</v>
      </c>
      <c r="AK252" s="3" t="n">
        <v>-0.2879209450932014</v>
      </c>
      <c r="AL252" s="6" t="n">
        <v>0</v>
      </c>
      <c r="AM252" s="3" t="n">
        <v>0</v>
      </c>
      <c r="AN252" s="3" t="n">
        <v>0.5735</v>
      </c>
      <c r="AO252" s="3" t="n">
        <v>0.31284</v>
      </c>
      <c r="AP252" s="3">
        <f>N(X252)*N(BI252)</f>
        <v/>
      </c>
      <c r="AQ252" s="3" t="n">
        <v>0.2312</v>
      </c>
      <c r="AR252" s="3" t="n">
        <v>0</v>
      </c>
      <c r="AS252" s="3" t="n">
        <v>-0</v>
      </c>
      <c r="AT252" s="3" t="n">
        <v>-0.2879209450932014</v>
      </c>
      <c r="AU252" s="3">
        <f>SUM(AN252:AT252)</f>
        <v/>
      </c>
      <c r="AV252" s="7">
        <f>IF(OR(N(W252)&lt;=0,N(BG252)=0),0,N(W252)*IF(N(R252)/N(W252)&gt;=60,N(BG252),1))</f>
        <v/>
      </c>
      <c r="AW252" s="7">
        <f>N(W252)*N(AF252)*N(BH252)</f>
        <v/>
      </c>
      <c r="AX252" s="7">
        <f>N(AL252)*(Assumptions!$B$13*N(BJ252)-(1-Assumptions!$B$13)*Assumptions!$B$14)+N(AM252)</f>
        <v/>
      </c>
      <c r="AY252" s="7">
        <f>N(AU252)*N(R252)/90+N(AV252)+N(AW252)+N(AX252)</f>
        <v/>
      </c>
      <c r="AZ252" s="3">
        <f>IF(N(R252)&lt;=0,0,(N(AY252)-N(AX252))*90/N(R252))</f>
        <v/>
      </c>
      <c r="BA252" s="7">
        <f>IFERROR(AY252-VLOOKUP($E252,Assumptions!$A$40:$C$43,3,FALSE),"")</f>
        <v/>
      </c>
      <c r="BB252" s="3">
        <f>IFERROR(BA252/H252,"")</f>
        <v/>
      </c>
      <c r="BC252">
        <f>IF(AND($G252=TRUE,$E252="GKP"),AY252,"")</f>
        <v/>
      </c>
      <c r="BD252">
        <f>IF(AND($G252=TRUE,$E252="DEF"),AY252,"")</f>
        <v/>
      </c>
      <c r="BE252">
        <f>IF(AND($G252=TRUE,$E252="MID"),AY252,"")</f>
        <v/>
      </c>
      <c r="BF252">
        <f>IF(AND($G252=TRUE,$E252="FWD"),AY252,"")</f>
        <v/>
      </c>
      <c r="BG252" t="n">
        <v>2</v>
      </c>
      <c r="BH252" t="n">
        <v>2</v>
      </c>
      <c r="BI252" t="n">
        <v>1</v>
      </c>
      <c r="BJ252" t="n">
        <v>5</v>
      </c>
    </row>
    <row r="253">
      <c r="A253" t="inlineStr">
        <is>
          <t>Anthony Elanga</t>
        </is>
      </c>
      <c r="B253" t="inlineStr">
        <is>
          <t>NEW</t>
        </is>
      </c>
      <c r="C253" t="inlineStr">
        <is>
          <t>NEW</t>
        </is>
      </c>
      <c r="D253" t="b">
        <v>0</v>
      </c>
      <c r="E253" t="inlineStr">
        <is>
          <t>MID</t>
        </is>
      </c>
      <c r="F253" t="inlineStr">
        <is>
          <t>MID</t>
        </is>
      </c>
      <c r="G253" t="b">
        <v>1</v>
      </c>
      <c r="H253" s="2" t="n">
        <v>6</v>
      </c>
      <c r="I253" t="inlineStr">
        <is>
          <t>a</t>
        </is>
      </c>
      <c r="K253" s="2" t="n">
        <v>1302</v>
      </c>
      <c r="L253" t="n">
        <v>48</v>
      </c>
      <c r="M253" s="3" t="n">
        <v>1345</v>
      </c>
      <c r="N253" s="4" t="n">
        <v>1850</v>
      </c>
      <c r="O253" s="4" t="n">
        <v>505</v>
      </c>
      <c r="P253" s="5" t="inlineStr">
        <is>
          <t>high</t>
        </is>
      </c>
      <c r="Q253" t="inlineStr">
        <is>
          <t>flat</t>
        </is>
      </c>
      <c r="R253" s="6" t="n">
        <v>1850</v>
      </c>
      <c r="S253" t="inlineStr">
        <is>
          <t>research</t>
        </is>
      </c>
      <c r="T253" s="5" t="inlineStr">
        <is>
          <t>Solio's 1,345 tracks his 1,302 minutes from 2025/26, a season in which he sat behind Anthony Gordon and Jacob Murphy. Gordon has been sold to Barcelona and Elanga has started all three Jaissle friendlies, including three days after being stretchered off at Valencia. The senior wide group is now just Elanga, Barnes, Toure and the out-of-favour Murphy.</t>
        </is>
      </c>
      <c r="U253" s="6" t="n">
        <v>74.40000000000001</v>
      </c>
      <c r="V253" s="2" t="n">
        <v>14</v>
      </c>
      <c r="W253" s="7">
        <f>IF(N(U253)&lt;=0,0,MIN(Assumptions!$B$15,N(R253)/N(U253)))</f>
        <v/>
      </c>
      <c r="X253" s="6" t="n">
        <v>0.248</v>
      </c>
      <c r="Y253" s="3" t="n">
        <v>0.1268</v>
      </c>
      <c r="Z253" t="inlineStr">
        <is>
          <t>adjusted xGOT</t>
        </is>
      </c>
      <c r="AA253" s="3" t="n">
        <v>1</v>
      </c>
      <c r="AB253" s="3" t="n">
        <v>1.112</v>
      </c>
      <c r="AC253" s="3" t="n">
        <v>13.3</v>
      </c>
      <c r="AD253" s="3" t="n">
        <v>0.1206</v>
      </c>
      <c r="AE253" s="3" t="n">
        <v>5.502</v>
      </c>
      <c r="AF253" s="3" t="n">
        <v>0.002617654306675932</v>
      </c>
      <c r="AG253" s="3" t="n">
        <v>0</v>
      </c>
      <c r="AH253" s="3" t="n">
        <v>43</v>
      </c>
      <c r="AI253" s="3" t="n">
        <v>3.0912</v>
      </c>
      <c r="AJ253" s="3" t="n">
        <v>1.4534</v>
      </c>
      <c r="AK253" s="3" t="n">
        <v>-0.0890351884799802</v>
      </c>
      <c r="AL253" s="6" t="n">
        <v>0</v>
      </c>
      <c r="AM253" s="3" t="n">
        <v>0</v>
      </c>
      <c r="AN253" s="3" t="n">
        <v>0.634</v>
      </c>
      <c r="AO253" s="3" t="n">
        <v>0.4775760000000001</v>
      </c>
      <c r="AP253" s="3">
        <f>N(X253)*N(BI253)</f>
        <v/>
      </c>
      <c r="AQ253" s="3" t="n">
        <v>0</v>
      </c>
      <c r="AR253" s="3" t="n">
        <v>0</v>
      </c>
      <c r="AS253" s="3" t="n">
        <v>-0</v>
      </c>
      <c r="AT253" s="3" t="n">
        <v>-0.0890351884799802</v>
      </c>
      <c r="AU253" s="3">
        <f>SUM(AN253:AT253)</f>
        <v/>
      </c>
      <c r="AV253" s="7">
        <f>IF(OR(N(W253)&lt;=0,N(BG253)=0),0,N(W253)*IF(N(R253)/N(W253)&gt;=60,N(BG253),1))</f>
        <v/>
      </c>
      <c r="AW253" s="7">
        <f>N(W253)*N(AF253)*N(BH253)</f>
        <v/>
      </c>
      <c r="AX253" s="7">
        <f>N(AL253)*(Assumptions!$B$13*N(BJ253)-(1-Assumptions!$B$13)*Assumptions!$B$14)+N(AM253)</f>
        <v/>
      </c>
      <c r="AY253" s="7">
        <f>N(AU253)*N(R253)/90+N(AV253)+N(AW253)+N(AX253)</f>
        <v/>
      </c>
      <c r="AZ253" s="3">
        <f>IF(N(R253)&lt;=0,0,(N(AY253)-N(AX253))*90/N(R253))</f>
        <v/>
      </c>
      <c r="BA253" s="7">
        <f>IFERROR(AY253-VLOOKUP($E253,Assumptions!$A$40:$C$43,3,FALSE),"")</f>
        <v/>
      </c>
      <c r="BB253" s="3">
        <f>IFERROR(BA253/H253,"")</f>
        <v/>
      </c>
      <c r="BC253">
        <f>IF(AND($G253=TRUE,$E253="GKP"),AY253,"")</f>
        <v/>
      </c>
      <c r="BD253">
        <f>IF(AND($G253=TRUE,$E253="DEF"),AY253,"")</f>
        <v/>
      </c>
      <c r="BE253">
        <f>IF(AND($G253=TRUE,$E253="MID"),AY253,"")</f>
        <v/>
      </c>
      <c r="BF253">
        <f>IF(AND($G253=TRUE,$E253="FWD"),AY253,"")</f>
        <v/>
      </c>
      <c r="BG253" t="n">
        <v>2</v>
      </c>
      <c r="BH253" t="n">
        <v>2</v>
      </c>
      <c r="BI253" t="n">
        <v>1</v>
      </c>
      <c r="BJ253" t="n">
        <v>5</v>
      </c>
    </row>
    <row r="254">
      <c r="A254" t="inlineStr">
        <is>
          <t>Ryan Christie</t>
        </is>
      </c>
      <c r="B254" t="inlineStr">
        <is>
          <t>BOU</t>
        </is>
      </c>
      <c r="C254" t="inlineStr">
        <is>
          <t>BOU</t>
        </is>
      </c>
      <c r="D254" t="b">
        <v>0</v>
      </c>
      <c r="E254" t="inlineStr">
        <is>
          <t>MID</t>
        </is>
      </c>
      <c r="F254" t="inlineStr">
        <is>
          <t>MID</t>
        </is>
      </c>
      <c r="G254" t="b">
        <v>1</v>
      </c>
      <c r="H254" s="2" t="n">
        <v>5</v>
      </c>
      <c r="I254" t="inlineStr">
        <is>
          <t>s</t>
        </is>
      </c>
      <c r="J254" t="inlineStr">
        <is>
          <t>Suspended until 29 Aug</t>
        </is>
      </c>
      <c r="K254" s="2" t="n">
        <v>978</v>
      </c>
      <c r="L254" t="n">
        <v>47</v>
      </c>
      <c r="M254" s="3" t="n">
        <v>406</v>
      </c>
      <c r="N254" s="8" t="n">
        <v>406</v>
      </c>
      <c r="O254" s="8" t="n">
        <v>0</v>
      </c>
      <c r="Q254" t="inlineStr">
        <is>
          <t>flat</t>
        </is>
      </c>
      <c r="R254" s="6" t="n">
        <v>406</v>
      </c>
      <c r="S254" t="inlineStr">
        <is>
          <t>Solio</t>
        </is>
      </c>
      <c r="U254" s="6" t="n">
        <v>74.90000000000001</v>
      </c>
      <c r="V254" s="2" t="n">
        <v>8</v>
      </c>
      <c r="W254" s="7">
        <f>IF(N(U254)&lt;=0,0,MIN(Assumptions!$B$15,N(R254)/N(U254)))</f>
        <v/>
      </c>
      <c r="X254" s="6" t="n">
        <v>0.23</v>
      </c>
      <c r="Y254" s="3" t="n">
        <v>0.1653</v>
      </c>
      <c r="Z254" t="inlineStr">
        <is>
          <t>adjusted xGOT</t>
        </is>
      </c>
      <c r="AA254" s="3" t="n">
        <v>1</v>
      </c>
      <c r="AB254" s="3" t="n">
        <v>0.992</v>
      </c>
      <c r="AC254" s="3" t="n">
        <v>9.300000000000001</v>
      </c>
      <c r="AD254" s="3" t="n">
        <v>0.1109</v>
      </c>
      <c r="AE254" s="3" t="n">
        <v>10.156</v>
      </c>
      <c r="AF254" s="3" t="n">
        <v>0.1472766661239835</v>
      </c>
      <c r="AG254" s="3" t="n">
        <v>0.184</v>
      </c>
      <c r="AH254" s="3" t="n">
        <v>33</v>
      </c>
      <c r="AI254" s="3" t="n">
        <v>3.0957</v>
      </c>
      <c r="AJ254" s="3" t="n">
        <v>1.53</v>
      </c>
      <c r="AK254" s="3" t="n">
        <v>-0.2762743852642902</v>
      </c>
      <c r="AL254" s="6" t="n">
        <v>0</v>
      </c>
      <c r="AM254" s="3" t="n">
        <v>0</v>
      </c>
      <c r="AN254" s="3" t="n">
        <v>0.8265</v>
      </c>
      <c r="AO254" s="3" t="n">
        <v>0.439164</v>
      </c>
      <c r="AP254" s="3">
        <f>N(X254)*N(BI254)</f>
        <v/>
      </c>
      <c r="AQ254" s="3" t="n">
        <v>0.184</v>
      </c>
      <c r="AR254" s="3" t="n">
        <v>0</v>
      </c>
      <c r="AS254" s="3" t="n">
        <v>-0</v>
      </c>
      <c r="AT254" s="3" t="n">
        <v>-0.2762743852642902</v>
      </c>
      <c r="AU254" s="3">
        <f>SUM(AN254:AT254)</f>
        <v/>
      </c>
      <c r="AV254" s="7">
        <f>IF(OR(N(W254)&lt;=0,N(BG254)=0),0,N(W254)*IF(N(R254)/N(W254)&gt;=60,N(BG254),1))</f>
        <v/>
      </c>
      <c r="AW254" s="7">
        <f>N(W254)*N(AF254)*N(BH254)</f>
        <v/>
      </c>
      <c r="AX254" s="7">
        <f>N(AL254)*(Assumptions!$B$13*N(BJ254)-(1-Assumptions!$B$13)*Assumptions!$B$14)+N(AM254)</f>
        <v/>
      </c>
      <c r="AY254" s="7">
        <f>N(AU254)*N(R254)/90+N(AV254)+N(AW254)+N(AX254)</f>
        <v/>
      </c>
      <c r="AZ254" s="3">
        <f>IF(N(R254)&lt;=0,0,(N(AY254)-N(AX254))*90/N(R254))</f>
        <v/>
      </c>
      <c r="BA254" s="7">
        <f>IFERROR(AY254-VLOOKUP($E254,Assumptions!$A$40:$C$43,3,FALSE),"")</f>
        <v/>
      </c>
      <c r="BB254" s="3">
        <f>IFERROR(BA254/H254,"")</f>
        <v/>
      </c>
      <c r="BC254">
        <f>IF(AND($G254=TRUE,$E254="GKP"),AY254,"")</f>
        <v/>
      </c>
      <c r="BD254">
        <f>IF(AND($G254=TRUE,$E254="DEF"),AY254,"")</f>
        <v/>
      </c>
      <c r="BE254">
        <f>IF(AND($G254=TRUE,$E254="MID"),AY254,"")</f>
        <v/>
      </c>
      <c r="BF254">
        <f>IF(AND($G254=TRUE,$E254="FWD"),AY254,"")</f>
        <v/>
      </c>
      <c r="BG254" t="n">
        <v>2</v>
      </c>
      <c r="BH254" t="n">
        <v>2</v>
      </c>
      <c r="BI254" t="n">
        <v>1</v>
      </c>
      <c r="BJ254" t="n">
        <v>5</v>
      </c>
    </row>
    <row r="255">
      <c r="A255" s="9" t="inlineStr">
        <is>
          <t>Andrey Santos</t>
        </is>
      </c>
      <c r="B255" t="inlineStr">
        <is>
          <t>MUN</t>
        </is>
      </c>
      <c r="C255" s="9" t="inlineStr">
        <is>
          <t>CHE</t>
        </is>
      </c>
      <c r="D255" t="b">
        <v>1</v>
      </c>
      <c r="E255" t="inlineStr">
        <is>
          <t>MID</t>
        </is>
      </c>
      <c r="F255" t="inlineStr">
        <is>
          <t>MID</t>
        </is>
      </c>
      <c r="G255" t="b">
        <v>1</v>
      </c>
      <c r="H255" s="2" t="n">
        <v>5</v>
      </c>
      <c r="I255" t="inlineStr">
        <is>
          <t>a</t>
        </is>
      </c>
      <c r="K255" s="2" t="n">
        <v>1247</v>
      </c>
      <c r="L255" t="n">
        <v>47</v>
      </c>
      <c r="M255" s="3" t="n">
        <v>2861</v>
      </c>
      <c r="N255" s="8" t="n">
        <v>2861</v>
      </c>
      <c r="O255" s="8" t="n">
        <v>0</v>
      </c>
      <c r="Q255" t="inlineStr">
        <is>
          <t>flat</t>
        </is>
      </c>
      <c r="R255" s="6" t="n">
        <v>2861</v>
      </c>
      <c r="S255" t="inlineStr">
        <is>
          <t>Solio</t>
        </is>
      </c>
      <c r="U255" s="6" t="n">
        <v>75</v>
      </c>
      <c r="V255" s="2" t="n">
        <v>13</v>
      </c>
      <c r="W255" s="7">
        <f>IF(N(U255)&lt;=0,0,MIN(Assumptions!$B$15,N(R255)/N(U255)))</f>
        <v/>
      </c>
      <c r="X255" s="6" t="n">
        <v>0.334</v>
      </c>
      <c r="Y255" s="10" t="n">
        <v>0.1349</v>
      </c>
      <c r="Z255" t="inlineStr">
        <is>
          <t>adjusted xGOT</t>
        </is>
      </c>
      <c r="AA255" s="3" t="n">
        <v>1</v>
      </c>
      <c r="AB255" s="3" t="n">
        <v>0.9340000000000001</v>
      </c>
      <c r="AC255" s="3" t="n">
        <v>2.1</v>
      </c>
      <c r="AD255" s="10" t="n">
        <v>0.0566</v>
      </c>
      <c r="AE255" s="3" t="n">
        <v>9.042</v>
      </c>
      <c r="AF255" s="3" t="n">
        <v>0.08130627024531711</v>
      </c>
      <c r="AG255" s="3" t="n">
        <v>0.2165</v>
      </c>
      <c r="AH255" s="3" t="n">
        <v>38</v>
      </c>
      <c r="AI255" s="3" t="n">
        <v>2.2165</v>
      </c>
      <c r="AJ255" s="3" t="n">
        <v>1.1467</v>
      </c>
      <c r="AK255" s="3" t="n">
        <v>-0.2572282668161304</v>
      </c>
      <c r="AL255" s="6" t="n">
        <v>0</v>
      </c>
      <c r="AM255" s="3" t="n">
        <v>0</v>
      </c>
      <c r="AN255" s="10" t="n">
        <v>0.6745</v>
      </c>
      <c r="AO255" s="10" t="n">
        <v>0.224136</v>
      </c>
      <c r="AP255" s="3">
        <f>N(X255)*N(BI255)</f>
        <v/>
      </c>
      <c r="AQ255" s="3" t="n">
        <v>0.2165</v>
      </c>
      <c r="AR255" s="3" t="n">
        <v>0</v>
      </c>
      <c r="AS255" s="3" t="n">
        <v>-0</v>
      </c>
      <c r="AT255" s="3" t="n">
        <v>-0.2572282668161304</v>
      </c>
      <c r="AU255" s="3">
        <f>SUM(AN255:AT255)</f>
        <v/>
      </c>
      <c r="AV255" s="7">
        <f>IF(OR(N(W255)&lt;=0,N(BG255)=0),0,N(W255)*IF(N(R255)/N(W255)&gt;=60,N(BG255),1))</f>
        <v/>
      </c>
      <c r="AW255" s="7">
        <f>N(W255)*N(AF255)*N(BH255)</f>
        <v/>
      </c>
      <c r="AX255" s="7">
        <f>N(AL255)*(Assumptions!$B$13*N(BJ255)-(1-Assumptions!$B$13)*Assumptions!$B$14)+N(AM255)</f>
        <v/>
      </c>
      <c r="AY255" s="7">
        <f>N(AU255)*N(R255)/90+N(AV255)+N(AW255)+N(AX255)</f>
        <v/>
      </c>
      <c r="AZ255" s="3">
        <f>IF(N(R255)&lt;=0,0,(N(AY255)-N(AX255))*90/N(R255))</f>
        <v/>
      </c>
      <c r="BA255" s="7">
        <f>IFERROR(AY255-VLOOKUP($E255,Assumptions!$A$40:$C$43,3,FALSE),"")</f>
        <v/>
      </c>
      <c r="BB255" s="3">
        <f>IFERROR(BA255/H255,"")</f>
        <v/>
      </c>
      <c r="BC255">
        <f>IF(AND($G255=TRUE,$E255="GKP"),AY255,"")</f>
        <v/>
      </c>
      <c r="BD255">
        <f>IF(AND($G255=TRUE,$E255="DEF"),AY255,"")</f>
        <v/>
      </c>
      <c r="BE255">
        <f>IF(AND($G255=TRUE,$E255="MID"),AY255,"")</f>
        <v/>
      </c>
      <c r="BF255">
        <f>IF(AND($G255=TRUE,$E255="FWD"),AY255,"")</f>
        <v/>
      </c>
      <c r="BG255" t="n">
        <v>2</v>
      </c>
      <c r="BH255" t="n">
        <v>2</v>
      </c>
      <c r="BI255" t="n">
        <v>1</v>
      </c>
      <c r="BJ255" t="n">
        <v>5</v>
      </c>
    </row>
    <row r="256">
      <c r="A256" t="inlineStr">
        <is>
          <t>Bafodé Diakité</t>
        </is>
      </c>
      <c r="B256" t="inlineStr">
        <is>
          <t>BOU</t>
        </is>
      </c>
      <c r="C256" t="inlineStr">
        <is>
          <t>BOU</t>
        </is>
      </c>
      <c r="D256" t="b">
        <v>0</v>
      </c>
      <c r="E256" t="inlineStr">
        <is>
          <t>DEF</t>
        </is>
      </c>
      <c r="F256" t="inlineStr">
        <is>
          <t>DEF</t>
        </is>
      </c>
      <c r="G256" t="b">
        <v>1</v>
      </c>
      <c r="H256" s="2" t="n">
        <v>5</v>
      </c>
      <c r="I256" t="inlineStr">
        <is>
          <t>a</t>
        </is>
      </c>
      <c r="K256" s="2" t="n">
        <v>1275</v>
      </c>
      <c r="L256" t="n">
        <v>46</v>
      </c>
      <c r="M256" s="3" t="n">
        <v>130</v>
      </c>
      <c r="N256" s="4" t="n">
        <v>1150</v>
      </c>
      <c r="O256" s="4" t="n">
        <v>1020</v>
      </c>
      <c r="P256" s="5" t="inlineStr">
        <is>
          <t>medium</t>
        </is>
      </c>
      <c r="Q256" t="inlineStr">
        <is>
          <t>flat</t>
        </is>
      </c>
      <c r="R256" s="6" t="n">
        <v>1150</v>
      </c>
      <c r="S256" t="inlineStr">
        <is>
          <t>research</t>
        </is>
      </c>
      <c r="T256" s="5" t="inlineStr">
        <is>
          <t>Solio's 130 minutes implies Diakite is effectively out of the squad, which the evidence contradicts on every count: he started at centre-back in the 8 Aug Betis friendly, was named on the bench for the 15 Aug Mainz friendly, is fit (FPL status 'a', no news), was a c.EUR 35m signing from Lille in Aug 2025 under contract to 2030, and carries no transfer rumours. With Senesi gone to Tottenham he is one of only three fit senior centre-backs for a season that includes a Europa League league phase. This looks like a straight Solio error rather than a judgement call.</t>
        </is>
      </c>
      <c r="U256" s="6" t="n">
        <v>84.59999999999999</v>
      </c>
      <c r="V256" s="2" t="n">
        <v>15</v>
      </c>
      <c r="W256" s="7">
        <f>IF(N(U256)&lt;=0,0,MIN(Assumptions!$B$15,N(R256)/N(U256)))</f>
        <v/>
      </c>
      <c r="X256" s="6" t="n">
        <v>0.23</v>
      </c>
      <c r="Y256" s="3" t="n">
        <v>0.0014</v>
      </c>
      <c r="Z256" t="inlineStr">
        <is>
          <t>adjusted xGOT</t>
        </is>
      </c>
      <c r="AA256" s="3" t="n">
        <v>1</v>
      </c>
      <c r="AB256" s="3" t="n">
        <v>0.998</v>
      </c>
      <c r="AC256" s="3" t="n">
        <v>0</v>
      </c>
      <c r="AD256" s="3" t="n">
        <v>0.0097</v>
      </c>
      <c r="AE256" s="3" t="n">
        <v>8.052</v>
      </c>
      <c r="AF256" s="3" t="n">
        <v>0.2315285912091684</v>
      </c>
      <c r="AG256" s="3" t="n">
        <v>0.1412</v>
      </c>
      <c r="AH256" s="3" t="n">
        <v>31</v>
      </c>
      <c r="AI256" s="3" t="n">
        <v>3.0957</v>
      </c>
      <c r="AJ256" s="3" t="n">
        <v>1.53</v>
      </c>
      <c r="AK256" s="3" t="n">
        <v>-0.1515806232502433</v>
      </c>
      <c r="AL256" s="6" t="n">
        <v>0</v>
      </c>
      <c r="AM256" s="3" t="n">
        <v>0</v>
      </c>
      <c r="AN256" s="3" t="n">
        <v>0.008399999999999999</v>
      </c>
      <c r="AO256" s="3" t="n">
        <v>0.038412</v>
      </c>
      <c r="AP256" s="3">
        <f>N(X256)*N(BI256)</f>
        <v/>
      </c>
      <c r="AQ256" s="3" t="n">
        <v>0.1412</v>
      </c>
      <c r="AR256" s="3" t="n">
        <v>0</v>
      </c>
      <c r="AS256" s="3" t="n">
        <v>-0.5267219238049191</v>
      </c>
      <c r="AT256" s="3" t="n">
        <v>-0.1515806232502433</v>
      </c>
      <c r="AU256" s="3">
        <f>SUM(AN256:AT256)</f>
        <v/>
      </c>
      <c r="AV256" s="7">
        <f>IF(OR(N(W256)&lt;=0,N(BG256)=0),0,N(W256)*IF(N(R256)/N(W256)&gt;=60,N(BG256),1))</f>
        <v/>
      </c>
      <c r="AW256" s="7">
        <f>N(W256)*N(AF256)*N(BH256)</f>
        <v/>
      </c>
      <c r="AX256" s="7">
        <f>N(AL256)*(Assumptions!$B$13*N(BJ256)-(1-Assumptions!$B$13)*Assumptions!$B$14)+N(AM256)</f>
        <v/>
      </c>
      <c r="AY256" s="7">
        <f>N(AU256)*N(R256)/90+N(AV256)+N(AW256)+N(AX256)</f>
        <v/>
      </c>
      <c r="AZ256" s="3">
        <f>IF(N(R256)&lt;=0,0,(N(AY256)-N(AX256))*90/N(R256))</f>
        <v/>
      </c>
      <c r="BA256" s="7">
        <f>IFERROR(AY256-VLOOKUP($E256,Assumptions!$A$40:$C$43,3,FALSE),"")</f>
        <v/>
      </c>
      <c r="BB256" s="3">
        <f>IFERROR(BA256/H256,"")</f>
        <v/>
      </c>
      <c r="BC256">
        <f>IF(AND($G256=TRUE,$E256="GKP"),AY256,"")</f>
        <v/>
      </c>
      <c r="BD256">
        <f>IF(AND($G256=TRUE,$E256="DEF"),AY256,"")</f>
        <v/>
      </c>
      <c r="BE256">
        <f>IF(AND($G256=TRUE,$E256="MID"),AY256,"")</f>
        <v/>
      </c>
      <c r="BF256">
        <f>IF(AND($G256=TRUE,$E256="FWD"),AY256,"")</f>
        <v/>
      </c>
      <c r="BG256" t="n">
        <v>2</v>
      </c>
      <c r="BH256" t="n">
        <v>2</v>
      </c>
      <c r="BI256" t="n">
        <v>4</v>
      </c>
      <c r="BJ256" t="n">
        <v>6</v>
      </c>
    </row>
    <row r="257">
      <c r="A257" t="inlineStr">
        <is>
          <t>Wilson Odobert</t>
        </is>
      </c>
      <c r="B257" t="inlineStr">
        <is>
          <t>TOT</t>
        </is>
      </c>
      <c r="C257" t="inlineStr">
        <is>
          <t>TOT</t>
        </is>
      </c>
      <c r="D257" t="b">
        <v>0</v>
      </c>
      <c r="E257" t="inlineStr">
        <is>
          <t>MID</t>
        </is>
      </c>
      <c r="F257" t="inlineStr">
        <is>
          <t>MID</t>
        </is>
      </c>
      <c r="G257" t="b">
        <v>1</v>
      </c>
      <c r="H257" s="2" t="n">
        <v>5.5</v>
      </c>
      <c r="I257" t="inlineStr">
        <is>
          <t>i</t>
        </is>
      </c>
      <c r="J257" t="inlineStr">
        <is>
          <t>Knee injury - Unknown return date</t>
        </is>
      </c>
      <c r="K257" s="2" t="n">
        <v>972</v>
      </c>
      <c r="L257" t="n">
        <v>46</v>
      </c>
      <c r="M257" s="3" t="n">
        <v>419</v>
      </c>
      <c r="N257" s="8" t="n">
        <v>419</v>
      </c>
      <c r="O257" s="8" t="n">
        <v>0</v>
      </c>
      <c r="Q257" t="inlineStr">
        <is>
          <t>flat</t>
        </is>
      </c>
      <c r="R257" s="6" t="n">
        <v>419</v>
      </c>
      <c r="S257" t="inlineStr">
        <is>
          <t>Solio</t>
        </is>
      </c>
      <c r="U257" s="6" t="n">
        <v>74</v>
      </c>
      <c r="V257" s="2" t="n">
        <v>10</v>
      </c>
      <c r="W257" s="7">
        <f>IF(N(U257)&lt;=0,0,MIN(Assumptions!$B$15,N(R257)/N(U257)))</f>
        <v/>
      </c>
      <c r="X257" s="6" t="n">
        <v>0.286</v>
      </c>
      <c r="Y257" s="3" t="n">
        <v>0.1604</v>
      </c>
      <c r="Z257" t="inlineStr">
        <is>
          <t>adjusted xGOT</t>
        </is>
      </c>
      <c r="AA257" s="3" t="n">
        <v>1</v>
      </c>
      <c r="AB257" s="3" t="n">
        <v>0.902</v>
      </c>
      <c r="AC257" s="3" t="n">
        <v>6.3</v>
      </c>
      <c r="AD257" s="3" t="n">
        <v>0.1464</v>
      </c>
      <c r="AE257" s="3" t="n">
        <v>7.746</v>
      </c>
      <c r="AF257" s="3" t="n">
        <v>0.02975293246068822</v>
      </c>
      <c r="AG257" s="3" t="n">
        <v>0.5556</v>
      </c>
      <c r="AH257" s="3" t="n">
        <v>32</v>
      </c>
      <c r="AI257" s="3" t="n">
        <v>2.5739</v>
      </c>
      <c r="AJ257" s="3" t="n">
        <v>1.3096</v>
      </c>
      <c r="AK257" s="3" t="n">
        <v>-0.1218449339240393</v>
      </c>
      <c r="AL257" s="6" t="n">
        <v>0</v>
      </c>
      <c r="AM257" s="3" t="n">
        <v>0</v>
      </c>
      <c r="AN257" s="3" t="n">
        <v>0.8019999999999999</v>
      </c>
      <c r="AO257" s="3" t="n">
        <v>0.579744</v>
      </c>
      <c r="AP257" s="3">
        <f>N(X257)*N(BI257)</f>
        <v/>
      </c>
      <c r="AQ257" s="3" t="n">
        <v>0.5556</v>
      </c>
      <c r="AR257" s="3" t="n">
        <v>0</v>
      </c>
      <c r="AS257" s="3" t="n">
        <v>-0</v>
      </c>
      <c r="AT257" s="3" t="n">
        <v>-0.1218449339240393</v>
      </c>
      <c r="AU257" s="3">
        <f>SUM(AN257:AT257)</f>
        <v/>
      </c>
      <c r="AV257" s="7">
        <f>IF(OR(N(W257)&lt;=0,N(BG257)=0),0,N(W257)*IF(N(R257)/N(W257)&gt;=60,N(BG257),1))</f>
        <v/>
      </c>
      <c r="AW257" s="7">
        <f>N(W257)*N(AF257)*N(BH257)</f>
        <v/>
      </c>
      <c r="AX257" s="7">
        <f>N(AL257)*(Assumptions!$B$13*N(BJ257)-(1-Assumptions!$B$13)*Assumptions!$B$14)+N(AM257)</f>
        <v/>
      </c>
      <c r="AY257" s="7">
        <f>N(AU257)*N(R257)/90+N(AV257)+N(AW257)+N(AX257)</f>
        <v/>
      </c>
      <c r="AZ257" s="3">
        <f>IF(N(R257)&lt;=0,0,(N(AY257)-N(AX257))*90/N(R257))</f>
        <v/>
      </c>
      <c r="BA257" s="7">
        <f>IFERROR(AY257-VLOOKUP($E257,Assumptions!$A$40:$C$43,3,FALSE),"")</f>
        <v/>
      </c>
      <c r="BB257" s="3">
        <f>IFERROR(BA257/H257,"")</f>
        <v/>
      </c>
      <c r="BC257">
        <f>IF(AND($G257=TRUE,$E257="GKP"),AY257,"")</f>
        <v/>
      </c>
      <c r="BD257">
        <f>IF(AND($G257=TRUE,$E257="DEF"),AY257,"")</f>
        <v/>
      </c>
      <c r="BE257">
        <f>IF(AND($G257=TRUE,$E257="MID"),AY257,"")</f>
        <v/>
      </c>
      <c r="BF257">
        <f>IF(AND($G257=TRUE,$E257="FWD"),AY257,"")</f>
        <v/>
      </c>
      <c r="BG257" t="n">
        <v>2</v>
      </c>
      <c r="BH257" t="n">
        <v>2</v>
      </c>
      <c r="BI257" t="n">
        <v>1</v>
      </c>
      <c r="BJ257" t="n">
        <v>5</v>
      </c>
    </row>
    <row r="258">
      <c r="A258" t="inlineStr">
        <is>
          <t>Liam Delap</t>
        </is>
      </c>
      <c r="B258" t="inlineStr">
        <is>
          <t>CHE</t>
        </is>
      </c>
      <c r="C258" t="inlineStr">
        <is>
          <t>CHE</t>
        </is>
      </c>
      <c r="D258" t="b">
        <v>0</v>
      </c>
      <c r="E258" t="inlineStr">
        <is>
          <t>FWD</t>
        </is>
      </c>
      <c r="F258" t="inlineStr">
        <is>
          <t>FWD</t>
        </is>
      </c>
      <c r="G258" t="b">
        <v>1</v>
      </c>
      <c r="H258" s="2" t="n">
        <v>5.5</v>
      </c>
      <c r="I258" t="inlineStr">
        <is>
          <t>a</t>
        </is>
      </c>
      <c r="K258" s="2" t="n">
        <v>1092</v>
      </c>
      <c r="L258" t="n">
        <v>45</v>
      </c>
      <c r="M258" s="3" t="n">
        <v>21</v>
      </c>
      <c r="N258" s="4" t="n">
        <v>0</v>
      </c>
      <c r="O258" s="4" t="n">
        <v>-21</v>
      </c>
      <c r="P258" s="5" t="inlineStr">
        <is>
          <t>medium</t>
        </is>
      </c>
      <c r="Q258" t="inlineStr">
        <is>
          <t>flat</t>
        </is>
      </c>
      <c r="R258" s="6" t="n">
        <v>0</v>
      </c>
      <c r="S258" t="inlineStr">
        <is>
          <t>research</t>
        </is>
      </c>
      <c r="T258" s="5" t="inlineStr">
        <is>
          <t>Named on Last Word on Football's 'unwanted list', omitted from the final pre-season matchday squad after failing to impress against weaker tour opposition, with reported interest in a permanent move away.</t>
        </is>
      </c>
      <c r="U258" s="6" t="n">
        <v>72.5</v>
      </c>
      <c r="V258" s="2" t="n">
        <v>12</v>
      </c>
      <c r="W258" s="7">
        <f>IF(N(U258)&lt;=0,0,MIN(Assumptions!$B$15,N(R258)/N(U258)))</f>
        <v/>
      </c>
      <c r="X258" s="6" t="n">
        <v>0.322</v>
      </c>
      <c r="Y258" s="3" t="n">
        <v>0.3711</v>
      </c>
      <c r="Z258" t="inlineStr">
        <is>
          <t>adjusted xGOT</t>
        </is>
      </c>
      <c r="AA258" s="3" t="n">
        <v>1</v>
      </c>
      <c r="AB258" s="3" t="n">
        <v>0.992</v>
      </c>
      <c r="AC258" s="3" t="n">
        <v>14</v>
      </c>
      <c r="AD258" s="3" t="n">
        <v>0.0165</v>
      </c>
      <c r="AE258" s="3" t="n">
        <v>3.991</v>
      </c>
      <c r="AF258" s="3" t="n">
        <v>0.0001348593235228623</v>
      </c>
      <c r="AG258" s="3" t="n">
        <v>0.0824</v>
      </c>
      <c r="AH258" s="3" t="n">
        <v>38</v>
      </c>
      <c r="AI258" s="3" t="n">
        <v>2.4232</v>
      </c>
      <c r="AJ258" s="3" t="n">
        <v>1.1851</v>
      </c>
      <c r="AK258" s="3" t="n">
        <v>-0.3159241692174626</v>
      </c>
      <c r="AL258" s="6" t="n">
        <v>0.0003609129577271</v>
      </c>
      <c r="AM258" s="3" t="n">
        <v>0</v>
      </c>
      <c r="AN258" s="3" t="n">
        <v>1.4844</v>
      </c>
      <c r="AO258" s="3" t="n">
        <v>0.06534000000000001</v>
      </c>
      <c r="AP258" s="3">
        <f>N(X258)*N(BI258)</f>
        <v/>
      </c>
      <c r="AQ258" s="3" t="n">
        <v>0.0824</v>
      </c>
      <c r="AR258" s="3" t="n">
        <v>0</v>
      </c>
      <c r="AS258" s="3" t="n">
        <v>-0</v>
      </c>
      <c r="AT258" s="3" t="n">
        <v>-0.3159241692174626</v>
      </c>
      <c r="AU258" s="3">
        <f>SUM(AN258:AT258)</f>
        <v/>
      </c>
      <c r="AV258" s="7">
        <f>IF(OR(N(W258)&lt;=0,N(BG258)=0),0,N(W258)*IF(N(R258)/N(W258)&gt;=60,N(BG258),1))</f>
        <v/>
      </c>
      <c r="AW258" s="7">
        <f>N(W258)*N(AF258)*N(BH258)</f>
        <v/>
      </c>
      <c r="AX258" s="7">
        <f>N(AL258)*(Assumptions!$B$13*N(BJ258)-(1-Assumptions!$B$13)*Assumptions!$B$14)+N(AM258)</f>
        <v/>
      </c>
      <c r="AY258" s="7">
        <f>N(AU258)*N(R258)/90+N(AV258)+N(AW258)+N(AX258)</f>
        <v/>
      </c>
      <c r="AZ258" s="3">
        <f>IF(N(R258)&lt;=0,0,(N(AY258)-N(AX258))*90/N(R258))</f>
        <v/>
      </c>
      <c r="BA258" s="7">
        <f>IFERROR(AY258-VLOOKUP($E258,Assumptions!$A$40:$C$43,3,FALSE),"")</f>
        <v/>
      </c>
      <c r="BB258" s="3">
        <f>IFERROR(BA258/H258,"")</f>
        <v/>
      </c>
      <c r="BC258">
        <f>IF(AND($G258=TRUE,$E258="GKP"),AY258,"")</f>
        <v/>
      </c>
      <c r="BD258">
        <f>IF(AND($G258=TRUE,$E258="DEF"),AY258,"")</f>
        <v/>
      </c>
      <c r="BE258">
        <f>IF(AND($G258=TRUE,$E258="MID"),AY258,"")</f>
        <v/>
      </c>
      <c r="BF258">
        <f>IF(AND($G258=TRUE,$E258="FWD"),AY258,"")</f>
        <v/>
      </c>
      <c r="BG258" t="n">
        <v>2</v>
      </c>
      <c r="BH258" t="n">
        <v>2</v>
      </c>
      <c r="BI258" t="n">
        <v>0</v>
      </c>
      <c r="BJ258" t="n">
        <v>4</v>
      </c>
    </row>
    <row r="259">
      <c r="A259" t="inlineStr">
        <is>
          <t>Will Hughes</t>
        </is>
      </c>
      <c r="B259" t="inlineStr">
        <is>
          <t>CRY</t>
        </is>
      </c>
      <c r="C259" t="inlineStr">
        <is>
          <t>CRY</t>
        </is>
      </c>
      <c r="D259" t="b">
        <v>0</v>
      </c>
      <c r="E259" t="inlineStr">
        <is>
          <t>MID</t>
        </is>
      </c>
      <c r="F259" t="inlineStr">
        <is>
          <t>MID</t>
        </is>
      </c>
      <c r="G259" t="b">
        <v>1</v>
      </c>
      <c r="H259" s="2" t="n">
        <v>4.5</v>
      </c>
      <c r="I259" t="inlineStr">
        <is>
          <t>a</t>
        </is>
      </c>
      <c r="K259" s="2" t="n">
        <v>1560</v>
      </c>
      <c r="L259" t="n">
        <v>45</v>
      </c>
      <c r="M259" s="3" t="n">
        <v>1510</v>
      </c>
      <c r="N259" s="4" t="n">
        <v>1200</v>
      </c>
      <c r="O259" s="4" t="n">
        <v>-310</v>
      </c>
      <c r="P259" s="5" t="inlineStr">
        <is>
          <t>low</t>
        </is>
      </c>
      <c r="Q259" t="inlineStr">
        <is>
          <t>flat</t>
        </is>
      </c>
      <c r="R259" s="6" t="n">
        <v>1200</v>
      </c>
      <c r="S259" t="inlineStr">
        <is>
          <t>research</t>
        </is>
      </c>
      <c r="T259" s="5" t="inlineStr">
        <is>
          <t>Rotation midfielder who came off the bench for Wharton at Freiburg. Cheick Doucoure is back in training and played in pre-season after roughly 18 months out, which restores a competitor Solio's numbers do not account for, and Lerma and Devenny remain. Trimmed to help fund the attacking arrivals.</t>
        </is>
      </c>
      <c r="U259" s="6" t="n">
        <v>75.3</v>
      </c>
      <c r="V259" s="2" t="n">
        <v>19</v>
      </c>
      <c r="W259" s="7">
        <f>IF(N(U259)&lt;=0,0,MIN(Assumptions!$B$15,N(R259)/N(U259)))</f>
        <v/>
      </c>
      <c r="X259" s="6" t="n">
        <v>0.216</v>
      </c>
      <c r="Y259" s="3" t="n">
        <v>0.0549</v>
      </c>
      <c r="Z259" t="inlineStr">
        <is>
          <t>adjusted xGOT</t>
        </is>
      </c>
      <c r="AA259" s="3" t="n">
        <v>1</v>
      </c>
      <c r="AB259" s="3" t="n">
        <v>0.857</v>
      </c>
      <c r="AC259" s="3" t="n">
        <v>2.8</v>
      </c>
      <c r="AD259" s="3" t="n">
        <v>0.1115</v>
      </c>
      <c r="AE259" s="3" t="n">
        <v>8.551</v>
      </c>
      <c r="AF259" s="3" t="n">
        <v>0.06063128964576248</v>
      </c>
      <c r="AG259" s="3" t="n">
        <v>0</v>
      </c>
      <c r="AH259" s="3" t="n">
        <v>44</v>
      </c>
      <c r="AI259" s="3" t="n">
        <v>3.2035</v>
      </c>
      <c r="AJ259" s="3" t="n">
        <v>1.5923</v>
      </c>
      <c r="AK259" s="3" t="n">
        <v>-0.3610724434657475</v>
      </c>
      <c r="AL259" s="6" t="n">
        <v>0</v>
      </c>
      <c r="AM259" s="3" t="n">
        <v>0</v>
      </c>
      <c r="AN259" s="3" t="n">
        <v>0.2745</v>
      </c>
      <c r="AO259" s="3" t="n">
        <v>0.44154</v>
      </c>
      <c r="AP259" s="3">
        <f>N(X259)*N(BI259)</f>
        <v/>
      </c>
      <c r="AQ259" s="3" t="n">
        <v>0</v>
      </c>
      <c r="AR259" s="3" t="n">
        <v>0</v>
      </c>
      <c r="AS259" s="3" t="n">
        <v>-0</v>
      </c>
      <c r="AT259" s="3" t="n">
        <v>-0.3610724434657475</v>
      </c>
      <c r="AU259" s="3">
        <f>SUM(AN259:AT259)</f>
        <v/>
      </c>
      <c r="AV259" s="7">
        <f>IF(OR(N(W259)&lt;=0,N(BG259)=0),0,N(W259)*IF(N(R259)/N(W259)&gt;=60,N(BG259),1))</f>
        <v/>
      </c>
      <c r="AW259" s="7">
        <f>N(W259)*N(AF259)*N(BH259)</f>
        <v/>
      </c>
      <c r="AX259" s="7">
        <f>N(AL259)*(Assumptions!$B$13*N(BJ259)-(1-Assumptions!$B$13)*Assumptions!$B$14)+N(AM259)</f>
        <v/>
      </c>
      <c r="AY259" s="7">
        <f>N(AU259)*N(R259)/90+N(AV259)+N(AW259)+N(AX259)</f>
        <v/>
      </c>
      <c r="AZ259" s="3">
        <f>IF(N(R259)&lt;=0,0,(N(AY259)-N(AX259))*90/N(R259))</f>
        <v/>
      </c>
      <c r="BA259" s="7">
        <f>IFERROR(AY259-VLOOKUP($E259,Assumptions!$A$40:$C$43,3,FALSE),"")</f>
        <v/>
      </c>
      <c r="BB259" s="3">
        <f>IFERROR(BA259/H259,"")</f>
        <v/>
      </c>
      <c r="BC259">
        <f>IF(AND($G259=TRUE,$E259="GKP"),AY259,"")</f>
        <v/>
      </c>
      <c r="BD259">
        <f>IF(AND($G259=TRUE,$E259="DEF"),AY259,"")</f>
        <v/>
      </c>
      <c r="BE259">
        <f>IF(AND($G259=TRUE,$E259="MID"),AY259,"")</f>
        <v/>
      </c>
      <c r="BF259">
        <f>IF(AND($G259=TRUE,$E259="FWD"),AY259,"")</f>
        <v/>
      </c>
      <c r="BG259" t="n">
        <v>2</v>
      </c>
      <c r="BH259" t="n">
        <v>2</v>
      </c>
      <c r="BI259" t="n">
        <v>1</v>
      </c>
      <c r="BJ259" t="n">
        <v>5</v>
      </c>
    </row>
    <row r="260">
      <c r="A260" t="inlineStr">
        <is>
          <t>Ben White</t>
        </is>
      </c>
      <c r="B260" t="inlineStr">
        <is>
          <t>ARS</t>
        </is>
      </c>
      <c r="C260" t="inlineStr">
        <is>
          <t>ARS</t>
        </is>
      </c>
      <c r="D260" t="b">
        <v>0</v>
      </c>
      <c r="E260" t="inlineStr">
        <is>
          <t>DEF</t>
        </is>
      </c>
      <c r="F260" t="inlineStr">
        <is>
          <t>DEF</t>
        </is>
      </c>
      <c r="G260" t="b">
        <v>1</v>
      </c>
      <c r="H260" s="2" t="n">
        <v>5.5</v>
      </c>
      <c r="I260" t="inlineStr">
        <is>
          <t>a</t>
        </is>
      </c>
      <c r="K260" s="2" t="n">
        <v>699</v>
      </c>
      <c r="L260" t="n">
        <v>45</v>
      </c>
      <c r="M260" s="3" t="n">
        <v>287</v>
      </c>
      <c r="N260" s="4" t="n">
        <v>900</v>
      </c>
      <c r="O260" s="4" t="n">
        <v>613</v>
      </c>
      <c r="P260" s="5" t="inlineStr">
        <is>
          <t>medium</t>
        </is>
      </c>
      <c r="Q260" t="inlineStr">
        <is>
          <t>fade (losing his place)</t>
        </is>
      </c>
      <c r="R260" s="6" t="n">
        <v>900</v>
      </c>
      <c r="S260" t="inlineStr">
        <is>
          <t>research</t>
        </is>
      </c>
      <c r="T260" s="5" t="inlineStr">
        <is>
          <t>Same source and same reason as Mosquera: White is one of only two fit right-sided defenders and is 'fit again and present in pre-season'. He is the incumbent right-back until Timber returns. Held well below a starter's allocation because Arseblog notes his last two seasons have been 'punctuated by injury' (699 league minutes in 2025/26), and because Timber's return reclaims the position.</t>
        </is>
      </c>
      <c r="U260" s="6" t="n">
        <v>78.90000000000001</v>
      </c>
      <c r="V260" s="2" t="n">
        <v>9</v>
      </c>
      <c r="W260" s="7">
        <f>IF(N(U260)&lt;=0,0,MIN(Assumptions!$B$15,N(R260)/N(U260)))</f>
        <v/>
      </c>
      <c r="X260" s="6" t="n">
        <v>0.391</v>
      </c>
      <c r="Y260" s="3" t="n">
        <v>0.0578</v>
      </c>
      <c r="Z260" t="inlineStr">
        <is>
          <t>adjusted xGOT</t>
        </is>
      </c>
      <c r="AA260" s="3" t="n">
        <v>1</v>
      </c>
      <c r="AB260" s="3" t="n">
        <v>0.997</v>
      </c>
      <c r="AC260" s="3" t="n">
        <v>3.4</v>
      </c>
      <c r="AD260" s="3" t="n">
        <v>0.1447</v>
      </c>
      <c r="AE260" s="3" t="n">
        <v>7.261</v>
      </c>
      <c r="AF260" s="3" t="n">
        <v>0.1113731183555535</v>
      </c>
      <c r="AG260" s="3" t="n">
        <v>0.3863</v>
      </c>
      <c r="AH260" s="3" t="n">
        <v>19</v>
      </c>
      <c r="AI260" s="3" t="n">
        <v>2.067</v>
      </c>
      <c r="AJ260" s="3" t="n">
        <v>0.9838</v>
      </c>
      <c r="AK260" s="3" t="n">
        <v>-0.1841263655678415</v>
      </c>
      <c r="AL260" s="6" t="n">
        <v>0</v>
      </c>
      <c r="AM260" s="3" t="n">
        <v>0</v>
      </c>
      <c r="AN260" s="3" t="n">
        <v>0.3468</v>
      </c>
      <c r="AO260" s="3" t="n">
        <v>0.573012</v>
      </c>
      <c r="AP260" s="3">
        <f>N(X260)*N(BI260)</f>
        <v/>
      </c>
      <c r="AQ260" s="3" t="n">
        <v>0.3863</v>
      </c>
      <c r="AR260" s="3" t="n">
        <v>0</v>
      </c>
      <c r="AS260" s="3" t="n">
        <v>-0.2768479886568037</v>
      </c>
      <c r="AT260" s="3" t="n">
        <v>-0.1841263655678415</v>
      </c>
      <c r="AU260" s="3">
        <f>SUM(AN260:AT260)</f>
        <v/>
      </c>
      <c r="AV260" s="7">
        <f>IF(OR(N(W260)&lt;=0,N(BG260)=0),0,N(W260)*IF(N(R260)/N(W260)&gt;=60,N(BG260),1))</f>
        <v/>
      </c>
      <c r="AW260" s="7">
        <f>N(W260)*N(AF260)*N(BH260)</f>
        <v/>
      </c>
      <c r="AX260" s="7">
        <f>N(AL260)*(Assumptions!$B$13*N(BJ260)-(1-Assumptions!$B$13)*Assumptions!$B$14)+N(AM260)</f>
        <v/>
      </c>
      <c r="AY260" s="7">
        <f>N(AU260)*N(R260)/90+N(AV260)+N(AW260)+N(AX260)</f>
        <v/>
      </c>
      <c r="AZ260" s="3">
        <f>IF(N(R260)&lt;=0,0,(N(AY260)-N(AX260))*90/N(R260))</f>
        <v/>
      </c>
      <c r="BA260" s="7">
        <f>IFERROR(AY260-VLOOKUP($E260,Assumptions!$A$40:$C$43,3,FALSE),"")</f>
        <v/>
      </c>
      <c r="BB260" s="3">
        <f>IFERROR(BA260/H260,"")</f>
        <v/>
      </c>
      <c r="BC260">
        <f>IF(AND($G260=TRUE,$E260="GKP"),AY260,"")</f>
        <v/>
      </c>
      <c r="BD260">
        <f>IF(AND($G260=TRUE,$E260="DEF"),AY260,"")</f>
        <v/>
      </c>
      <c r="BE260">
        <f>IF(AND($G260=TRUE,$E260="MID"),AY260,"")</f>
        <v/>
      </c>
      <c r="BF260">
        <f>IF(AND($G260=TRUE,$E260="FWD"),AY260,"")</f>
        <v/>
      </c>
      <c r="BG260" t="n">
        <v>2</v>
      </c>
      <c r="BH260" t="n">
        <v>2</v>
      </c>
      <c r="BI260" t="n">
        <v>4</v>
      </c>
      <c r="BJ260" t="n">
        <v>6</v>
      </c>
    </row>
    <row r="261">
      <c r="A261" t="inlineStr">
        <is>
          <t>Conor Gallagher</t>
        </is>
      </c>
      <c r="B261" t="inlineStr">
        <is>
          <t>TOT</t>
        </is>
      </c>
      <c r="C261" t="inlineStr">
        <is>
          <t>TOT</t>
        </is>
      </c>
      <c r="D261" t="b">
        <v>0</v>
      </c>
      <c r="E261" t="inlineStr">
        <is>
          <t>MID</t>
        </is>
      </c>
      <c r="F261" t="inlineStr">
        <is>
          <t>MID</t>
        </is>
      </c>
      <c r="G261" t="b">
        <v>1</v>
      </c>
      <c r="H261" s="2" t="n">
        <v>5.5</v>
      </c>
      <c r="I261" t="inlineStr">
        <is>
          <t>a</t>
        </is>
      </c>
      <c r="K261" s="2" t="n">
        <v>1183</v>
      </c>
      <c r="L261" t="n">
        <v>44</v>
      </c>
      <c r="M261" s="3" t="n">
        <v>1858</v>
      </c>
      <c r="N261" s="8" t="n">
        <v>1858</v>
      </c>
      <c r="O261" s="8" t="n">
        <v>0</v>
      </c>
      <c r="Q261" t="inlineStr">
        <is>
          <t>fade (losing his place)</t>
        </is>
      </c>
      <c r="R261" s="6" t="n">
        <v>1858</v>
      </c>
      <c r="S261" t="inlineStr">
        <is>
          <t>Solio</t>
        </is>
      </c>
      <c r="U261" s="6" t="n">
        <v>80.5</v>
      </c>
      <c r="V261" s="2" t="n">
        <v>14</v>
      </c>
      <c r="W261" s="7">
        <f>IF(N(U261)&lt;=0,0,MIN(Assumptions!$B$15,N(R261)/N(U261)))</f>
        <v/>
      </c>
      <c r="X261" s="6" t="n">
        <v>0.286</v>
      </c>
      <c r="Y261" s="3" t="n">
        <v>0.09180000000000001</v>
      </c>
      <c r="Z261" t="inlineStr">
        <is>
          <t>adjusted xGOT</t>
        </is>
      </c>
      <c r="AA261" s="3" t="n">
        <v>1</v>
      </c>
      <c r="AB261" s="3" t="n">
        <v>0.982</v>
      </c>
      <c r="AC261" s="3" t="n">
        <v>7.8</v>
      </c>
      <c r="AD261" s="3" t="n">
        <v>0.0592</v>
      </c>
      <c r="AE261" s="3" t="n">
        <v>9.109999999999999</v>
      </c>
      <c r="AF261" s="3" t="n">
        <v>0.122932900488234</v>
      </c>
      <c r="AG261" s="3" t="n">
        <v>0.2282</v>
      </c>
      <c r="AH261" s="3" t="n">
        <v>29</v>
      </c>
      <c r="AI261" s="3" t="n">
        <v>2.5739</v>
      </c>
      <c r="AJ261" s="3" t="n">
        <v>1.3096</v>
      </c>
      <c r="AK261" s="3" t="n">
        <v>-0.2022405945083572</v>
      </c>
      <c r="AL261" s="6" t="n">
        <v>0</v>
      </c>
      <c r="AM261" s="3" t="n">
        <v>0</v>
      </c>
      <c r="AN261" s="3" t="n">
        <v>0.459</v>
      </c>
      <c r="AO261" s="3" t="n">
        <v>0.234432</v>
      </c>
      <c r="AP261" s="3">
        <f>N(X261)*N(BI261)</f>
        <v/>
      </c>
      <c r="AQ261" s="3" t="n">
        <v>0.2282</v>
      </c>
      <c r="AR261" s="3" t="n">
        <v>0</v>
      </c>
      <c r="AS261" s="3" t="n">
        <v>-0</v>
      </c>
      <c r="AT261" s="3" t="n">
        <v>-0.2022405945083572</v>
      </c>
      <c r="AU261" s="3">
        <f>SUM(AN261:AT261)</f>
        <v/>
      </c>
      <c r="AV261" s="7">
        <f>IF(OR(N(W261)&lt;=0,N(BG261)=0),0,N(W261)*IF(N(R261)/N(W261)&gt;=60,N(BG261),1))</f>
        <v/>
      </c>
      <c r="AW261" s="7">
        <f>N(W261)*N(AF261)*N(BH261)</f>
        <v/>
      </c>
      <c r="AX261" s="7">
        <f>N(AL261)*(Assumptions!$B$13*N(BJ261)-(1-Assumptions!$B$13)*Assumptions!$B$14)+N(AM261)</f>
        <v/>
      </c>
      <c r="AY261" s="7">
        <f>N(AU261)*N(R261)/90+N(AV261)+N(AW261)+N(AX261)</f>
        <v/>
      </c>
      <c r="AZ261" s="3">
        <f>IF(N(R261)&lt;=0,0,(N(AY261)-N(AX261))*90/N(R261))</f>
        <v/>
      </c>
      <c r="BA261" s="7">
        <f>IFERROR(AY261-VLOOKUP($E261,Assumptions!$A$40:$C$43,3,FALSE),"")</f>
        <v/>
      </c>
      <c r="BB261" s="3">
        <f>IFERROR(BA261/H261,"")</f>
        <v/>
      </c>
      <c r="BC261">
        <f>IF(AND($G261=TRUE,$E261="GKP"),AY261,"")</f>
        <v/>
      </c>
      <c r="BD261">
        <f>IF(AND($G261=TRUE,$E261="DEF"),AY261,"")</f>
        <v/>
      </c>
      <c r="BE261">
        <f>IF(AND($G261=TRUE,$E261="MID"),AY261,"")</f>
        <v/>
      </c>
      <c r="BF261">
        <f>IF(AND($G261=TRUE,$E261="FWD"),AY261,"")</f>
        <v/>
      </c>
      <c r="BG261" t="n">
        <v>2</v>
      </c>
      <c r="BH261" t="n">
        <v>2</v>
      </c>
      <c r="BI261" t="n">
        <v>1</v>
      </c>
      <c r="BJ261" t="n">
        <v>5</v>
      </c>
    </row>
    <row r="262">
      <c r="A262" t="inlineStr">
        <is>
          <t>Evann Guessand</t>
        </is>
      </c>
      <c r="B262" t="inlineStr">
        <is>
          <t>CRY</t>
        </is>
      </c>
      <c r="C262" t="inlineStr">
        <is>
          <t>CRY</t>
        </is>
      </c>
      <c r="D262" t="b">
        <v>0</v>
      </c>
      <c r="E262" t="inlineStr">
        <is>
          <t>MID</t>
        </is>
      </c>
      <c r="F262" t="inlineStr">
        <is>
          <t>MID</t>
        </is>
      </c>
      <c r="G262" t="b">
        <v>1</v>
      </c>
      <c r="H262" s="2" t="n">
        <v>5.5</v>
      </c>
      <c r="I262" t="inlineStr">
        <is>
          <t>a</t>
        </is>
      </c>
      <c r="K262" s="2" t="n">
        <v>909</v>
      </c>
      <c r="L262" t="n">
        <v>44</v>
      </c>
      <c r="M262" s="3" t="n">
        <v>832</v>
      </c>
      <c r="N262" s="4" t="n">
        <v>1250</v>
      </c>
      <c r="O262" s="4" t="n">
        <v>418</v>
      </c>
      <c r="P262" s="5" t="inlineStr">
        <is>
          <t>medium</t>
        </is>
      </c>
      <c r="Q262" t="inlineStr">
        <is>
          <t>flat</t>
        </is>
      </c>
      <c r="R262" s="6" t="n">
        <v>1250</v>
      </c>
      <c r="S262" t="inlineStr">
        <is>
          <t>research</t>
        </is>
      </c>
      <c r="T262" s="5" t="inlineStr">
        <is>
          <t>Re-signed from Aston Villa on 12 August on a season-long loan carrying a conditional obligation to buy, having previously been at Palace only from January to May 2026. A full-season deal with a purchase obligation implies a larger role than the half-season Solio's number is scaled from. He came off the bench for Strand Larsen at Freiburg.</t>
        </is>
      </c>
      <c r="U262" s="6" t="n">
        <v>74.5</v>
      </c>
      <c r="V262" s="2" t="n">
        <v>9</v>
      </c>
      <c r="W262" s="7">
        <f>IF(N(U262)&lt;=0,0,MIN(Assumptions!$B$15,N(R262)/N(U262)))</f>
        <v/>
      </c>
      <c r="X262" s="6" t="n">
        <v>0.216</v>
      </c>
      <c r="Y262" s="3" t="n">
        <v>0.1551</v>
      </c>
      <c r="Z262" t="inlineStr">
        <is>
          <t>adjusted xGOT</t>
        </is>
      </c>
      <c r="AA262" s="3" t="n">
        <v>1</v>
      </c>
      <c r="AB262" s="3" t="n">
        <v>1.004</v>
      </c>
      <c r="AC262" s="3" t="n">
        <v>1.6</v>
      </c>
      <c r="AD262" s="3" t="n">
        <v>0.1034</v>
      </c>
      <c r="AE262" s="3" t="n">
        <v>8.377000000000001</v>
      </c>
      <c r="AF262" s="3" t="n">
        <v>0.05043712192936523</v>
      </c>
      <c r="AG262" s="3" t="n">
        <v>0</v>
      </c>
      <c r="AH262" s="3" t="n">
        <v>28</v>
      </c>
      <c r="AI262" s="3" t="n">
        <v>3.2035</v>
      </c>
      <c r="AJ262" s="3" t="n">
        <v>1.5923</v>
      </c>
      <c r="AK262" s="3" t="n">
        <v>-0.1388775988728118</v>
      </c>
      <c r="AL262" s="6" t="n">
        <v>0</v>
      </c>
      <c r="AM262" s="3" t="n">
        <v>0</v>
      </c>
      <c r="AN262" s="3" t="n">
        <v>0.7755</v>
      </c>
      <c r="AO262" s="3" t="n">
        <v>0.4094640000000001</v>
      </c>
      <c r="AP262" s="3">
        <f>N(X262)*N(BI262)</f>
        <v/>
      </c>
      <c r="AQ262" s="3" t="n">
        <v>0</v>
      </c>
      <c r="AR262" s="3" t="n">
        <v>0</v>
      </c>
      <c r="AS262" s="3" t="n">
        <v>-0</v>
      </c>
      <c r="AT262" s="3" t="n">
        <v>-0.1388775988728118</v>
      </c>
      <c r="AU262" s="3">
        <f>SUM(AN262:AT262)</f>
        <v/>
      </c>
      <c r="AV262" s="7">
        <f>IF(OR(N(W262)&lt;=0,N(BG262)=0),0,N(W262)*IF(N(R262)/N(W262)&gt;=60,N(BG262),1))</f>
        <v/>
      </c>
      <c r="AW262" s="7">
        <f>N(W262)*N(AF262)*N(BH262)</f>
        <v/>
      </c>
      <c r="AX262" s="7">
        <f>N(AL262)*(Assumptions!$B$13*N(BJ262)-(1-Assumptions!$B$13)*Assumptions!$B$14)+N(AM262)</f>
        <v/>
      </c>
      <c r="AY262" s="7">
        <f>N(AU262)*N(R262)/90+N(AV262)+N(AW262)+N(AX262)</f>
        <v/>
      </c>
      <c r="AZ262" s="3">
        <f>IF(N(R262)&lt;=0,0,(N(AY262)-N(AX262))*90/N(R262))</f>
        <v/>
      </c>
      <c r="BA262" s="7">
        <f>IFERROR(AY262-VLOOKUP($E262,Assumptions!$A$40:$C$43,3,FALSE),"")</f>
        <v/>
      </c>
      <c r="BB262" s="3">
        <f>IFERROR(BA262/H262,"")</f>
        <v/>
      </c>
      <c r="BC262">
        <f>IF(AND($G262=TRUE,$E262="GKP"),AY262,"")</f>
        <v/>
      </c>
      <c r="BD262">
        <f>IF(AND($G262=TRUE,$E262="DEF"),AY262,"")</f>
        <v/>
      </c>
      <c r="BE262">
        <f>IF(AND($G262=TRUE,$E262="MID"),AY262,"")</f>
        <v/>
      </c>
      <c r="BF262">
        <f>IF(AND($G262=TRUE,$E262="FWD"),AY262,"")</f>
        <v/>
      </c>
      <c r="BG262" t="n">
        <v>2</v>
      </c>
      <c r="BH262" t="n">
        <v>2</v>
      </c>
      <c r="BI262" t="n">
        <v>1</v>
      </c>
      <c r="BJ262" t="n">
        <v>5</v>
      </c>
    </row>
    <row r="263">
      <c r="A263" t="inlineStr">
        <is>
          <t>Savinho</t>
        </is>
      </c>
      <c r="B263" t="inlineStr">
        <is>
          <t>MCI</t>
        </is>
      </c>
      <c r="C263" t="inlineStr">
        <is>
          <t>MCI</t>
        </is>
      </c>
      <c r="D263" t="b">
        <v>0</v>
      </c>
      <c r="E263" t="inlineStr">
        <is>
          <t>MID</t>
        </is>
      </c>
      <c r="F263" t="inlineStr">
        <is>
          <t>MID</t>
        </is>
      </c>
      <c r="G263" t="b">
        <v>1</v>
      </c>
      <c r="H263" s="2" t="n">
        <v>6.5</v>
      </c>
      <c r="I263" t="inlineStr">
        <is>
          <t>a</t>
        </is>
      </c>
      <c r="K263" s="2" t="n">
        <v>817</v>
      </c>
      <c r="L263" t="n">
        <v>43</v>
      </c>
      <c r="M263" s="3" t="n">
        <v>419</v>
      </c>
      <c r="N263" s="8" t="n">
        <v>419</v>
      </c>
      <c r="O263" s="8" t="n">
        <v>0</v>
      </c>
      <c r="Q263" t="inlineStr">
        <is>
          <t>flat</t>
        </is>
      </c>
      <c r="R263" s="6" t="n">
        <v>419</v>
      </c>
      <c r="S263" t="inlineStr">
        <is>
          <t>Solio</t>
        </is>
      </c>
      <c r="U263" s="6" t="n">
        <v>79.40000000000001</v>
      </c>
      <c r="V263" s="2" t="n">
        <v>7</v>
      </c>
      <c r="W263" s="7">
        <f>IF(N(U263)&lt;=0,0,MIN(Assumptions!$B$15,N(R263)/N(U263)))</f>
        <v/>
      </c>
      <c r="X263" s="6" t="n">
        <v>0.371</v>
      </c>
      <c r="Y263" s="3" t="n">
        <v>0.2644</v>
      </c>
      <c r="Z263" t="inlineStr">
        <is>
          <t>adjusted xGOT</t>
        </is>
      </c>
      <c r="AA263" s="3" t="n">
        <v>1</v>
      </c>
      <c r="AB263" s="3" t="n">
        <v>0.96</v>
      </c>
      <c r="AC263" s="3" t="n">
        <v>7.5</v>
      </c>
      <c r="AD263" s="3" t="n">
        <v>0.1389</v>
      </c>
      <c r="AE263" s="3" t="n">
        <v>7.473</v>
      </c>
      <c r="AF263" s="3" t="n">
        <v>0.03703901402831566</v>
      </c>
      <c r="AG263" s="3" t="n">
        <v>0.1102</v>
      </c>
      <c r="AH263" s="3" t="n">
        <v>30</v>
      </c>
      <c r="AI263" s="3" t="n">
        <v>1.9737</v>
      </c>
      <c r="AJ263" s="3" t="n">
        <v>1.0365</v>
      </c>
      <c r="AK263" s="3" t="n">
        <v>-0.206537684616904</v>
      </c>
      <c r="AL263" s="6" t="n">
        <v>0</v>
      </c>
      <c r="AM263" s="3" t="n">
        <v>0</v>
      </c>
      <c r="AN263" s="3" t="n">
        <v>1.322</v>
      </c>
      <c r="AO263" s="3" t="n">
        <v>0.550044</v>
      </c>
      <c r="AP263" s="3">
        <f>N(X263)*N(BI263)</f>
        <v/>
      </c>
      <c r="AQ263" s="3" t="n">
        <v>0.1102</v>
      </c>
      <c r="AR263" s="3" t="n">
        <v>0</v>
      </c>
      <c r="AS263" s="3" t="n">
        <v>-0</v>
      </c>
      <c r="AT263" s="3" t="n">
        <v>-0.206537684616904</v>
      </c>
      <c r="AU263" s="3">
        <f>SUM(AN263:AT263)</f>
        <v/>
      </c>
      <c r="AV263" s="7">
        <f>IF(OR(N(W263)&lt;=0,N(BG263)=0),0,N(W263)*IF(N(R263)/N(W263)&gt;=60,N(BG263),1))</f>
        <v/>
      </c>
      <c r="AW263" s="7">
        <f>N(W263)*N(AF263)*N(BH263)</f>
        <v/>
      </c>
      <c r="AX263" s="7">
        <f>N(AL263)*(Assumptions!$B$13*N(BJ263)-(1-Assumptions!$B$13)*Assumptions!$B$14)+N(AM263)</f>
        <v/>
      </c>
      <c r="AY263" s="7">
        <f>N(AU263)*N(R263)/90+N(AV263)+N(AW263)+N(AX263)</f>
        <v/>
      </c>
      <c r="AZ263" s="3">
        <f>IF(N(R263)&lt;=0,0,(N(AY263)-N(AX263))*90/N(R263))</f>
        <v/>
      </c>
      <c r="BA263" s="7">
        <f>IFERROR(AY263-VLOOKUP($E263,Assumptions!$A$40:$C$43,3,FALSE),"")</f>
        <v/>
      </c>
      <c r="BB263" s="3">
        <f>IFERROR(BA263/H263,"")</f>
        <v/>
      </c>
      <c r="BC263">
        <f>IF(AND($G263=TRUE,$E263="GKP"),AY263,"")</f>
        <v/>
      </c>
      <c r="BD263">
        <f>IF(AND($G263=TRUE,$E263="DEF"),AY263,"")</f>
        <v/>
      </c>
      <c r="BE263">
        <f>IF(AND($G263=TRUE,$E263="MID"),AY263,"")</f>
        <v/>
      </c>
      <c r="BF263">
        <f>IF(AND($G263=TRUE,$E263="FWD"),AY263,"")</f>
        <v/>
      </c>
      <c r="BG263" t="n">
        <v>2</v>
      </c>
      <c r="BH263" t="n">
        <v>2</v>
      </c>
      <c r="BI263" t="n">
        <v>1</v>
      </c>
      <c r="BJ263" t="n">
        <v>5</v>
      </c>
    </row>
    <row r="264">
      <c r="A264" t="inlineStr">
        <is>
          <t>Rio Ngumoha</t>
        </is>
      </c>
      <c r="B264" t="inlineStr">
        <is>
          <t>LIV</t>
        </is>
      </c>
      <c r="C264" t="inlineStr">
        <is>
          <t>LIV</t>
        </is>
      </c>
      <c r="D264" t="b">
        <v>0</v>
      </c>
      <c r="E264" t="inlineStr">
        <is>
          <t>MID</t>
        </is>
      </c>
      <c r="F264" t="inlineStr">
        <is>
          <t>MID</t>
        </is>
      </c>
      <c r="G264" t="b">
        <v>1</v>
      </c>
      <c r="H264" s="2" t="n">
        <v>6</v>
      </c>
      <c r="I264" t="inlineStr">
        <is>
          <t>a</t>
        </is>
      </c>
      <c r="K264" s="2" t="n">
        <v>547</v>
      </c>
      <c r="L264" t="n">
        <v>43</v>
      </c>
      <c r="M264" s="3" t="n">
        <v>2269</v>
      </c>
      <c r="N264" s="4" t="n">
        <v>1880</v>
      </c>
      <c r="O264" s="4" t="n">
        <v>-389</v>
      </c>
      <c r="P264" s="5" t="inlineStr">
        <is>
          <t>medium</t>
        </is>
      </c>
      <c r="Q264" t="inlineStr">
        <is>
          <t>flat</t>
        </is>
      </c>
      <c r="R264" s="6" t="n">
        <v>1880</v>
      </c>
      <c r="S264" t="inlineStr">
        <is>
          <t>research</t>
        </is>
      </c>
      <c r="T264" s="5" t="inlineStr">
        <is>
          <t>Ngumoha is the incumbent right winger in the pre-season XIs, but the framing from Liverpool sources is explicitly provisional: 'maybe Rio is the one who's going to be deployed there until we get a new signing.' Iraola: 'we definitely need to sign a winger.' Solio's 2269 (a fourfold rise on his 547 league minutes last season) assumes no reinforcement arrives before 31 August; trimmed to reflect that risk.</t>
        </is>
      </c>
      <c r="U264" s="6" t="n">
        <v>77.3</v>
      </c>
      <c r="V264" s="2" t="n">
        <v>5</v>
      </c>
      <c r="W264" s="7">
        <f>IF(N(U264)&lt;=0,0,MIN(Assumptions!$B$15,N(R264)/N(U264)))</f>
        <v/>
      </c>
      <c r="X264" s="6" t="n">
        <v>0.342</v>
      </c>
      <c r="Y264" s="3" t="n">
        <v>0.2336</v>
      </c>
      <c r="Z264" t="inlineStr">
        <is>
          <t>adjusted xGOT</t>
        </is>
      </c>
      <c r="AA264" s="3" t="n">
        <v>1</v>
      </c>
      <c r="AB264" s="3" t="n">
        <v>1.06</v>
      </c>
      <c r="AC264" s="3" t="n">
        <v>1.3</v>
      </c>
      <c r="AD264" s="3" t="n">
        <v>0.3403</v>
      </c>
      <c r="AE264" s="3" t="n">
        <v>7.005</v>
      </c>
      <c r="AF264" s="3" t="n">
        <v>0.02046663423069417</v>
      </c>
      <c r="AG264" s="3" t="n">
        <v>0.6581</v>
      </c>
      <c r="AH264" s="3" t="n">
        <v>24</v>
      </c>
      <c r="AI264" s="3" t="n">
        <v>2.409</v>
      </c>
      <c r="AJ264" s="3" t="n">
        <v>1.1228</v>
      </c>
      <c r="AK264" s="3" t="n">
        <v>-0.1611483197653539</v>
      </c>
      <c r="AL264" s="6" t="n">
        <v>0</v>
      </c>
      <c r="AM264" s="3" t="n">
        <v>0</v>
      </c>
      <c r="AN264" s="3" t="n">
        <v>1.168</v>
      </c>
      <c r="AO264" s="3" t="n">
        <v>1.347588</v>
      </c>
      <c r="AP264" s="3">
        <f>N(X264)*N(BI264)</f>
        <v/>
      </c>
      <c r="AQ264" s="3" t="n">
        <v>0.6581</v>
      </c>
      <c r="AR264" s="3" t="n">
        <v>0</v>
      </c>
      <c r="AS264" s="3" t="n">
        <v>-0</v>
      </c>
      <c r="AT264" s="3" t="n">
        <v>-0.1611483197653539</v>
      </c>
      <c r="AU264" s="3">
        <f>SUM(AN264:AT264)</f>
        <v/>
      </c>
      <c r="AV264" s="7">
        <f>IF(OR(N(W264)&lt;=0,N(BG264)=0),0,N(W264)*IF(N(R264)/N(W264)&gt;=60,N(BG264),1))</f>
        <v/>
      </c>
      <c r="AW264" s="7">
        <f>N(W264)*N(AF264)*N(BH264)</f>
        <v/>
      </c>
      <c r="AX264" s="7">
        <f>N(AL264)*(Assumptions!$B$13*N(BJ264)-(1-Assumptions!$B$13)*Assumptions!$B$14)+N(AM264)</f>
        <v/>
      </c>
      <c r="AY264" s="7">
        <f>N(AU264)*N(R264)/90+N(AV264)+N(AW264)+N(AX264)</f>
        <v/>
      </c>
      <c r="AZ264" s="3">
        <f>IF(N(R264)&lt;=0,0,(N(AY264)-N(AX264))*90/N(R264))</f>
        <v/>
      </c>
      <c r="BA264" s="7">
        <f>IFERROR(AY264-VLOOKUP($E264,Assumptions!$A$40:$C$43,3,FALSE),"")</f>
        <v/>
      </c>
      <c r="BB264" s="3">
        <f>IFERROR(BA264/H264,"")</f>
        <v/>
      </c>
      <c r="BC264">
        <f>IF(AND($G264=TRUE,$E264="GKP"),AY264,"")</f>
        <v/>
      </c>
      <c r="BD264">
        <f>IF(AND($G264=TRUE,$E264="DEF"),AY264,"")</f>
        <v/>
      </c>
      <c r="BE264">
        <f>IF(AND($G264=TRUE,$E264="MID"),AY264,"")</f>
        <v/>
      </c>
      <c r="BF264">
        <f>IF(AND($G264=TRUE,$E264="FWD"),AY264,"")</f>
        <v/>
      </c>
      <c r="BG264" t="n">
        <v>2</v>
      </c>
      <c r="BH264" t="n">
        <v>2</v>
      </c>
      <c r="BI264" t="n">
        <v>1</v>
      </c>
      <c r="BJ264" t="n">
        <v>5</v>
      </c>
    </row>
    <row r="265">
      <c r="A265" t="inlineStr">
        <is>
          <t>Taiwo Awoniyi</t>
        </is>
      </c>
      <c r="B265" t="inlineStr">
        <is>
          <t>NFO</t>
        </is>
      </c>
      <c r="C265" t="inlineStr">
        <is>
          <t>NFO</t>
        </is>
      </c>
      <c r="D265" t="b">
        <v>0</v>
      </c>
      <c r="E265" t="inlineStr">
        <is>
          <t>FWD</t>
        </is>
      </c>
      <c r="F265" t="inlineStr">
        <is>
          <t>FWD</t>
        </is>
      </c>
      <c r="G265" t="b">
        <v>1</v>
      </c>
      <c r="H265" s="2" t="n">
        <v>5.5</v>
      </c>
      <c r="I265" t="inlineStr">
        <is>
          <t>a</t>
        </is>
      </c>
      <c r="K265" s="2" t="n">
        <v>480</v>
      </c>
      <c r="L265" t="n">
        <v>43</v>
      </c>
      <c r="M265" s="3" t="n">
        <v>72</v>
      </c>
      <c r="N265" s="4" t="n">
        <v>250</v>
      </c>
      <c r="O265" s="4" t="n">
        <v>178</v>
      </c>
      <c r="P265" s="5" t="inlineStr">
        <is>
          <t>low</t>
        </is>
      </c>
      <c r="Q265" t="inlineStr">
        <is>
          <t>flat</t>
        </is>
      </c>
      <c r="R265" s="6" t="n">
        <v>250</v>
      </c>
      <c r="S265" t="inlineStr">
        <is>
          <t>research</t>
        </is>
      </c>
      <c r="T265" s="5" t="inlineStr">
        <is>
          <t>Fit, flagged 'available' in the FPL bootstrap, and scored in pre-season against Blackburn after his 2025 abdominal injury. Seventy-two minutes for a season implies he is effectively gone, which no source supports; he remains a squad striker under a manager rotating four of them.</t>
        </is>
      </c>
      <c r="U265" s="6" t="n">
        <v>76.3</v>
      </c>
      <c r="V265" s="2" t="n">
        <v>3</v>
      </c>
      <c r="W265" s="7">
        <f>IF(N(U265)&lt;=0,0,MIN(Assumptions!$B$15,N(R265)/N(U265)))</f>
        <v/>
      </c>
      <c r="X265" s="6" t="n">
        <v>0.224</v>
      </c>
      <c r="Y265" s="3" t="n">
        <v>0.5998</v>
      </c>
      <c r="Z265" t="inlineStr">
        <is>
          <t>adjusted xGOT</t>
        </is>
      </c>
      <c r="AA265" s="3" t="n">
        <v>1</v>
      </c>
      <c r="AB265" s="3" t="n">
        <v>0.869</v>
      </c>
      <c r="AC265" s="3" t="n">
        <v>17.5</v>
      </c>
      <c r="AD265" s="3" t="n">
        <v>0.1959</v>
      </c>
      <c r="AE265" s="3" t="n">
        <v>4.826</v>
      </c>
      <c r="AF265" s="3" t="n">
        <v>0.001105738013307045</v>
      </c>
      <c r="AG265" s="3" t="n">
        <v>0.75</v>
      </c>
      <c r="AH265" s="3" t="n">
        <v>19</v>
      </c>
      <c r="AI265" s="3" t="n">
        <v>3.1134</v>
      </c>
      <c r="AJ265" s="3" t="n">
        <v>1.5588</v>
      </c>
      <c r="AK265" s="3" t="n">
        <v>-0.2008123290547753</v>
      </c>
      <c r="AL265" s="6" t="n">
        <v>0</v>
      </c>
      <c r="AM265" s="3" t="n">
        <v>0</v>
      </c>
      <c r="AN265" s="3" t="n">
        <v>2.3992</v>
      </c>
      <c r="AO265" s="3" t="n">
        <v>0.775764</v>
      </c>
      <c r="AP265" s="3">
        <f>N(X265)*N(BI265)</f>
        <v/>
      </c>
      <c r="AQ265" s="3" t="n">
        <v>0.75</v>
      </c>
      <c r="AR265" s="3" t="n">
        <v>0</v>
      </c>
      <c r="AS265" s="3" t="n">
        <v>-0</v>
      </c>
      <c r="AT265" s="3" t="n">
        <v>-0.2008123290547753</v>
      </c>
      <c r="AU265" s="3">
        <f>SUM(AN265:AT265)</f>
        <v/>
      </c>
      <c r="AV265" s="7">
        <f>IF(OR(N(W265)&lt;=0,N(BG265)=0),0,N(W265)*IF(N(R265)/N(W265)&gt;=60,N(BG265),1))</f>
        <v/>
      </c>
      <c r="AW265" s="7">
        <f>N(W265)*N(AF265)*N(BH265)</f>
        <v/>
      </c>
      <c r="AX265" s="7">
        <f>N(AL265)*(Assumptions!$B$13*N(BJ265)-(1-Assumptions!$B$13)*Assumptions!$B$14)+N(AM265)</f>
        <v/>
      </c>
      <c r="AY265" s="7">
        <f>N(AU265)*N(R265)/90+N(AV265)+N(AW265)+N(AX265)</f>
        <v/>
      </c>
      <c r="AZ265" s="3">
        <f>IF(N(R265)&lt;=0,0,(N(AY265)-N(AX265))*90/N(R265))</f>
        <v/>
      </c>
      <c r="BA265" s="7">
        <f>IFERROR(AY265-VLOOKUP($E265,Assumptions!$A$40:$C$43,3,FALSE),"")</f>
        <v/>
      </c>
      <c r="BB265" s="3">
        <f>IFERROR(BA265/H265,"")</f>
        <v/>
      </c>
      <c r="BC265">
        <f>IF(AND($G265=TRUE,$E265="GKP"),AY265,"")</f>
        <v/>
      </c>
      <c r="BD265">
        <f>IF(AND($G265=TRUE,$E265="DEF"),AY265,"")</f>
        <v/>
      </c>
      <c r="BE265">
        <f>IF(AND($G265=TRUE,$E265="MID"),AY265,"")</f>
        <v/>
      </c>
      <c r="BF265">
        <f>IF(AND($G265=TRUE,$E265="FWD"),AY265,"")</f>
        <v/>
      </c>
      <c r="BG265" t="n">
        <v>2</v>
      </c>
      <c r="BH265" t="n">
        <v>2</v>
      </c>
      <c r="BI265" t="n">
        <v>0</v>
      </c>
      <c r="BJ265" t="n">
        <v>4</v>
      </c>
    </row>
    <row r="266">
      <c r="A266" t="inlineStr">
        <is>
          <t>Matthijs de Ligt</t>
        </is>
      </c>
      <c r="B266" t="inlineStr">
        <is>
          <t>MUN</t>
        </is>
      </c>
      <c r="C266" t="inlineStr">
        <is>
          <t>MUN</t>
        </is>
      </c>
      <c r="D266" t="b">
        <v>0</v>
      </c>
      <c r="E266" t="inlineStr">
        <is>
          <t>DEF</t>
        </is>
      </c>
      <c r="F266" t="inlineStr">
        <is>
          <t>DEF</t>
        </is>
      </c>
      <c r="G266" t="b">
        <v>1</v>
      </c>
      <c r="H266" s="2" t="n">
        <v>5</v>
      </c>
      <c r="I266" t="inlineStr">
        <is>
          <t>i</t>
        </is>
      </c>
      <c r="J266" t="inlineStr">
        <is>
          <t>Back injury - Unknown return date</t>
        </is>
      </c>
      <c r="K266" s="2" t="n">
        <v>1170</v>
      </c>
      <c r="L266" t="n">
        <v>43</v>
      </c>
      <c r="M266" s="3" t="n">
        <v>1026</v>
      </c>
      <c r="N266" s="8" t="n">
        <v>1026</v>
      </c>
      <c r="O266" s="8" t="n">
        <v>0</v>
      </c>
      <c r="Q266" t="inlineStr">
        <is>
          <t>flat</t>
        </is>
      </c>
      <c r="R266" s="6" t="n">
        <v>1026</v>
      </c>
      <c r="S266" t="inlineStr">
        <is>
          <t>Solio</t>
        </is>
      </c>
      <c r="U266" s="6" t="n">
        <v>88</v>
      </c>
      <c r="V266" s="2" t="n">
        <v>13</v>
      </c>
      <c r="W266" s="7">
        <f>IF(N(U266)&lt;=0,0,MIN(Assumptions!$B$15,N(R266)/N(U266)))</f>
        <v/>
      </c>
      <c r="X266" s="6" t="n">
        <v>0.334</v>
      </c>
      <c r="Y266" s="3" t="n">
        <v>0.1164</v>
      </c>
      <c r="Z266" t="inlineStr">
        <is>
          <t>adjusted xGOT</t>
        </is>
      </c>
      <c r="AA266" s="3" t="n">
        <v>1</v>
      </c>
      <c r="AB266" s="3" t="n">
        <v>1.096</v>
      </c>
      <c r="AC266" s="3" t="n">
        <v>3.9</v>
      </c>
      <c r="AD266" s="3" t="n">
        <v>0.0484</v>
      </c>
      <c r="AE266" s="3" t="n">
        <v>8.023</v>
      </c>
      <c r="AF266" s="3" t="n">
        <v>0.2643046071888955</v>
      </c>
      <c r="AG266" s="3" t="n">
        <v>0.2308</v>
      </c>
      <c r="AH266" s="3" t="n">
        <v>26</v>
      </c>
      <c r="AI266" s="3" t="n">
        <v>2.2165</v>
      </c>
      <c r="AJ266" s="3" t="n">
        <v>1.1467</v>
      </c>
      <c r="AK266" s="3" t="n">
        <v>-0.1309496477453779</v>
      </c>
      <c r="AL266" s="6" t="n">
        <v>0</v>
      </c>
      <c r="AM266" s="3" t="n">
        <v>0</v>
      </c>
      <c r="AN266" s="3" t="n">
        <v>0.6984</v>
      </c>
      <c r="AO266" s="3" t="n">
        <v>0.191664</v>
      </c>
      <c r="AP266" s="3">
        <f>N(X266)*N(BI266)</f>
        <v/>
      </c>
      <c r="AQ266" s="3" t="n">
        <v>0.2308</v>
      </c>
      <c r="AR266" s="3" t="n">
        <v>0</v>
      </c>
      <c r="AS266" s="3" t="n">
        <v>-0.348580685135232</v>
      </c>
      <c r="AT266" s="3" t="n">
        <v>-0.1309496477453779</v>
      </c>
      <c r="AU266" s="3">
        <f>SUM(AN266:AT266)</f>
        <v/>
      </c>
      <c r="AV266" s="7">
        <f>IF(OR(N(W266)&lt;=0,N(BG266)=0),0,N(W266)*IF(N(R266)/N(W266)&gt;=60,N(BG266),1))</f>
        <v/>
      </c>
      <c r="AW266" s="7">
        <f>N(W266)*N(AF266)*N(BH266)</f>
        <v/>
      </c>
      <c r="AX266" s="7">
        <f>N(AL266)*(Assumptions!$B$13*N(BJ266)-(1-Assumptions!$B$13)*Assumptions!$B$14)+N(AM266)</f>
        <v/>
      </c>
      <c r="AY266" s="7">
        <f>N(AU266)*N(R266)/90+N(AV266)+N(AW266)+N(AX266)</f>
        <v/>
      </c>
      <c r="AZ266" s="3">
        <f>IF(N(R266)&lt;=0,0,(N(AY266)-N(AX266))*90/N(R266))</f>
        <v/>
      </c>
      <c r="BA266" s="7">
        <f>IFERROR(AY266-VLOOKUP($E266,Assumptions!$A$40:$C$43,3,FALSE),"")</f>
        <v/>
      </c>
      <c r="BB266" s="3">
        <f>IFERROR(BA266/H266,"")</f>
        <v/>
      </c>
      <c r="BC266">
        <f>IF(AND($G266=TRUE,$E266="GKP"),AY266,"")</f>
        <v/>
      </c>
      <c r="BD266">
        <f>IF(AND($G266=TRUE,$E266="DEF"),AY266,"")</f>
        <v/>
      </c>
      <c r="BE266">
        <f>IF(AND($G266=TRUE,$E266="MID"),AY266,"")</f>
        <v/>
      </c>
      <c r="BF266">
        <f>IF(AND($G266=TRUE,$E266="FWD"),AY266,"")</f>
        <v/>
      </c>
      <c r="BG266" t="n">
        <v>2</v>
      </c>
      <c r="BH266" t="n">
        <v>2</v>
      </c>
      <c r="BI266" t="n">
        <v>4</v>
      </c>
      <c r="BJ266" t="n">
        <v>6</v>
      </c>
    </row>
    <row r="267">
      <c r="A267" t="inlineStr">
        <is>
          <t>Lucas Perri</t>
        </is>
      </c>
      <c r="B267" t="inlineStr">
        <is>
          <t>LEE</t>
        </is>
      </c>
      <c r="C267" t="inlineStr">
        <is>
          <t>LEE</t>
        </is>
      </c>
      <c r="D267" t="b">
        <v>0</v>
      </c>
      <c r="E267" t="inlineStr">
        <is>
          <t>GKP</t>
        </is>
      </c>
      <c r="F267" t="inlineStr">
        <is>
          <t>GKP</t>
        </is>
      </c>
      <c r="G267" t="b">
        <v>1</v>
      </c>
      <c r="H267" s="2" t="n">
        <v>4.5</v>
      </c>
      <c r="I267" t="inlineStr">
        <is>
          <t>a</t>
        </is>
      </c>
      <c r="K267" s="2" t="n">
        <v>1440</v>
      </c>
      <c r="L267" t="n">
        <v>43</v>
      </c>
      <c r="M267" s="3" t="n">
        <v>35</v>
      </c>
      <c r="N267" s="4" t="n">
        <v>0</v>
      </c>
      <c r="O267" s="4" t="n">
        <v>-35</v>
      </c>
      <c r="P267" s="5" t="inlineStr">
        <is>
          <t>medium</t>
        </is>
      </c>
      <c r="Q267" t="inlineStr">
        <is>
          <t>flat</t>
        </is>
      </c>
      <c r="R267" s="6" t="n">
        <v>0</v>
      </c>
      <c r="S267" t="inlineStr">
        <is>
          <t>research</t>
        </is>
      </c>
      <c r="T267" s="5" t="inlineStr">
        <is>
          <t>Leaving. Season-long loan to Torino with an option to buy (reported around EUR 11m / GBP 9.4m), personal terms agreed and conditional only on Trafford's arrival, which completed on 6 Aug. He was left out of the Augsburg squad entirely on 15 Aug with his pending transfer given as the reason - the two goalkeepers on the bench were youth players. Not yet reflected in the FPL feed, which still lists him as available.</t>
        </is>
      </c>
      <c r="U267" s="6" t="n">
        <v>89.90000000000001</v>
      </c>
      <c r="V267" s="2" t="n">
        <v>16</v>
      </c>
      <c r="W267" s="7">
        <f>IF(N(U267)&lt;=0,0,MIN(Assumptions!$B$15,N(R267)/N(U267)))</f>
        <v/>
      </c>
      <c r="X267" s="6" t="n">
        <v>0.218</v>
      </c>
      <c r="Y267" s="3" t="n">
        <v>0</v>
      </c>
      <c r="Z267" t="inlineStr">
        <is>
          <t>blended xG</t>
        </is>
      </c>
      <c r="AA267" s="3" t="n">
        <v>1</v>
      </c>
      <c r="AB267" s="3" t="n">
        <v>1</v>
      </c>
      <c r="AC267" s="3" t="n">
        <v>0</v>
      </c>
      <c r="AD267" s="3" t="n">
        <v>0</v>
      </c>
      <c r="AE267" s="3" t="n">
        <v>0</v>
      </c>
      <c r="AF267" s="3" t="n">
        <v>0</v>
      </c>
      <c r="AG267" s="3" t="n">
        <v>0.1875</v>
      </c>
      <c r="AH267" s="3" t="n">
        <v>32</v>
      </c>
      <c r="AI267" s="3" t="n">
        <v>3.0611</v>
      </c>
      <c r="AJ267" s="3" t="n">
        <v>1.5875</v>
      </c>
      <c r="AK267" s="3" t="n">
        <v>-0.1021412005307425</v>
      </c>
      <c r="AL267" s="6" t="n">
        <v>0</v>
      </c>
      <c r="AM267" s="3" t="n">
        <v>0.0346842262529947</v>
      </c>
      <c r="AN267" s="3" t="n">
        <v>0</v>
      </c>
      <c r="AO267" s="3" t="n">
        <v>0</v>
      </c>
      <c r="AP267" s="3">
        <f>N(X267)*N(BI267)</f>
        <v/>
      </c>
      <c r="AQ267" s="3" t="n">
        <v>0.1875</v>
      </c>
      <c r="AR267" s="3" t="n">
        <v>0.684972232751521</v>
      </c>
      <c r="AS267" s="3" t="n">
        <v>-0.5541985260210861</v>
      </c>
      <c r="AT267" s="3" t="n">
        <v>-0.1021412005307425</v>
      </c>
      <c r="AU267" s="3">
        <f>SUM(AN267:AT267)</f>
        <v/>
      </c>
      <c r="AV267" s="7">
        <f>IF(OR(N(W267)&lt;=0,N(BG267)=0),0,N(W267)*IF(N(R267)/N(W267)&gt;=60,N(BG267),1))</f>
        <v/>
      </c>
      <c r="AW267" s="7">
        <f>N(W267)*N(AF267)*N(BH267)</f>
        <v/>
      </c>
      <c r="AX267" s="7">
        <f>N(AL267)*(Assumptions!$B$13*N(BJ267)-(1-Assumptions!$B$13)*Assumptions!$B$14)+N(AM267)</f>
        <v/>
      </c>
      <c r="AY267" s="7">
        <f>N(AU267)*N(R267)/90+N(AV267)+N(AW267)+N(AX267)</f>
        <v/>
      </c>
      <c r="AZ267" s="3">
        <f>IF(N(R267)&lt;=0,0,(N(AY267)-N(AX267))*90/N(R267))</f>
        <v/>
      </c>
      <c r="BA267" s="7">
        <f>IFERROR(AY267-VLOOKUP($E267,Assumptions!$A$40:$C$43,3,FALSE),"")</f>
        <v/>
      </c>
      <c r="BB267" s="3">
        <f>IFERROR(BA267/H267,"")</f>
        <v/>
      </c>
      <c r="BC267">
        <f>IF(AND($G267=TRUE,$E267="GKP"),AY267,"")</f>
        <v/>
      </c>
      <c r="BD267">
        <f>IF(AND($G267=TRUE,$E267="DEF"),AY267,"")</f>
        <v/>
      </c>
      <c r="BE267">
        <f>IF(AND($G267=TRUE,$E267="MID"),AY267,"")</f>
        <v/>
      </c>
      <c r="BF267">
        <f>IF(AND($G267=TRUE,$E267="FWD"),AY267,"")</f>
        <v/>
      </c>
      <c r="BG267" t="n">
        <v>2</v>
      </c>
      <c r="BH267" t="n">
        <v>0</v>
      </c>
      <c r="BI267" t="n">
        <v>4</v>
      </c>
      <c r="BJ267" t="n">
        <v>10</v>
      </c>
    </row>
    <row r="268">
      <c r="A268" t="inlineStr">
        <is>
          <t>Oscar Bobb</t>
        </is>
      </c>
      <c r="B268" t="inlineStr">
        <is>
          <t>FUL</t>
        </is>
      </c>
      <c r="C268" t="inlineStr">
        <is>
          <t>FUL</t>
        </is>
      </c>
      <c r="D268" t="b">
        <v>0</v>
      </c>
      <c r="E268" t="inlineStr">
        <is>
          <t>MID</t>
        </is>
      </c>
      <c r="F268" t="inlineStr">
        <is>
          <t>MID</t>
        </is>
      </c>
      <c r="G268" t="b">
        <v>1</v>
      </c>
      <c r="H268" s="2" t="n">
        <v>5.5</v>
      </c>
      <c r="I268" t="inlineStr">
        <is>
          <t>a</t>
        </is>
      </c>
      <c r="K268" s="2" t="n">
        <v>1030</v>
      </c>
      <c r="L268" t="n">
        <v>42</v>
      </c>
      <c r="M268" s="3" t="n">
        <v>2645</v>
      </c>
      <c r="N268" s="8" t="n">
        <v>2645</v>
      </c>
      <c r="O268" s="8" t="n">
        <v>0</v>
      </c>
      <c r="Q268" t="inlineStr">
        <is>
          <t>flat</t>
        </is>
      </c>
      <c r="R268" s="6" t="n">
        <v>2645</v>
      </c>
      <c r="S268" t="inlineStr">
        <is>
          <t>Solio</t>
        </is>
      </c>
      <c r="U268" s="6" t="n">
        <v>75.2</v>
      </c>
      <c r="V268" s="2" t="n">
        <v>11</v>
      </c>
      <c r="W268" s="7">
        <f>IF(N(U268)&lt;=0,0,MIN(Assumptions!$B$15,N(R268)/N(U268)))</f>
        <v/>
      </c>
      <c r="X268" s="6" t="n">
        <v>0.214</v>
      </c>
      <c r="Y268" s="3" t="n">
        <v>0.1206</v>
      </c>
      <c r="Z268" t="inlineStr">
        <is>
          <t>adjusted xGOT</t>
        </is>
      </c>
      <c r="AA268" s="3" t="n">
        <v>1</v>
      </c>
      <c r="AB268" s="3" t="n">
        <v>0.9389999999999999</v>
      </c>
      <c r="AC268" s="3" t="n">
        <v>3</v>
      </c>
      <c r="AD268" s="3" t="n">
        <v>0.1799</v>
      </c>
      <c r="AE268" s="3" t="n">
        <v>7.437</v>
      </c>
      <c r="AF268" s="3" t="n">
        <v>0.02535789211957828</v>
      </c>
      <c r="AG268" s="3" t="n">
        <v>0</v>
      </c>
      <c r="AH268" s="3" t="n">
        <v>33</v>
      </c>
      <c r="AI268" s="3" t="n">
        <v>3.22</v>
      </c>
      <c r="AJ268" s="3" t="n">
        <v>1.6019</v>
      </c>
      <c r="AK268" s="3" t="n">
        <v>-0.1619153526247274</v>
      </c>
      <c r="AL268" s="6" t="n">
        <v>0</v>
      </c>
      <c r="AM268" s="3" t="n">
        <v>0</v>
      </c>
      <c r="AN268" s="3" t="n">
        <v>0.603</v>
      </c>
      <c r="AO268" s="3" t="n">
        <v>0.7124040000000001</v>
      </c>
      <c r="AP268" s="3">
        <f>N(X268)*N(BI268)</f>
        <v/>
      </c>
      <c r="AQ268" s="3" t="n">
        <v>0</v>
      </c>
      <c r="AR268" s="3" t="n">
        <v>0</v>
      </c>
      <c r="AS268" s="3" t="n">
        <v>-0</v>
      </c>
      <c r="AT268" s="3" t="n">
        <v>-0.1619153526247274</v>
      </c>
      <c r="AU268" s="3">
        <f>SUM(AN268:AT268)</f>
        <v/>
      </c>
      <c r="AV268" s="7">
        <f>IF(OR(N(W268)&lt;=0,N(BG268)=0),0,N(W268)*IF(N(R268)/N(W268)&gt;=60,N(BG268),1))</f>
        <v/>
      </c>
      <c r="AW268" s="7">
        <f>N(W268)*N(AF268)*N(BH268)</f>
        <v/>
      </c>
      <c r="AX268" s="7">
        <f>N(AL268)*(Assumptions!$B$13*N(BJ268)-(1-Assumptions!$B$13)*Assumptions!$B$14)+N(AM268)</f>
        <v/>
      </c>
      <c r="AY268" s="7">
        <f>N(AU268)*N(R268)/90+N(AV268)+N(AW268)+N(AX268)</f>
        <v/>
      </c>
      <c r="AZ268" s="3">
        <f>IF(N(R268)&lt;=0,0,(N(AY268)-N(AX268))*90/N(R268))</f>
        <v/>
      </c>
      <c r="BA268" s="7">
        <f>IFERROR(AY268-VLOOKUP($E268,Assumptions!$A$40:$C$43,3,FALSE),"")</f>
        <v/>
      </c>
      <c r="BB268" s="3">
        <f>IFERROR(BA268/H268,"")</f>
        <v/>
      </c>
      <c r="BC268">
        <f>IF(AND($G268=TRUE,$E268="GKP"),AY268,"")</f>
        <v/>
      </c>
      <c r="BD268">
        <f>IF(AND($G268=TRUE,$E268="DEF"),AY268,"")</f>
        <v/>
      </c>
      <c r="BE268">
        <f>IF(AND($G268=TRUE,$E268="MID"),AY268,"")</f>
        <v/>
      </c>
      <c r="BF268">
        <f>IF(AND($G268=TRUE,$E268="FWD"),AY268,"")</f>
        <v/>
      </c>
      <c r="BG268" t="n">
        <v>2</v>
      </c>
      <c r="BH268" t="n">
        <v>2</v>
      </c>
      <c r="BI268" t="n">
        <v>1</v>
      </c>
      <c r="BJ268" t="n">
        <v>5</v>
      </c>
    </row>
    <row r="269">
      <c r="A269" t="inlineStr">
        <is>
          <t>Ayden Heaven</t>
        </is>
      </c>
      <c r="B269" t="inlineStr">
        <is>
          <t>MUN</t>
        </is>
      </c>
      <c r="C269" t="inlineStr">
        <is>
          <t>MUN</t>
        </is>
      </c>
      <c r="D269" t="b">
        <v>0</v>
      </c>
      <c r="E269" t="inlineStr">
        <is>
          <t>DEF</t>
        </is>
      </c>
      <c r="F269" t="inlineStr">
        <is>
          <t>DEF</t>
        </is>
      </c>
      <c r="G269" t="b">
        <v>1</v>
      </c>
      <c r="H269" s="2" t="n">
        <v>4.5</v>
      </c>
      <c r="I269" t="inlineStr">
        <is>
          <t>a</t>
        </is>
      </c>
      <c r="K269" s="2" t="n">
        <v>920</v>
      </c>
      <c r="L269" t="n">
        <v>42</v>
      </c>
      <c r="M269" s="3" t="n">
        <v>176</v>
      </c>
      <c r="N269" s="4" t="n">
        <v>550</v>
      </c>
      <c r="O269" s="4" t="n">
        <v>374</v>
      </c>
      <c r="P269" s="5" t="inlineStr">
        <is>
          <t>medium</t>
        </is>
      </c>
      <c r="Q269" t="inlineStr">
        <is>
          <t>fade (losing his place)</t>
        </is>
      </c>
      <c r="R269" s="6" t="n">
        <v>550</v>
      </c>
      <c r="S269" t="inlineStr">
        <is>
          <t>research</t>
        </is>
      </c>
      <c r="T269" s="5" t="inlineStr">
        <is>
          <t>Solio has him at 176 minutes with a 'fade' flag, yet he started at centre-back in the 15 August dress rehearsal and is explicitly one of the two named contenders for the left-sided centre-back slot at Hull. He played 920 minutes as a teenager last season. 550 reflects a squad defender who currently has a real chance of starting, not a first-choice promotion.</t>
        </is>
      </c>
      <c r="U269" s="6" t="n">
        <v>82.5</v>
      </c>
      <c r="V269" s="2" t="n">
        <v>11</v>
      </c>
      <c r="W269" s="7">
        <f>IF(N(U269)&lt;=0,0,MIN(Assumptions!$B$15,N(R269)/N(U269)))</f>
        <v/>
      </c>
      <c r="X269" s="6" t="n">
        <v>0.334</v>
      </c>
      <c r="Y269" s="3" t="n">
        <v>0.0315</v>
      </c>
      <c r="Z269" t="inlineStr">
        <is>
          <t>adjusted xGOT</t>
        </is>
      </c>
      <c r="AA269" s="3" t="n">
        <v>1</v>
      </c>
      <c r="AB269" s="3" t="n">
        <v>0.946</v>
      </c>
      <c r="AC269" s="3" t="n">
        <v>0.5</v>
      </c>
      <c r="AD269" s="3" t="n">
        <v>0.0267</v>
      </c>
      <c r="AE269" s="3" t="n">
        <v>8.478</v>
      </c>
      <c r="AF269" s="3" t="n">
        <v>0.2554596480103442</v>
      </c>
      <c r="AG269" s="3" t="n">
        <v>0</v>
      </c>
      <c r="AH269" s="3" t="n">
        <v>27</v>
      </c>
      <c r="AI269" s="3" t="n">
        <v>2.2165</v>
      </c>
      <c r="AJ269" s="3" t="n">
        <v>1.1467</v>
      </c>
      <c r="AK269" s="3" t="n">
        <v>-0.2235172313821019</v>
      </c>
      <c r="AL269" s="6" t="n">
        <v>0</v>
      </c>
      <c r="AM269" s="3" t="n">
        <v>0</v>
      </c>
      <c r="AN269" s="3" t="n">
        <v>0.189</v>
      </c>
      <c r="AO269" s="3" t="n">
        <v>0.105732</v>
      </c>
      <c r="AP269" s="3">
        <f>N(X269)*N(BI269)</f>
        <v/>
      </c>
      <c r="AQ269" s="3" t="n">
        <v>0</v>
      </c>
      <c r="AR269" s="3" t="n">
        <v>0</v>
      </c>
      <c r="AS269" s="3" t="n">
        <v>-0.348580685135232</v>
      </c>
      <c r="AT269" s="3" t="n">
        <v>-0.2235172313821019</v>
      </c>
      <c r="AU269" s="3">
        <f>SUM(AN269:AT269)</f>
        <v/>
      </c>
      <c r="AV269" s="7">
        <f>IF(OR(N(W269)&lt;=0,N(BG269)=0),0,N(W269)*IF(N(R269)/N(W269)&gt;=60,N(BG269),1))</f>
        <v/>
      </c>
      <c r="AW269" s="7">
        <f>N(W269)*N(AF269)*N(BH269)</f>
        <v/>
      </c>
      <c r="AX269" s="7">
        <f>N(AL269)*(Assumptions!$B$13*N(BJ269)-(1-Assumptions!$B$13)*Assumptions!$B$14)+N(AM269)</f>
        <v/>
      </c>
      <c r="AY269" s="7">
        <f>N(AU269)*N(R269)/90+N(AV269)+N(AW269)+N(AX269)</f>
        <v/>
      </c>
      <c r="AZ269" s="3">
        <f>IF(N(R269)&lt;=0,0,(N(AY269)-N(AX269))*90/N(R269))</f>
        <v/>
      </c>
      <c r="BA269" s="7">
        <f>IFERROR(AY269-VLOOKUP($E269,Assumptions!$A$40:$C$43,3,FALSE),"")</f>
        <v/>
      </c>
      <c r="BB269" s="3">
        <f>IFERROR(BA269/H269,"")</f>
        <v/>
      </c>
      <c r="BC269">
        <f>IF(AND($G269=TRUE,$E269="GKP"),AY269,"")</f>
        <v/>
      </c>
      <c r="BD269">
        <f>IF(AND($G269=TRUE,$E269="DEF"),AY269,"")</f>
        <v/>
      </c>
      <c r="BE269">
        <f>IF(AND($G269=TRUE,$E269="MID"),AY269,"")</f>
        <v/>
      </c>
      <c r="BF269">
        <f>IF(AND($G269=TRUE,$E269="FWD"),AY269,"")</f>
        <v/>
      </c>
      <c r="BG269" t="n">
        <v>2</v>
      </c>
      <c r="BH269" t="n">
        <v>2</v>
      </c>
      <c r="BI269" t="n">
        <v>4</v>
      </c>
      <c r="BJ269" t="n">
        <v>6</v>
      </c>
    </row>
    <row r="270">
      <c r="A270" t="inlineStr">
        <is>
          <t>Conor Bradley</t>
        </is>
      </c>
      <c r="B270" t="inlineStr">
        <is>
          <t>LIV</t>
        </is>
      </c>
      <c r="C270" t="inlineStr">
        <is>
          <t>LIV</t>
        </is>
      </c>
      <c r="D270" t="b">
        <v>0</v>
      </c>
      <c r="E270" t="inlineStr">
        <is>
          <t>DEF</t>
        </is>
      </c>
      <c r="F270" t="inlineStr">
        <is>
          <t>DEF</t>
        </is>
      </c>
      <c r="G270" t="b">
        <v>1</v>
      </c>
      <c r="H270" s="2" t="n">
        <v>5</v>
      </c>
      <c r="I270" t="inlineStr">
        <is>
          <t>i</t>
        </is>
      </c>
      <c r="J270" t="inlineStr">
        <is>
          <t>Knee injury - Unknown return date</t>
        </is>
      </c>
      <c r="K270" s="2" t="n">
        <v>928</v>
      </c>
      <c r="L270" t="n">
        <v>42</v>
      </c>
      <c r="M270" s="3" t="n">
        <v>1328</v>
      </c>
      <c r="N270" s="4" t="n">
        <v>1000</v>
      </c>
      <c r="O270" s="4" t="n">
        <v>-328</v>
      </c>
      <c r="P270" s="5" t="inlineStr">
        <is>
          <t>medium</t>
        </is>
      </c>
      <c r="Q270" t="inlineStr">
        <is>
          <t>ramp-up (injury / late WC return)</t>
        </is>
      </c>
      <c r="R270" s="6" t="n">
        <v>1000</v>
      </c>
      <c r="S270" t="inlineStr">
        <is>
          <t>research</t>
        </is>
      </c>
      <c r="T270" s="5" t="inlineStr">
        <is>
          <t>This Is Anfield, on Bradley's knee (bone and ligament damage, out since January): 'a return to team training is still not on the horizon', with October the earliest realistic return and careful management needed thereafter. Iraola: 'right now he is still, I would say, a little bit far from returning.' Solio's 1328 implies roughly fifteen full matches, which requires both an on-time return and an immediate full workload.</t>
        </is>
      </c>
      <c r="U270" s="6" t="n">
        <v>77.2</v>
      </c>
      <c r="V270" s="2" t="n">
        <v>12</v>
      </c>
      <c r="W270" s="7">
        <f>IF(N(U270)&lt;=0,0,MIN(Assumptions!$B$15,N(R270)/N(U270)))</f>
        <v/>
      </c>
      <c r="X270" s="6" t="n">
        <v>0.342</v>
      </c>
      <c r="Y270" s="3" t="n">
        <v>0.0185</v>
      </c>
      <c r="Z270" t="inlineStr">
        <is>
          <t>adjusted xGOT</t>
        </is>
      </c>
      <c r="AA270" s="3" t="n">
        <v>1</v>
      </c>
      <c r="AB270" s="3" t="n">
        <v>1.062</v>
      </c>
      <c r="AC270" s="3" t="n">
        <v>1.8</v>
      </c>
      <c r="AD270" s="3" t="n">
        <v>0.09859999999999999</v>
      </c>
      <c r="AE270" s="3" t="n">
        <v>6.907</v>
      </c>
      <c r="AF270" s="3" t="n">
        <v>0.07883612970814979</v>
      </c>
      <c r="AG270" s="3" t="n">
        <v>0</v>
      </c>
      <c r="AH270" s="3" t="n">
        <v>24</v>
      </c>
      <c r="AI270" s="3" t="n">
        <v>2.409</v>
      </c>
      <c r="AJ270" s="3" t="n">
        <v>1.1228</v>
      </c>
      <c r="AK270" s="3" t="n">
        <v>-0.3428432368686911</v>
      </c>
      <c r="AL270" s="6" t="n">
        <v>0</v>
      </c>
      <c r="AM270" s="3" t="n">
        <v>0</v>
      </c>
      <c r="AN270" s="3" t="n">
        <v>0.111</v>
      </c>
      <c r="AO270" s="3" t="n">
        <v>0.390456</v>
      </c>
      <c r="AP270" s="3">
        <f>N(X270)*N(BI270)</f>
        <v/>
      </c>
      <c r="AQ270" s="3" t="n">
        <v>0</v>
      </c>
      <c r="AR270" s="3" t="n">
        <v>0</v>
      </c>
      <c r="AS270" s="3" t="n">
        <v>-0.3378660007281162</v>
      </c>
      <c r="AT270" s="3" t="n">
        <v>-0.3428432368686911</v>
      </c>
      <c r="AU270" s="3">
        <f>SUM(AN270:AT270)</f>
        <v/>
      </c>
      <c r="AV270" s="7">
        <f>IF(OR(N(W270)&lt;=0,N(BG270)=0),0,N(W270)*IF(N(R270)/N(W270)&gt;=60,N(BG270),1))</f>
        <v/>
      </c>
      <c r="AW270" s="7">
        <f>N(W270)*N(AF270)*N(BH270)</f>
        <v/>
      </c>
      <c r="AX270" s="7">
        <f>N(AL270)*(Assumptions!$B$13*N(BJ270)-(1-Assumptions!$B$13)*Assumptions!$B$14)+N(AM270)</f>
        <v/>
      </c>
      <c r="AY270" s="7">
        <f>N(AU270)*N(R270)/90+N(AV270)+N(AW270)+N(AX270)</f>
        <v/>
      </c>
      <c r="AZ270" s="3">
        <f>IF(N(R270)&lt;=0,0,(N(AY270)-N(AX270))*90/N(R270))</f>
        <v/>
      </c>
      <c r="BA270" s="7">
        <f>IFERROR(AY270-VLOOKUP($E270,Assumptions!$A$40:$C$43,3,FALSE),"")</f>
        <v/>
      </c>
      <c r="BB270" s="3">
        <f>IFERROR(BA270/H270,"")</f>
        <v/>
      </c>
      <c r="BC270">
        <f>IF(AND($G270=TRUE,$E270="GKP"),AY270,"")</f>
        <v/>
      </c>
      <c r="BD270">
        <f>IF(AND($G270=TRUE,$E270="DEF"),AY270,"")</f>
        <v/>
      </c>
      <c r="BE270">
        <f>IF(AND($G270=TRUE,$E270="MID"),AY270,"")</f>
        <v/>
      </c>
      <c r="BF270">
        <f>IF(AND($G270=TRUE,$E270="FWD"),AY270,"")</f>
        <v/>
      </c>
      <c r="BG270" t="n">
        <v>2</v>
      </c>
      <c r="BH270" t="n">
        <v>2</v>
      </c>
      <c r="BI270" t="n">
        <v>4</v>
      </c>
      <c r="BJ270" t="n">
        <v>6</v>
      </c>
    </row>
    <row r="271">
      <c r="A271" t="inlineStr">
        <is>
          <t>Joshua Zirkzee</t>
        </is>
      </c>
      <c r="B271" t="inlineStr">
        <is>
          <t>MUN</t>
        </is>
      </c>
      <c r="C271" t="inlineStr">
        <is>
          <t>MUN</t>
        </is>
      </c>
      <c r="D271" t="b">
        <v>0</v>
      </c>
      <c r="E271" t="inlineStr">
        <is>
          <t>FWD</t>
        </is>
      </c>
      <c r="F271" t="inlineStr">
        <is>
          <t>FWD</t>
        </is>
      </c>
      <c r="G271" t="b">
        <v>1</v>
      </c>
      <c r="H271" s="2" t="n">
        <v>5.5</v>
      </c>
      <c r="I271" t="inlineStr">
        <is>
          <t>a</t>
        </is>
      </c>
      <c r="K271" s="2" t="n">
        <v>607</v>
      </c>
      <c r="L271" t="n">
        <v>42</v>
      </c>
      <c r="M271" s="3" t="n">
        <v>59</v>
      </c>
      <c r="N271" s="4" t="n">
        <v>0</v>
      </c>
      <c r="O271" s="4" t="n">
        <v>-59</v>
      </c>
      <c r="P271" s="5" t="inlineStr">
        <is>
          <t>medium</t>
        </is>
      </c>
      <c r="Q271" t="inlineStr">
        <is>
          <t>flat</t>
        </is>
      </c>
      <c r="R271" s="6" t="n">
        <v>0</v>
      </c>
      <c r="S271" t="inlineStr">
        <is>
          <t>research</t>
        </is>
      </c>
      <c r="T271" s="5" t="inlineStr">
        <is>
          <t>United expect him to leave before the window shuts. Juventus have opened talks and submitted multiple proposals, and United are insisting on a loan with an obligation to buy rather than an option, with Laurie Whitwell quoted saying he would be very surprised if United accepted an option again. Zirkzee has told the club he wants a Serie A return. Solio's 59 minutes is already near zero, so this is a rounding-level change.</t>
        </is>
      </c>
      <c r="U271" s="6" t="n">
        <v>76.7</v>
      </c>
      <c r="V271" s="2" t="n">
        <v>5</v>
      </c>
      <c r="W271" s="7">
        <f>IF(N(U271)&lt;=0,0,MIN(Assumptions!$B$15,N(R271)/N(U271)))</f>
        <v/>
      </c>
      <c r="X271" s="6" t="n">
        <v>0.334</v>
      </c>
      <c r="Y271" s="3" t="n">
        <v>0.4147</v>
      </c>
      <c r="Z271" t="inlineStr">
        <is>
          <t>adjusted xGOT</t>
        </is>
      </c>
      <c r="AA271" s="3" t="n">
        <v>1</v>
      </c>
      <c r="AB271" s="3" t="n">
        <v>1.021</v>
      </c>
      <c r="AC271" s="3" t="n">
        <v>7.4</v>
      </c>
      <c r="AD271" s="3" t="n">
        <v>0.1154</v>
      </c>
      <c r="AE271" s="3" t="n">
        <v>5.585</v>
      </c>
      <c r="AF271" s="3" t="n">
        <v>0.003739148619664623</v>
      </c>
      <c r="AG271" s="3" t="n">
        <v>0.8895999999999999</v>
      </c>
      <c r="AH271" s="3" t="n">
        <v>28</v>
      </c>
      <c r="AI271" s="3" t="n">
        <v>2.2165</v>
      </c>
      <c r="AJ271" s="3" t="n">
        <v>1.1467</v>
      </c>
      <c r="AK271" s="3" t="n">
        <v>-0.2245566207903356</v>
      </c>
      <c r="AL271" s="6" t="n">
        <v>0</v>
      </c>
      <c r="AM271" s="3" t="n">
        <v>0</v>
      </c>
      <c r="AN271" s="3" t="n">
        <v>1.6588</v>
      </c>
      <c r="AO271" s="3" t="n">
        <v>0.4569840000000001</v>
      </c>
      <c r="AP271" s="3">
        <f>N(X271)*N(BI271)</f>
        <v/>
      </c>
      <c r="AQ271" s="3" t="n">
        <v>0.8895999999999999</v>
      </c>
      <c r="AR271" s="3" t="n">
        <v>0</v>
      </c>
      <c r="AS271" s="3" t="n">
        <v>-0</v>
      </c>
      <c r="AT271" s="3" t="n">
        <v>-0.2245566207903356</v>
      </c>
      <c r="AU271" s="3">
        <f>SUM(AN271:AT271)</f>
        <v/>
      </c>
      <c r="AV271" s="7">
        <f>IF(OR(N(W271)&lt;=0,N(BG271)=0),0,N(W271)*IF(N(R271)/N(W271)&gt;=60,N(BG271),1))</f>
        <v/>
      </c>
      <c r="AW271" s="7">
        <f>N(W271)*N(AF271)*N(BH271)</f>
        <v/>
      </c>
      <c r="AX271" s="7">
        <f>N(AL271)*(Assumptions!$B$13*N(BJ271)-(1-Assumptions!$B$13)*Assumptions!$B$14)+N(AM271)</f>
        <v/>
      </c>
      <c r="AY271" s="7">
        <f>N(AU271)*N(R271)/90+N(AV271)+N(AW271)+N(AX271)</f>
        <v/>
      </c>
      <c r="AZ271" s="3">
        <f>IF(N(R271)&lt;=0,0,(N(AY271)-N(AX271))*90/N(R271))</f>
        <v/>
      </c>
      <c r="BA271" s="7">
        <f>IFERROR(AY271-VLOOKUP($E271,Assumptions!$A$40:$C$43,3,FALSE),"")</f>
        <v/>
      </c>
      <c r="BB271" s="3">
        <f>IFERROR(BA271/H271,"")</f>
        <v/>
      </c>
      <c r="BC271">
        <f>IF(AND($G271=TRUE,$E271="GKP"),AY271,"")</f>
        <v/>
      </c>
      <c r="BD271">
        <f>IF(AND($G271=TRUE,$E271="DEF"),AY271,"")</f>
        <v/>
      </c>
      <c r="BE271">
        <f>IF(AND($G271=TRUE,$E271="MID"),AY271,"")</f>
        <v/>
      </c>
      <c r="BF271">
        <f>IF(AND($G271=TRUE,$E271="FWD"),AY271,"")</f>
        <v/>
      </c>
      <c r="BG271" t="n">
        <v>2</v>
      </c>
      <c r="BH271" t="n">
        <v>2</v>
      </c>
      <c r="BI271" t="n">
        <v>0</v>
      </c>
      <c r="BJ271" t="n">
        <v>4</v>
      </c>
    </row>
    <row r="272">
      <c r="A272" t="inlineStr">
        <is>
          <t>Justin Kluivert</t>
        </is>
      </c>
      <c r="B272" t="inlineStr">
        <is>
          <t>BOU</t>
        </is>
      </c>
      <c r="C272" t="inlineStr">
        <is>
          <t>BOU</t>
        </is>
      </c>
      <c r="D272" t="b">
        <v>0</v>
      </c>
      <c r="E272" t="inlineStr">
        <is>
          <t>MID</t>
        </is>
      </c>
      <c r="F272" t="inlineStr">
        <is>
          <t>MID</t>
        </is>
      </c>
      <c r="G272" t="b">
        <v>1</v>
      </c>
      <c r="H272" s="2" t="n">
        <v>6</v>
      </c>
      <c r="I272" t="inlineStr">
        <is>
          <t>a</t>
        </is>
      </c>
      <c r="K272" s="2" t="n">
        <v>945</v>
      </c>
      <c r="L272" t="n">
        <v>41</v>
      </c>
      <c r="M272" s="3" t="n">
        <v>935</v>
      </c>
      <c r="N272" s="4" t="n">
        <v>2100</v>
      </c>
      <c r="O272" s="4" t="n">
        <v>1165</v>
      </c>
      <c r="P272" s="5" t="inlineStr">
        <is>
          <t>medium</t>
        </is>
      </c>
      <c r="Q272" t="inlineStr">
        <is>
          <t>fade (losing his place)</t>
        </is>
      </c>
      <c r="R272" s="6" t="n">
        <v>2100</v>
      </c>
      <c r="S272" t="inlineStr">
        <is>
          <t>research</t>
        </is>
      </c>
      <c r="T272" s="5" t="inlineStr">
        <is>
          <t>Solio's 'fade (losing his place)' pattern is stale - it describes his 2025/26 under Andoni Iraola, who has left. Under Marco Rose, Kluivert started as the number 10 in both the 8 Aug Betis and 15 Aug Mainz friendlies, and Fantasy Football Scout reports him 'operating in the number 10 role, continuing a pattern seen throughout pre-season'. Held below 2400 because Kroupi will contest that area once fit and the Europa League will force rotation.</t>
        </is>
      </c>
      <c r="U272" s="6" t="n">
        <v>76.2</v>
      </c>
      <c r="V272" s="2" t="n">
        <v>10</v>
      </c>
      <c r="W272" s="7">
        <f>IF(N(U272)&lt;=0,0,MIN(Assumptions!$B$15,N(R272)/N(U272)))</f>
        <v/>
      </c>
      <c r="X272" s="6" t="n">
        <v>0.23</v>
      </c>
      <c r="Y272" s="3" t="n">
        <v>0.2249</v>
      </c>
      <c r="Z272" t="inlineStr">
        <is>
          <t>adjusted xGOT</t>
        </is>
      </c>
      <c r="AA272" s="3" t="n">
        <v>1</v>
      </c>
      <c r="AB272" s="3" t="n">
        <v>1.022</v>
      </c>
      <c r="AC272" s="3" t="n">
        <v>18.1</v>
      </c>
      <c r="AD272" s="3" t="n">
        <v>0.1831</v>
      </c>
      <c r="AE272" s="3" t="n">
        <v>7.222</v>
      </c>
      <c r="AF272" s="3" t="n">
        <v>0.02279990727175096</v>
      </c>
      <c r="AG272" s="3" t="n">
        <v>0.2857</v>
      </c>
      <c r="AH272" s="3" t="n">
        <v>29</v>
      </c>
      <c r="AI272" s="3" t="n">
        <v>3.0957</v>
      </c>
      <c r="AJ272" s="3" t="n">
        <v>1.53</v>
      </c>
      <c r="AK272" s="3" t="n">
        <v>-0.3129945567631165</v>
      </c>
      <c r="AL272" s="6" t="n">
        <v>0.2972649975908064</v>
      </c>
      <c r="AM272" s="3" t="n">
        <v>0</v>
      </c>
      <c r="AN272" s="3" t="n">
        <v>1.1245</v>
      </c>
      <c r="AO272" s="3" t="n">
        <v>0.7250760000000001</v>
      </c>
      <c r="AP272" s="3">
        <f>N(X272)*N(BI272)</f>
        <v/>
      </c>
      <c r="AQ272" s="3" t="n">
        <v>0.2857</v>
      </c>
      <c r="AR272" s="3" t="n">
        <v>0</v>
      </c>
      <c r="AS272" s="3" t="n">
        <v>-0</v>
      </c>
      <c r="AT272" s="3" t="n">
        <v>-0.3129945567631165</v>
      </c>
      <c r="AU272" s="3">
        <f>SUM(AN272:AT272)</f>
        <v/>
      </c>
      <c r="AV272" s="7">
        <f>IF(OR(N(W272)&lt;=0,N(BG272)=0),0,N(W272)*IF(N(R272)/N(W272)&gt;=60,N(BG272),1))</f>
        <v/>
      </c>
      <c r="AW272" s="7">
        <f>N(W272)*N(AF272)*N(BH272)</f>
        <v/>
      </c>
      <c r="AX272" s="7">
        <f>N(AL272)*(Assumptions!$B$13*N(BJ272)-(1-Assumptions!$B$13)*Assumptions!$B$14)+N(AM272)</f>
        <v/>
      </c>
      <c r="AY272" s="7">
        <f>N(AU272)*N(R272)/90+N(AV272)+N(AW272)+N(AX272)</f>
        <v/>
      </c>
      <c r="AZ272" s="3">
        <f>IF(N(R272)&lt;=0,0,(N(AY272)-N(AX272))*90/N(R272))</f>
        <v/>
      </c>
      <c r="BA272" s="7">
        <f>IFERROR(AY272-VLOOKUP($E272,Assumptions!$A$40:$C$43,3,FALSE),"")</f>
        <v/>
      </c>
      <c r="BB272" s="3">
        <f>IFERROR(BA272/H272,"")</f>
        <v/>
      </c>
      <c r="BC272">
        <f>IF(AND($G272=TRUE,$E272="GKP"),AY272,"")</f>
        <v/>
      </c>
      <c r="BD272">
        <f>IF(AND($G272=TRUE,$E272="DEF"),AY272,"")</f>
        <v/>
      </c>
      <c r="BE272">
        <f>IF(AND($G272=TRUE,$E272="MID"),AY272,"")</f>
        <v/>
      </c>
      <c r="BF272">
        <f>IF(AND($G272=TRUE,$E272="FWD"),AY272,"")</f>
        <v/>
      </c>
      <c r="BG272" t="n">
        <v>2</v>
      </c>
      <c r="BH272" t="n">
        <v>2</v>
      </c>
      <c r="BI272" t="n">
        <v>1</v>
      </c>
      <c r="BJ272" t="n">
        <v>5</v>
      </c>
    </row>
    <row r="273">
      <c r="A273" t="inlineStr">
        <is>
          <t>Tom Cairney</t>
        </is>
      </c>
      <c r="B273" t="inlineStr">
        <is>
          <t>FUL</t>
        </is>
      </c>
      <c r="C273" t="inlineStr">
        <is>
          <t>FUL</t>
        </is>
      </c>
      <c r="D273" t="b">
        <v>0</v>
      </c>
      <c r="E273" t="inlineStr">
        <is>
          <t>MID</t>
        </is>
      </c>
      <c r="F273" t="inlineStr">
        <is>
          <t>MID</t>
        </is>
      </c>
      <c r="G273" t="b">
        <v>1</v>
      </c>
      <c r="H273" s="2" t="n">
        <v>5</v>
      </c>
      <c r="I273" t="inlineStr">
        <is>
          <t>i</t>
        </is>
      </c>
      <c r="J273" t="inlineStr">
        <is>
          <t>Knee injury - Expected back 10 Oct</t>
        </is>
      </c>
      <c r="K273" s="2" t="n">
        <v>756</v>
      </c>
      <c r="L273" t="n">
        <v>41</v>
      </c>
      <c r="M273" s="3" t="n">
        <v>324</v>
      </c>
      <c r="N273" s="4" t="n">
        <v>120</v>
      </c>
      <c r="O273" s="4" t="n">
        <v>-204</v>
      </c>
      <c r="P273" s="5" t="inlineStr">
        <is>
          <t>medium</t>
        </is>
      </c>
      <c r="Q273" t="inlineStr">
        <is>
          <t>flat</t>
        </is>
      </c>
      <c r="R273" s="6" t="n">
        <v>120</v>
      </c>
      <c r="S273" t="inlineStr">
        <is>
          <t>research</t>
        </is>
      </c>
      <c r="T273" s="5" t="inlineStr">
        <is>
          <t>FPL lists a knee injury with an expected return of 10 Oct (news added 2026-08-14), which removes roughly the first seven gameweeks. He is 35, and Fulham signed Shea Charles for £27m + £6m into his position on 11 Aug.</t>
        </is>
      </c>
      <c r="U273" s="6" t="n">
        <v>76.5</v>
      </c>
      <c r="V273" s="2" t="n">
        <v>6</v>
      </c>
      <c r="W273" s="7">
        <f>IF(N(U273)&lt;=0,0,MIN(Assumptions!$B$15,N(R273)/N(U273)))</f>
        <v/>
      </c>
      <c r="X273" s="6" t="n">
        <v>0.214</v>
      </c>
      <c r="Y273" s="3" t="n">
        <v>0.1474</v>
      </c>
      <c r="Z273" t="inlineStr">
        <is>
          <t>adjusted xGOT</t>
        </is>
      </c>
      <c r="AA273" s="3" t="n">
        <v>1</v>
      </c>
      <c r="AB273" s="3" t="n">
        <v>1.023</v>
      </c>
      <c r="AC273" s="3" t="n">
        <v>4.4</v>
      </c>
      <c r="AD273" s="3" t="n">
        <v>0.0892</v>
      </c>
      <c r="AE273" s="3" t="n">
        <v>7.903</v>
      </c>
      <c r="AF273" s="3" t="n">
        <v>0.04160177269862164</v>
      </c>
      <c r="AG273" s="3" t="n">
        <v>0.119</v>
      </c>
      <c r="AH273" s="3" t="n">
        <v>31</v>
      </c>
      <c r="AI273" s="3" t="n">
        <v>3.22</v>
      </c>
      <c r="AJ273" s="3" t="n">
        <v>1.6019</v>
      </c>
      <c r="AK273" s="3" t="n">
        <v>-0.2791548805601698</v>
      </c>
      <c r="AL273" s="6" t="n">
        <v>0</v>
      </c>
      <c r="AM273" s="3" t="n">
        <v>0</v>
      </c>
      <c r="AN273" s="3" t="n">
        <v>0.737</v>
      </c>
      <c r="AO273" s="3" t="n">
        <v>0.353232</v>
      </c>
      <c r="AP273" s="3">
        <f>N(X273)*N(BI273)</f>
        <v/>
      </c>
      <c r="AQ273" s="3" t="n">
        <v>0.119</v>
      </c>
      <c r="AR273" s="3" t="n">
        <v>0</v>
      </c>
      <c r="AS273" s="3" t="n">
        <v>-0</v>
      </c>
      <c r="AT273" s="3" t="n">
        <v>-0.2791548805601698</v>
      </c>
      <c r="AU273" s="3">
        <f>SUM(AN273:AT273)</f>
        <v/>
      </c>
      <c r="AV273" s="7">
        <f>IF(OR(N(W273)&lt;=0,N(BG273)=0),0,N(W273)*IF(N(R273)/N(W273)&gt;=60,N(BG273),1))</f>
        <v/>
      </c>
      <c r="AW273" s="7">
        <f>N(W273)*N(AF273)*N(BH273)</f>
        <v/>
      </c>
      <c r="AX273" s="7">
        <f>N(AL273)*(Assumptions!$B$13*N(BJ273)-(1-Assumptions!$B$13)*Assumptions!$B$14)+N(AM273)</f>
        <v/>
      </c>
      <c r="AY273" s="7">
        <f>N(AU273)*N(R273)/90+N(AV273)+N(AW273)+N(AX273)</f>
        <v/>
      </c>
      <c r="AZ273" s="3">
        <f>IF(N(R273)&lt;=0,0,(N(AY273)-N(AX273))*90/N(R273))</f>
        <v/>
      </c>
      <c r="BA273" s="7">
        <f>IFERROR(AY273-VLOOKUP($E273,Assumptions!$A$40:$C$43,3,FALSE),"")</f>
        <v/>
      </c>
      <c r="BB273" s="3">
        <f>IFERROR(BA273/H273,"")</f>
        <v/>
      </c>
      <c r="BC273">
        <f>IF(AND($G273=TRUE,$E273="GKP"),AY273,"")</f>
        <v/>
      </c>
      <c r="BD273">
        <f>IF(AND($G273=TRUE,$E273="DEF"),AY273,"")</f>
        <v/>
      </c>
      <c r="BE273">
        <f>IF(AND($G273=TRUE,$E273="MID"),AY273,"")</f>
        <v/>
      </c>
      <c r="BF273">
        <f>IF(AND($G273=TRUE,$E273="FWD"),AY273,"")</f>
        <v/>
      </c>
      <c r="BG273" t="n">
        <v>2</v>
      </c>
      <c r="BH273" t="n">
        <v>2</v>
      </c>
      <c r="BI273" t="n">
        <v>1</v>
      </c>
      <c r="BJ273" t="n">
        <v>5</v>
      </c>
    </row>
    <row r="274">
      <c r="A274" t="inlineStr">
        <is>
          <t>Chris Wood</t>
        </is>
      </c>
      <c r="B274" t="inlineStr">
        <is>
          <t>NFO</t>
        </is>
      </c>
      <c r="C274" t="inlineStr">
        <is>
          <t>NFO</t>
        </is>
      </c>
      <c r="D274" t="b">
        <v>0</v>
      </c>
      <c r="E274" t="inlineStr">
        <is>
          <t>FWD</t>
        </is>
      </c>
      <c r="F274" t="inlineStr">
        <is>
          <t>FWD</t>
        </is>
      </c>
      <c r="G274" t="b">
        <v>1</v>
      </c>
      <c r="H274" s="2" t="n">
        <v>6</v>
      </c>
      <c r="I274" t="inlineStr">
        <is>
          <t>a</t>
        </is>
      </c>
      <c r="K274" s="2" t="n">
        <v>896</v>
      </c>
      <c r="L274" t="n">
        <v>41</v>
      </c>
      <c r="M274" s="3" t="n">
        <v>523</v>
      </c>
      <c r="N274" s="8" t="n">
        <v>523</v>
      </c>
      <c r="O274" s="8" t="n">
        <v>0</v>
      </c>
      <c r="Q274" t="inlineStr">
        <is>
          <t>flat</t>
        </is>
      </c>
      <c r="R274" s="6" t="n">
        <v>523</v>
      </c>
      <c r="S274" t="inlineStr">
        <is>
          <t>Solio</t>
        </is>
      </c>
      <c r="U274" s="6" t="n">
        <v>76.09999999999999</v>
      </c>
      <c r="V274" s="2" t="n">
        <v>11</v>
      </c>
      <c r="W274" s="7">
        <f>IF(N(U274)&lt;=0,0,MIN(Assumptions!$B$15,N(R274)/N(U274)))</f>
        <v/>
      </c>
      <c r="X274" s="6" t="n">
        <v>0.224</v>
      </c>
      <c r="Y274" s="3" t="n">
        <v>0.4327</v>
      </c>
      <c r="Z274" t="inlineStr">
        <is>
          <t>adjusted xGOT</t>
        </is>
      </c>
      <c r="AA274" s="3" t="n">
        <v>1</v>
      </c>
      <c r="AB274" s="3" t="n">
        <v>1.004</v>
      </c>
      <c r="AC274" s="3" t="n">
        <v>32.1</v>
      </c>
      <c r="AD274" s="3" t="n">
        <v>0.0322</v>
      </c>
      <c r="AE274" s="3" t="n">
        <v>3.751</v>
      </c>
      <c r="AF274" s="3" t="n">
        <v>0.000119182325916789</v>
      </c>
      <c r="AG274" s="3" t="n">
        <v>0.4018</v>
      </c>
      <c r="AH274" s="3" t="n">
        <v>25</v>
      </c>
      <c r="AI274" s="3" t="n">
        <v>3.1134</v>
      </c>
      <c r="AJ274" s="3" t="n">
        <v>1.5588</v>
      </c>
      <c r="AK274" s="3" t="n">
        <v>-0.0714071602315091</v>
      </c>
      <c r="AL274" s="6" t="n">
        <v>0.6712660691758691</v>
      </c>
      <c r="AM274" s="3" t="n">
        <v>0</v>
      </c>
      <c r="AN274" s="3" t="n">
        <v>1.7308</v>
      </c>
      <c r="AO274" s="3" t="n">
        <v>0.127512</v>
      </c>
      <c r="AP274" s="3">
        <f>N(X274)*N(BI274)</f>
        <v/>
      </c>
      <c r="AQ274" s="3" t="n">
        <v>0.4018</v>
      </c>
      <c r="AR274" s="3" t="n">
        <v>0</v>
      </c>
      <c r="AS274" s="3" t="n">
        <v>-0</v>
      </c>
      <c r="AT274" s="3" t="n">
        <v>-0.0714071602315091</v>
      </c>
      <c r="AU274" s="3">
        <f>SUM(AN274:AT274)</f>
        <v/>
      </c>
      <c r="AV274" s="7">
        <f>IF(OR(N(W274)&lt;=0,N(BG274)=0),0,N(W274)*IF(N(R274)/N(W274)&gt;=60,N(BG274),1))</f>
        <v/>
      </c>
      <c r="AW274" s="7">
        <f>N(W274)*N(AF274)*N(BH274)</f>
        <v/>
      </c>
      <c r="AX274" s="7">
        <f>N(AL274)*(Assumptions!$B$13*N(BJ274)-(1-Assumptions!$B$13)*Assumptions!$B$14)+N(AM274)</f>
        <v/>
      </c>
      <c r="AY274" s="7">
        <f>N(AU274)*N(R274)/90+N(AV274)+N(AW274)+N(AX274)</f>
        <v/>
      </c>
      <c r="AZ274" s="3">
        <f>IF(N(R274)&lt;=0,0,(N(AY274)-N(AX274))*90/N(R274))</f>
        <v/>
      </c>
      <c r="BA274" s="7">
        <f>IFERROR(AY274-VLOOKUP($E274,Assumptions!$A$40:$C$43,3,FALSE),"")</f>
        <v/>
      </c>
      <c r="BB274" s="3">
        <f>IFERROR(BA274/H274,"")</f>
        <v/>
      </c>
      <c r="BC274">
        <f>IF(AND($G274=TRUE,$E274="GKP"),AY274,"")</f>
        <v/>
      </c>
      <c r="BD274">
        <f>IF(AND($G274=TRUE,$E274="DEF"),AY274,"")</f>
        <v/>
      </c>
      <c r="BE274">
        <f>IF(AND($G274=TRUE,$E274="MID"),AY274,"")</f>
        <v/>
      </c>
      <c r="BF274">
        <f>IF(AND($G274=TRUE,$E274="FWD"),AY274,"")</f>
        <v/>
      </c>
      <c r="BG274" t="n">
        <v>2</v>
      </c>
      <c r="BH274" t="n">
        <v>2</v>
      </c>
      <c r="BI274" t="n">
        <v>0</v>
      </c>
      <c r="BJ274" t="n">
        <v>4</v>
      </c>
    </row>
    <row r="275">
      <c r="A275" t="inlineStr">
        <is>
          <t>Alexander Isak</t>
        </is>
      </c>
      <c r="B275" t="inlineStr">
        <is>
          <t>LIV</t>
        </is>
      </c>
      <c r="C275" t="inlineStr">
        <is>
          <t>LIV</t>
        </is>
      </c>
      <c r="D275" t="b">
        <v>0</v>
      </c>
      <c r="E275" t="inlineStr">
        <is>
          <t>FWD</t>
        </is>
      </c>
      <c r="F275" t="inlineStr">
        <is>
          <t>FWD</t>
        </is>
      </c>
      <c r="G275" t="b">
        <v>1</v>
      </c>
      <c r="H275" s="2" t="n">
        <v>9</v>
      </c>
      <c r="I275" t="inlineStr">
        <is>
          <t>a</t>
        </is>
      </c>
      <c r="K275" s="2" t="n">
        <v>694</v>
      </c>
      <c r="L275" t="n">
        <v>41</v>
      </c>
      <c r="M275" s="3" t="n">
        <v>2177</v>
      </c>
      <c r="N275" s="4" t="n">
        <v>2450</v>
      </c>
      <c r="O275" s="4" t="n">
        <v>273</v>
      </c>
      <c r="P275" s="5" t="inlineStr">
        <is>
          <t>medium</t>
        </is>
      </c>
      <c r="Q275" t="inlineStr">
        <is>
          <t>flat</t>
        </is>
      </c>
      <c r="R275" s="6" t="n">
        <v>2450</v>
      </c>
      <c r="S275" t="inlineStr">
        <is>
          <t>research</t>
        </is>
      </c>
      <c r="T275" s="5" t="inlineStr">
        <is>
          <t>Isak says he is '100% fit' after a full pre-season, and This Is Anfield notes Ekitike is 'not expected to return from his Achilles injury until early 2027', leaving Isak as the only senior centre-forward for most of the season. Iraola: 'he is going to be massive for us.' Solio's 2177 (64% of the striker slot) is low for an undisputed lone striker with no senior deputy.</t>
        </is>
      </c>
      <c r="U275" s="6" t="n">
        <v>76.7</v>
      </c>
      <c r="V275" s="2" t="n">
        <v>8</v>
      </c>
      <c r="W275" s="7">
        <f>IF(N(U275)&lt;=0,0,MIN(Assumptions!$B$15,N(R275)/N(U275)))</f>
        <v/>
      </c>
      <c r="X275" s="6" t="n">
        <v>0.342</v>
      </c>
      <c r="Y275" s="3" t="n">
        <v>0.3548</v>
      </c>
      <c r="Z275" t="inlineStr">
        <is>
          <t>adjusted xGOT</t>
        </is>
      </c>
      <c r="AA275" s="3" t="n">
        <v>1</v>
      </c>
      <c r="AB275" s="3" t="n">
        <v>1.056</v>
      </c>
      <c r="AC275" s="3" t="n">
        <v>51.2</v>
      </c>
      <c r="AD275" s="3" t="n">
        <v>0.0601</v>
      </c>
      <c r="AE275" s="3" t="n">
        <v>4.35</v>
      </c>
      <c r="AF275" s="3" t="n">
        <v>0.0004781546906245104</v>
      </c>
      <c r="AG275" s="3" t="n">
        <v>0.5187</v>
      </c>
      <c r="AH275" s="3" t="n">
        <v>22</v>
      </c>
      <c r="AI275" s="3" t="n">
        <v>2.409</v>
      </c>
      <c r="AJ275" s="3" t="n">
        <v>1.1228</v>
      </c>
      <c r="AK275" s="3" t="n">
        <v>-0.0808828680880328</v>
      </c>
      <c r="AL275" s="6" t="n">
        <v>3.879716204766393</v>
      </c>
      <c r="AM275" s="3" t="n">
        <v>0</v>
      </c>
      <c r="AN275" s="3" t="n">
        <v>1.4192</v>
      </c>
      <c r="AO275" s="3" t="n">
        <v>0.237996</v>
      </c>
      <c r="AP275" s="3">
        <f>N(X275)*N(BI275)</f>
        <v/>
      </c>
      <c r="AQ275" s="3" t="n">
        <v>0.5187</v>
      </c>
      <c r="AR275" s="3" t="n">
        <v>0</v>
      </c>
      <c r="AS275" s="3" t="n">
        <v>-0</v>
      </c>
      <c r="AT275" s="3" t="n">
        <v>-0.0808828680880328</v>
      </c>
      <c r="AU275" s="3">
        <f>SUM(AN275:AT275)</f>
        <v/>
      </c>
      <c r="AV275" s="7">
        <f>IF(OR(N(W275)&lt;=0,N(BG275)=0),0,N(W275)*IF(N(R275)/N(W275)&gt;=60,N(BG275),1))</f>
        <v/>
      </c>
      <c r="AW275" s="7">
        <f>N(W275)*N(AF275)*N(BH275)</f>
        <v/>
      </c>
      <c r="AX275" s="7">
        <f>N(AL275)*(Assumptions!$B$13*N(BJ275)-(1-Assumptions!$B$13)*Assumptions!$B$14)+N(AM275)</f>
        <v/>
      </c>
      <c r="AY275" s="7">
        <f>N(AU275)*N(R275)/90+N(AV275)+N(AW275)+N(AX275)</f>
        <v/>
      </c>
      <c r="AZ275" s="3">
        <f>IF(N(R275)&lt;=0,0,(N(AY275)-N(AX275))*90/N(R275))</f>
        <v/>
      </c>
      <c r="BA275" s="7">
        <f>IFERROR(AY275-VLOOKUP($E275,Assumptions!$A$40:$C$43,3,FALSE),"")</f>
        <v/>
      </c>
      <c r="BB275" s="3">
        <f>IFERROR(BA275/H275,"")</f>
        <v/>
      </c>
      <c r="BC275">
        <f>IF(AND($G275=TRUE,$E275="GKP"),AY275,"")</f>
        <v/>
      </c>
      <c r="BD275">
        <f>IF(AND($G275=TRUE,$E275="DEF"),AY275,"")</f>
        <v/>
      </c>
      <c r="BE275">
        <f>IF(AND($G275=TRUE,$E275="MID"),AY275,"")</f>
        <v/>
      </c>
      <c r="BF275">
        <f>IF(AND($G275=TRUE,$E275="FWD"),AY275,"")</f>
        <v/>
      </c>
      <c r="BG275" t="n">
        <v>2</v>
      </c>
      <c r="BH275" t="n">
        <v>2</v>
      </c>
      <c r="BI275" t="n">
        <v>0</v>
      </c>
      <c r="BJ275" t="n">
        <v>4</v>
      </c>
    </row>
    <row r="276">
      <c r="A276" t="inlineStr">
        <is>
          <t>Lamare Bogarde</t>
        </is>
      </c>
      <c r="B276" t="inlineStr">
        <is>
          <t>AVL</t>
        </is>
      </c>
      <c r="C276" t="inlineStr">
        <is>
          <t>AVL</t>
        </is>
      </c>
      <c r="D276" t="b">
        <v>0</v>
      </c>
      <c r="E276" t="inlineStr">
        <is>
          <t>MID</t>
        </is>
      </c>
      <c r="F276" t="inlineStr">
        <is>
          <t>DEF</t>
        </is>
      </c>
      <c r="G276" t="b">
        <v>1</v>
      </c>
      <c r="H276" s="2" t="n">
        <v>5</v>
      </c>
      <c r="I276" t="inlineStr">
        <is>
          <t>a</t>
        </is>
      </c>
      <c r="K276" s="2" t="n">
        <v>1042</v>
      </c>
      <c r="L276" t="n">
        <v>40</v>
      </c>
      <c r="M276" s="3" t="n">
        <v>272</v>
      </c>
      <c r="N276" s="4" t="n">
        <v>550</v>
      </c>
      <c r="O276" s="4" t="n">
        <v>278</v>
      </c>
      <c r="P276" s="5" t="inlineStr">
        <is>
          <t>low</t>
        </is>
      </c>
      <c r="Q276" t="inlineStr">
        <is>
          <t>flat</t>
        </is>
      </c>
      <c r="R276" s="6" t="n">
        <v>550</v>
      </c>
      <c r="S276" t="inlineStr">
        <is>
          <t>research</t>
        </is>
      </c>
      <c r="T276" s="5" t="inlineStr">
        <is>
          <t>Solio's 272 is well below his 1,042 Premier League minutes in 2025/26 despite the squad around him thinning. He came on in the Super Cup and started against Monchengladbach at left-back, giving him two routes into the side - midfield cover with Onana out for nine months and Tielemans sold, and left-back cover behind Maatsen.</t>
        </is>
      </c>
      <c r="U276" s="6" t="n">
        <v>82.3</v>
      </c>
      <c r="V276" s="2" t="n">
        <v>11</v>
      </c>
      <c r="W276" s="7">
        <f>IF(N(U276)&lt;=0,0,MIN(Assumptions!$B$15,N(R276)/N(U276)))</f>
        <v/>
      </c>
      <c r="X276" s="6" t="n">
        <v>0.273</v>
      </c>
      <c r="Y276" s="3" t="n">
        <v>0</v>
      </c>
      <c r="Z276" t="inlineStr">
        <is>
          <t>adjusted xGOT</t>
        </is>
      </c>
      <c r="AA276" s="3" t="n">
        <v>1</v>
      </c>
      <c r="AB276" s="3" t="n">
        <v>1.008</v>
      </c>
      <c r="AC276" s="3" t="n">
        <v>0</v>
      </c>
      <c r="AD276" s="3" t="n">
        <v>0.0104</v>
      </c>
      <c r="AE276" s="3" t="n">
        <v>6.205</v>
      </c>
      <c r="AF276" s="3" t="n">
        <v>0.01369597986363336</v>
      </c>
      <c r="AG276" s="3" t="n">
        <v>0.3455</v>
      </c>
      <c r="AH276" s="3" t="n">
        <v>38</v>
      </c>
      <c r="AI276" s="3" t="n">
        <v>2.7451</v>
      </c>
      <c r="AJ276" s="3" t="n">
        <v>1.3575</v>
      </c>
      <c r="AK276" s="3" t="n">
        <v>-0.3222058105239432</v>
      </c>
      <c r="AL276" s="6" t="n">
        <v>0</v>
      </c>
      <c r="AM276" s="3" t="n">
        <v>0</v>
      </c>
      <c r="AN276" s="3" t="n">
        <v>0</v>
      </c>
      <c r="AO276" s="3" t="n">
        <v>0.041184</v>
      </c>
      <c r="AP276" s="3">
        <f>N(X276)*N(BI276)</f>
        <v/>
      </c>
      <c r="AQ276" s="3" t="n">
        <v>0.3455</v>
      </c>
      <c r="AR276" s="3" t="n">
        <v>0</v>
      </c>
      <c r="AS276" s="3" t="n">
        <v>-0</v>
      </c>
      <c r="AT276" s="3" t="n">
        <v>-0.3222058105239432</v>
      </c>
      <c r="AU276" s="3">
        <f>SUM(AN276:AT276)</f>
        <v/>
      </c>
      <c r="AV276" s="7">
        <f>IF(OR(N(W276)&lt;=0,N(BG276)=0),0,N(W276)*IF(N(R276)/N(W276)&gt;=60,N(BG276),1))</f>
        <v/>
      </c>
      <c r="AW276" s="7">
        <f>N(W276)*N(AF276)*N(BH276)</f>
        <v/>
      </c>
      <c r="AX276" s="7">
        <f>N(AL276)*(Assumptions!$B$13*N(BJ276)-(1-Assumptions!$B$13)*Assumptions!$B$14)+N(AM276)</f>
        <v/>
      </c>
      <c r="AY276" s="7">
        <f>N(AU276)*N(R276)/90+N(AV276)+N(AW276)+N(AX276)</f>
        <v/>
      </c>
      <c r="AZ276" s="3">
        <f>IF(N(R276)&lt;=0,0,(N(AY276)-N(AX276))*90/N(R276))</f>
        <v/>
      </c>
      <c r="BA276" s="7">
        <f>IFERROR(AY276-VLOOKUP($E276,Assumptions!$A$40:$C$43,3,FALSE),"")</f>
        <v/>
      </c>
      <c r="BB276" s="3">
        <f>IFERROR(BA276/H276,"")</f>
        <v/>
      </c>
      <c r="BC276">
        <f>IF(AND($G276=TRUE,$E276="GKP"),AY276,"")</f>
        <v/>
      </c>
      <c r="BD276">
        <f>IF(AND($G276=TRUE,$E276="DEF"),AY276,"")</f>
        <v/>
      </c>
      <c r="BE276">
        <f>IF(AND($G276=TRUE,$E276="MID"),AY276,"")</f>
        <v/>
      </c>
      <c r="BF276">
        <f>IF(AND($G276=TRUE,$E276="FWD"),AY276,"")</f>
        <v/>
      </c>
      <c r="BG276" t="n">
        <v>2</v>
      </c>
      <c r="BH276" t="n">
        <v>2</v>
      </c>
      <c r="BI276" t="n">
        <v>1</v>
      </c>
      <c r="BJ276" t="n">
        <v>5</v>
      </c>
    </row>
    <row r="277">
      <c r="A277" t="inlineStr">
        <is>
          <t>Cristhian Mosquera</t>
        </is>
      </c>
      <c r="B277" t="inlineStr">
        <is>
          <t>ARS</t>
        </is>
      </c>
      <c r="C277" t="inlineStr">
        <is>
          <t>ARS</t>
        </is>
      </c>
      <c r="D277" t="b">
        <v>0</v>
      </c>
      <c r="E277" t="inlineStr">
        <is>
          <t>DEF</t>
        </is>
      </c>
      <c r="F277" t="inlineStr">
        <is>
          <t>DEF</t>
        </is>
      </c>
      <c r="G277" t="b">
        <v>1</v>
      </c>
      <c r="H277" s="2" t="n">
        <v>5.5</v>
      </c>
      <c r="I277" t="inlineStr">
        <is>
          <t>a</t>
        </is>
      </c>
      <c r="K277" s="2" t="n">
        <v>986</v>
      </c>
      <c r="L277" t="n">
        <v>40</v>
      </c>
      <c r="M277" s="3" t="n">
        <v>295</v>
      </c>
      <c r="N277" s="4" t="n">
        <v>1350</v>
      </c>
      <c r="O277" s="4" t="n">
        <v>1055</v>
      </c>
      <c r="P277" s="5" t="inlineStr">
        <is>
          <t>medium</t>
        </is>
      </c>
      <c r="Q277" t="inlineStr">
        <is>
          <t>fade (losing his place)</t>
        </is>
      </c>
      <c r="R277" s="6" t="n">
        <v>1350</v>
      </c>
      <c r="S277" t="inlineStr">
        <is>
          <t>research</t>
        </is>
      </c>
      <c r="T277" s="5" t="inlineStr">
        <is>
          <t>With Saliba out long-term and Timber out to start the season, Arseblog states plainly on 11 August that 'we have two right-sided defenders available to us - Ben White and Cristhian Mosquera', and that Arsenal are 'very, very light in this area of the pitch'. Mosquera is in every projected XI seen for the Community Shield and for the Coventry opener. Solio's 295 minutes is inconsistent with him being one of only two available defenders on that side. Held to 1350 rather than higher because Arsenal are actively pursuing a defender (Konsa, Quansah, Fresneda all reported) before the window closes on roughly 1 September, which would cut into this.</t>
        </is>
      </c>
      <c r="U277" s="6" t="n">
        <v>80.5</v>
      </c>
      <c r="V277" s="2" t="n">
        <v>9</v>
      </c>
      <c r="W277" s="7">
        <f>IF(N(U277)&lt;=0,0,MIN(Assumptions!$B$15,N(R277)/N(U277)))</f>
        <v/>
      </c>
      <c r="X277" s="6" t="n">
        <v>0.391</v>
      </c>
      <c r="Y277" s="3" t="n">
        <v>0.008999999999999999</v>
      </c>
      <c r="Z277" t="inlineStr">
        <is>
          <t>adjusted xGOT</t>
        </is>
      </c>
      <c r="AA277" s="3" t="n">
        <v>1</v>
      </c>
      <c r="AB277" s="3" t="n">
        <v>0.988</v>
      </c>
      <c r="AC277" s="3" t="n">
        <v>0.1</v>
      </c>
      <c r="AD277" s="3" t="n">
        <v>0.0421</v>
      </c>
      <c r="AE277" s="3" t="n">
        <v>8.255000000000001</v>
      </c>
      <c r="AF277" s="3" t="n">
        <v>0.210434480609244</v>
      </c>
      <c r="AG277" s="3" t="n">
        <v>0.09130000000000001</v>
      </c>
      <c r="AH277" s="3" t="n">
        <v>28</v>
      </c>
      <c r="AI277" s="3" t="n">
        <v>2.067</v>
      </c>
      <c r="AJ277" s="3" t="n">
        <v>0.9838</v>
      </c>
      <c r="AK277" s="3" t="n">
        <v>-0.2784067877134873</v>
      </c>
      <c r="AL277" s="6" t="n">
        <v>0</v>
      </c>
      <c r="AM277" s="3" t="n">
        <v>0</v>
      </c>
      <c r="AN277" s="3" t="n">
        <v>0.05399999999999999</v>
      </c>
      <c r="AO277" s="3" t="n">
        <v>0.166716</v>
      </c>
      <c r="AP277" s="3">
        <f>N(X277)*N(BI277)</f>
        <v/>
      </c>
      <c r="AQ277" s="3" t="n">
        <v>0.09130000000000001</v>
      </c>
      <c r="AR277" s="3" t="n">
        <v>0</v>
      </c>
      <c r="AS277" s="3" t="n">
        <v>-0.2768479886568037</v>
      </c>
      <c r="AT277" s="3" t="n">
        <v>-0.2784067877134873</v>
      </c>
      <c r="AU277" s="3">
        <f>SUM(AN277:AT277)</f>
        <v/>
      </c>
      <c r="AV277" s="7">
        <f>IF(OR(N(W277)&lt;=0,N(BG277)=0),0,N(W277)*IF(N(R277)/N(W277)&gt;=60,N(BG277),1))</f>
        <v/>
      </c>
      <c r="AW277" s="7">
        <f>N(W277)*N(AF277)*N(BH277)</f>
        <v/>
      </c>
      <c r="AX277" s="7">
        <f>N(AL277)*(Assumptions!$B$13*N(BJ277)-(1-Assumptions!$B$13)*Assumptions!$B$14)+N(AM277)</f>
        <v/>
      </c>
      <c r="AY277" s="7">
        <f>N(AU277)*N(R277)/90+N(AV277)+N(AW277)+N(AX277)</f>
        <v/>
      </c>
      <c r="AZ277" s="3">
        <f>IF(N(R277)&lt;=0,0,(N(AY277)-N(AX277))*90/N(R277))</f>
        <v/>
      </c>
      <c r="BA277" s="7">
        <f>IFERROR(AY277-VLOOKUP($E277,Assumptions!$A$40:$C$43,3,FALSE),"")</f>
        <v/>
      </c>
      <c r="BB277" s="3">
        <f>IFERROR(BA277/H277,"")</f>
        <v/>
      </c>
      <c r="BC277">
        <f>IF(AND($G277=TRUE,$E277="GKP"),AY277,"")</f>
        <v/>
      </c>
      <c r="BD277">
        <f>IF(AND($G277=TRUE,$E277="DEF"),AY277,"")</f>
        <v/>
      </c>
      <c r="BE277">
        <f>IF(AND($G277=TRUE,$E277="MID"),AY277,"")</f>
        <v/>
      </c>
      <c r="BF277">
        <f>IF(AND($G277=TRUE,$E277="FWD"),AY277,"")</f>
        <v/>
      </c>
      <c r="BG277" t="n">
        <v>2</v>
      </c>
      <c r="BH277" t="n">
        <v>2</v>
      </c>
      <c r="BI277" t="n">
        <v>4</v>
      </c>
      <c r="BJ277" t="n">
        <v>6</v>
      </c>
    </row>
    <row r="278">
      <c r="A278" t="inlineStr">
        <is>
          <t>Dominic Solanke</t>
        </is>
      </c>
      <c r="B278" t="inlineStr">
        <is>
          <t>TOT</t>
        </is>
      </c>
      <c r="C278" t="inlineStr">
        <is>
          <t>TOT</t>
        </is>
      </c>
      <c r="D278" t="b">
        <v>0</v>
      </c>
      <c r="E278" t="inlineStr">
        <is>
          <t>FWD</t>
        </is>
      </c>
      <c r="F278" t="inlineStr">
        <is>
          <t>FWD</t>
        </is>
      </c>
      <c r="G278" t="b">
        <v>1</v>
      </c>
      <c r="H278" s="2" t="n">
        <v>6</v>
      </c>
      <c r="I278" t="inlineStr">
        <is>
          <t>a</t>
        </is>
      </c>
      <c r="K278" s="2" t="n">
        <v>997</v>
      </c>
      <c r="L278" t="n">
        <v>40</v>
      </c>
      <c r="M278" s="3" t="n">
        <v>2747</v>
      </c>
      <c r="N278" s="4" t="n">
        <v>2000</v>
      </c>
      <c r="O278" s="4" t="n">
        <v>-747</v>
      </c>
      <c r="P278" s="5" t="inlineStr">
        <is>
          <t>medium</t>
        </is>
      </c>
      <c r="Q278" t="inlineStr">
        <is>
          <t>flat</t>
        </is>
      </c>
      <c r="R278" s="6" t="n">
        <v>2000</v>
      </c>
      <c r="S278" t="inlineStr">
        <is>
          <t>research</t>
        </is>
      </c>
      <c r="T278" s="5" t="inlineStr">
        <is>
          <t>Solio's 2,747 assumes a fit, near-ever-present No.9. Solanke managed 997 minutes in 2025/26 after ankle surgery, has had only two pre-season appearances, felt pain in the ankle again in the week of 8 August and was withheld as a precaution, and Gold rates him unlikely for the opener. Cut to a figure consistent with an incumbent starter who misses chunks of the season, not a healthy one.</t>
        </is>
      </c>
      <c r="U278" s="6" t="n">
        <v>80.7</v>
      </c>
      <c r="V278" s="2" t="n">
        <v>11</v>
      </c>
      <c r="W278" s="7">
        <f>IF(N(U278)&lt;=0,0,MIN(Assumptions!$B$15,N(R278)/N(U278)))</f>
        <v/>
      </c>
      <c r="X278" s="6" t="n">
        <v>0.286</v>
      </c>
      <c r="Y278" s="3" t="n">
        <v>0.2459</v>
      </c>
      <c r="Z278" t="inlineStr">
        <is>
          <t>adjusted xGOT</t>
        </is>
      </c>
      <c r="AA278" s="3" t="n">
        <v>1</v>
      </c>
      <c r="AB278" s="3" t="n">
        <v>0.917</v>
      </c>
      <c r="AC278" s="3" t="n">
        <v>42.6</v>
      </c>
      <c r="AD278" s="3" t="n">
        <v>0.0423</v>
      </c>
      <c r="AE278" s="3" t="n">
        <v>5.731</v>
      </c>
      <c r="AF278" s="3" t="n">
        <v>0.006696059848580904</v>
      </c>
      <c r="AG278" s="3" t="n">
        <v>0.3611</v>
      </c>
      <c r="AH278" s="3" t="n">
        <v>25</v>
      </c>
      <c r="AI278" s="3" t="n">
        <v>2.5739</v>
      </c>
      <c r="AJ278" s="3" t="n">
        <v>1.3096</v>
      </c>
      <c r="AK278" s="3" t="n">
        <v>-0.0967185596671383</v>
      </c>
      <c r="AL278" s="6" t="n">
        <v>4.308494827596488</v>
      </c>
      <c r="AM278" s="3" t="n">
        <v>0</v>
      </c>
      <c r="AN278" s="3" t="n">
        <v>0.9836</v>
      </c>
      <c r="AO278" s="3" t="n">
        <v>0.167508</v>
      </c>
      <c r="AP278" s="3">
        <f>N(X278)*N(BI278)</f>
        <v/>
      </c>
      <c r="AQ278" s="3" t="n">
        <v>0.3611</v>
      </c>
      <c r="AR278" s="3" t="n">
        <v>0</v>
      </c>
      <c r="AS278" s="3" t="n">
        <v>-0</v>
      </c>
      <c r="AT278" s="3" t="n">
        <v>-0.0967185596671383</v>
      </c>
      <c r="AU278" s="3">
        <f>SUM(AN278:AT278)</f>
        <v/>
      </c>
      <c r="AV278" s="7">
        <f>IF(OR(N(W278)&lt;=0,N(BG278)=0),0,N(W278)*IF(N(R278)/N(W278)&gt;=60,N(BG278),1))</f>
        <v/>
      </c>
      <c r="AW278" s="7">
        <f>N(W278)*N(AF278)*N(BH278)</f>
        <v/>
      </c>
      <c r="AX278" s="7">
        <f>N(AL278)*(Assumptions!$B$13*N(BJ278)-(1-Assumptions!$B$13)*Assumptions!$B$14)+N(AM278)</f>
        <v/>
      </c>
      <c r="AY278" s="7">
        <f>N(AU278)*N(R278)/90+N(AV278)+N(AW278)+N(AX278)</f>
        <v/>
      </c>
      <c r="AZ278" s="3">
        <f>IF(N(R278)&lt;=0,0,(N(AY278)-N(AX278))*90/N(R278))</f>
        <v/>
      </c>
      <c r="BA278" s="7">
        <f>IFERROR(AY278-VLOOKUP($E278,Assumptions!$A$40:$C$43,3,FALSE),"")</f>
        <v/>
      </c>
      <c r="BB278" s="3">
        <f>IFERROR(BA278/H278,"")</f>
        <v/>
      </c>
      <c r="BC278">
        <f>IF(AND($G278=TRUE,$E278="GKP"),AY278,"")</f>
        <v/>
      </c>
      <c r="BD278">
        <f>IF(AND($G278=TRUE,$E278="DEF"),AY278,"")</f>
        <v/>
      </c>
      <c r="BE278">
        <f>IF(AND($G278=TRUE,$E278="MID"),AY278,"")</f>
        <v/>
      </c>
      <c r="BF278">
        <f>IF(AND($G278=TRUE,$E278="FWD"),AY278,"")</f>
        <v/>
      </c>
      <c r="BG278" t="n">
        <v>2</v>
      </c>
      <c r="BH278" t="n">
        <v>2</v>
      </c>
      <c r="BI278" t="n">
        <v>0</v>
      </c>
      <c r="BJ278" t="n">
        <v>4</v>
      </c>
    </row>
    <row r="279">
      <c r="A279" t="inlineStr">
        <is>
          <t>Lewis Cook</t>
        </is>
      </c>
      <c r="B279" t="inlineStr">
        <is>
          <t>BOU</t>
        </is>
      </c>
      <c r="C279" t="inlineStr">
        <is>
          <t>BOU</t>
        </is>
      </c>
      <c r="D279" t="b">
        <v>0</v>
      </c>
      <c r="E279" t="inlineStr">
        <is>
          <t>MID</t>
        </is>
      </c>
      <c r="F279" t="inlineStr">
        <is>
          <t>MID</t>
        </is>
      </c>
      <c r="G279" t="b">
        <v>1</v>
      </c>
      <c r="H279" s="2" t="n">
        <v>5</v>
      </c>
      <c r="I279" t="inlineStr">
        <is>
          <t>a</t>
        </is>
      </c>
      <c r="K279" s="2" t="n">
        <v>872</v>
      </c>
      <c r="L279" t="n">
        <v>40</v>
      </c>
      <c r="M279" s="3" t="n">
        <v>451</v>
      </c>
      <c r="N279" s="4" t="n">
        <v>1300</v>
      </c>
      <c r="O279" s="4" t="n">
        <v>849</v>
      </c>
      <c r="P279" s="5" t="inlineStr">
        <is>
          <t>medium</t>
        </is>
      </c>
      <c r="Q279" t="inlineStr">
        <is>
          <t>flat</t>
        </is>
      </c>
      <c r="R279" s="6" t="n">
        <v>1300</v>
      </c>
      <c r="S279" t="inlineStr">
        <is>
          <t>research</t>
        </is>
      </c>
      <c r="T279" s="5" t="inlineStr">
        <is>
          <t>Started the central-midfield pivot in both of the last two friendlies (8 Aug vs Betis alongside Scott, 15 Aug vs Mainz alongside Toth). Solio's 451 reflects his 872-minute 2025/26 and predates his pre-season role under the new head coach. Capped at 1300 rather than higher because Scott, Adams and Christie were all absent or doubtful for at least one of those matches, so some of the pre-season workload is availability rather than preference.</t>
        </is>
      </c>
      <c r="U279" s="6" t="n">
        <v>84.5</v>
      </c>
      <c r="V279" s="2" t="n">
        <v>8</v>
      </c>
      <c r="W279" s="7">
        <f>IF(N(U279)&lt;=0,0,MIN(Assumptions!$B$15,N(R279)/N(U279)))</f>
        <v/>
      </c>
      <c r="X279" s="6" t="n">
        <v>0.23</v>
      </c>
      <c r="Y279" s="3" t="n">
        <v>0.0071</v>
      </c>
      <c r="Z279" t="inlineStr">
        <is>
          <t>adjusted xGOT</t>
        </is>
      </c>
      <c r="AA279" s="3" t="n">
        <v>1</v>
      </c>
      <c r="AB279" s="3" t="n">
        <v>0.993</v>
      </c>
      <c r="AC279" s="3" t="n">
        <v>1.7</v>
      </c>
      <c r="AD279" s="3" t="n">
        <v>0.0447</v>
      </c>
      <c r="AE279" s="3" t="n">
        <v>11.963</v>
      </c>
      <c r="AF279" s="3" t="n">
        <v>0.4483980111986565</v>
      </c>
      <c r="AG279" s="3" t="n">
        <v>0</v>
      </c>
      <c r="AH279" s="3" t="n">
        <v>26</v>
      </c>
      <c r="AI279" s="3" t="n">
        <v>3.0957</v>
      </c>
      <c r="AJ279" s="3" t="n">
        <v>1.53</v>
      </c>
      <c r="AK279" s="3" t="n">
        <v>-0.2064030647938763</v>
      </c>
      <c r="AL279" s="6" t="n">
        <v>0</v>
      </c>
      <c r="AM279" s="3" t="n">
        <v>0</v>
      </c>
      <c r="AN279" s="3" t="n">
        <v>0.0355</v>
      </c>
      <c r="AO279" s="3" t="n">
        <v>0.177012</v>
      </c>
      <c r="AP279" s="3">
        <f>N(X279)*N(BI279)</f>
        <v/>
      </c>
      <c r="AQ279" s="3" t="n">
        <v>0</v>
      </c>
      <c r="AR279" s="3" t="n">
        <v>0</v>
      </c>
      <c r="AS279" s="3" t="n">
        <v>-0</v>
      </c>
      <c r="AT279" s="3" t="n">
        <v>-0.2064030647938763</v>
      </c>
      <c r="AU279" s="3">
        <f>SUM(AN279:AT279)</f>
        <v/>
      </c>
      <c r="AV279" s="7">
        <f>IF(OR(N(W279)&lt;=0,N(BG279)=0),0,N(W279)*IF(N(R279)/N(W279)&gt;=60,N(BG279),1))</f>
        <v/>
      </c>
      <c r="AW279" s="7">
        <f>N(W279)*N(AF279)*N(BH279)</f>
        <v/>
      </c>
      <c r="AX279" s="7">
        <f>N(AL279)*(Assumptions!$B$13*N(BJ279)-(1-Assumptions!$B$13)*Assumptions!$B$14)+N(AM279)</f>
        <v/>
      </c>
      <c r="AY279" s="7">
        <f>N(AU279)*N(R279)/90+N(AV279)+N(AW279)+N(AX279)</f>
        <v/>
      </c>
      <c r="AZ279" s="3">
        <f>IF(N(R279)&lt;=0,0,(N(AY279)-N(AX279))*90/N(R279))</f>
        <v/>
      </c>
      <c r="BA279" s="7">
        <f>IFERROR(AY279-VLOOKUP($E279,Assumptions!$A$40:$C$43,3,FALSE),"")</f>
        <v/>
      </c>
      <c r="BB279" s="3">
        <f>IFERROR(BA279/H279,"")</f>
        <v/>
      </c>
      <c r="BC279">
        <f>IF(AND($G279=TRUE,$E279="GKP"),AY279,"")</f>
        <v/>
      </c>
      <c r="BD279">
        <f>IF(AND($G279=TRUE,$E279="DEF"),AY279,"")</f>
        <v/>
      </c>
      <c r="BE279">
        <f>IF(AND($G279=TRUE,$E279="MID"),AY279,"")</f>
        <v/>
      </c>
      <c r="BF279">
        <f>IF(AND($G279=TRUE,$E279="FWD"),AY279,"")</f>
        <v/>
      </c>
      <c r="BG279" t="n">
        <v>2</v>
      </c>
      <c r="BH279" t="n">
        <v>2</v>
      </c>
      <c r="BI279" t="n">
        <v>1</v>
      </c>
      <c r="BJ279" t="n">
        <v>5</v>
      </c>
    </row>
    <row r="280">
      <c r="A280" t="inlineStr">
        <is>
          <t>Josh Acheampong</t>
        </is>
      </c>
      <c r="B280" t="inlineStr">
        <is>
          <t>CHE</t>
        </is>
      </c>
      <c r="C280" t="inlineStr">
        <is>
          <t>CHE</t>
        </is>
      </c>
      <c r="D280" t="b">
        <v>0</v>
      </c>
      <c r="E280" t="inlineStr">
        <is>
          <t>DEF</t>
        </is>
      </c>
      <c r="F280" t="inlineStr">
        <is>
          <t>DEF</t>
        </is>
      </c>
      <c r="G280" t="b">
        <v>1</v>
      </c>
      <c r="H280" s="2" t="n">
        <v>4.5</v>
      </c>
      <c r="I280" t="inlineStr">
        <is>
          <t>a</t>
        </is>
      </c>
      <c r="K280" s="2" t="n">
        <v>657</v>
      </c>
      <c r="L280" t="n">
        <v>39</v>
      </c>
      <c r="M280" s="3" t="n">
        <v>136</v>
      </c>
      <c r="N280" s="4" t="n">
        <v>600</v>
      </c>
      <c r="O280" s="4" t="n">
        <v>464</v>
      </c>
      <c r="P280" s="5" t="inlineStr">
        <is>
          <t>medium</t>
        </is>
      </c>
      <c r="Q280" t="inlineStr">
        <is>
          <t>flat</t>
        </is>
      </c>
      <c r="R280" s="6" t="n">
        <v>600</v>
      </c>
      <c r="S280" t="inlineStr">
        <is>
          <t>research</t>
        </is>
      </c>
      <c r="T280" s="5" t="inlineStr">
        <is>
          <t>Promoted in the centre-back queue by the exits above. He started in the back three against AC Milan and was one of only two centre-backs named among the substitutes for the final friendly against Real Sociedad; Last Word on Football states Tosin Adarabioyo is behind 'Acheampong and Hato in the pecking order'. With Chalobah sold, Badiashile leaving, Fofana serving a carried-over suspension for the first two league games and Colwill in his first full season back from an ACL injury, 136 minutes for a matchday-squad centre-back in a back-three system is implausibly low. Sized at 600 (about 6-7 matches) so the club total lands on the 37,620 budget.</t>
        </is>
      </c>
      <c r="U280" s="6" t="n">
        <v>79.09999999999999</v>
      </c>
      <c r="V280" s="2" t="n">
        <v>8</v>
      </c>
      <c r="W280" s="7">
        <f>IF(N(U280)&lt;=0,0,MIN(Assumptions!$B$15,N(R280)/N(U280)))</f>
        <v/>
      </c>
      <c r="X280" s="6" t="n">
        <v>0.322</v>
      </c>
      <c r="Y280" s="3" t="n">
        <v>0.0864</v>
      </c>
      <c r="Z280" t="inlineStr">
        <is>
          <t>adjusted xGOT</t>
        </is>
      </c>
      <c r="AA280" s="3" t="n">
        <v>1</v>
      </c>
      <c r="AB280" s="3" t="n">
        <v>1.018</v>
      </c>
      <c r="AC280" s="3" t="n">
        <v>0.8</v>
      </c>
      <c r="AD280" s="3" t="n">
        <v>0.0184</v>
      </c>
      <c r="AE280" s="3" t="n">
        <v>6.894</v>
      </c>
      <c r="AF280" s="3" t="n">
        <v>0.08804964094178636</v>
      </c>
      <c r="AG280" s="3" t="n">
        <v>0.6849</v>
      </c>
      <c r="AH280" s="3" t="n">
        <v>24</v>
      </c>
      <c r="AI280" s="3" t="n">
        <v>2.4232</v>
      </c>
      <c r="AJ280" s="3" t="n">
        <v>1.1851</v>
      </c>
      <c r="AK280" s="3" t="n">
        <v>-0.2066640795218735</v>
      </c>
      <c r="AL280" s="6" t="n">
        <v>0</v>
      </c>
      <c r="AM280" s="3" t="n">
        <v>0</v>
      </c>
      <c r="AN280" s="3" t="n">
        <v>0.5184</v>
      </c>
      <c r="AO280" s="3" t="n">
        <v>0.072864</v>
      </c>
      <c r="AP280" s="3">
        <f>N(X280)*N(BI280)</f>
        <v/>
      </c>
      <c r="AQ280" s="3" t="n">
        <v>0.6849</v>
      </c>
      <c r="AR280" s="3" t="n">
        <v>0</v>
      </c>
      <c r="AS280" s="3" t="n">
        <v>-0.365915508000572</v>
      </c>
      <c r="AT280" s="3" t="n">
        <v>-0.2066640795218735</v>
      </c>
      <c r="AU280" s="3">
        <f>SUM(AN280:AT280)</f>
        <v/>
      </c>
      <c r="AV280" s="7">
        <f>IF(OR(N(W280)&lt;=0,N(BG280)=0),0,N(W280)*IF(N(R280)/N(W280)&gt;=60,N(BG280),1))</f>
        <v/>
      </c>
      <c r="AW280" s="7">
        <f>N(W280)*N(AF280)*N(BH280)</f>
        <v/>
      </c>
      <c r="AX280" s="7">
        <f>N(AL280)*(Assumptions!$B$13*N(BJ280)-(1-Assumptions!$B$13)*Assumptions!$B$14)+N(AM280)</f>
        <v/>
      </c>
      <c r="AY280" s="7">
        <f>N(AU280)*N(R280)/90+N(AV280)+N(AW280)+N(AX280)</f>
        <v/>
      </c>
      <c r="AZ280" s="3">
        <f>IF(N(R280)&lt;=0,0,(N(AY280)-N(AX280))*90/N(R280))</f>
        <v/>
      </c>
      <c r="BA280" s="7">
        <f>IFERROR(AY280-VLOOKUP($E280,Assumptions!$A$40:$C$43,3,FALSE),"")</f>
        <v/>
      </c>
      <c r="BB280" s="3">
        <f>IFERROR(BA280/H280,"")</f>
        <v/>
      </c>
      <c r="BC280">
        <f>IF(AND($G280=TRUE,$E280="GKP"),AY280,"")</f>
        <v/>
      </c>
      <c r="BD280">
        <f>IF(AND($G280=TRUE,$E280="DEF"),AY280,"")</f>
        <v/>
      </c>
      <c r="BE280">
        <f>IF(AND($G280=TRUE,$E280="MID"),AY280,"")</f>
        <v/>
      </c>
      <c r="BF280">
        <f>IF(AND($G280=TRUE,$E280="FWD"),AY280,"")</f>
        <v/>
      </c>
      <c r="BG280" t="n">
        <v>2</v>
      </c>
      <c r="BH280" t="n">
        <v>2</v>
      </c>
      <c r="BI280" t="n">
        <v>4</v>
      </c>
      <c r="BJ280" t="n">
        <v>6</v>
      </c>
    </row>
    <row r="281">
      <c r="A281" t="inlineStr">
        <is>
          <t>Nicolò Savona</t>
        </is>
      </c>
      <c r="B281" t="inlineStr">
        <is>
          <t>NFO</t>
        </is>
      </c>
      <c r="C281" t="inlineStr">
        <is>
          <t>NFO</t>
        </is>
      </c>
      <c r="D281" t="b">
        <v>0</v>
      </c>
      <c r="E281" t="inlineStr">
        <is>
          <t>DEF</t>
        </is>
      </c>
      <c r="F281" t="inlineStr">
        <is>
          <t>DEF</t>
        </is>
      </c>
      <c r="G281" t="b">
        <v>1</v>
      </c>
      <c r="H281" s="2" t="n">
        <v>4.5</v>
      </c>
      <c r="I281" t="inlineStr">
        <is>
          <t>i</t>
        </is>
      </c>
      <c r="J281" t="inlineStr">
        <is>
          <t>Knee injury - Unknown return date</t>
        </is>
      </c>
      <c r="K281" s="2" t="n">
        <v>1025</v>
      </c>
      <c r="L281" t="n">
        <v>39</v>
      </c>
      <c r="M281" s="3" t="n">
        <v>395</v>
      </c>
      <c r="N281" s="8" t="n">
        <v>395</v>
      </c>
      <c r="O281" s="8" t="n">
        <v>0</v>
      </c>
      <c r="Q281" t="inlineStr">
        <is>
          <t>flat</t>
        </is>
      </c>
      <c r="R281" s="6" t="n">
        <v>395</v>
      </c>
      <c r="S281" t="inlineStr">
        <is>
          <t>Solio</t>
        </is>
      </c>
      <c r="U281" s="6" t="n">
        <v>85.2</v>
      </c>
      <c r="V281" s="2" t="n">
        <v>11</v>
      </c>
      <c r="W281" s="7">
        <f>IF(N(U281)&lt;=0,0,MIN(Assumptions!$B$15,N(R281)/N(U281)))</f>
        <v/>
      </c>
      <c r="X281" s="6" t="n">
        <v>0.224</v>
      </c>
      <c r="Y281" s="3" t="n">
        <v>0.1209</v>
      </c>
      <c r="Z281" t="inlineStr">
        <is>
          <t>adjusted xGOT</t>
        </is>
      </c>
      <c r="AA281" s="3" t="n">
        <v>1</v>
      </c>
      <c r="AB281" s="3" t="n">
        <v>1.028</v>
      </c>
      <c r="AC281" s="3" t="n">
        <v>1.3</v>
      </c>
      <c r="AD281" s="3" t="n">
        <v>0.0459</v>
      </c>
      <c r="AE281" s="3" t="n">
        <v>6.111</v>
      </c>
      <c r="AF281" s="3" t="n">
        <v>0.06992315293574369</v>
      </c>
      <c r="AG281" s="3" t="n">
        <v>0</v>
      </c>
      <c r="AH281" s="3" t="n">
        <v>24</v>
      </c>
      <c r="AI281" s="3" t="n">
        <v>3.1134</v>
      </c>
      <c r="AJ281" s="3" t="n">
        <v>1.5588</v>
      </c>
      <c r="AK281" s="3" t="n">
        <v>-0.2013150628397314</v>
      </c>
      <c r="AL281" s="6" t="n">
        <v>0</v>
      </c>
      <c r="AM281" s="3" t="n">
        <v>0</v>
      </c>
      <c r="AN281" s="3" t="n">
        <v>0.7253999999999999</v>
      </c>
      <c r="AO281" s="3" t="n">
        <v>0.181764</v>
      </c>
      <c r="AP281" s="3">
        <f>N(X281)*N(BI281)</f>
        <v/>
      </c>
      <c r="AQ281" s="3" t="n">
        <v>0</v>
      </c>
      <c r="AR281" s="3" t="n">
        <v>0</v>
      </c>
      <c r="AS281" s="3" t="n">
        <v>-0.5404658182244797</v>
      </c>
      <c r="AT281" s="3" t="n">
        <v>-0.2013150628397314</v>
      </c>
      <c r="AU281" s="3">
        <f>SUM(AN281:AT281)</f>
        <v/>
      </c>
      <c r="AV281" s="7">
        <f>IF(OR(N(W281)&lt;=0,N(BG281)=0),0,N(W281)*IF(N(R281)/N(W281)&gt;=60,N(BG281),1))</f>
        <v/>
      </c>
      <c r="AW281" s="7">
        <f>N(W281)*N(AF281)*N(BH281)</f>
        <v/>
      </c>
      <c r="AX281" s="7">
        <f>N(AL281)*(Assumptions!$B$13*N(BJ281)-(1-Assumptions!$B$13)*Assumptions!$B$14)+N(AM281)</f>
        <v/>
      </c>
      <c r="AY281" s="7">
        <f>N(AU281)*N(R281)/90+N(AV281)+N(AW281)+N(AX281)</f>
        <v/>
      </c>
      <c r="AZ281" s="3">
        <f>IF(N(R281)&lt;=0,0,(N(AY281)-N(AX281))*90/N(R281))</f>
        <v/>
      </c>
      <c r="BA281" s="7">
        <f>IFERROR(AY281-VLOOKUP($E281,Assumptions!$A$40:$C$43,3,FALSE),"")</f>
        <v/>
      </c>
      <c r="BB281" s="3">
        <f>IFERROR(BA281/H281,"")</f>
        <v/>
      </c>
      <c r="BC281">
        <f>IF(AND($G281=TRUE,$E281="GKP"),AY281,"")</f>
        <v/>
      </c>
      <c r="BD281">
        <f>IF(AND($G281=TRUE,$E281="DEF"),AY281,"")</f>
        <v/>
      </c>
      <c r="BE281">
        <f>IF(AND($G281=TRUE,$E281="MID"),AY281,"")</f>
        <v/>
      </c>
      <c r="BF281">
        <f>IF(AND($G281=TRUE,$E281="FWD"),AY281,"")</f>
        <v/>
      </c>
      <c r="BG281" t="n">
        <v>2</v>
      </c>
      <c r="BH281" t="n">
        <v>2</v>
      </c>
      <c r="BI281" t="n">
        <v>4</v>
      </c>
      <c r="BJ281" t="n">
        <v>6</v>
      </c>
    </row>
    <row r="282">
      <c r="A282" t="inlineStr">
        <is>
          <t>Jorge Cuenca</t>
        </is>
      </c>
      <c r="B282" t="inlineStr">
        <is>
          <t>FUL</t>
        </is>
      </c>
      <c r="C282" t="inlineStr">
        <is>
          <t>FUL</t>
        </is>
      </c>
      <c r="D282" t="b">
        <v>0</v>
      </c>
      <c r="E282" t="inlineStr">
        <is>
          <t>DEF</t>
        </is>
      </c>
      <c r="F282" t="inlineStr">
        <is>
          <t>DEF</t>
        </is>
      </c>
      <c r="G282" t="b">
        <v>1</v>
      </c>
      <c r="H282" s="2" t="n">
        <v>4.5</v>
      </c>
      <c r="I282" t="inlineStr">
        <is>
          <t>a</t>
        </is>
      </c>
      <c r="K282" s="2" t="n">
        <v>935</v>
      </c>
      <c r="L282" t="n">
        <v>39</v>
      </c>
      <c r="M282" s="3" t="n">
        <v>889</v>
      </c>
      <c r="N282" s="4" t="n">
        <v>1300</v>
      </c>
      <c r="O282" s="4" t="n">
        <v>411</v>
      </c>
      <c r="P282" s="5" t="inlineStr">
        <is>
          <t>high</t>
        </is>
      </c>
      <c r="Q282" t="inlineStr">
        <is>
          <t>fade (losing his place)</t>
        </is>
      </c>
      <c r="R282" s="6" t="n">
        <v>1300</v>
      </c>
      <c r="S282" t="inlineStr">
        <is>
          <t>research</t>
        </is>
      </c>
      <c r="T282" s="5" t="inlineStr">
        <is>
          <t>Issa Diop was sold to Ipswich on 22 Jul 2026, leaving only three senior centre-backs (Andersen, Bassey, Cuenca). Cuenca started two of the last three friendlies (7 Aug v Crystal Palace, 15 Aug v Stuttgart) and is the stand-in for Andersen's opening-day suspension. Solio's 'fade - losing his place' pattern is measured against a 2025/26 squad that still contained Diop.</t>
        </is>
      </c>
      <c r="U282" s="6" t="n">
        <v>84.7</v>
      </c>
      <c r="V282" s="2" t="n">
        <v>11</v>
      </c>
      <c r="W282" s="7">
        <f>IF(N(U282)&lt;=0,0,MIN(Assumptions!$B$15,N(R282)/N(U282)))</f>
        <v/>
      </c>
      <c r="X282" s="6" t="n">
        <v>0.214</v>
      </c>
      <c r="Y282" s="3" t="n">
        <v>0.0048</v>
      </c>
      <c r="Z282" t="inlineStr">
        <is>
          <t>adjusted xGOT</t>
        </is>
      </c>
      <c r="AA282" s="3" t="n">
        <v>1</v>
      </c>
      <c r="AB282" s="3" t="n">
        <v>0.991</v>
      </c>
      <c r="AC282" s="3" t="n">
        <v>0.1</v>
      </c>
      <c r="AD282" s="3" t="n">
        <v>0.0503</v>
      </c>
      <c r="AE282" s="3" t="n">
        <v>9.706</v>
      </c>
      <c r="AF282" s="3" t="n">
        <v>0.4302970533391327</v>
      </c>
      <c r="AG282" s="3" t="n">
        <v>0.0963</v>
      </c>
      <c r="AH282" s="3" t="n">
        <v>25</v>
      </c>
      <c r="AI282" s="3" t="n">
        <v>3.22</v>
      </c>
      <c r="AJ282" s="3" t="n">
        <v>1.6019</v>
      </c>
      <c r="AK282" s="3" t="n">
        <v>-0.3322909752121754</v>
      </c>
      <c r="AL282" s="6" t="n">
        <v>0</v>
      </c>
      <c r="AM282" s="3" t="n">
        <v>0</v>
      </c>
      <c r="AN282" s="3" t="n">
        <v>0.0288</v>
      </c>
      <c r="AO282" s="3" t="n">
        <v>0.199188</v>
      </c>
      <c r="AP282" s="3">
        <f>N(X282)*N(BI282)</f>
        <v/>
      </c>
      <c r="AQ282" s="3" t="n">
        <v>0.0963</v>
      </c>
      <c r="AR282" s="3" t="n">
        <v>0</v>
      </c>
      <c r="AS282" s="3" t="n">
        <v>-0.5611019003833156</v>
      </c>
      <c r="AT282" s="3" t="n">
        <v>-0.3322909752121754</v>
      </c>
      <c r="AU282" s="3">
        <f>SUM(AN282:AT282)</f>
        <v/>
      </c>
      <c r="AV282" s="7">
        <f>IF(OR(N(W282)&lt;=0,N(BG282)=0),0,N(W282)*IF(N(R282)/N(W282)&gt;=60,N(BG282),1))</f>
        <v/>
      </c>
      <c r="AW282" s="7">
        <f>N(W282)*N(AF282)*N(BH282)</f>
        <v/>
      </c>
      <c r="AX282" s="7">
        <f>N(AL282)*(Assumptions!$B$13*N(BJ282)-(1-Assumptions!$B$13)*Assumptions!$B$14)+N(AM282)</f>
        <v/>
      </c>
      <c r="AY282" s="7">
        <f>N(AU282)*N(R282)/90+N(AV282)+N(AW282)+N(AX282)</f>
        <v/>
      </c>
      <c r="AZ282" s="3">
        <f>IF(N(R282)&lt;=0,0,(N(AY282)-N(AX282))*90/N(R282))</f>
        <v/>
      </c>
      <c r="BA282" s="7">
        <f>IFERROR(AY282-VLOOKUP($E282,Assumptions!$A$40:$C$43,3,FALSE),"")</f>
        <v/>
      </c>
      <c r="BB282" s="3">
        <f>IFERROR(BA282/H282,"")</f>
        <v/>
      </c>
      <c r="BC282">
        <f>IF(AND($G282=TRUE,$E282="GKP"),AY282,"")</f>
        <v/>
      </c>
      <c r="BD282">
        <f>IF(AND($G282=TRUE,$E282="DEF"),AY282,"")</f>
        <v/>
      </c>
      <c r="BE282">
        <f>IF(AND($G282=TRUE,$E282="MID"),AY282,"")</f>
        <v/>
      </c>
      <c r="BF282">
        <f>IF(AND($G282=TRUE,$E282="FWD"),AY282,"")</f>
        <v/>
      </c>
      <c r="BG282" t="n">
        <v>2</v>
      </c>
      <c r="BH282" t="n">
        <v>2</v>
      </c>
      <c r="BI282" t="n">
        <v>4</v>
      </c>
      <c r="BJ282" t="n">
        <v>6</v>
      </c>
    </row>
    <row r="283">
      <c r="A283" t="inlineStr">
        <is>
          <t>Olivier Boscagli</t>
        </is>
      </c>
      <c r="B283" t="inlineStr">
        <is>
          <t>BHA</t>
        </is>
      </c>
      <c r="C283" t="inlineStr">
        <is>
          <t>BHA</t>
        </is>
      </c>
      <c r="D283" t="b">
        <v>0</v>
      </c>
      <c r="E283" t="inlineStr">
        <is>
          <t>DEF</t>
        </is>
      </c>
      <c r="F283" t="inlineStr">
        <is>
          <t>DEF</t>
        </is>
      </c>
      <c r="G283" t="b">
        <v>1</v>
      </c>
      <c r="H283" s="2" t="n">
        <v>4.5</v>
      </c>
      <c r="I283" t="inlineStr">
        <is>
          <t>a</t>
        </is>
      </c>
      <c r="K283" s="2" t="n">
        <v>799</v>
      </c>
      <c r="L283" t="n">
        <v>39</v>
      </c>
      <c r="M283" s="3" t="n">
        <v>826</v>
      </c>
      <c r="N283" s="4" t="n">
        <v>1750</v>
      </c>
      <c r="O283" s="4" t="n">
        <v>924</v>
      </c>
      <c r="P283" s="5" t="inlineStr">
        <is>
          <t>medium</t>
        </is>
      </c>
      <c r="Q283" t="inlineStr">
        <is>
          <t>fade (losing his place)</t>
        </is>
      </c>
      <c r="R283" s="6" t="n">
        <v>1750</v>
      </c>
      <c r="S283" t="inlineStr">
        <is>
          <t>research</t>
        </is>
      </c>
      <c r="T283" s="5" t="inlineStr">
        <is>
          <t>Solio flags him 'fade (losing his place)' at 826 minutes, but he STARTED at centre-back in both August friendlies - v Roma on 8 Aug (off 85') and v Bologna on 15 Aug (off 66') - partnering Vuskovic each time, while Dunk came off the bench and Struijk did not feature at all. The 15 Aug XI was the last rehearsal before the opener. Held below a full starter's allocation only because We Are Brighton (11 Aug) name him the likeliest of the five centre-backs to be sold before the window shuts on 1 Sep.</t>
        </is>
      </c>
      <c r="U283" s="6" t="n">
        <v>85.09999999999999</v>
      </c>
      <c r="V283" s="2" t="n">
        <v>9</v>
      </c>
      <c r="W283" s="7">
        <f>IF(N(U283)&lt;=0,0,MIN(Assumptions!$B$15,N(R283)/N(U283)))</f>
        <v/>
      </c>
      <c r="X283" s="6" t="n">
        <v>0.252</v>
      </c>
      <c r="Y283" s="3" t="n">
        <v>0.0056</v>
      </c>
      <c r="Z283" t="inlineStr">
        <is>
          <t>adjusted xGOT</t>
        </is>
      </c>
      <c r="AA283" s="3" t="n">
        <v>1</v>
      </c>
      <c r="AB283" s="3" t="n">
        <v>0.994</v>
      </c>
      <c r="AC283" s="3" t="n">
        <v>0</v>
      </c>
      <c r="AD283" s="3" t="n">
        <v>0.0348</v>
      </c>
      <c r="AE283" s="3" t="n">
        <v>8.263999999999999</v>
      </c>
      <c r="AF283" s="3" t="n">
        <v>0.2605908444593074</v>
      </c>
      <c r="AG283" s="3" t="n">
        <v>0.3379</v>
      </c>
      <c r="AH283" s="3" t="n">
        <v>20</v>
      </c>
      <c r="AI283" s="3" t="n">
        <v>2.8404</v>
      </c>
      <c r="AJ283" s="3" t="n">
        <v>1.439</v>
      </c>
      <c r="AK283" s="3" t="n">
        <v>-0.2194955984140306</v>
      </c>
      <c r="AL283" s="6" t="n">
        <v>0</v>
      </c>
      <c r="AM283" s="3" t="n">
        <v>0</v>
      </c>
      <c r="AN283" s="3" t="n">
        <v>0.0336</v>
      </c>
      <c r="AO283" s="3" t="n">
        <v>0.137808</v>
      </c>
      <c r="AP283" s="3">
        <f>N(X283)*N(BI283)</f>
        <v/>
      </c>
      <c r="AQ283" s="3" t="n">
        <v>0.3379</v>
      </c>
      <c r="AR283" s="3" t="n">
        <v>0</v>
      </c>
      <c r="AS283" s="3" t="n">
        <v>-0.4835617861760246</v>
      </c>
      <c r="AT283" s="3" t="n">
        <v>-0.2194955984140306</v>
      </c>
      <c r="AU283" s="3">
        <f>SUM(AN283:AT283)</f>
        <v/>
      </c>
      <c r="AV283" s="7">
        <f>IF(OR(N(W283)&lt;=0,N(BG283)=0),0,N(W283)*IF(N(R283)/N(W283)&gt;=60,N(BG283),1))</f>
        <v/>
      </c>
      <c r="AW283" s="7">
        <f>N(W283)*N(AF283)*N(BH283)</f>
        <v/>
      </c>
      <c r="AX283" s="7">
        <f>N(AL283)*(Assumptions!$B$13*N(BJ283)-(1-Assumptions!$B$13)*Assumptions!$B$14)+N(AM283)</f>
        <v/>
      </c>
      <c r="AY283" s="7">
        <f>N(AU283)*N(R283)/90+N(AV283)+N(AW283)+N(AX283)</f>
        <v/>
      </c>
      <c r="AZ283" s="3">
        <f>IF(N(R283)&lt;=0,0,(N(AY283)-N(AX283))*90/N(R283))</f>
        <v/>
      </c>
      <c r="BA283" s="7">
        <f>IFERROR(AY283-VLOOKUP($E283,Assumptions!$A$40:$C$43,3,FALSE),"")</f>
        <v/>
      </c>
      <c r="BB283" s="3">
        <f>IFERROR(BA283/H283,"")</f>
        <v/>
      </c>
      <c r="BC283">
        <f>IF(AND($G283=TRUE,$E283="GKP"),AY283,"")</f>
        <v/>
      </c>
      <c r="BD283">
        <f>IF(AND($G283=TRUE,$E283="DEF"),AY283,"")</f>
        <v/>
      </c>
      <c r="BE283">
        <f>IF(AND($G283=TRUE,$E283="MID"),AY283,"")</f>
        <v/>
      </c>
      <c r="BF283">
        <f>IF(AND($G283=TRUE,$E283="FWD"),AY283,"")</f>
        <v/>
      </c>
      <c r="BG283" t="n">
        <v>2</v>
      </c>
      <c r="BH283" t="n">
        <v>2</v>
      </c>
      <c r="BI283" t="n">
        <v>4</v>
      </c>
      <c r="BJ283" t="n">
        <v>6</v>
      </c>
    </row>
    <row r="284">
      <c r="A284" t="inlineStr">
        <is>
          <t>Joe Willock</t>
        </is>
      </c>
      <c r="B284" t="inlineStr">
        <is>
          <t>NEW</t>
        </is>
      </c>
      <c r="C284" t="inlineStr">
        <is>
          <t>NEW</t>
        </is>
      </c>
      <c r="D284" t="b">
        <v>0</v>
      </c>
      <c r="E284" t="inlineStr">
        <is>
          <t>MID</t>
        </is>
      </c>
      <c r="F284" t="inlineStr">
        <is>
          <t>MID</t>
        </is>
      </c>
      <c r="G284" t="b">
        <v>1</v>
      </c>
      <c r="H284" s="2" t="n">
        <v>5</v>
      </c>
      <c r="I284" t="inlineStr">
        <is>
          <t>a</t>
        </is>
      </c>
      <c r="K284" s="2" t="n">
        <v>972</v>
      </c>
      <c r="L284" t="n">
        <v>38</v>
      </c>
      <c r="M284" s="3" t="n">
        <v>912</v>
      </c>
      <c r="N284" s="4" t="n">
        <v>620</v>
      </c>
      <c r="O284" s="4" t="n">
        <v>-292</v>
      </c>
      <c r="P284" s="5" t="inlineStr">
        <is>
          <t>low</t>
        </is>
      </c>
      <c r="Q284" t="inlineStr">
        <is>
          <t>flat</t>
        </is>
      </c>
      <c r="R284" s="6" t="n">
        <v>620</v>
      </c>
      <c r="S284" t="inlineStr">
        <is>
          <t>research</t>
        </is>
      </c>
      <c r="T284" s="5" t="inlineStr">
        <is>
          <t>Reported to be someone Newcastle are willing to sell, with Besiktas interested at around GBP 20m, to avoid losing him for nothing when his contract expires in 2027; he made only 10 league starts in 2025/26. He was an unused substitute v Everton and absent from the Leverkusen squad. Low confidence: the reporting carries no visible byline date and no bid has been confirmed.</t>
        </is>
      </c>
      <c r="U284" s="6" t="n">
        <v>75.2</v>
      </c>
      <c r="V284" s="2" t="n">
        <v>10</v>
      </c>
      <c r="W284" s="7">
        <f>IF(N(U284)&lt;=0,0,MIN(Assumptions!$B$15,N(R284)/N(U284)))</f>
        <v/>
      </c>
      <c r="X284" s="6" t="n">
        <v>0.248</v>
      </c>
      <c r="Y284" s="3" t="n">
        <v>0.1076</v>
      </c>
      <c r="Z284" t="inlineStr">
        <is>
          <t>adjusted xGOT</t>
        </is>
      </c>
      <c r="AA284" s="3" t="n">
        <v>1</v>
      </c>
      <c r="AB284" s="3" t="n">
        <v>0.922</v>
      </c>
      <c r="AC284" s="3" t="n">
        <v>11.1</v>
      </c>
      <c r="AD284" s="3" t="n">
        <v>0.1467</v>
      </c>
      <c r="AE284" s="3" t="n">
        <v>8.384</v>
      </c>
      <c r="AF284" s="3" t="n">
        <v>0.05358929231825704</v>
      </c>
      <c r="AG284" s="3" t="n">
        <v>0</v>
      </c>
      <c r="AH284" s="3" t="n">
        <v>32</v>
      </c>
      <c r="AI284" s="3" t="n">
        <v>3.0912</v>
      </c>
      <c r="AJ284" s="3" t="n">
        <v>1.4534</v>
      </c>
      <c r="AK284" s="3" t="n">
        <v>-0.2569668685375061</v>
      </c>
      <c r="AL284" s="6" t="n">
        <v>0</v>
      </c>
      <c r="AM284" s="3" t="n">
        <v>0</v>
      </c>
      <c r="AN284" s="3" t="n">
        <v>0.538</v>
      </c>
      <c r="AO284" s="3" t="n">
        <v>0.580932</v>
      </c>
      <c r="AP284" s="3">
        <f>N(X284)*N(BI284)</f>
        <v/>
      </c>
      <c r="AQ284" s="3" t="n">
        <v>0</v>
      </c>
      <c r="AR284" s="3" t="n">
        <v>0</v>
      </c>
      <c r="AS284" s="3" t="n">
        <v>-0</v>
      </c>
      <c r="AT284" s="3" t="n">
        <v>-0.2569668685375061</v>
      </c>
      <c r="AU284" s="3">
        <f>SUM(AN284:AT284)</f>
        <v/>
      </c>
      <c r="AV284" s="7">
        <f>IF(OR(N(W284)&lt;=0,N(BG284)=0),0,N(W284)*IF(N(R284)/N(W284)&gt;=60,N(BG284),1))</f>
        <v/>
      </c>
      <c r="AW284" s="7">
        <f>N(W284)*N(AF284)*N(BH284)</f>
        <v/>
      </c>
      <c r="AX284" s="7">
        <f>N(AL284)*(Assumptions!$B$13*N(BJ284)-(1-Assumptions!$B$13)*Assumptions!$B$14)+N(AM284)</f>
        <v/>
      </c>
      <c r="AY284" s="7">
        <f>N(AU284)*N(R284)/90+N(AV284)+N(AW284)+N(AX284)</f>
        <v/>
      </c>
      <c r="AZ284" s="3">
        <f>IF(N(R284)&lt;=0,0,(N(AY284)-N(AX284))*90/N(R284))</f>
        <v/>
      </c>
      <c r="BA284" s="7">
        <f>IFERROR(AY284-VLOOKUP($E284,Assumptions!$A$40:$C$43,3,FALSE),"")</f>
        <v/>
      </c>
      <c r="BB284" s="3">
        <f>IFERROR(BA284/H284,"")</f>
        <v/>
      </c>
      <c r="BC284">
        <f>IF(AND($G284=TRUE,$E284="GKP"),AY284,"")</f>
        <v/>
      </c>
      <c r="BD284">
        <f>IF(AND($G284=TRUE,$E284="DEF"),AY284,"")</f>
        <v/>
      </c>
      <c r="BE284">
        <f>IF(AND($G284=TRUE,$E284="MID"),AY284,"")</f>
        <v/>
      </c>
      <c r="BF284">
        <f>IF(AND($G284=TRUE,$E284="FWD"),AY284,"")</f>
        <v/>
      </c>
      <c r="BG284" t="n">
        <v>2</v>
      </c>
      <c r="BH284" t="n">
        <v>2</v>
      </c>
      <c r="BI284" t="n">
        <v>1</v>
      </c>
      <c r="BJ284" t="n">
        <v>5</v>
      </c>
    </row>
    <row r="285">
      <c r="A285" t="inlineStr">
        <is>
          <t>Manuel Ugarte</t>
        </is>
      </c>
      <c r="B285" t="inlineStr">
        <is>
          <t>MUN</t>
        </is>
      </c>
      <c r="C285" t="inlineStr">
        <is>
          <t>MUN</t>
        </is>
      </c>
      <c r="D285" t="b">
        <v>0</v>
      </c>
      <c r="E285" t="inlineStr">
        <is>
          <t>MID</t>
        </is>
      </c>
      <c r="F285" t="inlineStr">
        <is>
          <t>MID</t>
        </is>
      </c>
      <c r="G285" t="b">
        <v>1</v>
      </c>
      <c r="H285" s="2" t="n">
        <v>5</v>
      </c>
      <c r="I285" t="inlineStr">
        <is>
          <t>i</t>
        </is>
      </c>
      <c r="J285" t="inlineStr">
        <is>
          <t>Knee injury - Unknown return date</t>
        </is>
      </c>
      <c r="K285" s="2" t="n">
        <v>876</v>
      </c>
      <c r="L285" t="n">
        <v>38</v>
      </c>
      <c r="M285" s="3" t="n">
        <v>89</v>
      </c>
      <c r="N285" s="4" t="n">
        <v>0</v>
      </c>
      <c r="O285" s="4" t="n">
        <v>-89</v>
      </c>
      <c r="P285" s="5" t="inlineStr">
        <is>
          <t>high</t>
        </is>
      </c>
      <c r="Q285" t="inlineStr">
        <is>
          <t>flat</t>
        </is>
      </c>
      <c r="R285" s="6" t="n">
        <v>0</v>
      </c>
      <c r="S285" t="inlineStr">
        <is>
          <t>research</t>
        </is>
      </c>
      <c r="T285" s="5" t="inlineStr">
        <is>
          <t>ESPN reports a season-ending knee ligament injury, and the injury trackers put his return in 2027. He plays no part in 2026/27. Small in absolute terms but it is a certainty rather than a projection.</t>
        </is>
      </c>
      <c r="U285" s="6" t="n">
        <v>80.2</v>
      </c>
      <c r="V285" s="2" t="n">
        <v>8</v>
      </c>
      <c r="W285" s="7">
        <f>IF(N(U285)&lt;=0,0,MIN(Assumptions!$B$15,N(R285)/N(U285)))</f>
        <v/>
      </c>
      <c r="X285" s="6" t="n">
        <v>0.334</v>
      </c>
      <c r="Y285" s="3" t="n">
        <v>0.0639</v>
      </c>
      <c r="Z285" t="inlineStr">
        <is>
          <t>adjusted xGOT</t>
        </is>
      </c>
      <c r="AA285" s="3" t="n">
        <v>1</v>
      </c>
      <c r="AB285" s="3" t="n">
        <v>0.864</v>
      </c>
      <c r="AC285" s="3" t="n">
        <v>1.7</v>
      </c>
      <c r="AD285" s="3" t="n">
        <v>0.0148</v>
      </c>
      <c r="AE285" s="3" t="n">
        <v>11.877</v>
      </c>
      <c r="AF285" s="3" t="n">
        <v>0.3711720108442984</v>
      </c>
      <c r="AG285" s="3" t="n">
        <v>0</v>
      </c>
      <c r="AH285" s="3" t="n">
        <v>30</v>
      </c>
      <c r="AI285" s="3" t="n">
        <v>2.2165</v>
      </c>
      <c r="AJ285" s="3" t="n">
        <v>1.1467</v>
      </c>
      <c r="AK285" s="3" t="n">
        <v>-0.3037698751433417</v>
      </c>
      <c r="AL285" s="6" t="n">
        <v>0</v>
      </c>
      <c r="AM285" s="3" t="n">
        <v>0</v>
      </c>
      <c r="AN285" s="3" t="n">
        <v>0.3195</v>
      </c>
      <c r="AO285" s="3" t="n">
        <v>0.05860800000000001</v>
      </c>
      <c r="AP285" s="3">
        <f>N(X285)*N(BI285)</f>
        <v/>
      </c>
      <c r="AQ285" s="3" t="n">
        <v>0</v>
      </c>
      <c r="AR285" s="3" t="n">
        <v>0</v>
      </c>
      <c r="AS285" s="3" t="n">
        <v>-0</v>
      </c>
      <c r="AT285" s="3" t="n">
        <v>-0.3037698751433417</v>
      </c>
      <c r="AU285" s="3">
        <f>SUM(AN285:AT285)</f>
        <v/>
      </c>
      <c r="AV285" s="7">
        <f>IF(OR(N(W285)&lt;=0,N(BG285)=0),0,N(W285)*IF(N(R285)/N(W285)&gt;=60,N(BG285),1))</f>
        <v/>
      </c>
      <c r="AW285" s="7">
        <f>N(W285)*N(AF285)*N(BH285)</f>
        <v/>
      </c>
      <c r="AX285" s="7">
        <f>N(AL285)*(Assumptions!$B$13*N(BJ285)-(1-Assumptions!$B$13)*Assumptions!$B$14)+N(AM285)</f>
        <v/>
      </c>
      <c r="AY285" s="7">
        <f>N(AU285)*N(R285)/90+N(AV285)+N(AW285)+N(AX285)</f>
        <v/>
      </c>
      <c r="AZ285" s="3">
        <f>IF(N(R285)&lt;=0,0,(N(AY285)-N(AX285))*90/N(R285))</f>
        <v/>
      </c>
      <c r="BA285" s="7">
        <f>IFERROR(AY285-VLOOKUP($E285,Assumptions!$A$40:$C$43,3,FALSE),"")</f>
        <v/>
      </c>
      <c r="BB285" s="3">
        <f>IFERROR(BA285/H285,"")</f>
        <v/>
      </c>
      <c r="BC285">
        <f>IF(AND($G285=TRUE,$E285="GKP"),AY285,"")</f>
        <v/>
      </c>
      <c r="BD285">
        <f>IF(AND($G285=TRUE,$E285="DEF"),AY285,"")</f>
        <v/>
      </c>
      <c r="BE285">
        <f>IF(AND($G285=TRUE,$E285="MID"),AY285,"")</f>
        <v/>
      </c>
      <c r="BF285">
        <f>IF(AND($G285=TRUE,$E285="FWD"),AY285,"")</f>
        <v/>
      </c>
      <c r="BG285" t="n">
        <v>2</v>
      </c>
      <c r="BH285" t="n">
        <v>2</v>
      </c>
      <c r="BI285" t="n">
        <v>1</v>
      </c>
      <c r="BJ285" t="n">
        <v>5</v>
      </c>
    </row>
    <row r="286">
      <c r="A286" t="inlineStr">
        <is>
          <t>Federico Chiesa</t>
        </is>
      </c>
      <c r="B286" t="inlineStr">
        <is>
          <t>LIV</t>
        </is>
      </c>
      <c r="C286" t="inlineStr">
        <is>
          <t>LIV</t>
        </is>
      </c>
      <c r="D286" t="b">
        <v>0</v>
      </c>
      <c r="E286" t="inlineStr">
        <is>
          <t>MID</t>
        </is>
      </c>
      <c r="F286" t="inlineStr">
        <is>
          <t>MID</t>
        </is>
      </c>
      <c r="G286" t="b">
        <v>1</v>
      </c>
      <c r="H286" s="2" t="n">
        <v>5.5</v>
      </c>
      <c r="I286" t="inlineStr">
        <is>
          <t>a</t>
        </is>
      </c>
      <c r="K286" s="2" t="n">
        <v>317</v>
      </c>
      <c r="L286" t="n">
        <v>37</v>
      </c>
      <c r="M286" s="3" t="n">
        <v>40</v>
      </c>
      <c r="N286" s="8" t="n">
        <v>40</v>
      </c>
      <c r="O286" s="8" t="n">
        <v>0</v>
      </c>
      <c r="Q286" t="inlineStr">
        <is>
          <t>flat</t>
        </is>
      </c>
      <c r="R286" s="6" t="n">
        <v>40</v>
      </c>
      <c r="S286" t="inlineStr">
        <is>
          <t>Solio</t>
        </is>
      </c>
      <c r="U286" s="6" t="n">
        <v>78.3</v>
      </c>
      <c r="V286" s="2" t="n">
        <v>1</v>
      </c>
      <c r="W286" s="7">
        <f>IF(N(U286)&lt;=0,0,MIN(Assumptions!$B$15,N(R286)/N(U286)))</f>
        <v/>
      </c>
      <c r="X286" s="6" t="n">
        <v>0.342</v>
      </c>
      <c r="Y286" s="3" t="n">
        <v>0.429</v>
      </c>
      <c r="Z286" t="inlineStr">
        <is>
          <t>adjusted xGOT</t>
        </is>
      </c>
      <c r="AA286" s="3" t="n">
        <v>1</v>
      </c>
      <c r="AB286" s="3" t="n">
        <v>1.042</v>
      </c>
      <c r="AC286" s="3" t="n">
        <v>1.8</v>
      </c>
      <c r="AD286" s="3" t="n">
        <v>0.2956</v>
      </c>
      <c r="AE286" s="3" t="n">
        <v>8.558999999999999</v>
      </c>
      <c r="AF286" s="3" t="n">
        <v>0.07613979951146643</v>
      </c>
      <c r="AG286" s="3" t="n">
        <v>0</v>
      </c>
      <c r="AH286" s="3" t="n">
        <v>27</v>
      </c>
      <c r="AI286" s="3" t="n">
        <v>2.409</v>
      </c>
      <c r="AJ286" s="3" t="n">
        <v>1.1228</v>
      </c>
      <c r="AK286" s="3" t="n">
        <v>-0.3229622562080891</v>
      </c>
      <c r="AL286" s="6" t="n">
        <v>0</v>
      </c>
      <c r="AM286" s="3" t="n">
        <v>0</v>
      </c>
      <c r="AN286" s="3" t="n">
        <v>2.145</v>
      </c>
      <c r="AO286" s="3" t="n">
        <v>1.170576</v>
      </c>
      <c r="AP286" s="3">
        <f>N(X286)*N(BI286)</f>
        <v/>
      </c>
      <c r="AQ286" s="3" t="n">
        <v>0</v>
      </c>
      <c r="AR286" s="3" t="n">
        <v>0</v>
      </c>
      <c r="AS286" s="3" t="n">
        <v>-0</v>
      </c>
      <c r="AT286" s="3" t="n">
        <v>-0.3229622562080891</v>
      </c>
      <c r="AU286" s="3">
        <f>SUM(AN286:AT286)</f>
        <v/>
      </c>
      <c r="AV286" s="7">
        <f>IF(OR(N(W286)&lt;=0,N(BG286)=0),0,N(W286)*IF(N(R286)/N(W286)&gt;=60,N(BG286),1))</f>
        <v/>
      </c>
      <c r="AW286" s="7">
        <f>N(W286)*N(AF286)*N(BH286)</f>
        <v/>
      </c>
      <c r="AX286" s="7">
        <f>N(AL286)*(Assumptions!$B$13*N(BJ286)-(1-Assumptions!$B$13)*Assumptions!$B$14)+N(AM286)</f>
        <v/>
      </c>
      <c r="AY286" s="7">
        <f>N(AU286)*N(R286)/90+N(AV286)+N(AW286)+N(AX286)</f>
        <v/>
      </c>
      <c r="AZ286" s="3">
        <f>IF(N(R286)&lt;=0,0,(N(AY286)-N(AX286))*90/N(R286))</f>
        <v/>
      </c>
      <c r="BA286" s="7">
        <f>IFERROR(AY286-VLOOKUP($E286,Assumptions!$A$40:$C$43,3,FALSE),"")</f>
        <v/>
      </c>
      <c r="BB286" s="3">
        <f>IFERROR(BA286/H286,"")</f>
        <v/>
      </c>
      <c r="BC286">
        <f>IF(AND($G286=TRUE,$E286="GKP"),AY286,"")</f>
        <v/>
      </c>
      <c r="BD286">
        <f>IF(AND($G286=TRUE,$E286="DEF"),AY286,"")</f>
        <v/>
      </c>
      <c r="BE286">
        <f>IF(AND($G286=TRUE,$E286="MID"),AY286,"")</f>
        <v/>
      </c>
      <c r="BF286">
        <f>IF(AND($G286=TRUE,$E286="FWD"),AY286,"")</f>
        <v/>
      </c>
      <c r="BG286" t="n">
        <v>2</v>
      </c>
      <c r="BH286" t="n">
        <v>2</v>
      </c>
      <c r="BI286" t="n">
        <v>1</v>
      </c>
      <c r="BJ286" t="n">
        <v>5</v>
      </c>
    </row>
    <row r="287">
      <c r="A287" t="inlineStr">
        <is>
          <t>Aaron Hickey</t>
        </is>
      </c>
      <c r="B287" t="inlineStr">
        <is>
          <t>BRE</t>
        </is>
      </c>
      <c r="C287" t="inlineStr">
        <is>
          <t>BRE</t>
        </is>
      </c>
      <c r="D287" t="b">
        <v>0</v>
      </c>
      <c r="E287" t="inlineStr">
        <is>
          <t>DEF</t>
        </is>
      </c>
      <c r="F287" t="inlineStr">
        <is>
          <t>DEF</t>
        </is>
      </c>
      <c r="G287" t="b">
        <v>1</v>
      </c>
      <c r="H287" s="2" t="n">
        <v>4.5</v>
      </c>
      <c r="I287" t="inlineStr">
        <is>
          <t>a</t>
        </is>
      </c>
      <c r="K287" s="2" t="n">
        <v>679</v>
      </c>
      <c r="L287" t="n">
        <v>37</v>
      </c>
      <c r="M287" s="3" t="n">
        <v>166</v>
      </c>
      <c r="N287" s="8" t="n">
        <v>166</v>
      </c>
      <c r="O287" s="8" t="n">
        <v>0</v>
      </c>
      <c r="Q287" t="inlineStr">
        <is>
          <t>flat</t>
        </is>
      </c>
      <c r="R287" s="6" t="n">
        <v>166</v>
      </c>
      <c r="S287" t="inlineStr">
        <is>
          <t>Solio</t>
        </is>
      </c>
      <c r="U287" s="6" t="n">
        <v>77.8</v>
      </c>
      <c r="V287" s="2" t="n">
        <v>8</v>
      </c>
      <c r="W287" s="7">
        <f>IF(N(U287)&lt;=0,0,MIN(Assumptions!$B$15,N(R287)/N(U287)))</f>
        <v/>
      </c>
      <c r="X287" s="6" t="n">
        <v>0.228</v>
      </c>
      <c r="Y287" s="3" t="n">
        <v>0.055</v>
      </c>
      <c r="Z287" t="inlineStr">
        <is>
          <t>adjusted xGOT</t>
        </is>
      </c>
      <c r="AA287" s="3" t="n">
        <v>1</v>
      </c>
      <c r="AB287" s="3" t="n">
        <v>0.9419999999999999</v>
      </c>
      <c r="AC287" s="3" t="n">
        <v>1</v>
      </c>
      <c r="AD287" s="3" t="n">
        <v>0.0513</v>
      </c>
      <c r="AE287" s="3" t="n">
        <v>7.236</v>
      </c>
      <c r="AF287" s="3" t="n">
        <v>0.1026041792665304</v>
      </c>
      <c r="AG287" s="3" t="n">
        <v>0</v>
      </c>
      <c r="AH287" s="3" t="n">
        <v>28</v>
      </c>
      <c r="AI287" s="3" t="n">
        <v>3.2371</v>
      </c>
      <c r="AJ287" s="3" t="n">
        <v>1.5396</v>
      </c>
      <c r="AK287" s="3" t="n">
        <v>-0.2433045203090201</v>
      </c>
      <c r="AL287" s="6" t="n">
        <v>0</v>
      </c>
      <c r="AM287" s="3" t="n">
        <v>0</v>
      </c>
      <c r="AN287" s="3" t="n">
        <v>0.33</v>
      </c>
      <c r="AO287" s="3" t="n">
        <v>0.203148</v>
      </c>
      <c r="AP287" s="3">
        <f>N(X287)*N(BI287)</f>
        <v/>
      </c>
      <c r="AQ287" s="3" t="n">
        <v>0</v>
      </c>
      <c r="AR287" s="3" t="n">
        <v>0</v>
      </c>
      <c r="AS287" s="3" t="n">
        <v>-0.5312990096912251</v>
      </c>
      <c r="AT287" s="3" t="n">
        <v>-0.2433045203090201</v>
      </c>
      <c r="AU287" s="3">
        <f>SUM(AN287:AT287)</f>
        <v/>
      </c>
      <c r="AV287" s="7">
        <f>IF(OR(N(W287)&lt;=0,N(BG287)=0),0,N(W287)*IF(N(R287)/N(W287)&gt;=60,N(BG287),1))</f>
        <v/>
      </c>
      <c r="AW287" s="7">
        <f>N(W287)*N(AF287)*N(BH287)</f>
        <v/>
      </c>
      <c r="AX287" s="7">
        <f>N(AL287)*(Assumptions!$B$13*N(BJ287)-(1-Assumptions!$B$13)*Assumptions!$B$14)+N(AM287)</f>
        <v/>
      </c>
      <c r="AY287" s="7">
        <f>N(AU287)*N(R287)/90+N(AV287)+N(AW287)+N(AX287)</f>
        <v/>
      </c>
      <c r="AZ287" s="3">
        <f>IF(N(R287)&lt;=0,0,(N(AY287)-N(AX287))*90/N(R287))</f>
        <v/>
      </c>
      <c r="BA287" s="7">
        <f>IFERROR(AY287-VLOOKUP($E287,Assumptions!$A$40:$C$43,3,FALSE),"")</f>
        <v/>
      </c>
      <c r="BB287" s="3">
        <f>IFERROR(BA287/H287,"")</f>
        <v/>
      </c>
      <c r="BC287">
        <f>IF(AND($G287=TRUE,$E287="GKP"),AY287,"")</f>
        <v/>
      </c>
      <c r="BD287">
        <f>IF(AND($G287=TRUE,$E287="DEF"),AY287,"")</f>
        <v/>
      </c>
      <c r="BE287">
        <f>IF(AND($G287=TRUE,$E287="MID"),AY287,"")</f>
        <v/>
      </c>
      <c r="BF287">
        <f>IF(AND($G287=TRUE,$E287="FWD"),AY287,"")</f>
        <v/>
      </c>
      <c r="BG287" t="n">
        <v>2</v>
      </c>
      <c r="BH287" t="n">
        <v>2</v>
      </c>
      <c r="BI287" t="n">
        <v>4</v>
      </c>
      <c r="BJ287" t="n">
        <v>6</v>
      </c>
    </row>
    <row r="288">
      <c r="A288" t="inlineStr">
        <is>
          <t>Chris Rigg</t>
        </is>
      </c>
      <c r="B288" t="inlineStr">
        <is>
          <t>SUN</t>
        </is>
      </c>
      <c r="C288" t="inlineStr">
        <is>
          <t>SUN</t>
        </is>
      </c>
      <c r="D288" t="b">
        <v>0</v>
      </c>
      <c r="E288" t="inlineStr">
        <is>
          <t>MID</t>
        </is>
      </c>
      <c r="F288" t="inlineStr">
        <is>
          <t>MID</t>
        </is>
      </c>
      <c r="G288" t="b">
        <v>1</v>
      </c>
      <c r="H288" s="2" t="n">
        <v>5</v>
      </c>
      <c r="I288" t="inlineStr">
        <is>
          <t>a</t>
        </is>
      </c>
      <c r="K288" s="2" t="n">
        <v>758</v>
      </c>
      <c r="L288" t="n">
        <v>36</v>
      </c>
      <c r="M288" s="3" t="n">
        <v>144</v>
      </c>
      <c r="N288" s="4" t="n">
        <v>1350</v>
      </c>
      <c r="O288" s="4" t="n">
        <v>1206</v>
      </c>
      <c r="P288" s="5" t="inlineStr">
        <is>
          <t>medium</t>
        </is>
      </c>
      <c r="Q288" t="inlineStr">
        <is>
          <t>flat</t>
        </is>
      </c>
      <c r="R288" s="6" t="n">
        <v>1350</v>
      </c>
      <c r="S288" t="inlineStr">
        <is>
          <t>research</t>
        </is>
      </c>
      <c r="T288" s="5" t="inlineStr">
        <is>
          <t>The clearest single error in Solio's Sunderland file. 144 minutes is a number you give a player who is about to leave or is buried; Rigg is neither. He is contracted to 2030 with no transfer agreed (Everton interest was met with a GBP40m asking price), he played 758 Premier League minutes last season aged 18, and he was arguably Sunderland's standout pre-season performer — scored against York City, assisted Le Fee against Liverpool, started against Leeds, and came on at 61' against Rennes. Le Bris publicly called his development 'a big step' and said he is positioning himself to play a major part across the campaign. He is behind Xhaka, Sadiki and Le Fee in the first-choice midfield, which is why the proposed figure is a rotation number rather than a starter's, but eight Europa League fixtures plus two domestic cups will pull first-choice midfielders out of Premier League games.</t>
        </is>
      </c>
      <c r="U288" s="6" t="n">
        <v>72.3</v>
      </c>
      <c r="V288" s="2" t="n">
        <v>11</v>
      </c>
      <c r="W288" s="7">
        <f>IF(N(U288)&lt;=0,0,MIN(Assumptions!$B$15,N(R288)/N(U288)))</f>
        <v/>
      </c>
      <c r="X288" s="6" t="n">
        <v>0.204</v>
      </c>
      <c r="Y288" s="3" t="n">
        <v>0.1026</v>
      </c>
      <c r="Z288" t="inlineStr">
        <is>
          <t>adjusted xGOT</t>
        </is>
      </c>
      <c r="AA288" s="3" t="n">
        <v>1</v>
      </c>
      <c r="AB288" s="3" t="n">
        <v>1.004</v>
      </c>
      <c r="AC288" s="3" t="n">
        <v>0.9</v>
      </c>
      <c r="AD288" s="3" t="n">
        <v>0.1258</v>
      </c>
      <c r="AE288" s="3" t="n">
        <v>7.649</v>
      </c>
      <c r="AF288" s="3" t="n">
        <v>0.02355275397625212</v>
      </c>
      <c r="AG288" s="3" t="n">
        <v>0</v>
      </c>
      <c r="AH288" s="3" t="n">
        <v>25</v>
      </c>
      <c r="AI288" s="3" t="n">
        <v>3.3348</v>
      </c>
      <c r="AJ288" s="3" t="n">
        <v>1.6498</v>
      </c>
      <c r="AK288" s="3" t="n">
        <v>-0.1882218549323582</v>
      </c>
      <c r="AL288" s="6" t="n">
        <v>0</v>
      </c>
      <c r="AM288" s="3" t="n">
        <v>0</v>
      </c>
      <c r="AN288" s="3" t="n">
        <v>0.513</v>
      </c>
      <c r="AO288" s="3" t="n">
        <v>0.4981679999999999</v>
      </c>
      <c r="AP288" s="3">
        <f>N(X288)*N(BI288)</f>
        <v/>
      </c>
      <c r="AQ288" s="3" t="n">
        <v>0</v>
      </c>
      <c r="AR288" s="3" t="n">
        <v>0</v>
      </c>
      <c r="AS288" s="3" t="n">
        <v>-0</v>
      </c>
      <c r="AT288" s="3" t="n">
        <v>-0.1882218549323582</v>
      </c>
      <c r="AU288" s="3">
        <f>SUM(AN288:AT288)</f>
        <v/>
      </c>
      <c r="AV288" s="7">
        <f>IF(OR(N(W288)&lt;=0,N(BG288)=0),0,N(W288)*IF(N(R288)/N(W288)&gt;=60,N(BG288),1))</f>
        <v/>
      </c>
      <c r="AW288" s="7">
        <f>N(W288)*N(AF288)*N(BH288)</f>
        <v/>
      </c>
      <c r="AX288" s="7">
        <f>N(AL288)*(Assumptions!$B$13*N(BJ288)-(1-Assumptions!$B$13)*Assumptions!$B$14)+N(AM288)</f>
        <v/>
      </c>
      <c r="AY288" s="7">
        <f>N(AU288)*N(R288)/90+N(AV288)+N(AW288)+N(AX288)</f>
        <v/>
      </c>
      <c r="AZ288" s="3">
        <f>IF(N(R288)&lt;=0,0,(N(AY288)-N(AX288))*90/N(R288))</f>
        <v/>
      </c>
      <c r="BA288" s="7">
        <f>IFERROR(AY288-VLOOKUP($E288,Assumptions!$A$40:$C$43,3,FALSE),"")</f>
        <v/>
      </c>
      <c r="BB288" s="3">
        <f>IFERROR(BA288/H288,"")</f>
        <v/>
      </c>
      <c r="BC288">
        <f>IF(AND($G288=TRUE,$E288="GKP"),AY288,"")</f>
        <v/>
      </c>
      <c r="BD288">
        <f>IF(AND($G288=TRUE,$E288="DEF"),AY288,"")</f>
        <v/>
      </c>
      <c r="BE288">
        <f>IF(AND($G288=TRUE,$E288="MID"),AY288,"")</f>
        <v/>
      </c>
      <c r="BF288">
        <f>IF(AND($G288=TRUE,$E288="FWD"),AY288,"")</f>
        <v/>
      </c>
      <c r="BG288" t="n">
        <v>2</v>
      </c>
      <c r="BH288" t="n">
        <v>2</v>
      </c>
      <c r="BI288" t="n">
        <v>1</v>
      </c>
      <c r="BJ288" t="n">
        <v>5</v>
      </c>
    </row>
    <row r="289">
      <c r="A289" t="inlineStr">
        <is>
          <t>Rodrigo Muniz</t>
        </is>
      </c>
      <c r="B289" t="inlineStr">
        <is>
          <t>FUL</t>
        </is>
      </c>
      <c r="C289" t="inlineStr">
        <is>
          <t>FUL</t>
        </is>
      </c>
      <c r="D289" t="b">
        <v>0</v>
      </c>
      <c r="E289" t="inlineStr">
        <is>
          <t>FWD</t>
        </is>
      </c>
      <c r="F289" t="inlineStr">
        <is>
          <t>FWD</t>
        </is>
      </c>
      <c r="G289" t="b">
        <v>1</v>
      </c>
      <c r="H289" s="2" t="n">
        <v>5.5</v>
      </c>
      <c r="I289" t="inlineStr">
        <is>
          <t>a</t>
        </is>
      </c>
      <c r="K289" s="2" t="n">
        <v>987</v>
      </c>
      <c r="L289" t="n">
        <v>36</v>
      </c>
      <c r="M289" s="3" t="n">
        <v>540</v>
      </c>
      <c r="N289" s="4" t="n">
        <v>800</v>
      </c>
      <c r="O289" s="4" t="n">
        <v>260</v>
      </c>
      <c r="P289" s="5" t="inlineStr">
        <is>
          <t>medium</t>
        </is>
      </c>
      <c r="Q289" t="inlineStr">
        <is>
          <t>flat</t>
        </is>
      </c>
      <c r="R289" s="6" t="n">
        <v>800</v>
      </c>
      <c r="S289" t="inlineStr">
        <is>
          <t>research</t>
        </is>
      </c>
      <c r="T289" s="5" t="inlineStr">
        <is>
          <t>Raul Jimenez left on a free on 30 Jun 2026, leaving Muniz as the only senior back-up centre-forward behind Gonzalo Garcia (Kusi-Asare is 19 with 49 PL minutes). Muniz scored v Farense on 1 Aug and was reported 'fighting fit and getting pre-season minutes'. Solio's 540 implies Garcia absorbs ~79% of all centre-forward minutes in his first Premier League season, which is a thin allowance for injury and rotation.</t>
        </is>
      </c>
      <c r="U289" s="6" t="n">
        <v>76.40000000000001</v>
      </c>
      <c r="V289" s="2" t="n">
        <v>10</v>
      </c>
      <c r="W289" s="7">
        <f>IF(N(U289)&lt;=0,0,MIN(Assumptions!$B$15,N(R289)/N(U289)))</f>
        <v/>
      </c>
      <c r="X289" s="6" t="n">
        <v>0.214</v>
      </c>
      <c r="Y289" s="3" t="n">
        <v>0.2989</v>
      </c>
      <c r="Z289" t="inlineStr">
        <is>
          <t>adjusted xGOT</t>
        </is>
      </c>
      <c r="AA289" s="3" t="n">
        <v>1</v>
      </c>
      <c r="AB289" s="3" t="n">
        <v>0.994</v>
      </c>
      <c r="AC289" s="3" t="n">
        <v>18</v>
      </c>
      <c r="AD289" s="3" t="n">
        <v>0.0507</v>
      </c>
      <c r="AE289" s="3" t="n">
        <v>4.763</v>
      </c>
      <c r="AF289" s="3" t="n">
        <v>0.001001693696431327</v>
      </c>
      <c r="AG289" s="3" t="n">
        <v>0.2736</v>
      </c>
      <c r="AH289" s="3" t="n">
        <v>30</v>
      </c>
      <c r="AI289" s="3" t="n">
        <v>3.22</v>
      </c>
      <c r="AJ289" s="3" t="n">
        <v>1.6019</v>
      </c>
      <c r="AK289" s="3" t="n">
        <v>-0.1507546754351593</v>
      </c>
      <c r="AL289" s="6" t="n">
        <v>0</v>
      </c>
      <c r="AM289" s="3" t="n">
        <v>0</v>
      </c>
      <c r="AN289" s="3" t="n">
        <v>1.1956</v>
      </c>
      <c r="AO289" s="3" t="n">
        <v>0.200772</v>
      </c>
      <c r="AP289" s="3">
        <f>N(X289)*N(BI289)</f>
        <v/>
      </c>
      <c r="AQ289" s="3" t="n">
        <v>0.2736</v>
      </c>
      <c r="AR289" s="3" t="n">
        <v>0</v>
      </c>
      <c r="AS289" s="3" t="n">
        <v>-0</v>
      </c>
      <c r="AT289" s="3" t="n">
        <v>-0.1507546754351593</v>
      </c>
      <c r="AU289" s="3">
        <f>SUM(AN289:AT289)</f>
        <v/>
      </c>
      <c r="AV289" s="7">
        <f>IF(OR(N(W289)&lt;=0,N(BG289)=0),0,N(W289)*IF(N(R289)/N(W289)&gt;=60,N(BG289),1))</f>
        <v/>
      </c>
      <c r="AW289" s="7">
        <f>N(W289)*N(AF289)*N(BH289)</f>
        <v/>
      </c>
      <c r="AX289" s="7">
        <f>N(AL289)*(Assumptions!$B$13*N(BJ289)-(1-Assumptions!$B$13)*Assumptions!$B$14)+N(AM289)</f>
        <v/>
      </c>
      <c r="AY289" s="7">
        <f>N(AU289)*N(R289)/90+N(AV289)+N(AW289)+N(AX289)</f>
        <v/>
      </c>
      <c r="AZ289" s="3">
        <f>IF(N(R289)&lt;=0,0,(N(AY289)-N(AX289))*90/N(R289))</f>
        <v/>
      </c>
      <c r="BA289" s="7">
        <f>IFERROR(AY289-VLOOKUP($E289,Assumptions!$A$40:$C$43,3,FALSE),"")</f>
        <v/>
      </c>
      <c r="BB289" s="3">
        <f>IFERROR(BA289/H289,"")</f>
        <v/>
      </c>
      <c r="BC289">
        <f>IF(AND($G289=TRUE,$E289="GKP"),AY289,"")</f>
        <v/>
      </c>
      <c r="BD289">
        <f>IF(AND($G289=TRUE,$E289="DEF"),AY289,"")</f>
        <v/>
      </c>
      <c r="BE289">
        <f>IF(AND($G289=TRUE,$E289="MID"),AY289,"")</f>
        <v/>
      </c>
      <c r="BF289">
        <f>IF(AND($G289=TRUE,$E289="FWD"),AY289,"")</f>
        <v/>
      </c>
      <c r="BG289" t="n">
        <v>2</v>
      </c>
      <c r="BH289" t="n">
        <v>2</v>
      </c>
      <c r="BI289" t="n">
        <v>0</v>
      </c>
      <c r="BJ289" t="n">
        <v>4</v>
      </c>
    </row>
    <row r="290">
      <c r="A290" t="inlineStr">
        <is>
          <t>Kai Havertz</t>
        </is>
      </c>
      <c r="B290" t="inlineStr">
        <is>
          <t>ARS</t>
        </is>
      </c>
      <c r="C290" t="inlineStr">
        <is>
          <t>ARS</t>
        </is>
      </c>
      <c r="D290" t="b">
        <v>0</v>
      </c>
      <c r="E290" t="inlineStr">
        <is>
          <t>FWD</t>
        </is>
      </c>
      <c r="F290" t="inlineStr">
        <is>
          <t>FWD</t>
        </is>
      </c>
      <c r="G290" t="b">
        <v>1</v>
      </c>
      <c r="H290" s="2" t="n">
        <v>7.5</v>
      </c>
      <c r="I290" t="inlineStr">
        <is>
          <t>a</t>
        </is>
      </c>
      <c r="K290" s="2" t="n">
        <v>577</v>
      </c>
      <c r="L290" t="n">
        <v>36</v>
      </c>
      <c r="M290" s="3" t="n">
        <v>2394</v>
      </c>
      <c r="N290" s="8" t="n">
        <v>2394</v>
      </c>
      <c r="O290" s="8" t="n">
        <v>0</v>
      </c>
      <c r="Q290" t="inlineStr">
        <is>
          <t>flat</t>
        </is>
      </c>
      <c r="R290" s="6" t="n">
        <v>2394</v>
      </c>
      <c r="S290" t="inlineStr">
        <is>
          <t>Solio</t>
        </is>
      </c>
      <c r="U290" s="6" t="n">
        <v>71.7</v>
      </c>
      <c r="V290" s="2" t="n">
        <v>7</v>
      </c>
      <c r="W290" s="7">
        <f>IF(N(U290)&lt;=0,0,MIN(Assumptions!$B$15,N(R290)/N(U290)))</f>
        <v/>
      </c>
      <c r="X290" s="6" t="n">
        <v>0.391</v>
      </c>
      <c r="Y290" s="3" t="n">
        <v>0.475</v>
      </c>
      <c r="Z290" t="inlineStr">
        <is>
          <t>adjusted xGOT</t>
        </is>
      </c>
      <c r="AA290" s="3" t="n">
        <v>1</v>
      </c>
      <c r="AB290" s="3" t="n">
        <v>0.92</v>
      </c>
      <c r="AC290" s="3" t="n">
        <v>36.8</v>
      </c>
      <c r="AD290" s="3" t="n">
        <v>0.1635</v>
      </c>
      <c r="AE290" s="3" t="n">
        <v>4.881</v>
      </c>
      <c r="AF290" s="3" t="n">
        <v>0.0007205959611595869</v>
      </c>
      <c r="AG290" s="3" t="n">
        <v>0.4679</v>
      </c>
      <c r="AH290" s="3" t="n">
        <v>17</v>
      </c>
      <c r="AI290" s="3" t="n">
        <v>2.067</v>
      </c>
      <c r="AJ290" s="3" t="n">
        <v>0.9838</v>
      </c>
      <c r="AK290" s="3" t="n">
        <v>-0.2480408426132738</v>
      </c>
      <c r="AL290" s="6" t="n">
        <v>0</v>
      </c>
      <c r="AM290" s="3" t="n">
        <v>0</v>
      </c>
      <c r="AN290" s="3" t="n">
        <v>1.9</v>
      </c>
      <c r="AO290" s="3" t="n">
        <v>0.6474600000000001</v>
      </c>
      <c r="AP290" s="3">
        <f>N(X290)*N(BI290)</f>
        <v/>
      </c>
      <c r="AQ290" s="3" t="n">
        <v>0.4679</v>
      </c>
      <c r="AR290" s="3" t="n">
        <v>0</v>
      </c>
      <c r="AS290" s="3" t="n">
        <v>-0</v>
      </c>
      <c r="AT290" s="3" t="n">
        <v>-0.2480408426132738</v>
      </c>
      <c r="AU290" s="3">
        <f>SUM(AN290:AT290)</f>
        <v/>
      </c>
      <c r="AV290" s="7">
        <f>IF(OR(N(W290)&lt;=0,N(BG290)=0),0,N(W290)*IF(N(R290)/N(W290)&gt;=60,N(BG290),1))</f>
        <v/>
      </c>
      <c r="AW290" s="7">
        <f>N(W290)*N(AF290)*N(BH290)</f>
        <v/>
      </c>
      <c r="AX290" s="7">
        <f>N(AL290)*(Assumptions!$B$13*N(BJ290)-(1-Assumptions!$B$13)*Assumptions!$B$14)+N(AM290)</f>
        <v/>
      </c>
      <c r="AY290" s="7">
        <f>N(AU290)*N(R290)/90+N(AV290)+N(AW290)+N(AX290)</f>
        <v/>
      </c>
      <c r="AZ290" s="3">
        <f>IF(N(R290)&lt;=0,0,(N(AY290)-N(AX290))*90/N(R290))</f>
        <v/>
      </c>
      <c r="BA290" s="7">
        <f>IFERROR(AY290-VLOOKUP($E290,Assumptions!$A$40:$C$43,3,FALSE),"")</f>
        <v/>
      </c>
      <c r="BB290" s="3">
        <f>IFERROR(BA290/H290,"")</f>
        <v/>
      </c>
      <c r="BC290">
        <f>IF(AND($G290=TRUE,$E290="GKP"),AY290,"")</f>
        <v/>
      </c>
      <c r="BD290">
        <f>IF(AND($G290=TRUE,$E290="DEF"),AY290,"")</f>
        <v/>
      </c>
      <c r="BE290">
        <f>IF(AND($G290=TRUE,$E290="MID"),AY290,"")</f>
        <v/>
      </c>
      <c r="BF290">
        <f>IF(AND($G290=TRUE,$E290="FWD"),AY290,"")</f>
        <v/>
      </c>
      <c r="BG290" t="n">
        <v>2</v>
      </c>
      <c r="BH290" t="n">
        <v>2</v>
      </c>
      <c r="BI290" t="n">
        <v>0</v>
      </c>
      <c r="BJ290" t="n">
        <v>4</v>
      </c>
    </row>
    <row r="291">
      <c r="A291" t="inlineStr">
        <is>
          <t>Justin Devenny</t>
        </is>
      </c>
      <c r="B291" t="inlineStr">
        <is>
          <t>CRY</t>
        </is>
      </c>
      <c r="C291" t="inlineStr">
        <is>
          <t>CRY</t>
        </is>
      </c>
      <c r="D291" t="b">
        <v>0</v>
      </c>
      <c r="E291" t="inlineStr">
        <is>
          <t>MID</t>
        </is>
      </c>
      <c r="F291" t="inlineStr">
        <is>
          <t>MID</t>
        </is>
      </c>
      <c r="G291" t="b">
        <v>1</v>
      </c>
      <c r="H291" s="2" t="n">
        <v>5</v>
      </c>
      <c r="I291" t="inlineStr">
        <is>
          <t>a</t>
        </is>
      </c>
      <c r="K291" s="2" t="n">
        <v>785</v>
      </c>
      <c r="L291" t="n">
        <v>36</v>
      </c>
      <c r="M291" s="3" t="n">
        <v>64</v>
      </c>
      <c r="N291" s="8" t="n">
        <v>64</v>
      </c>
      <c r="O291" s="8" t="n">
        <v>0</v>
      </c>
      <c r="Q291" t="inlineStr">
        <is>
          <t>flat</t>
        </is>
      </c>
      <c r="R291" s="6" t="n">
        <v>64</v>
      </c>
      <c r="S291" t="inlineStr">
        <is>
          <t>Solio</t>
        </is>
      </c>
      <c r="U291" s="6" t="n">
        <v>81.8</v>
      </c>
      <c r="V291" s="2" t="n">
        <v>7</v>
      </c>
      <c r="W291" s="7">
        <f>IF(N(U291)&lt;=0,0,MIN(Assumptions!$B$15,N(R291)/N(U291)))</f>
        <v/>
      </c>
      <c r="X291" s="6" t="n">
        <v>0.216</v>
      </c>
      <c r="Y291" s="3" t="n">
        <v>0.1601</v>
      </c>
      <c r="Z291" t="inlineStr">
        <is>
          <t>adjusted xGOT</t>
        </is>
      </c>
      <c r="AA291" s="3" t="n">
        <v>0.661</v>
      </c>
      <c r="AB291" s="3" t="n">
        <v>0.888</v>
      </c>
      <c r="AC291" s="3" t="n">
        <v>3.2</v>
      </c>
      <c r="AD291" s="3" t="n">
        <v>0.0414</v>
      </c>
      <c r="AE291" s="3" t="n">
        <v>8.409000000000001</v>
      </c>
      <c r="AF291" s="3" t="n">
        <v>0.08787993606751288</v>
      </c>
      <c r="AG291" s="3" t="n">
        <v>0</v>
      </c>
      <c r="AH291" s="3" t="n">
        <v>28</v>
      </c>
      <c r="AI291" s="3" t="n">
        <v>3.2035</v>
      </c>
      <c r="AJ291" s="3" t="n">
        <v>1.5923</v>
      </c>
      <c r="AK291" s="3" t="n">
        <v>-0.1519359504067924</v>
      </c>
      <c r="AL291" s="6" t="n">
        <v>0.0019378760237209</v>
      </c>
      <c r="AM291" s="3" t="n">
        <v>0</v>
      </c>
      <c r="AN291" s="3" t="n">
        <v>0.8005</v>
      </c>
      <c r="AO291" s="3" t="n">
        <v>0.163944</v>
      </c>
      <c r="AP291" s="3">
        <f>N(X291)*N(BI291)</f>
        <v/>
      </c>
      <c r="AQ291" s="3" t="n">
        <v>0</v>
      </c>
      <c r="AR291" s="3" t="n">
        <v>0</v>
      </c>
      <c r="AS291" s="3" t="n">
        <v>-0</v>
      </c>
      <c r="AT291" s="3" t="n">
        <v>-0.1519359504067924</v>
      </c>
      <c r="AU291" s="3">
        <f>SUM(AN291:AT291)</f>
        <v/>
      </c>
      <c r="AV291" s="7">
        <f>IF(OR(N(W291)&lt;=0,N(BG291)=0),0,N(W291)*IF(N(R291)/N(W291)&gt;=60,N(BG291),1))</f>
        <v/>
      </c>
      <c r="AW291" s="7">
        <f>N(W291)*N(AF291)*N(BH291)</f>
        <v/>
      </c>
      <c r="AX291" s="7">
        <f>N(AL291)*(Assumptions!$B$13*N(BJ291)-(1-Assumptions!$B$13)*Assumptions!$B$14)+N(AM291)</f>
        <v/>
      </c>
      <c r="AY291" s="7">
        <f>N(AU291)*N(R291)/90+N(AV291)+N(AW291)+N(AX291)</f>
        <v/>
      </c>
      <c r="AZ291" s="3">
        <f>IF(N(R291)&lt;=0,0,(N(AY291)-N(AX291))*90/N(R291))</f>
        <v/>
      </c>
      <c r="BA291" s="7">
        <f>IFERROR(AY291-VLOOKUP($E291,Assumptions!$A$40:$C$43,3,FALSE),"")</f>
        <v/>
      </c>
      <c r="BB291" s="3">
        <f>IFERROR(BA291/H291,"")</f>
        <v/>
      </c>
      <c r="BC291">
        <f>IF(AND($G291=TRUE,$E291="GKP"),AY291,"")</f>
        <v/>
      </c>
      <c r="BD291">
        <f>IF(AND($G291=TRUE,$E291="DEF"),AY291,"")</f>
        <v/>
      </c>
      <c r="BE291">
        <f>IF(AND($G291=TRUE,$E291="MID"),AY291,"")</f>
        <v/>
      </c>
      <c r="BF291">
        <f>IF(AND($G291=TRUE,$E291="FWD"),AY291,"")</f>
        <v/>
      </c>
      <c r="BG291" t="n">
        <v>2</v>
      </c>
      <c r="BH291" t="n">
        <v>2</v>
      </c>
      <c r="BI291" t="n">
        <v>1</v>
      </c>
      <c r="BJ291" t="n">
        <v>5</v>
      </c>
    </row>
    <row r="292">
      <c r="A292" t="inlineStr">
        <is>
          <t>Merlin Röhl</t>
        </is>
      </c>
      <c r="B292" t="inlineStr">
        <is>
          <t>EVE</t>
        </is>
      </c>
      <c r="C292" t="inlineStr">
        <is>
          <t>EVE</t>
        </is>
      </c>
      <c r="D292" t="b">
        <v>0</v>
      </c>
      <c r="E292" t="inlineStr">
        <is>
          <t>MID</t>
        </is>
      </c>
      <c r="F292" t="inlineStr">
        <is>
          <t>MID</t>
        </is>
      </c>
      <c r="G292" t="b">
        <v>1</v>
      </c>
      <c r="H292" s="2" t="n">
        <v>5</v>
      </c>
      <c r="I292" t="inlineStr">
        <is>
          <t>a</t>
        </is>
      </c>
      <c r="K292" s="2" t="n">
        <v>675</v>
      </c>
      <c r="L292" t="n">
        <v>36</v>
      </c>
      <c r="M292" s="3" t="n">
        <v>727</v>
      </c>
      <c r="N292" s="8" t="n">
        <v>727</v>
      </c>
      <c r="O292" s="8" t="n">
        <v>0</v>
      </c>
      <c r="Q292" t="inlineStr">
        <is>
          <t>fade (losing his place)</t>
        </is>
      </c>
      <c r="R292" s="6" t="n">
        <v>727</v>
      </c>
      <c r="S292" t="inlineStr">
        <is>
          <t>Solio</t>
        </is>
      </c>
      <c r="U292" s="6" t="n">
        <v>81.09999999999999</v>
      </c>
      <c r="V292" s="2" t="n">
        <v>6</v>
      </c>
      <c r="W292" s="7">
        <f>IF(N(U292)&lt;=0,0,MIN(Assumptions!$B$15,N(R292)/N(U292)))</f>
        <v/>
      </c>
      <c r="X292" s="6" t="n">
        <v>0.231</v>
      </c>
      <c r="Y292" s="3" t="n">
        <v>0.08550000000000001</v>
      </c>
      <c r="Z292" t="inlineStr">
        <is>
          <t>adjusted xGOT</t>
        </is>
      </c>
      <c r="AA292" s="3" t="n">
        <v>1</v>
      </c>
      <c r="AB292" s="3" t="n">
        <v>0.957</v>
      </c>
      <c r="AC292" s="3" t="n">
        <v>0.7</v>
      </c>
      <c r="AD292" s="3" t="n">
        <v>0.0474</v>
      </c>
      <c r="AE292" s="3" t="n">
        <v>8.814</v>
      </c>
      <c r="AF292" s="3" t="n">
        <v>0.1078103509788256</v>
      </c>
      <c r="AG292" s="3" t="n">
        <v>0.2667</v>
      </c>
      <c r="AH292" s="3" t="n">
        <v>22</v>
      </c>
      <c r="AI292" s="3" t="n">
        <v>3.0311</v>
      </c>
      <c r="AJ292" s="3" t="n">
        <v>1.5252</v>
      </c>
      <c r="AK292" s="3" t="n">
        <v>-0.1524023429982439</v>
      </c>
      <c r="AL292" s="6" t="n">
        <v>0</v>
      </c>
      <c r="AM292" s="3" t="n">
        <v>0</v>
      </c>
      <c r="AN292" s="3" t="n">
        <v>0.4275</v>
      </c>
      <c r="AO292" s="3" t="n">
        <v>0.187704</v>
      </c>
      <c r="AP292" s="3">
        <f>N(X292)*N(BI292)</f>
        <v/>
      </c>
      <c r="AQ292" s="3" t="n">
        <v>0.2667</v>
      </c>
      <c r="AR292" s="3" t="n">
        <v>0</v>
      </c>
      <c r="AS292" s="3" t="n">
        <v>-0</v>
      </c>
      <c r="AT292" s="3" t="n">
        <v>-0.1524023429982439</v>
      </c>
      <c r="AU292" s="3">
        <f>SUM(AN292:AT292)</f>
        <v/>
      </c>
      <c r="AV292" s="7">
        <f>IF(OR(N(W292)&lt;=0,N(BG292)=0),0,N(W292)*IF(N(R292)/N(W292)&gt;=60,N(BG292),1))</f>
        <v/>
      </c>
      <c r="AW292" s="7">
        <f>N(W292)*N(AF292)*N(BH292)</f>
        <v/>
      </c>
      <c r="AX292" s="7">
        <f>N(AL292)*(Assumptions!$B$13*N(BJ292)-(1-Assumptions!$B$13)*Assumptions!$B$14)+N(AM292)</f>
        <v/>
      </c>
      <c r="AY292" s="7">
        <f>N(AU292)*N(R292)/90+N(AV292)+N(AW292)+N(AX292)</f>
        <v/>
      </c>
      <c r="AZ292" s="3">
        <f>IF(N(R292)&lt;=0,0,(N(AY292)-N(AX292))*90/N(R292))</f>
        <v/>
      </c>
      <c r="BA292" s="7">
        <f>IFERROR(AY292-VLOOKUP($E292,Assumptions!$A$40:$C$43,3,FALSE),"")</f>
        <v/>
      </c>
      <c r="BB292" s="3">
        <f>IFERROR(BA292/H292,"")</f>
        <v/>
      </c>
      <c r="BC292">
        <f>IF(AND($G292=TRUE,$E292="GKP"),AY292,"")</f>
        <v/>
      </c>
      <c r="BD292">
        <f>IF(AND($G292=TRUE,$E292="DEF"),AY292,"")</f>
        <v/>
      </c>
      <c r="BE292">
        <f>IF(AND($G292=TRUE,$E292="MID"),AY292,"")</f>
        <v/>
      </c>
      <c r="BF292">
        <f>IF(AND($G292=TRUE,$E292="FWD"),AY292,"")</f>
        <v/>
      </c>
      <c r="BG292" t="n">
        <v>2</v>
      </c>
      <c r="BH292" t="n">
        <v>2</v>
      </c>
      <c r="BI292" t="n">
        <v>1</v>
      </c>
      <c r="BJ292" t="n">
        <v>5</v>
      </c>
    </row>
    <row r="293">
      <c r="A293" t="inlineStr">
        <is>
          <t>Charalampos Kostoulas</t>
        </is>
      </c>
      <c r="B293" t="inlineStr">
        <is>
          <t>BHA</t>
        </is>
      </c>
      <c r="C293" t="inlineStr">
        <is>
          <t>BHA</t>
        </is>
      </c>
      <c r="D293" t="b">
        <v>0</v>
      </c>
      <c r="E293" t="inlineStr">
        <is>
          <t>FWD</t>
        </is>
      </c>
      <c r="F293" t="inlineStr">
        <is>
          <t>FWD</t>
        </is>
      </c>
      <c r="G293" t="b">
        <v>1</v>
      </c>
      <c r="H293" s="2" t="n">
        <v>5.5</v>
      </c>
      <c r="I293" t="inlineStr">
        <is>
          <t>a</t>
        </is>
      </c>
      <c r="K293" s="2" t="n">
        <v>351</v>
      </c>
      <c r="L293" t="n">
        <v>35</v>
      </c>
      <c r="M293" s="3" t="n">
        <v>821</v>
      </c>
      <c r="N293" s="8" t="n">
        <v>821</v>
      </c>
      <c r="O293" s="8" t="n">
        <v>0</v>
      </c>
      <c r="Q293" t="inlineStr">
        <is>
          <t>fade (losing his place)</t>
        </is>
      </c>
      <c r="R293" s="6" t="n">
        <v>821</v>
      </c>
      <c r="S293" t="inlineStr">
        <is>
          <t>Solio</t>
        </is>
      </c>
      <c r="U293" s="6" t="n">
        <v>78</v>
      </c>
      <c r="V293" s="2" t="n">
        <v>2</v>
      </c>
      <c r="W293" s="7">
        <f>IF(N(U293)&lt;=0,0,MIN(Assumptions!$B$15,N(R293)/N(U293)))</f>
        <v/>
      </c>
      <c r="X293" s="6" t="n">
        <v>0.252</v>
      </c>
      <c r="Y293" s="3" t="n">
        <v>0.5479000000000001</v>
      </c>
      <c r="Z293" t="inlineStr">
        <is>
          <t>adjusted xGOT</t>
        </is>
      </c>
      <c r="AA293" s="3" t="n">
        <v>1</v>
      </c>
      <c r="AB293" s="3" t="n">
        <v>1.008</v>
      </c>
      <c r="AC293" s="3" t="n">
        <v>2.1</v>
      </c>
      <c r="AD293" s="3" t="n">
        <v>0.2333</v>
      </c>
      <c r="AE293" s="3" t="n">
        <v>6.668</v>
      </c>
      <c r="AF293" s="3" t="n">
        <v>0.01555437148041727</v>
      </c>
      <c r="AG293" s="3" t="n">
        <v>0.7692</v>
      </c>
      <c r="AH293" s="3" t="n">
        <v>23</v>
      </c>
      <c r="AI293" s="3" t="n">
        <v>2.8404</v>
      </c>
      <c r="AJ293" s="3" t="n">
        <v>1.439</v>
      </c>
      <c r="AK293" s="3" t="n">
        <v>-0.2432363271122691</v>
      </c>
      <c r="AL293" s="6" t="n">
        <v>0</v>
      </c>
      <c r="AM293" s="3" t="n">
        <v>0</v>
      </c>
      <c r="AN293" s="3" t="n">
        <v>2.1916</v>
      </c>
      <c r="AO293" s="3" t="n">
        <v>0.923868</v>
      </c>
      <c r="AP293" s="3">
        <f>N(X293)*N(BI293)</f>
        <v/>
      </c>
      <c r="AQ293" s="3" t="n">
        <v>0.7692</v>
      </c>
      <c r="AR293" s="3" t="n">
        <v>0</v>
      </c>
      <c r="AS293" s="3" t="n">
        <v>-0</v>
      </c>
      <c r="AT293" s="3" t="n">
        <v>-0.2432363271122691</v>
      </c>
      <c r="AU293" s="3">
        <f>SUM(AN293:AT293)</f>
        <v/>
      </c>
      <c r="AV293" s="7">
        <f>IF(OR(N(W293)&lt;=0,N(BG293)=0),0,N(W293)*IF(N(R293)/N(W293)&gt;=60,N(BG293),1))</f>
        <v/>
      </c>
      <c r="AW293" s="7">
        <f>N(W293)*N(AF293)*N(BH293)</f>
        <v/>
      </c>
      <c r="AX293" s="7">
        <f>N(AL293)*(Assumptions!$B$13*N(BJ293)-(1-Assumptions!$B$13)*Assumptions!$B$14)+N(AM293)</f>
        <v/>
      </c>
      <c r="AY293" s="7">
        <f>N(AU293)*N(R293)/90+N(AV293)+N(AW293)+N(AX293)</f>
        <v/>
      </c>
      <c r="AZ293" s="3">
        <f>IF(N(R293)&lt;=0,0,(N(AY293)-N(AX293))*90/N(R293))</f>
        <v/>
      </c>
      <c r="BA293" s="7">
        <f>IFERROR(AY293-VLOOKUP($E293,Assumptions!$A$40:$C$43,3,FALSE),"")</f>
        <v/>
      </c>
      <c r="BB293" s="3">
        <f>IFERROR(BA293/H293,"")</f>
        <v/>
      </c>
      <c r="BC293">
        <f>IF(AND($G293=TRUE,$E293="GKP"),AY293,"")</f>
        <v/>
      </c>
      <c r="BD293">
        <f>IF(AND($G293=TRUE,$E293="DEF"),AY293,"")</f>
        <v/>
      </c>
      <c r="BE293">
        <f>IF(AND($G293=TRUE,$E293="MID"),AY293,"")</f>
        <v/>
      </c>
      <c r="BF293">
        <f>IF(AND($G293=TRUE,$E293="FWD"),AY293,"")</f>
        <v/>
      </c>
      <c r="BG293" t="n">
        <v>2</v>
      </c>
      <c r="BH293" t="n">
        <v>2</v>
      </c>
      <c r="BI293" t="n">
        <v>0</v>
      </c>
      <c r="BJ293" t="n">
        <v>4</v>
      </c>
    </row>
    <row r="294">
      <c r="A294" t="inlineStr">
        <is>
          <t>Tosin Adarabioyo</t>
        </is>
      </c>
      <c r="B294" t="inlineStr">
        <is>
          <t>CHE</t>
        </is>
      </c>
      <c r="C294" t="inlineStr">
        <is>
          <t>CHE</t>
        </is>
      </c>
      <c r="D294" t="b">
        <v>0</v>
      </c>
      <c r="E294" t="inlineStr">
        <is>
          <t>DEF</t>
        </is>
      </c>
      <c r="F294" t="inlineStr">
        <is>
          <t>DEF</t>
        </is>
      </c>
      <c r="G294" t="b">
        <v>1</v>
      </c>
      <c r="H294" s="2" t="n">
        <v>4.5</v>
      </c>
      <c r="I294" t="inlineStr">
        <is>
          <t>a</t>
        </is>
      </c>
      <c r="K294" s="2" t="n">
        <v>788</v>
      </c>
      <c r="L294" t="n">
        <v>34</v>
      </c>
      <c r="M294" s="3" t="n">
        <v>261</v>
      </c>
      <c r="N294" s="8" t="n">
        <v>261</v>
      </c>
      <c r="O294" s="8" t="n">
        <v>0</v>
      </c>
      <c r="Q294" t="inlineStr">
        <is>
          <t>flat</t>
        </is>
      </c>
      <c r="R294" s="6" t="n">
        <v>261</v>
      </c>
      <c r="S294" t="inlineStr">
        <is>
          <t>Solio</t>
        </is>
      </c>
      <c r="U294" s="6" t="n">
        <v>83.2</v>
      </c>
      <c r="V294" s="2" t="n">
        <v>8</v>
      </c>
      <c r="W294" s="7">
        <f>IF(N(U294)&lt;=0,0,MIN(Assumptions!$B$15,N(R294)/N(U294)))</f>
        <v/>
      </c>
      <c r="X294" s="6" t="n">
        <v>0.322</v>
      </c>
      <c r="Y294" s="3" t="n">
        <v>0.0126</v>
      </c>
      <c r="Z294" t="inlineStr">
        <is>
          <t>adjusted xGOT</t>
        </is>
      </c>
      <c r="AA294" s="3" t="n">
        <v>1</v>
      </c>
      <c r="AB294" s="3" t="n">
        <v>0.997</v>
      </c>
      <c r="AC294" s="3" t="n">
        <v>2.5</v>
      </c>
      <c r="AD294" s="3" t="n">
        <v>0.0466</v>
      </c>
      <c r="AE294" s="3" t="n">
        <v>9.458</v>
      </c>
      <c r="AF294" s="3" t="n">
        <v>0.3788244498363794</v>
      </c>
      <c r="AG294" s="3" t="n">
        <v>0.2284</v>
      </c>
      <c r="AH294" s="3" t="n">
        <v>23</v>
      </c>
      <c r="AI294" s="3" t="n">
        <v>2.4232</v>
      </c>
      <c r="AJ294" s="3" t="n">
        <v>1.1851</v>
      </c>
      <c r="AK294" s="3" t="n">
        <v>-0.2181706796945746</v>
      </c>
      <c r="AL294" s="6" t="n">
        <v>0</v>
      </c>
      <c r="AM294" s="3" t="n">
        <v>0</v>
      </c>
      <c r="AN294" s="3" t="n">
        <v>0.0756</v>
      </c>
      <c r="AO294" s="3" t="n">
        <v>0.184536</v>
      </c>
      <c r="AP294" s="3">
        <f>N(X294)*N(BI294)</f>
        <v/>
      </c>
      <c r="AQ294" s="3" t="n">
        <v>0.2284</v>
      </c>
      <c r="AR294" s="3" t="n">
        <v>0</v>
      </c>
      <c r="AS294" s="3" t="n">
        <v>-0.365915508000572</v>
      </c>
      <c r="AT294" s="3" t="n">
        <v>-0.2181706796945746</v>
      </c>
      <c r="AU294" s="3">
        <f>SUM(AN294:AT294)</f>
        <v/>
      </c>
      <c r="AV294" s="7">
        <f>IF(OR(N(W294)&lt;=0,N(BG294)=0),0,N(W294)*IF(N(R294)/N(W294)&gt;=60,N(BG294),1))</f>
        <v/>
      </c>
      <c r="AW294" s="7">
        <f>N(W294)*N(AF294)*N(BH294)</f>
        <v/>
      </c>
      <c r="AX294" s="7">
        <f>N(AL294)*(Assumptions!$B$13*N(BJ294)-(1-Assumptions!$B$13)*Assumptions!$B$14)+N(AM294)</f>
        <v/>
      </c>
      <c r="AY294" s="7">
        <f>N(AU294)*N(R294)/90+N(AV294)+N(AW294)+N(AX294)</f>
        <v/>
      </c>
      <c r="AZ294" s="3">
        <f>IF(N(R294)&lt;=0,0,(N(AY294)-N(AX294))*90/N(R294))</f>
        <v/>
      </c>
      <c r="BA294" s="7">
        <f>IFERROR(AY294-VLOOKUP($E294,Assumptions!$A$40:$C$43,3,FALSE),"")</f>
        <v/>
      </c>
      <c r="BB294" s="3">
        <f>IFERROR(BA294/H294,"")</f>
        <v/>
      </c>
      <c r="BC294">
        <f>IF(AND($G294=TRUE,$E294="GKP"),AY294,"")</f>
        <v/>
      </c>
      <c r="BD294">
        <f>IF(AND($G294=TRUE,$E294="DEF"),AY294,"")</f>
        <v/>
      </c>
      <c r="BE294">
        <f>IF(AND($G294=TRUE,$E294="MID"),AY294,"")</f>
        <v/>
      </c>
      <c r="BF294">
        <f>IF(AND($G294=TRUE,$E294="FWD"),AY294,"")</f>
        <v/>
      </c>
      <c r="BG294" t="n">
        <v>2</v>
      </c>
      <c r="BH294" t="n">
        <v>2</v>
      </c>
      <c r="BI294" t="n">
        <v>4</v>
      </c>
      <c r="BJ294" t="n">
        <v>6</v>
      </c>
    </row>
    <row r="295">
      <c r="A295" t="inlineStr">
        <is>
          <t>Giorgi Mamardashvili</t>
        </is>
      </c>
      <c r="B295" t="inlineStr">
        <is>
          <t>LIV</t>
        </is>
      </c>
      <c r="C295" t="inlineStr">
        <is>
          <t>LIV</t>
        </is>
      </c>
      <c r="D295" t="b">
        <v>0</v>
      </c>
      <c r="E295" t="inlineStr">
        <is>
          <t>GKP</t>
        </is>
      </c>
      <c r="F295" t="inlineStr">
        <is>
          <t>GKP</t>
        </is>
      </c>
      <c r="G295" t="b">
        <v>1</v>
      </c>
      <c r="H295" s="2" t="n">
        <v>5</v>
      </c>
      <c r="I295" t="inlineStr">
        <is>
          <t>a</t>
        </is>
      </c>
      <c r="K295" s="2" t="n">
        <v>867</v>
      </c>
      <c r="L295" t="n">
        <v>34</v>
      </c>
      <c r="M295" s="3" t="n">
        <v>35</v>
      </c>
      <c r="N295" s="8" t="n">
        <v>35</v>
      </c>
      <c r="O295" s="8" t="n">
        <v>0</v>
      </c>
      <c r="Q295" t="inlineStr">
        <is>
          <t>flat</t>
        </is>
      </c>
      <c r="R295" s="6" t="n">
        <v>35</v>
      </c>
      <c r="S295" t="inlineStr">
        <is>
          <t>Solio</t>
        </is>
      </c>
      <c r="U295" s="6" t="n">
        <v>88.2</v>
      </c>
      <c r="V295" s="2" t="n">
        <v>10</v>
      </c>
      <c r="W295" s="7">
        <f>IF(N(U295)&lt;=0,0,MIN(Assumptions!$B$15,N(R295)/N(U295)))</f>
        <v/>
      </c>
      <c r="X295" s="6" t="n">
        <v>0.342</v>
      </c>
      <c r="Y295" s="3" t="n">
        <v>0</v>
      </c>
      <c r="Z295" t="inlineStr">
        <is>
          <t>blended xG</t>
        </is>
      </c>
      <c r="AA295" s="3" t="n">
        <v>1</v>
      </c>
      <c r="AB295" s="3" t="n">
        <v>1</v>
      </c>
      <c r="AC295" s="3" t="n">
        <v>0</v>
      </c>
      <c r="AD295" s="3" t="n">
        <v>0</v>
      </c>
      <c r="AE295" s="3" t="n">
        <v>0</v>
      </c>
      <c r="AF295" s="3" t="n">
        <v>0</v>
      </c>
      <c r="AG295" s="3" t="n">
        <v>0.2076</v>
      </c>
      <c r="AH295" s="3" t="n">
        <v>19</v>
      </c>
      <c r="AI295" s="3" t="n">
        <v>2.409</v>
      </c>
      <c r="AJ295" s="3" t="n">
        <v>1.1228</v>
      </c>
      <c r="AK295" s="3" t="n">
        <v>-0.0487516886583745</v>
      </c>
      <c r="AL295" s="6" t="n">
        <v>0</v>
      </c>
      <c r="AM295" s="3" t="n">
        <v>0.0245300950350432</v>
      </c>
      <c r="AN295" s="3" t="n">
        <v>0</v>
      </c>
      <c r="AO295" s="3" t="n">
        <v>0</v>
      </c>
      <c r="AP295" s="3">
        <f>N(X295)*N(BI295)</f>
        <v/>
      </c>
      <c r="AQ295" s="3" t="n">
        <v>0.2076</v>
      </c>
      <c r="AR295" s="3" t="n">
        <v>0.4697511244203511</v>
      </c>
      <c r="AS295" s="3" t="n">
        <v>-0.3378660007281162</v>
      </c>
      <c r="AT295" s="3" t="n">
        <v>-0.0487516886583745</v>
      </c>
      <c r="AU295" s="3">
        <f>SUM(AN295:AT295)</f>
        <v/>
      </c>
      <c r="AV295" s="7">
        <f>IF(OR(N(W295)&lt;=0,N(BG295)=0),0,N(W295)*IF(N(R295)/N(W295)&gt;=60,N(BG295),1))</f>
        <v/>
      </c>
      <c r="AW295" s="7">
        <f>N(W295)*N(AF295)*N(BH295)</f>
        <v/>
      </c>
      <c r="AX295" s="7">
        <f>N(AL295)*(Assumptions!$B$13*N(BJ295)-(1-Assumptions!$B$13)*Assumptions!$B$14)+N(AM295)</f>
        <v/>
      </c>
      <c r="AY295" s="7">
        <f>N(AU295)*N(R295)/90+N(AV295)+N(AW295)+N(AX295)</f>
        <v/>
      </c>
      <c r="AZ295" s="3">
        <f>IF(N(R295)&lt;=0,0,(N(AY295)-N(AX295))*90/N(R295))</f>
        <v/>
      </c>
      <c r="BA295" s="7">
        <f>IFERROR(AY295-VLOOKUP($E295,Assumptions!$A$40:$C$43,3,FALSE),"")</f>
        <v/>
      </c>
      <c r="BB295" s="3">
        <f>IFERROR(BA295/H295,"")</f>
        <v/>
      </c>
      <c r="BC295">
        <f>IF(AND($G295=TRUE,$E295="GKP"),AY295,"")</f>
        <v/>
      </c>
      <c r="BD295">
        <f>IF(AND($G295=TRUE,$E295="DEF"),AY295,"")</f>
        <v/>
      </c>
      <c r="BE295">
        <f>IF(AND($G295=TRUE,$E295="MID"),AY295,"")</f>
        <v/>
      </c>
      <c r="BF295">
        <f>IF(AND($G295=TRUE,$E295="FWD"),AY295,"")</f>
        <v/>
      </c>
      <c r="BG295" t="n">
        <v>2</v>
      </c>
      <c r="BH295" t="n">
        <v>0</v>
      </c>
      <c r="BI295" t="n">
        <v>4</v>
      </c>
      <c r="BJ295" t="n">
        <v>10</v>
      </c>
    </row>
    <row r="296">
      <c r="A296" t="inlineStr">
        <is>
          <t>Simon Adingra</t>
        </is>
      </c>
      <c r="B296" t="inlineStr">
        <is>
          <t>SUN</t>
        </is>
      </c>
      <c r="C296" t="inlineStr">
        <is>
          <t>SUN</t>
        </is>
      </c>
      <c r="D296" t="b">
        <v>0</v>
      </c>
      <c r="E296" t="inlineStr">
        <is>
          <t>MID</t>
        </is>
      </c>
      <c r="F296" t="inlineStr">
        <is>
          <t>MID</t>
        </is>
      </c>
      <c r="G296" t="b">
        <v>1</v>
      </c>
      <c r="H296" s="2" t="n">
        <v>5</v>
      </c>
      <c r="I296" t="inlineStr">
        <is>
          <t>a</t>
        </is>
      </c>
      <c r="K296" s="2" t="n">
        <v>649</v>
      </c>
      <c r="L296" t="n">
        <v>34</v>
      </c>
      <c r="M296" s="3" t="n">
        <v>178</v>
      </c>
      <c r="N296" s="8" t="n">
        <v>178</v>
      </c>
      <c r="O296" s="8" t="n">
        <v>0</v>
      </c>
      <c r="Q296" t="inlineStr">
        <is>
          <t>flat</t>
        </is>
      </c>
      <c r="R296" s="6" t="n">
        <v>178</v>
      </c>
      <c r="S296" t="inlineStr">
        <is>
          <t>Solio</t>
        </is>
      </c>
      <c r="U296" s="6" t="n">
        <v>72.40000000000001</v>
      </c>
      <c r="V296" s="2" t="n">
        <v>9</v>
      </c>
      <c r="W296" s="7">
        <f>IF(N(U296)&lt;=0,0,MIN(Assumptions!$B$15,N(R296)/N(U296)))</f>
        <v/>
      </c>
      <c r="X296" s="6" t="n">
        <v>0.204</v>
      </c>
      <c r="Y296" s="3" t="n">
        <v>0.0553</v>
      </c>
      <c r="Z296" t="inlineStr">
        <is>
          <t>adjusted xGOT</t>
        </is>
      </c>
      <c r="AA296" s="3" t="n">
        <v>1</v>
      </c>
      <c r="AB296" s="3" t="n">
        <v>1.139</v>
      </c>
      <c r="AC296" s="3" t="n">
        <v>7</v>
      </c>
      <c r="AD296" s="3" t="n">
        <v>0.09379999999999999</v>
      </c>
      <c r="AE296" s="3" t="n">
        <v>7.469</v>
      </c>
      <c r="AF296" s="3" t="n">
        <v>0.0202817691895143</v>
      </c>
      <c r="AG296" s="3" t="n">
        <v>0.416</v>
      </c>
      <c r="AH296" s="3" t="n">
        <v>21</v>
      </c>
      <c r="AI296" s="3" t="n">
        <v>3.3348</v>
      </c>
      <c r="AJ296" s="3" t="n">
        <v>1.6498</v>
      </c>
      <c r="AK296" s="3" t="n">
        <v>-0.1752701242227406</v>
      </c>
      <c r="AL296" s="6" t="n">
        <v>0</v>
      </c>
      <c r="AM296" s="3" t="n">
        <v>0</v>
      </c>
      <c r="AN296" s="3" t="n">
        <v>0.2765</v>
      </c>
      <c r="AO296" s="3" t="n">
        <v>0.371448</v>
      </c>
      <c r="AP296" s="3">
        <f>N(X296)*N(BI296)</f>
        <v/>
      </c>
      <c r="AQ296" s="3" t="n">
        <v>0.416</v>
      </c>
      <c r="AR296" s="3" t="n">
        <v>0</v>
      </c>
      <c r="AS296" s="3" t="n">
        <v>-0</v>
      </c>
      <c r="AT296" s="3" t="n">
        <v>-0.1752701242227406</v>
      </c>
      <c r="AU296" s="3">
        <f>SUM(AN296:AT296)</f>
        <v/>
      </c>
      <c r="AV296" s="7">
        <f>IF(OR(N(W296)&lt;=0,N(BG296)=0),0,N(W296)*IF(N(R296)/N(W296)&gt;=60,N(BG296),1))</f>
        <v/>
      </c>
      <c r="AW296" s="7">
        <f>N(W296)*N(AF296)*N(BH296)</f>
        <v/>
      </c>
      <c r="AX296" s="7">
        <f>N(AL296)*(Assumptions!$B$13*N(BJ296)-(1-Assumptions!$B$13)*Assumptions!$B$14)+N(AM296)</f>
        <v/>
      </c>
      <c r="AY296" s="7">
        <f>N(AU296)*N(R296)/90+N(AV296)+N(AW296)+N(AX296)</f>
        <v/>
      </c>
      <c r="AZ296" s="3">
        <f>IF(N(R296)&lt;=0,0,(N(AY296)-N(AX296))*90/N(R296))</f>
        <v/>
      </c>
      <c r="BA296" s="7">
        <f>IFERROR(AY296-VLOOKUP($E296,Assumptions!$A$40:$C$43,3,FALSE),"")</f>
        <v/>
      </c>
      <c r="BB296" s="3">
        <f>IFERROR(BA296/H296,"")</f>
        <v/>
      </c>
      <c r="BC296">
        <f>IF(AND($G296=TRUE,$E296="GKP"),AY296,"")</f>
        <v/>
      </c>
      <c r="BD296">
        <f>IF(AND($G296=TRUE,$E296="DEF"),AY296,"")</f>
        <v/>
      </c>
      <c r="BE296">
        <f>IF(AND($G296=TRUE,$E296="MID"),AY296,"")</f>
        <v/>
      </c>
      <c r="BF296">
        <f>IF(AND($G296=TRUE,$E296="FWD"),AY296,"")</f>
        <v/>
      </c>
      <c r="BG296" t="n">
        <v>2</v>
      </c>
      <c r="BH296" t="n">
        <v>2</v>
      </c>
      <c r="BI296" t="n">
        <v>1</v>
      </c>
      <c r="BJ296" t="n">
        <v>5</v>
      </c>
    </row>
    <row r="297">
      <c r="A297" t="inlineStr">
        <is>
          <t>Joe Gomez</t>
        </is>
      </c>
      <c r="B297" t="inlineStr">
        <is>
          <t>LIV</t>
        </is>
      </c>
      <c r="C297" t="inlineStr">
        <is>
          <t>LIV</t>
        </is>
      </c>
      <c r="D297" t="b">
        <v>0</v>
      </c>
      <c r="E297" t="inlineStr">
        <is>
          <t>DEF</t>
        </is>
      </c>
      <c r="F297" t="inlineStr">
        <is>
          <t>DEF</t>
        </is>
      </c>
      <c r="G297" t="b">
        <v>1</v>
      </c>
      <c r="H297" s="2" t="n">
        <v>5</v>
      </c>
      <c r="I297" t="inlineStr">
        <is>
          <t>i</t>
        </is>
      </c>
      <c r="J297" t="inlineStr">
        <is>
          <t>Muscular injury - Unknown return date</t>
        </is>
      </c>
      <c r="K297" s="2" t="n">
        <v>594</v>
      </c>
      <c r="L297" t="n">
        <v>33</v>
      </c>
      <c r="M297" s="3" t="n">
        <v>442</v>
      </c>
      <c r="N297" s="8" t="n">
        <v>442</v>
      </c>
      <c r="O297" s="8" t="n">
        <v>0</v>
      </c>
      <c r="Q297" t="inlineStr">
        <is>
          <t>flat</t>
        </is>
      </c>
      <c r="R297" s="6" t="n">
        <v>442</v>
      </c>
      <c r="S297" t="inlineStr">
        <is>
          <t>Solio</t>
        </is>
      </c>
      <c r="U297" s="6" t="n">
        <v>76.40000000000001</v>
      </c>
      <c r="V297" s="2" t="n">
        <v>7</v>
      </c>
      <c r="W297" s="7">
        <f>IF(N(U297)&lt;=0,0,MIN(Assumptions!$B$15,N(R297)/N(U297)))</f>
        <v/>
      </c>
      <c r="X297" s="6" t="n">
        <v>0.342</v>
      </c>
      <c r="Y297" s="3" t="n">
        <v>0.0397</v>
      </c>
      <c r="Z297" t="inlineStr">
        <is>
          <t>adjusted xGOT</t>
        </is>
      </c>
      <c r="AA297" s="3" t="n">
        <v>1</v>
      </c>
      <c r="AB297" s="3" t="n">
        <v>0.9360000000000001</v>
      </c>
      <c r="AC297" s="3" t="n">
        <v>1.8</v>
      </c>
      <c r="AD297" s="3" t="n">
        <v>0.1431</v>
      </c>
      <c r="AE297" s="3" t="n">
        <v>7.362</v>
      </c>
      <c r="AF297" s="3" t="n">
        <v>0.1021702212896267</v>
      </c>
      <c r="AG297" s="3" t="n">
        <v>0.303</v>
      </c>
      <c r="AH297" s="3" t="n">
        <v>26</v>
      </c>
      <c r="AI297" s="3" t="n">
        <v>2.409</v>
      </c>
      <c r="AJ297" s="3" t="n">
        <v>1.1228</v>
      </c>
      <c r="AK297" s="3" t="n">
        <v>-0.3022295023425802</v>
      </c>
      <c r="AL297" s="6" t="n">
        <v>0</v>
      </c>
      <c r="AM297" s="3" t="n">
        <v>0</v>
      </c>
      <c r="AN297" s="3" t="n">
        <v>0.2382</v>
      </c>
      <c r="AO297" s="3" t="n">
        <v>0.5666760000000001</v>
      </c>
      <c r="AP297" s="3">
        <f>N(X297)*N(BI297)</f>
        <v/>
      </c>
      <c r="AQ297" s="3" t="n">
        <v>0.303</v>
      </c>
      <c r="AR297" s="3" t="n">
        <v>0</v>
      </c>
      <c r="AS297" s="3" t="n">
        <v>-0.3378660007281162</v>
      </c>
      <c r="AT297" s="3" t="n">
        <v>-0.3022295023425802</v>
      </c>
      <c r="AU297" s="3">
        <f>SUM(AN297:AT297)</f>
        <v/>
      </c>
      <c r="AV297" s="7">
        <f>IF(OR(N(W297)&lt;=0,N(BG297)=0),0,N(W297)*IF(N(R297)/N(W297)&gt;=60,N(BG297),1))</f>
        <v/>
      </c>
      <c r="AW297" s="7">
        <f>N(W297)*N(AF297)*N(BH297)</f>
        <v/>
      </c>
      <c r="AX297" s="7">
        <f>N(AL297)*(Assumptions!$B$13*N(BJ297)-(1-Assumptions!$B$13)*Assumptions!$B$14)+N(AM297)</f>
        <v/>
      </c>
      <c r="AY297" s="7">
        <f>N(AU297)*N(R297)/90+N(AV297)+N(AW297)+N(AX297)</f>
        <v/>
      </c>
      <c r="AZ297" s="3">
        <f>IF(N(R297)&lt;=0,0,(N(AY297)-N(AX297))*90/N(R297))</f>
        <v/>
      </c>
      <c r="BA297" s="7">
        <f>IFERROR(AY297-VLOOKUP($E297,Assumptions!$A$40:$C$43,3,FALSE),"")</f>
        <v/>
      </c>
      <c r="BB297" s="3">
        <f>IFERROR(BA297/H297,"")</f>
        <v/>
      </c>
      <c r="BC297">
        <f>IF(AND($G297=TRUE,$E297="GKP"),AY297,"")</f>
        <v/>
      </c>
      <c r="BD297">
        <f>IF(AND($G297=TRUE,$E297="DEF"),AY297,"")</f>
        <v/>
      </c>
      <c r="BE297">
        <f>IF(AND($G297=TRUE,$E297="MID"),AY297,"")</f>
        <v/>
      </c>
      <c r="BF297">
        <f>IF(AND($G297=TRUE,$E297="FWD"),AY297,"")</f>
        <v/>
      </c>
      <c r="BG297" t="n">
        <v>2</v>
      </c>
      <c r="BH297" t="n">
        <v>2</v>
      </c>
      <c r="BI297" t="n">
        <v>4</v>
      </c>
      <c r="BJ297" t="n">
        <v>6</v>
      </c>
    </row>
    <row r="298">
      <c r="A298" t="inlineStr">
        <is>
          <t>Jarrad Branthwaite</t>
        </is>
      </c>
      <c r="B298" t="inlineStr">
        <is>
          <t>EVE</t>
        </is>
      </c>
      <c r="C298" t="inlineStr">
        <is>
          <t>EVE</t>
        </is>
      </c>
      <c r="D298" t="b">
        <v>0</v>
      </c>
      <c r="E298" t="inlineStr">
        <is>
          <t>DEF</t>
        </is>
      </c>
      <c r="F298" t="inlineStr">
        <is>
          <t>DEF</t>
        </is>
      </c>
      <c r="G298" t="b">
        <v>1</v>
      </c>
      <c r="H298" s="2" t="n">
        <v>5.5</v>
      </c>
      <c r="I298" t="inlineStr">
        <is>
          <t>a</t>
        </is>
      </c>
      <c r="K298" s="2" t="n">
        <v>678</v>
      </c>
      <c r="L298" t="n">
        <v>32</v>
      </c>
      <c r="M298" s="3" t="n">
        <v>3203</v>
      </c>
      <c r="N298" s="4" t="n">
        <v>2850</v>
      </c>
      <c r="O298" s="4" t="n">
        <v>-353</v>
      </c>
      <c r="P298" s="5" t="inlineStr">
        <is>
          <t>medium</t>
        </is>
      </c>
      <c r="Q298" t="inlineStr">
        <is>
          <t>flat</t>
        </is>
      </c>
      <c r="R298" s="6" t="n">
        <v>2850</v>
      </c>
      <c r="S298" t="inlineStr">
        <is>
          <t>research</t>
        </is>
      </c>
      <c r="T298" s="5" t="inlineStr">
        <is>
          <t>Directionally right but too aggressive. Solio projects 94% of the season for a centre-back who managed 678 minutes in 2025/26 across two hamstring operations - a complication requiring surgery confirmed in October 2025, then a further procedure after he was stretchered off in April's Merseyside derby. He is genuinely fit now: Read Everton records him starting against Bolton, Hamburg and Stuttgart (80 minutes, captain), being 'rested as a precaution' for Newcastle, and starting against Lille on 15 August, and he carries no FPL flag. The trim reflects the phased load management Moyes has openly applied all summer, not any current doubt about the opener.</t>
        </is>
      </c>
      <c r="U298" s="6" t="n">
        <v>86.5</v>
      </c>
      <c r="V298" s="2" t="n">
        <v>7</v>
      </c>
      <c r="W298" s="7">
        <f>IF(N(U298)&lt;=0,0,MIN(Assumptions!$B$15,N(R298)/N(U298)))</f>
        <v/>
      </c>
      <c r="X298" s="6" t="n">
        <v>0.231</v>
      </c>
      <c r="Y298" s="3" t="n">
        <v>0.0445</v>
      </c>
      <c r="Z298" t="inlineStr">
        <is>
          <t>adjusted xGOT</t>
        </is>
      </c>
      <c r="AA298" s="3" t="n">
        <v>1</v>
      </c>
      <c r="AB298" s="3" t="n">
        <v>0.986</v>
      </c>
      <c r="AC298" s="3" t="n">
        <v>3.2</v>
      </c>
      <c r="AD298" s="3" t="n">
        <v>0.0321</v>
      </c>
      <c r="AE298" s="3" t="n">
        <v>8.271000000000001</v>
      </c>
      <c r="AF298" s="3" t="n">
        <v>0.2771114751033783</v>
      </c>
      <c r="AG298" s="3" t="n">
        <v>0</v>
      </c>
      <c r="AH298" s="3" t="n">
        <v>17</v>
      </c>
      <c r="AI298" s="3" t="n">
        <v>3.0311</v>
      </c>
      <c r="AJ298" s="3" t="n">
        <v>1.5252</v>
      </c>
      <c r="AK298" s="3" t="n">
        <v>-0.1973841025688087</v>
      </c>
      <c r="AL298" s="6" t="n">
        <v>0</v>
      </c>
      <c r="AM298" s="3" t="n">
        <v>0</v>
      </c>
      <c r="AN298" s="3" t="n">
        <v>0.267</v>
      </c>
      <c r="AO298" s="3" t="n">
        <v>0.127116</v>
      </c>
      <c r="AP298" s="3">
        <f>N(X298)*N(BI298)</f>
        <v/>
      </c>
      <c r="AQ298" s="3" t="n">
        <v>0</v>
      </c>
      <c r="AR298" s="3" t="n">
        <v>0</v>
      </c>
      <c r="AS298" s="3" t="n">
        <v>-0.524434996152324</v>
      </c>
      <c r="AT298" s="3" t="n">
        <v>-0.1973841025688087</v>
      </c>
      <c r="AU298" s="3">
        <f>SUM(AN298:AT298)</f>
        <v/>
      </c>
      <c r="AV298" s="7">
        <f>IF(OR(N(W298)&lt;=0,N(BG298)=0),0,N(W298)*IF(N(R298)/N(W298)&gt;=60,N(BG298),1))</f>
        <v/>
      </c>
      <c r="AW298" s="7">
        <f>N(W298)*N(AF298)*N(BH298)</f>
        <v/>
      </c>
      <c r="AX298" s="7">
        <f>N(AL298)*(Assumptions!$B$13*N(BJ298)-(1-Assumptions!$B$13)*Assumptions!$B$14)+N(AM298)</f>
        <v/>
      </c>
      <c r="AY298" s="7">
        <f>N(AU298)*N(R298)/90+N(AV298)+N(AW298)+N(AX298)</f>
        <v/>
      </c>
      <c r="AZ298" s="3">
        <f>IF(N(R298)&lt;=0,0,(N(AY298)-N(AX298))*90/N(R298))</f>
        <v/>
      </c>
      <c r="BA298" s="7">
        <f>IFERROR(AY298-VLOOKUP($E298,Assumptions!$A$40:$C$43,3,FALSE),"")</f>
        <v/>
      </c>
      <c r="BB298" s="3">
        <f>IFERROR(BA298/H298,"")</f>
        <v/>
      </c>
      <c r="BC298">
        <f>IF(AND($G298=TRUE,$E298="GKP"),AY298,"")</f>
        <v/>
      </c>
      <c r="BD298">
        <f>IF(AND($G298=TRUE,$E298="DEF"),AY298,"")</f>
        <v/>
      </c>
      <c r="BE298">
        <f>IF(AND($G298=TRUE,$E298="MID"),AY298,"")</f>
        <v/>
      </c>
      <c r="BF298">
        <f>IF(AND($G298=TRUE,$E298="FWD"),AY298,"")</f>
        <v/>
      </c>
      <c r="BG298" t="n">
        <v>2</v>
      </c>
      <c r="BH298" t="n">
        <v>2</v>
      </c>
      <c r="BI298" t="n">
        <v>4</v>
      </c>
      <c r="BJ298" t="n">
        <v>6</v>
      </c>
    </row>
    <row r="299">
      <c r="A299" t="inlineStr">
        <is>
          <t>Wilfried Gnonto</t>
        </is>
      </c>
      <c r="B299" t="inlineStr">
        <is>
          <t>LEE</t>
        </is>
      </c>
      <c r="C299" t="inlineStr">
        <is>
          <t>LEE</t>
        </is>
      </c>
      <c r="D299" t="b">
        <v>0</v>
      </c>
      <c r="E299" t="inlineStr">
        <is>
          <t>MID</t>
        </is>
      </c>
      <c r="F299" t="inlineStr">
        <is>
          <t>MID</t>
        </is>
      </c>
      <c r="G299" t="b">
        <v>1</v>
      </c>
      <c r="H299" s="2" t="n">
        <v>5</v>
      </c>
      <c r="I299" t="inlineStr">
        <is>
          <t>a</t>
        </is>
      </c>
      <c r="K299" s="2" t="n">
        <v>521</v>
      </c>
      <c r="L299" t="n">
        <v>32</v>
      </c>
      <c r="M299" s="3" t="n">
        <v>120</v>
      </c>
      <c r="N299" s="4" t="n">
        <v>60</v>
      </c>
      <c r="O299" s="4" t="n">
        <v>-60</v>
      </c>
      <c r="P299" s="5" t="inlineStr">
        <is>
          <t>medium</t>
        </is>
      </c>
      <c r="Q299" t="inlineStr">
        <is>
          <t>flat</t>
        </is>
      </c>
      <c r="R299" s="6" t="n">
        <v>60</v>
      </c>
      <c r="S299" t="inlineStr">
        <is>
          <t>research</t>
        </is>
      </c>
      <c r="T299" s="5" t="inlineStr">
        <is>
          <t>Hamstring injury with no return timeframe, reported 15 Aug, expected to miss the Nottingham Forest opener. Not carried by the FPL feed yet, so this is another item the brief's data misses. Small absolute change - Solio already had him near zero.</t>
        </is>
      </c>
      <c r="U299" s="6" t="n">
        <v>74</v>
      </c>
      <c r="V299" s="2" t="n">
        <v>4</v>
      </c>
      <c r="W299" s="7">
        <f>IF(N(U299)&lt;=0,0,MIN(Assumptions!$B$15,N(R299)/N(U299)))</f>
        <v/>
      </c>
      <c r="X299" s="6" t="n">
        <v>0.218</v>
      </c>
      <c r="Y299" s="3" t="n">
        <v>0.0672</v>
      </c>
      <c r="Z299" t="inlineStr">
        <is>
          <t>adjusted xGOT</t>
        </is>
      </c>
      <c r="AA299" s="3" t="n">
        <v>1</v>
      </c>
      <c r="AB299" s="3" t="n">
        <v>0.972</v>
      </c>
      <c r="AC299" s="3" t="n">
        <v>2.2</v>
      </c>
      <c r="AD299" s="3" t="n">
        <v>0.1742</v>
      </c>
      <c r="AE299" s="3" t="n">
        <v>9.255000000000001</v>
      </c>
      <c r="AF299" s="3" t="n">
        <v>0.08582354740513853</v>
      </c>
      <c r="AG299" s="3" t="n">
        <v>0</v>
      </c>
      <c r="AH299" s="3" t="n">
        <v>25</v>
      </c>
      <c r="AI299" s="3" t="n">
        <v>3.0611</v>
      </c>
      <c r="AJ299" s="3" t="n">
        <v>1.5875</v>
      </c>
      <c r="AK299" s="3" t="n">
        <v>-0.3007492140094552</v>
      </c>
      <c r="AL299" s="6" t="n">
        <v>0</v>
      </c>
      <c r="AM299" s="3" t="n">
        <v>0</v>
      </c>
      <c r="AN299" s="3" t="n">
        <v>0.336</v>
      </c>
      <c r="AO299" s="3" t="n">
        <v>0.689832</v>
      </c>
      <c r="AP299" s="3">
        <f>N(X299)*N(BI299)</f>
        <v/>
      </c>
      <c r="AQ299" s="3" t="n">
        <v>0</v>
      </c>
      <c r="AR299" s="3" t="n">
        <v>0</v>
      </c>
      <c r="AS299" s="3" t="n">
        <v>-0</v>
      </c>
      <c r="AT299" s="3" t="n">
        <v>-0.3007492140094552</v>
      </c>
      <c r="AU299" s="3">
        <f>SUM(AN299:AT299)</f>
        <v/>
      </c>
      <c r="AV299" s="7">
        <f>IF(OR(N(W299)&lt;=0,N(BG299)=0),0,N(W299)*IF(N(R299)/N(W299)&gt;=60,N(BG299),1))</f>
        <v/>
      </c>
      <c r="AW299" s="7">
        <f>N(W299)*N(AF299)*N(BH299)</f>
        <v/>
      </c>
      <c r="AX299" s="7">
        <f>N(AL299)*(Assumptions!$B$13*N(BJ299)-(1-Assumptions!$B$13)*Assumptions!$B$14)+N(AM299)</f>
        <v/>
      </c>
      <c r="AY299" s="7">
        <f>N(AU299)*N(R299)/90+N(AV299)+N(AW299)+N(AX299)</f>
        <v/>
      </c>
      <c r="AZ299" s="3">
        <f>IF(N(R299)&lt;=0,0,(N(AY299)-N(AX299))*90/N(R299))</f>
        <v/>
      </c>
      <c r="BA299" s="7">
        <f>IFERROR(AY299-VLOOKUP($E299,Assumptions!$A$40:$C$43,3,FALSE),"")</f>
        <v/>
      </c>
      <c r="BB299" s="3">
        <f>IFERROR(BA299/H299,"")</f>
        <v/>
      </c>
      <c r="BC299">
        <f>IF(AND($G299=TRUE,$E299="GKP"),AY299,"")</f>
        <v/>
      </c>
      <c r="BD299">
        <f>IF(AND($G299=TRUE,$E299="DEF"),AY299,"")</f>
        <v/>
      </c>
      <c r="BE299">
        <f>IF(AND($G299=TRUE,$E299="MID"),AY299,"")</f>
        <v/>
      </c>
      <c r="BF299">
        <f>IF(AND($G299=TRUE,$E299="FWD"),AY299,"")</f>
        <v/>
      </c>
      <c r="BG299" t="n">
        <v>2</v>
      </c>
      <c r="BH299" t="n">
        <v>2</v>
      </c>
      <c r="BI299" t="n">
        <v>1</v>
      </c>
      <c r="BJ299" t="n">
        <v>5</v>
      </c>
    </row>
    <row r="300">
      <c r="A300" s="9" t="inlineStr">
        <is>
          <t>Issa Diop</t>
        </is>
      </c>
      <c r="B300" t="inlineStr">
        <is>
          <t>IPS</t>
        </is>
      </c>
      <c r="C300" s="9" t="inlineStr">
        <is>
          <t>FUL</t>
        </is>
      </c>
      <c r="D300" t="b">
        <v>1</v>
      </c>
      <c r="E300" t="inlineStr">
        <is>
          <t>DEF</t>
        </is>
      </c>
      <c r="F300" t="inlineStr">
        <is>
          <t>DEF</t>
        </is>
      </c>
      <c r="G300" t="b">
        <v>1</v>
      </c>
      <c r="H300" s="2" t="n">
        <v>4</v>
      </c>
      <c r="I300" t="inlineStr">
        <is>
          <t>a</t>
        </is>
      </c>
      <c r="K300" s="2" t="n">
        <v>812</v>
      </c>
      <c r="L300" t="n">
        <v>31</v>
      </c>
      <c r="M300" s="3" t="n">
        <v>2394</v>
      </c>
      <c r="N300" s="8" t="n">
        <v>2394</v>
      </c>
      <c r="O300" s="8" t="n">
        <v>0</v>
      </c>
      <c r="Q300" t="inlineStr">
        <is>
          <t>flat</t>
        </is>
      </c>
      <c r="R300" s="6" t="n">
        <v>2394</v>
      </c>
      <c r="S300" t="inlineStr">
        <is>
          <t>Solio</t>
        </is>
      </c>
      <c r="U300" s="6" t="n">
        <v>86.90000000000001</v>
      </c>
      <c r="V300" s="2" t="n">
        <v>8</v>
      </c>
      <c r="W300" s="7">
        <f>IF(N(U300)&lt;=0,0,MIN(Assumptions!$B$15,N(R300)/N(U300)))</f>
        <v/>
      </c>
      <c r="X300" s="6" t="n">
        <v>0.17</v>
      </c>
      <c r="Y300" s="10" t="n">
        <v>0.09619999999999999</v>
      </c>
      <c r="Z300" t="inlineStr">
        <is>
          <t>adjusted xGOT</t>
        </is>
      </c>
      <c r="AA300" s="3" t="n">
        <v>1</v>
      </c>
      <c r="AB300" s="3" t="n">
        <v>1.085</v>
      </c>
      <c r="AC300" s="3" t="n">
        <v>1.9</v>
      </c>
      <c r="AD300" s="10" t="n">
        <v>0.0028</v>
      </c>
      <c r="AE300" s="3" t="n">
        <v>7.195</v>
      </c>
      <c r="AF300" s="3" t="n">
        <v>0.1641877591817069</v>
      </c>
      <c r="AG300" s="3" t="n">
        <v>0.3325</v>
      </c>
      <c r="AH300" s="3" t="n">
        <v>21</v>
      </c>
      <c r="AI300" s="3" t="n">
        <v>3.5741</v>
      </c>
      <c r="AJ300" s="3" t="n">
        <v>1.8319</v>
      </c>
      <c r="AK300" s="3" t="n">
        <v>-0.1934947122418925</v>
      </c>
      <c r="AL300" s="6" t="n">
        <v>0</v>
      </c>
      <c r="AM300" s="3" t="n">
        <v>0</v>
      </c>
      <c r="AN300" s="10" t="n">
        <v>0.5771999999999999</v>
      </c>
      <c r="AO300" s="10" t="n">
        <v>0.011088</v>
      </c>
      <c r="AP300" s="3">
        <f>N(X300)*N(BI300)</f>
        <v/>
      </c>
      <c r="AQ300" s="3" t="n">
        <v>0.3325</v>
      </c>
      <c r="AR300" s="3" t="n">
        <v>0</v>
      </c>
      <c r="AS300" s="3" t="n">
        <v>-0.6723587286814016</v>
      </c>
      <c r="AT300" s="3" t="n">
        <v>-0.1934947122418925</v>
      </c>
      <c r="AU300" s="3">
        <f>SUM(AN300:AT300)</f>
        <v/>
      </c>
      <c r="AV300" s="7">
        <f>IF(OR(N(W300)&lt;=0,N(BG300)=0),0,N(W300)*IF(N(R300)/N(W300)&gt;=60,N(BG300),1))</f>
        <v/>
      </c>
      <c r="AW300" s="7">
        <f>N(W300)*N(AF300)*N(BH300)</f>
        <v/>
      </c>
      <c r="AX300" s="7">
        <f>N(AL300)*(Assumptions!$B$13*N(BJ300)-(1-Assumptions!$B$13)*Assumptions!$B$14)+N(AM300)</f>
        <v/>
      </c>
      <c r="AY300" s="7">
        <f>N(AU300)*N(R300)/90+N(AV300)+N(AW300)+N(AX300)</f>
        <v/>
      </c>
      <c r="AZ300" s="3">
        <f>IF(N(R300)&lt;=0,0,(N(AY300)-N(AX300))*90/N(R300))</f>
        <v/>
      </c>
      <c r="BA300" s="7">
        <f>IFERROR(AY300-VLOOKUP($E300,Assumptions!$A$40:$C$43,3,FALSE),"")</f>
        <v/>
      </c>
      <c r="BB300" s="3">
        <f>IFERROR(BA300/H300,"")</f>
        <v/>
      </c>
      <c r="BC300">
        <f>IF(AND($G300=TRUE,$E300="GKP"),AY300,"")</f>
        <v/>
      </c>
      <c r="BD300">
        <f>IF(AND($G300=TRUE,$E300="DEF"),AY300,"")</f>
        <v/>
      </c>
      <c r="BE300">
        <f>IF(AND($G300=TRUE,$E300="MID"),AY300,"")</f>
        <v/>
      </c>
      <c r="BF300">
        <f>IF(AND($G300=TRUE,$E300="FWD"),AY300,"")</f>
        <v/>
      </c>
      <c r="BG300" t="n">
        <v>2</v>
      </c>
      <c r="BH300" t="n">
        <v>2</v>
      </c>
      <c r="BI300" t="n">
        <v>4</v>
      </c>
      <c r="BJ300" t="n">
        <v>6</v>
      </c>
    </row>
    <row r="301">
      <c r="A301" t="inlineStr">
        <is>
          <t>Ryan Yates</t>
        </is>
      </c>
      <c r="B301" t="inlineStr">
        <is>
          <t>NFO</t>
        </is>
      </c>
      <c r="C301" t="inlineStr">
        <is>
          <t>NFO</t>
        </is>
      </c>
      <c r="D301" t="b">
        <v>0</v>
      </c>
      <c r="E301" t="inlineStr">
        <is>
          <t>MID</t>
        </is>
      </c>
      <c r="F301" t="inlineStr">
        <is>
          <t>MID</t>
        </is>
      </c>
      <c r="G301" t="b">
        <v>1</v>
      </c>
      <c r="H301" s="2" t="n">
        <v>4.5</v>
      </c>
      <c r="I301" t="inlineStr">
        <is>
          <t>a</t>
        </is>
      </c>
      <c r="K301" s="2" t="n">
        <v>602</v>
      </c>
      <c r="L301" t="n">
        <v>30</v>
      </c>
      <c r="M301" s="3" t="n">
        <v>340</v>
      </c>
      <c r="N301" s="8" t="n">
        <v>340</v>
      </c>
      <c r="O301" s="8" t="n">
        <v>0</v>
      </c>
      <c r="Q301" t="inlineStr">
        <is>
          <t>flat</t>
        </is>
      </c>
      <c r="R301" s="6" t="n">
        <v>340</v>
      </c>
      <c r="S301" t="inlineStr">
        <is>
          <t>Solio</t>
        </is>
      </c>
      <c r="U301" s="6" t="n">
        <v>79.5</v>
      </c>
      <c r="V301" s="2" t="n">
        <v>2</v>
      </c>
      <c r="W301" s="7">
        <f>IF(N(U301)&lt;=0,0,MIN(Assumptions!$B$15,N(R301)/N(U301)))</f>
        <v/>
      </c>
      <c r="X301" s="6" t="n">
        <v>0.224</v>
      </c>
      <c r="Y301" s="3" t="n">
        <v>0.0646</v>
      </c>
      <c r="Z301" t="inlineStr">
        <is>
          <t>adjusted xGOT</t>
        </is>
      </c>
      <c r="AA301" s="3" t="n">
        <v>1</v>
      </c>
      <c r="AB301" s="3" t="n">
        <v>0.881</v>
      </c>
      <c r="AC301" s="3" t="n">
        <v>7.7</v>
      </c>
      <c r="AD301" s="3" t="n">
        <v>0.0447</v>
      </c>
      <c r="AE301" s="3" t="n">
        <v>9.369</v>
      </c>
      <c r="AF301" s="3" t="n">
        <v>0.1328660169520495</v>
      </c>
      <c r="AG301" s="3" t="n">
        <v>0</v>
      </c>
      <c r="AH301" s="3" t="n">
        <v>25</v>
      </c>
      <c r="AI301" s="3" t="n">
        <v>3.1134</v>
      </c>
      <c r="AJ301" s="3" t="n">
        <v>1.5588</v>
      </c>
      <c r="AK301" s="3" t="n">
        <v>-0.3470530485436379</v>
      </c>
      <c r="AL301" s="6" t="n">
        <v>0</v>
      </c>
      <c r="AM301" s="3" t="n">
        <v>0</v>
      </c>
      <c r="AN301" s="3" t="n">
        <v>0.323</v>
      </c>
      <c r="AO301" s="3" t="n">
        <v>0.177012</v>
      </c>
      <c r="AP301" s="3">
        <f>N(X301)*N(BI301)</f>
        <v/>
      </c>
      <c r="AQ301" s="3" t="n">
        <v>0</v>
      </c>
      <c r="AR301" s="3" t="n">
        <v>0</v>
      </c>
      <c r="AS301" s="3" t="n">
        <v>-0</v>
      </c>
      <c r="AT301" s="3" t="n">
        <v>-0.3470530485436379</v>
      </c>
      <c r="AU301" s="3">
        <f>SUM(AN301:AT301)</f>
        <v/>
      </c>
      <c r="AV301" s="7">
        <f>IF(OR(N(W301)&lt;=0,N(BG301)=0),0,N(W301)*IF(N(R301)/N(W301)&gt;=60,N(BG301),1))</f>
        <v/>
      </c>
      <c r="AW301" s="7">
        <f>N(W301)*N(AF301)*N(BH301)</f>
        <v/>
      </c>
      <c r="AX301" s="7">
        <f>N(AL301)*(Assumptions!$B$13*N(BJ301)-(1-Assumptions!$B$13)*Assumptions!$B$14)+N(AM301)</f>
        <v/>
      </c>
      <c r="AY301" s="7">
        <f>N(AU301)*N(R301)/90+N(AV301)+N(AW301)+N(AX301)</f>
        <v/>
      </c>
      <c r="AZ301" s="3">
        <f>IF(N(R301)&lt;=0,0,(N(AY301)-N(AX301))*90/N(R301))</f>
        <v/>
      </c>
      <c r="BA301" s="7">
        <f>IFERROR(AY301-VLOOKUP($E301,Assumptions!$A$40:$C$43,3,FALSE),"")</f>
        <v/>
      </c>
      <c r="BB301" s="3">
        <f>IFERROR(BA301/H301,"")</f>
        <v/>
      </c>
      <c r="BC301">
        <f>IF(AND($G301=TRUE,$E301="GKP"),AY301,"")</f>
        <v/>
      </c>
      <c r="BD301">
        <f>IF(AND($G301=TRUE,$E301="DEF"),AY301,"")</f>
        <v/>
      </c>
      <c r="BE301">
        <f>IF(AND($G301=TRUE,$E301="MID"),AY301,"")</f>
        <v/>
      </c>
      <c r="BF301">
        <f>IF(AND($G301=TRUE,$E301="FWD"),AY301,"")</f>
        <v/>
      </c>
      <c r="BG301" t="n">
        <v>2</v>
      </c>
      <c r="BH301" t="n">
        <v>2</v>
      </c>
      <c r="BI301" t="n">
        <v>1</v>
      </c>
      <c r="BJ301" t="n">
        <v>5</v>
      </c>
    </row>
    <row r="302">
      <c r="A302" t="inlineStr">
        <is>
          <t>Destiny Udogie</t>
        </is>
      </c>
      <c r="B302" t="inlineStr">
        <is>
          <t>TOT</t>
        </is>
      </c>
      <c r="C302" t="inlineStr">
        <is>
          <t>TOT</t>
        </is>
      </c>
      <c r="D302" t="b">
        <v>0</v>
      </c>
      <c r="E302" t="inlineStr">
        <is>
          <t>DEF</t>
        </is>
      </c>
      <c r="F302" t="inlineStr">
        <is>
          <t>DEF</t>
        </is>
      </c>
      <c r="G302" t="b">
        <v>1</v>
      </c>
      <c r="H302" s="2" t="n">
        <v>4.5</v>
      </c>
      <c r="I302" t="inlineStr">
        <is>
          <t>a</t>
        </is>
      </c>
      <c r="K302" s="2" t="n">
        <v>1335</v>
      </c>
      <c r="L302" t="n">
        <v>29</v>
      </c>
      <c r="M302" s="3" t="n">
        <v>685</v>
      </c>
      <c r="N302" s="4" t="n">
        <v>1550</v>
      </c>
      <c r="O302" s="4" t="n">
        <v>865</v>
      </c>
      <c r="P302" s="5" t="inlineStr">
        <is>
          <t>medium</t>
        </is>
      </c>
      <c r="Q302" t="inlineStr">
        <is>
          <t>flat</t>
        </is>
      </c>
      <c r="R302" s="6" t="n">
        <v>1550</v>
      </c>
      <c r="S302" t="inlineStr">
        <is>
          <t>research</t>
        </is>
      </c>
      <c r="T302" s="5" t="inlineStr">
        <is>
          <t>Same structural reason as Robertson: with Spence sold there is roughly a full left-back slot to share between two players, and Solio's Robertson-plus-Udogie total of 1,403 is far short of it. Udogie is confirmed fully fit with his workload managed and Gold expects him available 'potentially within the next eight days'. Held below Robertson because he has not started a pre-season game, missed 180 days last season, and Roma have opened talks.</t>
        </is>
      </c>
      <c r="U302" s="6" t="n">
        <v>84.2</v>
      </c>
      <c r="V302" s="2" t="n">
        <v>14</v>
      </c>
      <c r="W302" s="7">
        <f>IF(N(U302)&lt;=0,0,MIN(Assumptions!$B$15,N(R302)/N(U302)))</f>
        <v/>
      </c>
      <c r="X302" s="6" t="n">
        <v>0.286</v>
      </c>
      <c r="Y302" s="3" t="n">
        <v>0.0132</v>
      </c>
      <c r="Z302" t="inlineStr">
        <is>
          <t>adjusted xGOT</t>
        </is>
      </c>
      <c r="AA302" s="3" t="n">
        <v>1</v>
      </c>
      <c r="AB302" s="3" t="n">
        <v>1.091</v>
      </c>
      <c r="AC302" s="3" t="n">
        <v>2.9</v>
      </c>
      <c r="AD302" s="3" t="n">
        <v>0.0621</v>
      </c>
      <c r="AE302" s="3" t="n">
        <v>5.671</v>
      </c>
      <c r="AF302" s="3" t="n">
        <v>0.04430803645344139</v>
      </c>
      <c r="AG302" s="3" t="n">
        <v>0.0674</v>
      </c>
      <c r="AH302" s="3" t="n">
        <v>33</v>
      </c>
      <c r="AI302" s="3" t="n">
        <v>2.5739</v>
      </c>
      <c r="AJ302" s="3" t="n">
        <v>1.3096</v>
      </c>
      <c r="AK302" s="3" t="n">
        <v>-0.2078824957100245</v>
      </c>
      <c r="AL302" s="6" t="n">
        <v>0</v>
      </c>
      <c r="AM302" s="3" t="n">
        <v>0</v>
      </c>
      <c r="AN302" s="3" t="n">
        <v>0.07919999999999999</v>
      </c>
      <c r="AO302" s="3" t="n">
        <v>0.2459160000000001</v>
      </c>
      <c r="AP302" s="3">
        <f>N(X302)*N(BI302)</f>
        <v/>
      </c>
      <c r="AQ302" s="3" t="n">
        <v>0.0674</v>
      </c>
      <c r="AR302" s="3" t="n">
        <v>0</v>
      </c>
      <c r="AS302" s="3" t="n">
        <v>-0.4230152821052008</v>
      </c>
      <c r="AT302" s="3" t="n">
        <v>-0.2078824957100245</v>
      </c>
      <c r="AU302" s="3">
        <f>SUM(AN302:AT302)</f>
        <v/>
      </c>
      <c r="AV302" s="7">
        <f>IF(OR(N(W302)&lt;=0,N(BG302)=0),0,N(W302)*IF(N(R302)/N(W302)&gt;=60,N(BG302),1))</f>
        <v/>
      </c>
      <c r="AW302" s="7">
        <f>N(W302)*N(AF302)*N(BH302)</f>
        <v/>
      </c>
      <c r="AX302" s="7">
        <f>N(AL302)*(Assumptions!$B$13*N(BJ302)-(1-Assumptions!$B$13)*Assumptions!$B$14)+N(AM302)</f>
        <v/>
      </c>
      <c r="AY302" s="7">
        <f>N(AU302)*N(R302)/90+N(AV302)+N(AW302)+N(AX302)</f>
        <v/>
      </c>
      <c r="AZ302" s="3">
        <f>IF(N(R302)&lt;=0,0,(N(AY302)-N(AX302))*90/N(R302))</f>
        <v/>
      </c>
      <c r="BA302" s="7">
        <f>IFERROR(AY302-VLOOKUP($E302,Assumptions!$A$40:$C$43,3,FALSE),"")</f>
        <v/>
      </c>
      <c r="BB302" s="3">
        <f>IFERROR(BA302/H302,"")</f>
        <v/>
      </c>
      <c r="BC302">
        <f>IF(AND($G302=TRUE,$E302="GKP"),AY302,"")</f>
        <v/>
      </c>
      <c r="BD302">
        <f>IF(AND($G302=TRUE,$E302="DEF"),AY302,"")</f>
        <v/>
      </c>
      <c r="BE302">
        <f>IF(AND($G302=TRUE,$E302="MID"),AY302,"")</f>
        <v/>
      </c>
      <c r="BF302">
        <f>IF(AND($G302=TRUE,$E302="FWD"),AY302,"")</f>
        <v/>
      </c>
      <c r="BG302" t="n">
        <v>2</v>
      </c>
      <c r="BH302" t="n">
        <v>2</v>
      </c>
      <c r="BI302" t="n">
        <v>4</v>
      </c>
      <c r="BJ302" t="n">
        <v>6</v>
      </c>
    </row>
    <row r="303">
      <c r="A303" t="inlineStr">
        <is>
          <t>Myles Lewis-Skelly</t>
        </is>
      </c>
      <c r="B303" t="inlineStr">
        <is>
          <t>ARS</t>
        </is>
      </c>
      <c r="C303" t="inlineStr">
        <is>
          <t>ARS</t>
        </is>
      </c>
      <c r="D303" t="b">
        <v>0</v>
      </c>
      <c r="E303" t="inlineStr">
        <is>
          <t>MID</t>
        </is>
      </c>
      <c r="F303" t="inlineStr">
        <is>
          <t>DEF</t>
        </is>
      </c>
      <c r="G303" t="b">
        <v>1</v>
      </c>
      <c r="H303" s="2" t="n">
        <v>5.5</v>
      </c>
      <c r="I303" t="inlineStr">
        <is>
          <t>a</t>
        </is>
      </c>
      <c r="K303" s="2" t="n">
        <v>697</v>
      </c>
      <c r="L303" t="n">
        <v>29</v>
      </c>
      <c r="M303" s="3" t="n">
        <v>394</v>
      </c>
      <c r="N303" s="8" t="n">
        <v>394</v>
      </c>
      <c r="O303" s="8" t="n">
        <v>0</v>
      </c>
      <c r="Q303" t="inlineStr">
        <is>
          <t>flat</t>
        </is>
      </c>
      <c r="R303" s="6" t="n">
        <v>394</v>
      </c>
      <c r="S303" t="inlineStr">
        <is>
          <t>Solio</t>
        </is>
      </c>
      <c r="U303" s="6" t="n">
        <v>85.7</v>
      </c>
      <c r="V303" s="2" t="n">
        <v>5</v>
      </c>
      <c r="W303" s="7">
        <f>IF(N(U303)&lt;=0,0,MIN(Assumptions!$B$15,N(R303)/N(U303)))</f>
        <v/>
      </c>
      <c r="X303" s="6" t="n">
        <v>0.391</v>
      </c>
      <c r="Y303" s="3" t="n">
        <v>0.0128</v>
      </c>
      <c r="Z303" t="inlineStr">
        <is>
          <t>adjusted xGOT</t>
        </is>
      </c>
      <c r="AA303" s="3" t="n">
        <v>1</v>
      </c>
      <c r="AB303" s="3" t="n">
        <v>0.993</v>
      </c>
      <c r="AC303" s="3" t="n">
        <v>0.3</v>
      </c>
      <c r="AD303" s="3" t="n">
        <v>0.0244</v>
      </c>
      <c r="AE303" s="3" t="n">
        <v>5.493</v>
      </c>
      <c r="AF303" s="3" t="n">
        <v>0.007633382218670826</v>
      </c>
      <c r="AG303" s="3" t="n">
        <v>0</v>
      </c>
      <c r="AH303" s="3" t="n">
        <v>25</v>
      </c>
      <c r="AI303" s="3" t="n">
        <v>2.067</v>
      </c>
      <c r="AJ303" s="3" t="n">
        <v>0.9838</v>
      </c>
      <c r="AK303" s="3" t="n">
        <v>-0.26006729803636</v>
      </c>
      <c r="AL303" s="6" t="n">
        <v>0</v>
      </c>
      <c r="AM303" s="3" t="n">
        <v>0</v>
      </c>
      <c r="AN303" s="3" t="n">
        <v>0.064</v>
      </c>
      <c r="AO303" s="3" t="n">
        <v>0.096624</v>
      </c>
      <c r="AP303" s="3">
        <f>N(X303)*N(BI303)</f>
        <v/>
      </c>
      <c r="AQ303" s="3" t="n">
        <v>0</v>
      </c>
      <c r="AR303" s="3" t="n">
        <v>0</v>
      </c>
      <c r="AS303" s="3" t="n">
        <v>-0</v>
      </c>
      <c r="AT303" s="3" t="n">
        <v>-0.26006729803636</v>
      </c>
      <c r="AU303" s="3">
        <f>SUM(AN303:AT303)</f>
        <v/>
      </c>
      <c r="AV303" s="7">
        <f>IF(OR(N(W303)&lt;=0,N(BG303)=0),0,N(W303)*IF(N(R303)/N(W303)&gt;=60,N(BG303),1))</f>
        <v/>
      </c>
      <c r="AW303" s="7">
        <f>N(W303)*N(AF303)*N(BH303)</f>
        <v/>
      </c>
      <c r="AX303" s="7">
        <f>N(AL303)*(Assumptions!$B$13*N(BJ303)-(1-Assumptions!$B$13)*Assumptions!$B$14)+N(AM303)</f>
        <v/>
      </c>
      <c r="AY303" s="7">
        <f>N(AU303)*N(R303)/90+N(AV303)+N(AW303)+N(AX303)</f>
        <v/>
      </c>
      <c r="AZ303" s="3">
        <f>IF(N(R303)&lt;=0,0,(N(AY303)-N(AX303))*90/N(R303))</f>
        <v/>
      </c>
      <c r="BA303" s="7">
        <f>IFERROR(AY303-VLOOKUP($E303,Assumptions!$A$40:$C$43,3,FALSE),"")</f>
        <v/>
      </c>
      <c r="BB303" s="3">
        <f>IFERROR(BA303/H303,"")</f>
        <v/>
      </c>
      <c r="BC303">
        <f>IF(AND($G303=TRUE,$E303="GKP"),AY303,"")</f>
        <v/>
      </c>
      <c r="BD303">
        <f>IF(AND($G303=TRUE,$E303="DEF"),AY303,"")</f>
        <v/>
      </c>
      <c r="BE303">
        <f>IF(AND($G303=TRUE,$E303="MID"),AY303,"")</f>
        <v/>
      </c>
      <c r="BF303">
        <f>IF(AND($G303=TRUE,$E303="FWD"),AY303,"")</f>
        <v/>
      </c>
      <c r="BG303" t="n">
        <v>2</v>
      </c>
      <c r="BH303" t="n">
        <v>2</v>
      </c>
      <c r="BI303" t="n">
        <v>1</v>
      </c>
      <c r="BJ303" t="n">
        <v>5</v>
      </c>
    </row>
    <row r="304">
      <c r="A304" t="inlineStr">
        <is>
          <t>Victor Lindelöf</t>
        </is>
      </c>
      <c r="B304" t="inlineStr">
        <is>
          <t>AVL</t>
        </is>
      </c>
      <c r="C304" t="inlineStr">
        <is>
          <t>AVL</t>
        </is>
      </c>
      <c r="D304" t="b">
        <v>0</v>
      </c>
      <c r="E304" t="inlineStr">
        <is>
          <t>DEF</t>
        </is>
      </c>
      <c r="F304" t="inlineStr">
        <is>
          <t>DEF</t>
        </is>
      </c>
      <c r="G304" t="b">
        <v>1</v>
      </c>
      <c r="H304" s="2" t="n">
        <v>4.5</v>
      </c>
      <c r="I304" t="inlineStr">
        <is>
          <t>a</t>
        </is>
      </c>
      <c r="K304" s="2" t="n">
        <v>942</v>
      </c>
      <c r="L304" t="n">
        <v>29</v>
      </c>
      <c r="M304" s="3" t="n">
        <v>884</v>
      </c>
      <c r="N304" s="4" t="n">
        <v>1150</v>
      </c>
      <c r="O304" s="4" t="n">
        <v>266</v>
      </c>
      <c r="P304" s="5" t="inlineStr">
        <is>
          <t>medium</t>
        </is>
      </c>
      <c r="Q304" t="inlineStr">
        <is>
          <t>fade (losing his place)</t>
        </is>
      </c>
      <c r="R304" s="6" t="n">
        <v>1150</v>
      </c>
      <c r="S304" t="inlineStr">
        <is>
          <t>research</t>
        </is>
      </c>
      <c r="T304" s="5" t="inlineStr">
        <is>
          <t>Solio flags 'fade (losing his place)', but Emery picked him to start the UEFA Super Cup final at centre-back and he started again against Monchengladbach. Raised only modestly because both those starts came while Konsa was away on post-World Cup rest, so they overstate his standing when the squad is whole.</t>
        </is>
      </c>
      <c r="U304" s="6" t="n">
        <v>84</v>
      </c>
      <c r="V304" s="2" t="n">
        <v>11</v>
      </c>
      <c r="W304" s="7">
        <f>IF(N(U304)&lt;=0,0,MIN(Assumptions!$B$15,N(R304)/N(U304)))</f>
        <v/>
      </c>
      <c r="X304" s="6" t="n">
        <v>0.273</v>
      </c>
      <c r="Y304" s="3" t="n">
        <v>0.0261</v>
      </c>
      <c r="Z304" t="inlineStr">
        <is>
          <t>adjusted xGOT</t>
        </is>
      </c>
      <c r="AA304" s="3" t="n">
        <v>1</v>
      </c>
      <c r="AB304" s="3" t="n">
        <v>0.976</v>
      </c>
      <c r="AC304" s="3" t="n">
        <v>1.2</v>
      </c>
      <c r="AD304" s="3" t="n">
        <v>0.0333</v>
      </c>
      <c r="AE304" s="3" t="n">
        <v>6.253</v>
      </c>
      <c r="AF304" s="3" t="n">
        <v>0.07310545644779953</v>
      </c>
      <c r="AG304" s="3" t="n">
        <v>0</v>
      </c>
      <c r="AH304" s="3" t="n">
        <v>27</v>
      </c>
      <c r="AI304" s="3" t="n">
        <v>2.7451</v>
      </c>
      <c r="AJ304" s="3" t="n">
        <v>1.3575</v>
      </c>
      <c r="AK304" s="3" t="n">
        <v>-0.1383049207274015</v>
      </c>
      <c r="AL304" s="6" t="n">
        <v>0</v>
      </c>
      <c r="AM304" s="3" t="n">
        <v>0</v>
      </c>
      <c r="AN304" s="3" t="n">
        <v>0.1566</v>
      </c>
      <c r="AO304" s="3" t="n">
        <v>0.131868</v>
      </c>
      <c r="AP304" s="3">
        <f>N(X304)*N(BI304)</f>
        <v/>
      </c>
      <c r="AQ304" s="3" t="n">
        <v>0</v>
      </c>
      <c r="AR304" s="3" t="n">
        <v>0</v>
      </c>
      <c r="AS304" s="3" t="n">
        <v>-0.4453012382517575</v>
      </c>
      <c r="AT304" s="3" t="n">
        <v>-0.1383049207274015</v>
      </c>
      <c r="AU304" s="3">
        <f>SUM(AN304:AT304)</f>
        <v/>
      </c>
      <c r="AV304" s="7">
        <f>IF(OR(N(W304)&lt;=0,N(BG304)=0),0,N(W304)*IF(N(R304)/N(W304)&gt;=60,N(BG304),1))</f>
        <v/>
      </c>
      <c r="AW304" s="7">
        <f>N(W304)*N(AF304)*N(BH304)</f>
        <v/>
      </c>
      <c r="AX304" s="7">
        <f>N(AL304)*(Assumptions!$B$13*N(BJ304)-(1-Assumptions!$B$13)*Assumptions!$B$14)+N(AM304)</f>
        <v/>
      </c>
      <c r="AY304" s="7">
        <f>N(AU304)*N(R304)/90+N(AV304)+N(AW304)+N(AX304)</f>
        <v/>
      </c>
      <c r="AZ304" s="3">
        <f>IF(N(R304)&lt;=0,0,(N(AY304)-N(AX304))*90/N(R304))</f>
        <v/>
      </c>
      <c r="BA304" s="7">
        <f>IFERROR(AY304-VLOOKUP($E304,Assumptions!$A$40:$C$43,3,FALSE),"")</f>
        <v/>
      </c>
      <c r="BB304" s="3">
        <f>IFERROR(BA304/H304,"")</f>
        <v/>
      </c>
      <c r="BC304">
        <f>IF(AND($G304=TRUE,$E304="GKP"),AY304,"")</f>
        <v/>
      </c>
      <c r="BD304">
        <f>IF(AND($G304=TRUE,$E304="DEF"),AY304,"")</f>
        <v/>
      </c>
      <c r="BE304">
        <f>IF(AND($G304=TRUE,$E304="MID"),AY304,"")</f>
        <v/>
      </c>
      <c r="BF304">
        <f>IF(AND($G304=TRUE,$E304="FWD"),AY304,"")</f>
        <v/>
      </c>
      <c r="BG304" t="n">
        <v>2</v>
      </c>
      <c r="BH304" t="n">
        <v>2</v>
      </c>
      <c r="BI304" t="n">
        <v>4</v>
      </c>
      <c r="BJ304" t="n">
        <v>6</v>
      </c>
    </row>
    <row r="305">
      <c r="A305" t="inlineStr">
        <is>
          <t>Charly Alcaraz</t>
        </is>
      </c>
      <c r="B305" t="inlineStr">
        <is>
          <t>EVE</t>
        </is>
      </c>
      <c r="C305" t="inlineStr">
        <is>
          <t>EVE</t>
        </is>
      </c>
      <c r="D305" t="b">
        <v>0</v>
      </c>
      <c r="E305" t="inlineStr">
        <is>
          <t>MID</t>
        </is>
      </c>
      <c r="F305" t="inlineStr">
        <is>
          <t>MID</t>
        </is>
      </c>
      <c r="G305" t="b">
        <v>1</v>
      </c>
      <c r="H305" s="2" t="n">
        <v>5</v>
      </c>
      <c r="I305" t="inlineStr">
        <is>
          <t>a</t>
        </is>
      </c>
      <c r="K305" s="2" t="n">
        <v>679</v>
      </c>
      <c r="L305" t="n">
        <v>29</v>
      </c>
      <c r="M305" s="3" t="n">
        <v>191</v>
      </c>
      <c r="N305" s="8" t="n">
        <v>191</v>
      </c>
      <c r="O305" s="8" t="n">
        <v>0</v>
      </c>
      <c r="Q305" t="inlineStr">
        <is>
          <t>flat</t>
        </is>
      </c>
      <c r="R305" s="6" t="n">
        <v>191</v>
      </c>
      <c r="S305" t="inlineStr">
        <is>
          <t>Solio</t>
        </is>
      </c>
      <c r="U305" s="6" t="n">
        <v>78</v>
      </c>
      <c r="V305" s="2" t="n">
        <v>6</v>
      </c>
      <c r="W305" s="7">
        <f>IF(N(U305)&lt;=0,0,MIN(Assumptions!$B$15,N(R305)/N(U305)))</f>
        <v/>
      </c>
      <c r="X305" s="6" t="n">
        <v>0.231</v>
      </c>
      <c r="Y305" s="3" t="n">
        <v>0.1671</v>
      </c>
      <c r="Z305" t="inlineStr">
        <is>
          <t>adjusted xGOT</t>
        </is>
      </c>
      <c r="AA305" s="3" t="n">
        <v>1</v>
      </c>
      <c r="AB305" s="3" t="n">
        <v>1.078</v>
      </c>
      <c r="AC305" s="3" t="n">
        <v>4.7</v>
      </c>
      <c r="AD305" s="3" t="n">
        <v>0.1162</v>
      </c>
      <c r="AE305" s="3" t="n">
        <v>8.917</v>
      </c>
      <c r="AF305" s="3" t="n">
        <v>0.093299955205703</v>
      </c>
      <c r="AG305" s="3" t="n">
        <v>0</v>
      </c>
      <c r="AH305" s="3" t="n">
        <v>27</v>
      </c>
      <c r="AI305" s="3" t="n">
        <v>3.0311</v>
      </c>
      <c r="AJ305" s="3" t="n">
        <v>1.5252</v>
      </c>
      <c r="AK305" s="3" t="n">
        <v>-0.3513700501428538</v>
      </c>
      <c r="AL305" s="6" t="n">
        <v>0</v>
      </c>
      <c r="AM305" s="3" t="n">
        <v>0</v>
      </c>
      <c r="AN305" s="3" t="n">
        <v>0.8355</v>
      </c>
      <c r="AO305" s="3" t="n">
        <v>0.4601520000000001</v>
      </c>
      <c r="AP305" s="3">
        <f>N(X305)*N(BI305)</f>
        <v/>
      </c>
      <c r="AQ305" s="3" t="n">
        <v>0</v>
      </c>
      <c r="AR305" s="3" t="n">
        <v>0</v>
      </c>
      <c r="AS305" s="3" t="n">
        <v>-0</v>
      </c>
      <c r="AT305" s="3" t="n">
        <v>-0.3513700501428538</v>
      </c>
      <c r="AU305" s="3">
        <f>SUM(AN305:AT305)</f>
        <v/>
      </c>
      <c r="AV305" s="7">
        <f>IF(OR(N(W305)&lt;=0,N(BG305)=0),0,N(W305)*IF(N(R305)/N(W305)&gt;=60,N(BG305),1))</f>
        <v/>
      </c>
      <c r="AW305" s="7">
        <f>N(W305)*N(AF305)*N(BH305)</f>
        <v/>
      </c>
      <c r="AX305" s="7">
        <f>N(AL305)*(Assumptions!$B$13*N(BJ305)-(1-Assumptions!$B$13)*Assumptions!$B$14)+N(AM305)</f>
        <v/>
      </c>
      <c r="AY305" s="7">
        <f>N(AU305)*N(R305)/90+N(AV305)+N(AW305)+N(AX305)</f>
        <v/>
      </c>
      <c r="AZ305" s="3">
        <f>IF(N(R305)&lt;=0,0,(N(AY305)-N(AX305))*90/N(R305))</f>
        <v/>
      </c>
      <c r="BA305" s="7">
        <f>IFERROR(AY305-VLOOKUP($E305,Assumptions!$A$40:$C$43,3,FALSE),"")</f>
        <v/>
      </c>
      <c r="BB305" s="3">
        <f>IFERROR(BA305/H305,"")</f>
        <v/>
      </c>
      <c r="BC305">
        <f>IF(AND($G305=TRUE,$E305="GKP"),AY305,"")</f>
        <v/>
      </c>
      <c r="BD305">
        <f>IF(AND($G305=TRUE,$E305="DEF"),AY305,"")</f>
        <v/>
      </c>
      <c r="BE305">
        <f>IF(AND($G305=TRUE,$E305="MID"),AY305,"")</f>
        <v/>
      </c>
      <c r="BF305">
        <f>IF(AND($G305=TRUE,$E305="FWD"),AY305,"")</f>
        <v/>
      </c>
      <c r="BG305" t="n">
        <v>2</v>
      </c>
      <c r="BH305" t="n">
        <v>2</v>
      </c>
      <c r="BI305" t="n">
        <v>1</v>
      </c>
      <c r="BJ305" t="n">
        <v>5</v>
      </c>
    </row>
    <row r="306">
      <c r="A306" t="inlineStr">
        <is>
          <t>Yoane Wissa</t>
        </is>
      </c>
      <c r="B306" t="inlineStr">
        <is>
          <t>NEW</t>
        </is>
      </c>
      <c r="C306" t="inlineStr">
        <is>
          <t>NEW</t>
        </is>
      </c>
      <c r="D306" t="b">
        <v>0</v>
      </c>
      <c r="E306" t="inlineStr">
        <is>
          <t>FWD</t>
        </is>
      </c>
      <c r="F306" t="inlineStr">
        <is>
          <t>FWD</t>
        </is>
      </c>
      <c r="G306" t="b">
        <v>1</v>
      </c>
      <c r="H306" s="2" t="n">
        <v>6</v>
      </c>
      <c r="I306" t="inlineStr">
        <is>
          <t>a</t>
        </is>
      </c>
      <c r="K306" s="2" t="n">
        <v>517</v>
      </c>
      <c r="L306" t="n">
        <v>27</v>
      </c>
      <c r="M306" s="3" t="n">
        <v>1277</v>
      </c>
      <c r="N306" s="4" t="n">
        <v>1900</v>
      </c>
      <c r="O306" s="4" t="n">
        <v>623</v>
      </c>
      <c r="P306" s="5" t="inlineStr">
        <is>
          <t>high</t>
        </is>
      </c>
      <c r="Q306" t="inlineStr">
        <is>
          <t>flat</t>
        </is>
      </c>
      <c r="R306" s="6" t="n">
        <v>1900</v>
      </c>
      <c r="S306" t="inlineStr">
        <is>
          <t>research</t>
        </is>
      </c>
      <c r="T306" s="5" t="inlineStr">
        <is>
          <t>Solio's 1,277 anchors on his injury-wrecked 517 minutes in 2025/26. He has started all three of Jaissle's pre-season matches (as the No.10 behind Osula v Everton, as the No.9 v Leverkusen) and scored twice after coming on at Valencia. The Athletic reported the club explored selling him but decided the loss was too large, and expects a World Cup plus a full pre-season to lift his output. The Mag's predicted XI has him leading the line v Liverpool.</t>
        </is>
      </c>
      <c r="U306" s="6" t="n">
        <v>76.09999999999999</v>
      </c>
      <c r="V306" s="2" t="n">
        <v>4</v>
      </c>
      <c r="W306" s="7">
        <f>IF(N(U306)&lt;=0,0,MIN(Assumptions!$B$15,N(R306)/N(U306)))</f>
        <v/>
      </c>
      <c r="X306" s="6" t="n">
        <v>0.248</v>
      </c>
      <c r="Y306" s="3" t="n">
        <v>0.5092</v>
      </c>
      <c r="Z306" t="inlineStr">
        <is>
          <t>adjusted xGOT</t>
        </is>
      </c>
      <c r="AA306" s="3" t="n">
        <v>1</v>
      </c>
      <c r="AB306" s="3" t="n">
        <v>0.9350000000000001</v>
      </c>
      <c r="AC306" s="3" t="n">
        <v>37.9</v>
      </c>
      <c r="AD306" s="3" t="n">
        <v>0.0618</v>
      </c>
      <c r="AE306" s="3" t="n">
        <v>4.39</v>
      </c>
      <c r="AF306" s="3" t="n">
        <v>0.000483569870980638</v>
      </c>
      <c r="AG306" s="3" t="n">
        <v>0</v>
      </c>
      <c r="AH306" s="3" t="n">
        <v>23</v>
      </c>
      <c r="AI306" s="3" t="n">
        <v>3.0912</v>
      </c>
      <c r="AJ306" s="3" t="n">
        <v>1.4534</v>
      </c>
      <c r="AK306" s="3" t="n">
        <v>-0.229874323940444</v>
      </c>
      <c r="AL306" s="6" t="n">
        <v>0.2172485302400686</v>
      </c>
      <c r="AM306" s="3" t="n">
        <v>0</v>
      </c>
      <c r="AN306" s="3" t="n">
        <v>2.0368</v>
      </c>
      <c r="AO306" s="3" t="n">
        <v>0.244728</v>
      </c>
      <c r="AP306" s="3">
        <f>N(X306)*N(BI306)</f>
        <v/>
      </c>
      <c r="AQ306" s="3" t="n">
        <v>0</v>
      </c>
      <c r="AR306" s="3" t="n">
        <v>0</v>
      </c>
      <c r="AS306" s="3" t="n">
        <v>-0</v>
      </c>
      <c r="AT306" s="3" t="n">
        <v>-0.229874323940444</v>
      </c>
      <c r="AU306" s="3">
        <f>SUM(AN306:AT306)</f>
        <v/>
      </c>
      <c r="AV306" s="7">
        <f>IF(OR(N(W306)&lt;=0,N(BG306)=0),0,N(W306)*IF(N(R306)/N(W306)&gt;=60,N(BG306),1))</f>
        <v/>
      </c>
      <c r="AW306" s="7">
        <f>N(W306)*N(AF306)*N(BH306)</f>
        <v/>
      </c>
      <c r="AX306" s="7">
        <f>N(AL306)*(Assumptions!$B$13*N(BJ306)-(1-Assumptions!$B$13)*Assumptions!$B$14)+N(AM306)</f>
        <v/>
      </c>
      <c r="AY306" s="7">
        <f>N(AU306)*N(R306)/90+N(AV306)+N(AW306)+N(AX306)</f>
        <v/>
      </c>
      <c r="AZ306" s="3">
        <f>IF(N(R306)&lt;=0,0,(N(AY306)-N(AX306))*90/N(R306))</f>
        <v/>
      </c>
      <c r="BA306" s="7">
        <f>IFERROR(AY306-VLOOKUP($E306,Assumptions!$A$40:$C$43,3,FALSE),"")</f>
        <v/>
      </c>
      <c r="BB306" s="3">
        <f>IFERROR(BA306/H306,"")</f>
        <v/>
      </c>
      <c r="BC306">
        <f>IF(AND($G306=TRUE,$E306="GKP"),AY306,"")</f>
        <v/>
      </c>
      <c r="BD306">
        <f>IF(AND($G306=TRUE,$E306="DEF"),AY306,"")</f>
        <v/>
      </c>
      <c r="BE306">
        <f>IF(AND($G306=TRUE,$E306="MID"),AY306,"")</f>
        <v/>
      </c>
      <c r="BF306">
        <f>IF(AND($G306=TRUE,$E306="FWD"),AY306,"")</f>
        <v/>
      </c>
      <c r="BG306" t="n">
        <v>2</v>
      </c>
      <c r="BH306" t="n">
        <v>2</v>
      </c>
      <c r="BI306" t="n">
        <v>0</v>
      </c>
      <c r="BJ306" t="n">
        <v>4</v>
      </c>
    </row>
    <row r="307">
      <c r="A307" t="inlineStr">
        <is>
          <t>Enes Ünal</t>
        </is>
      </c>
      <c r="B307" t="inlineStr">
        <is>
          <t>BOU</t>
        </is>
      </c>
      <c r="C307" t="inlineStr">
        <is>
          <t>BOU</t>
        </is>
      </c>
      <c r="D307" t="b">
        <v>0</v>
      </c>
      <c r="E307" t="inlineStr">
        <is>
          <t>FWD</t>
        </is>
      </c>
      <c r="F307" t="inlineStr">
        <is>
          <t>FWD</t>
        </is>
      </c>
      <c r="G307" t="b">
        <v>1</v>
      </c>
      <c r="H307" s="2" t="n">
        <v>5.5</v>
      </c>
      <c r="I307" t="inlineStr">
        <is>
          <t>u</t>
        </is>
      </c>
      <c r="J307" t="inlineStr">
        <is>
          <t>Has joined Getafe permanently</t>
        </is>
      </c>
      <c r="K307" s="2" t="n">
        <v>214</v>
      </c>
      <c r="L307" t="n">
        <v>27</v>
      </c>
      <c r="M307" s="3" t="n"/>
      <c r="N307" s="4" t="n">
        <v>0</v>
      </c>
      <c r="O307" s="4" t="n">
        <v>-214</v>
      </c>
      <c r="P307" s="5" t="inlineStr">
        <is>
          <t>high</t>
        </is>
      </c>
      <c r="R307" s="6" t="n">
        <v>0</v>
      </c>
      <c r="S307" t="inlineStr">
        <is>
          <t>research</t>
        </is>
      </c>
      <c r="T307" s="5" t="inlineStr">
        <is>
          <t>Joined Getafe permanently on 13 Aug 2026, after Solio's data cutoff. He is no longer a Bournemouth player and cannot record a Premier League minute for them. The FPL bootstrap independently flags him status 'u' with the news string 'Has joined Getafe permanently'.</t>
        </is>
      </c>
      <c r="U307" s="6" t="n">
        <v>78.5</v>
      </c>
      <c r="V307" s="2" t="n">
        <v>0</v>
      </c>
      <c r="W307" s="7">
        <f>IF(N(U307)&lt;=0,0,MIN(Assumptions!$B$15,N(R307)/N(U307)))</f>
        <v/>
      </c>
      <c r="X307" s="6" t="n">
        <v>0.23</v>
      </c>
      <c r="Y307" s="3" t="n">
        <v>0.7023</v>
      </c>
      <c r="Z307" t="inlineStr">
        <is>
          <t>adjusted xGOT</t>
        </is>
      </c>
      <c r="AA307" s="3" t="n">
        <v>1</v>
      </c>
      <c r="AB307" s="3" t="n">
        <v>0.835</v>
      </c>
      <c r="AC307" s="3" t="n">
        <v>7.6</v>
      </c>
      <c r="AD307" s="3" t="n">
        <v>0.0745</v>
      </c>
      <c r="AE307" s="3" t="n">
        <v>5.911</v>
      </c>
      <c r="AF307" s="3" t="n">
        <v>0.006861587310216022</v>
      </c>
      <c r="AG307" s="3" t="n">
        <v>0.4206</v>
      </c>
      <c r="AH307" s="3" t="n">
        <v>23</v>
      </c>
      <c r="AI307" s="3" t="n">
        <v>3.0957</v>
      </c>
      <c r="AJ307" s="3" t="n">
        <v>1.53</v>
      </c>
      <c r="AK307" s="3" t="n">
        <v>-0.2485444029356791</v>
      </c>
      <c r="AL307" s="6" t="n">
        <v>0</v>
      </c>
      <c r="AM307" s="3" t="n">
        <v>0</v>
      </c>
      <c r="AN307" s="3" t="n">
        <v>2.8092</v>
      </c>
      <c r="AO307" s="3" t="n">
        <v>0.29502</v>
      </c>
      <c r="AP307" s="3">
        <f>N(X307)*N(BI307)</f>
        <v/>
      </c>
      <c r="AQ307" s="3" t="n">
        <v>0.4206</v>
      </c>
      <c r="AR307" s="3" t="n">
        <v>0</v>
      </c>
      <c r="AS307" s="3" t="n">
        <v>-0</v>
      </c>
      <c r="AT307" s="3" t="n">
        <v>-0.2485444029356791</v>
      </c>
      <c r="AU307" s="3">
        <f>SUM(AN307:AT307)</f>
        <v/>
      </c>
      <c r="AV307" s="7">
        <f>IF(OR(N(W307)&lt;=0,N(BG307)=0),0,N(W307)*IF(N(R307)/N(W307)&gt;=60,N(BG307),1))</f>
        <v/>
      </c>
      <c r="AW307" s="7">
        <f>N(W307)*N(AF307)*N(BH307)</f>
        <v/>
      </c>
      <c r="AX307" s="7">
        <f>N(AL307)*(Assumptions!$B$13*N(BJ307)-(1-Assumptions!$B$13)*Assumptions!$B$14)+N(AM307)</f>
        <v/>
      </c>
      <c r="AY307" s="7">
        <f>N(AU307)*N(R307)/90+N(AV307)+N(AW307)+N(AX307)</f>
        <v/>
      </c>
      <c r="AZ307" s="3">
        <f>IF(N(R307)&lt;=0,0,(N(AY307)-N(AX307))*90/N(R307))</f>
        <v/>
      </c>
      <c r="BA307" s="7">
        <f>IFERROR(AY307-VLOOKUP($E307,Assumptions!$A$40:$C$43,3,FALSE),"")</f>
        <v/>
      </c>
      <c r="BB307" s="3">
        <f>IFERROR(BA307/H307,"")</f>
        <v/>
      </c>
      <c r="BC307">
        <f>IF(AND($G307=TRUE,$E307="GKP"),AY307,"")</f>
        <v/>
      </c>
      <c r="BD307">
        <f>IF(AND($G307=TRUE,$E307="DEF"),AY307,"")</f>
        <v/>
      </c>
      <c r="BE307">
        <f>IF(AND($G307=TRUE,$E307="MID"),AY307,"")</f>
        <v/>
      </c>
      <c r="BF307">
        <f>IF(AND($G307=TRUE,$E307="FWD"),AY307,"")</f>
        <v/>
      </c>
      <c r="BG307" t="n">
        <v>2</v>
      </c>
      <c r="BH307" t="n">
        <v>2</v>
      </c>
      <c r="BI307" t="n">
        <v>0</v>
      </c>
      <c r="BJ307" t="n">
        <v>4</v>
      </c>
    </row>
    <row r="308">
      <c r="A308" t="inlineStr">
        <is>
          <t>Luke O'Nien</t>
        </is>
      </c>
      <c r="B308" t="inlineStr">
        <is>
          <t>SUN</t>
        </is>
      </c>
      <c r="C308" t="inlineStr">
        <is>
          <t>SUN</t>
        </is>
      </c>
      <c r="D308" t="b">
        <v>0</v>
      </c>
      <c r="E308" t="inlineStr">
        <is>
          <t>DEF</t>
        </is>
      </c>
      <c r="F308" t="inlineStr">
        <is>
          <t>DEF</t>
        </is>
      </c>
      <c r="G308" t="b">
        <v>1</v>
      </c>
      <c r="H308" s="2" t="n">
        <v>4</v>
      </c>
      <c r="I308" t="inlineStr">
        <is>
          <t>a</t>
        </is>
      </c>
      <c r="K308" s="2" t="n">
        <v>565</v>
      </c>
      <c r="L308" t="n">
        <v>26</v>
      </c>
      <c r="M308" s="3" t="n">
        <v>406</v>
      </c>
      <c r="N308" s="4" t="n">
        <v>1050</v>
      </c>
      <c r="O308" s="4" t="n">
        <v>644</v>
      </c>
      <c r="P308" s="5" t="inlineStr">
        <is>
          <t>medium</t>
        </is>
      </c>
      <c r="Q308" t="inlineStr">
        <is>
          <t>flat</t>
        </is>
      </c>
      <c r="R308" s="6" t="n">
        <v>1050</v>
      </c>
      <c r="S308" t="inlineStr">
        <is>
          <t>research</t>
        </is>
      </c>
      <c r="T308" s="5" t="inlineStr">
        <is>
          <t>Solio has O'Nien at 406 minutes, a deep-squad number. He started both August friendlies at centre-back, and both the 11 Aug Echo preview and follow-up analysis have him starting the opener, with Le Bris quoted that 'we know he's ready to be competitive in that league'. Deliberately not raised further: the opening is created by Mukiele's and Alderete's knocks, both of which Le Bris expects to clear within weeks, and O'Nien is 31 with 565 Premier League minutes last season. The proposed figure treats him as a genuine rotation defender who starts the season in the XI, not as a new nailed-on starter.</t>
        </is>
      </c>
      <c r="U308" s="6" t="n">
        <v>87</v>
      </c>
      <c r="V308" s="2" t="n">
        <v>5</v>
      </c>
      <c r="W308" s="7">
        <f>IF(N(U308)&lt;=0,0,MIN(Assumptions!$B$15,N(R308)/N(U308)))</f>
        <v/>
      </c>
      <c r="X308" s="6" t="n">
        <v>0.204</v>
      </c>
      <c r="Y308" s="3" t="n">
        <v>0.0237</v>
      </c>
      <c r="Z308" t="inlineStr">
        <is>
          <t>adjusted xGOT</t>
        </is>
      </c>
      <c r="AA308" s="3" t="n">
        <v>1</v>
      </c>
      <c r="AB308" s="3" t="n">
        <v>0.994</v>
      </c>
      <c r="AC308" s="3" t="n">
        <v>0.2</v>
      </c>
      <c r="AD308" s="3" t="n">
        <v>0.0188</v>
      </c>
      <c r="AE308" s="3" t="n">
        <v>7.318</v>
      </c>
      <c r="AF308" s="3" t="n">
        <v>0.1770935280343157</v>
      </c>
      <c r="AG308" s="3" t="n">
        <v>0.1593</v>
      </c>
      <c r="AH308" s="3" t="n">
        <v>18</v>
      </c>
      <c r="AI308" s="3" t="n">
        <v>3.3348</v>
      </c>
      <c r="AJ308" s="3" t="n">
        <v>1.6498</v>
      </c>
      <c r="AK308" s="3" t="n">
        <v>-0.1977506570608021</v>
      </c>
      <c r="AL308" s="6" t="n">
        <v>0</v>
      </c>
      <c r="AM308" s="3" t="n">
        <v>0</v>
      </c>
      <c r="AN308" s="3" t="n">
        <v>0.1422</v>
      </c>
      <c r="AO308" s="3" t="n">
        <v>0.07444800000000001</v>
      </c>
      <c r="AP308" s="3">
        <f>N(X308)*N(BI308)</f>
        <v/>
      </c>
      <c r="AQ308" s="3" t="n">
        <v>0.1593</v>
      </c>
      <c r="AR308" s="3" t="n">
        <v>0</v>
      </c>
      <c r="AS308" s="3" t="n">
        <v>-0.5841244809045405</v>
      </c>
      <c r="AT308" s="3" t="n">
        <v>-0.1977506570608021</v>
      </c>
      <c r="AU308" s="3">
        <f>SUM(AN308:AT308)</f>
        <v/>
      </c>
      <c r="AV308" s="7">
        <f>IF(OR(N(W308)&lt;=0,N(BG308)=0),0,N(W308)*IF(N(R308)/N(W308)&gt;=60,N(BG308),1))</f>
        <v/>
      </c>
      <c r="AW308" s="7">
        <f>N(W308)*N(AF308)*N(BH308)</f>
        <v/>
      </c>
      <c r="AX308" s="7">
        <f>N(AL308)*(Assumptions!$B$13*N(BJ308)-(1-Assumptions!$B$13)*Assumptions!$B$14)+N(AM308)</f>
        <v/>
      </c>
      <c r="AY308" s="7">
        <f>N(AU308)*N(R308)/90+N(AV308)+N(AW308)+N(AX308)</f>
        <v/>
      </c>
      <c r="AZ308" s="3">
        <f>IF(N(R308)&lt;=0,0,(N(AY308)-N(AX308))*90/N(R308))</f>
        <v/>
      </c>
      <c r="BA308" s="7">
        <f>IFERROR(AY308-VLOOKUP($E308,Assumptions!$A$40:$C$43,3,FALSE),"")</f>
        <v/>
      </c>
      <c r="BB308" s="3">
        <f>IFERROR(BA308/H308,"")</f>
        <v/>
      </c>
      <c r="BC308">
        <f>IF(AND($G308=TRUE,$E308="GKP"),AY308,"")</f>
        <v/>
      </c>
      <c r="BD308">
        <f>IF(AND($G308=TRUE,$E308="DEF"),AY308,"")</f>
        <v/>
      </c>
      <c r="BE308">
        <f>IF(AND($G308=TRUE,$E308="MID"),AY308,"")</f>
        <v/>
      </c>
      <c r="BF308">
        <f>IF(AND($G308=TRUE,$E308="FWD"),AY308,"")</f>
        <v/>
      </c>
      <c r="BG308" t="n">
        <v>2</v>
      </c>
      <c r="BH308" t="n">
        <v>2</v>
      </c>
      <c r="BI308" t="n">
        <v>4</v>
      </c>
      <c r="BJ308" t="n">
        <v>6</v>
      </c>
    </row>
    <row r="309">
      <c r="A309" t="inlineStr">
        <is>
          <t>Dilane Bakwa</t>
        </is>
      </c>
      <c r="B309" t="inlineStr">
        <is>
          <t>NFO</t>
        </is>
      </c>
      <c r="C309" t="inlineStr">
        <is>
          <t>NFO</t>
        </is>
      </c>
      <c r="D309" t="b">
        <v>0</v>
      </c>
      <c r="E309" t="inlineStr">
        <is>
          <t>MID</t>
        </is>
      </c>
      <c r="F309" t="inlineStr">
        <is>
          <t>MID</t>
        </is>
      </c>
      <c r="G309" t="b">
        <v>1</v>
      </c>
      <c r="H309" s="2" t="n">
        <v>5.5</v>
      </c>
      <c r="I309" t="inlineStr">
        <is>
          <t>a</t>
        </is>
      </c>
      <c r="K309" s="2" t="n">
        <v>549</v>
      </c>
      <c r="L309" t="n">
        <v>26</v>
      </c>
      <c r="M309" s="3" t="n">
        <v>164</v>
      </c>
      <c r="N309" s="8" t="n">
        <v>164</v>
      </c>
      <c r="O309" s="8" t="n">
        <v>0</v>
      </c>
      <c r="Q309" t="inlineStr">
        <is>
          <t>flat</t>
        </is>
      </c>
      <c r="R309" s="6" t="n">
        <v>164</v>
      </c>
      <c r="S309" t="inlineStr">
        <is>
          <t>Solio</t>
        </is>
      </c>
      <c r="U309" s="6" t="n">
        <v>74.09999999999999</v>
      </c>
      <c r="V309" s="2" t="n">
        <v>6</v>
      </c>
      <c r="W309" s="7">
        <f>IF(N(U309)&lt;=0,0,MIN(Assumptions!$B$15,N(R309)/N(U309)))</f>
        <v/>
      </c>
      <c r="X309" s="6" t="n">
        <v>0.224</v>
      </c>
      <c r="Y309" s="3" t="n">
        <v>0.0851</v>
      </c>
      <c r="Z309" t="inlineStr">
        <is>
          <t>adjusted xGOT</t>
        </is>
      </c>
      <c r="AA309" s="3" t="n">
        <v>1</v>
      </c>
      <c r="AB309" s="3" t="n">
        <v>0.96</v>
      </c>
      <c r="AC309" s="3" t="n">
        <v>0.5</v>
      </c>
      <c r="AD309" s="3" t="n">
        <v>0.1825</v>
      </c>
      <c r="AE309" s="3" t="n">
        <v>7.349</v>
      </c>
      <c r="AF309" s="3" t="n">
        <v>0.02125795280200315</v>
      </c>
      <c r="AG309" s="3" t="n">
        <v>0.1639</v>
      </c>
      <c r="AH309" s="3" t="n">
        <v>18</v>
      </c>
      <c r="AI309" s="3" t="n">
        <v>3.1134</v>
      </c>
      <c r="AJ309" s="3" t="n">
        <v>1.5588</v>
      </c>
      <c r="AK309" s="3" t="n">
        <v>-0.2062518757226311</v>
      </c>
      <c r="AL309" s="6" t="n">
        <v>0</v>
      </c>
      <c r="AM309" s="3" t="n">
        <v>0</v>
      </c>
      <c r="AN309" s="3" t="n">
        <v>0.4255</v>
      </c>
      <c r="AO309" s="3" t="n">
        <v>0.7227</v>
      </c>
      <c r="AP309" s="3">
        <f>N(X309)*N(BI309)</f>
        <v/>
      </c>
      <c r="AQ309" s="3" t="n">
        <v>0.1639</v>
      </c>
      <c r="AR309" s="3" t="n">
        <v>0</v>
      </c>
      <c r="AS309" s="3" t="n">
        <v>-0</v>
      </c>
      <c r="AT309" s="3" t="n">
        <v>-0.2062518757226311</v>
      </c>
      <c r="AU309" s="3">
        <f>SUM(AN309:AT309)</f>
        <v/>
      </c>
      <c r="AV309" s="7">
        <f>IF(OR(N(W309)&lt;=0,N(BG309)=0),0,N(W309)*IF(N(R309)/N(W309)&gt;=60,N(BG309),1))</f>
        <v/>
      </c>
      <c r="AW309" s="7">
        <f>N(W309)*N(AF309)*N(BH309)</f>
        <v/>
      </c>
      <c r="AX309" s="7">
        <f>N(AL309)*(Assumptions!$B$13*N(BJ309)-(1-Assumptions!$B$13)*Assumptions!$B$14)+N(AM309)</f>
        <v/>
      </c>
      <c r="AY309" s="7">
        <f>N(AU309)*N(R309)/90+N(AV309)+N(AW309)+N(AX309)</f>
        <v/>
      </c>
      <c r="AZ309" s="3">
        <f>IF(N(R309)&lt;=0,0,(N(AY309)-N(AX309))*90/N(R309))</f>
        <v/>
      </c>
      <c r="BA309" s="7">
        <f>IFERROR(AY309-VLOOKUP($E309,Assumptions!$A$40:$C$43,3,FALSE),"")</f>
        <v/>
      </c>
      <c r="BB309" s="3">
        <f>IFERROR(BA309/H309,"")</f>
        <v/>
      </c>
      <c r="BC309">
        <f>IF(AND($G309=TRUE,$E309="GKP"),AY309,"")</f>
        <v/>
      </c>
      <c r="BD309">
        <f>IF(AND($G309=TRUE,$E309="DEF"),AY309,"")</f>
        <v/>
      </c>
      <c r="BE309">
        <f>IF(AND($G309=TRUE,$E309="MID"),AY309,"")</f>
        <v/>
      </c>
      <c r="BF309">
        <f>IF(AND($G309=TRUE,$E309="FWD"),AY309,"")</f>
        <v/>
      </c>
      <c r="BG309" t="n">
        <v>2</v>
      </c>
      <c r="BH309" t="n">
        <v>2</v>
      </c>
      <c r="BI309" t="n">
        <v>1</v>
      </c>
      <c r="BJ309" t="n">
        <v>5</v>
      </c>
    </row>
    <row r="310">
      <c r="A310" t="inlineStr">
        <is>
          <t>Jamie Gittens</t>
        </is>
      </c>
      <c r="B310" t="inlineStr">
        <is>
          <t>CHE</t>
        </is>
      </c>
      <c r="C310" t="inlineStr">
        <is>
          <t>CHE</t>
        </is>
      </c>
      <c r="D310" t="b">
        <v>0</v>
      </c>
      <c r="E310" t="inlineStr">
        <is>
          <t>MID</t>
        </is>
      </c>
      <c r="F310" t="inlineStr">
        <is>
          <t>MID</t>
        </is>
      </c>
      <c r="G310" t="b">
        <v>1</v>
      </c>
      <c r="H310" s="2" t="n">
        <v>6</v>
      </c>
      <c r="I310" t="inlineStr">
        <is>
          <t>a</t>
        </is>
      </c>
      <c r="K310" s="2" t="n">
        <v>486</v>
      </c>
      <c r="L310" t="n">
        <v>25</v>
      </c>
      <c r="M310" s="3" t="n">
        <v>464</v>
      </c>
      <c r="N310" s="8" t="n">
        <v>464</v>
      </c>
      <c r="O310" s="8" t="n">
        <v>0</v>
      </c>
      <c r="Q310" t="inlineStr">
        <is>
          <t>flat</t>
        </is>
      </c>
      <c r="R310" s="6" t="n">
        <v>464</v>
      </c>
      <c r="S310" t="inlineStr">
        <is>
          <t>Solio</t>
        </is>
      </c>
      <c r="U310" s="6" t="n">
        <v>72.3</v>
      </c>
      <c r="V310" s="2" t="n">
        <v>5</v>
      </c>
      <c r="W310" s="7">
        <f>IF(N(U310)&lt;=0,0,MIN(Assumptions!$B$15,N(R310)/N(U310)))</f>
        <v/>
      </c>
      <c r="X310" s="6" t="n">
        <v>0.322</v>
      </c>
      <c r="Y310" s="3" t="n">
        <v>0.138</v>
      </c>
      <c r="Z310" t="inlineStr">
        <is>
          <t>adjusted xGOT</t>
        </is>
      </c>
      <c r="AA310" s="3" t="n">
        <v>1</v>
      </c>
      <c r="AB310" s="3" t="n">
        <v>0.919</v>
      </c>
      <c r="AC310" s="3" t="n">
        <v>0.8</v>
      </c>
      <c r="AD310" s="3" t="n">
        <v>0.1776</v>
      </c>
      <c r="AE310" s="3" t="n">
        <v>7.285</v>
      </c>
      <c r="AF310" s="3" t="n">
        <v>0.01696414758920628</v>
      </c>
      <c r="AG310" s="3" t="n">
        <v>0</v>
      </c>
      <c r="AH310" s="3" t="n">
        <v>18</v>
      </c>
      <c r="AI310" s="3" t="n">
        <v>2.4232</v>
      </c>
      <c r="AJ310" s="3" t="n">
        <v>1.1851</v>
      </c>
      <c r="AK310" s="3" t="n">
        <v>-0.1657253341110213</v>
      </c>
      <c r="AL310" s="6" t="n">
        <v>0</v>
      </c>
      <c r="AM310" s="3" t="n">
        <v>0</v>
      </c>
      <c r="AN310" s="3" t="n">
        <v>0.6900000000000001</v>
      </c>
      <c r="AO310" s="3" t="n">
        <v>0.7032960000000001</v>
      </c>
      <c r="AP310" s="3">
        <f>N(X310)*N(BI310)</f>
        <v/>
      </c>
      <c r="AQ310" s="3" t="n">
        <v>0</v>
      </c>
      <c r="AR310" s="3" t="n">
        <v>0</v>
      </c>
      <c r="AS310" s="3" t="n">
        <v>-0</v>
      </c>
      <c r="AT310" s="3" t="n">
        <v>-0.1657253341110213</v>
      </c>
      <c r="AU310" s="3">
        <f>SUM(AN310:AT310)</f>
        <v/>
      </c>
      <c r="AV310" s="7">
        <f>IF(OR(N(W310)&lt;=0,N(BG310)=0),0,N(W310)*IF(N(R310)/N(W310)&gt;=60,N(BG310),1))</f>
        <v/>
      </c>
      <c r="AW310" s="7">
        <f>N(W310)*N(AF310)*N(BH310)</f>
        <v/>
      </c>
      <c r="AX310" s="7">
        <f>N(AL310)*(Assumptions!$B$13*N(BJ310)-(1-Assumptions!$B$13)*Assumptions!$B$14)+N(AM310)</f>
        <v/>
      </c>
      <c r="AY310" s="7">
        <f>N(AU310)*N(R310)/90+N(AV310)+N(AW310)+N(AX310)</f>
        <v/>
      </c>
      <c r="AZ310" s="3">
        <f>IF(N(R310)&lt;=0,0,(N(AY310)-N(AX310))*90/N(R310))</f>
        <v/>
      </c>
      <c r="BA310" s="7">
        <f>IFERROR(AY310-VLOOKUP($E310,Assumptions!$A$40:$C$43,3,FALSE),"")</f>
        <v/>
      </c>
      <c r="BB310" s="3">
        <f>IFERROR(BA310/H310,"")</f>
        <v/>
      </c>
      <c r="BC310">
        <f>IF(AND($G310=TRUE,$E310="GKP"),AY310,"")</f>
        <v/>
      </c>
      <c r="BD310">
        <f>IF(AND($G310=TRUE,$E310="DEF"),AY310,"")</f>
        <v/>
      </c>
      <c r="BE310">
        <f>IF(AND($G310=TRUE,$E310="MID"),AY310,"")</f>
        <v/>
      </c>
      <c r="BF310">
        <f>IF(AND($G310=TRUE,$E310="FWD"),AY310,"")</f>
        <v/>
      </c>
      <c r="BG310" t="n">
        <v>2</v>
      </c>
      <c r="BH310" t="n">
        <v>2</v>
      </c>
      <c r="BI310" t="n">
        <v>1</v>
      </c>
      <c r="BJ310" t="n">
        <v>5</v>
      </c>
    </row>
    <row r="311">
      <c r="A311" t="inlineStr">
        <is>
          <t>Sebastiaan Bornauw</t>
        </is>
      </c>
      <c r="B311" t="inlineStr">
        <is>
          <t>LEE</t>
        </is>
      </c>
      <c r="C311" t="inlineStr">
        <is>
          <t>LEE</t>
        </is>
      </c>
      <c r="D311" t="b">
        <v>0</v>
      </c>
      <c r="E311" t="inlineStr">
        <is>
          <t>DEF</t>
        </is>
      </c>
      <c r="F311" t="inlineStr">
        <is>
          <t>DEF</t>
        </is>
      </c>
      <c r="G311" t="b">
        <v>1</v>
      </c>
      <c r="H311" s="2" t="n">
        <v>4.5</v>
      </c>
      <c r="I311" t="inlineStr">
        <is>
          <t>a</t>
        </is>
      </c>
      <c r="K311" s="2" t="n">
        <v>429</v>
      </c>
      <c r="L311" t="n">
        <v>25</v>
      </c>
      <c r="M311" s="3" t="n">
        <v>345</v>
      </c>
      <c r="N311" s="4" t="n">
        <v>150</v>
      </c>
      <c r="O311" s="4" t="n">
        <v>-195</v>
      </c>
      <c r="P311" s="5" t="inlineStr">
        <is>
          <t>low</t>
        </is>
      </c>
      <c r="Q311" t="inlineStr">
        <is>
          <t>flat</t>
        </is>
      </c>
      <c r="R311" s="6" t="n">
        <v>150</v>
      </c>
      <c r="S311" t="inlineStr">
        <is>
          <t>research</t>
        </is>
      </c>
      <c r="T311" s="5" t="inlineStr">
        <is>
          <t>Likely departure. He was an unused substitute in the final friendly, local press on 15 Aug reported HSV 'closing in on a deal', and Farke confirmed on 13 Aug that Leeds are 'in very open, honest discussions also with him' about his future while saying 'I could live very, very good if he stays'. Separately, the Nico Elvedi deal is reported to be contingent on Bornauw leaving. Cut only partway rather than to zero because Farke has publicly said he would be happy to keep him and nothing is signed.</t>
        </is>
      </c>
      <c r="U311" s="6" t="n">
        <v>82.90000000000001</v>
      </c>
      <c r="V311" s="2" t="n">
        <v>5</v>
      </c>
      <c r="W311" s="7">
        <f>IF(N(U311)&lt;=0,0,MIN(Assumptions!$B$15,N(R311)/N(U311)))</f>
        <v/>
      </c>
      <c r="X311" s="6" t="n">
        <v>0.218</v>
      </c>
      <c r="Y311" s="3" t="n">
        <v>0.0409</v>
      </c>
      <c r="Z311" t="inlineStr">
        <is>
          <t>adjusted xGOT</t>
        </is>
      </c>
      <c r="AA311" s="3" t="n">
        <v>1</v>
      </c>
      <c r="AB311" s="3" t="n">
        <v>0.976</v>
      </c>
      <c r="AC311" s="3" t="n">
        <v>0.2</v>
      </c>
      <c r="AD311" s="3" t="n">
        <v>0.001</v>
      </c>
      <c r="AE311" s="3" t="n">
        <v>8.654</v>
      </c>
      <c r="AF311" s="3" t="n">
        <v>0.279820632909718</v>
      </c>
      <c r="AG311" s="3" t="n">
        <v>0</v>
      </c>
      <c r="AH311" s="3" t="n">
        <v>16</v>
      </c>
      <c r="AI311" s="3" t="n">
        <v>3.0611</v>
      </c>
      <c r="AJ311" s="3" t="n">
        <v>1.5875</v>
      </c>
      <c r="AK311" s="3" t="n">
        <v>-0.2105976440646309</v>
      </c>
      <c r="AL311" s="6" t="n">
        <v>0</v>
      </c>
      <c r="AM311" s="3" t="n">
        <v>0</v>
      </c>
      <c r="AN311" s="3" t="n">
        <v>0.2454</v>
      </c>
      <c r="AO311" s="3" t="n">
        <v>0.00396</v>
      </c>
      <c r="AP311" s="3">
        <f>N(X311)*N(BI311)</f>
        <v/>
      </c>
      <c r="AQ311" s="3" t="n">
        <v>0</v>
      </c>
      <c r="AR311" s="3" t="n">
        <v>0</v>
      </c>
      <c r="AS311" s="3" t="n">
        <v>-0.5541985260210861</v>
      </c>
      <c r="AT311" s="3" t="n">
        <v>-0.2105976440646309</v>
      </c>
      <c r="AU311" s="3">
        <f>SUM(AN311:AT311)</f>
        <v/>
      </c>
      <c r="AV311" s="7">
        <f>IF(OR(N(W311)&lt;=0,N(BG311)=0),0,N(W311)*IF(N(R311)/N(W311)&gt;=60,N(BG311),1))</f>
        <v/>
      </c>
      <c r="AW311" s="7">
        <f>N(W311)*N(AF311)*N(BH311)</f>
        <v/>
      </c>
      <c r="AX311" s="7">
        <f>N(AL311)*(Assumptions!$B$13*N(BJ311)-(1-Assumptions!$B$13)*Assumptions!$B$14)+N(AM311)</f>
        <v/>
      </c>
      <c r="AY311" s="7">
        <f>N(AU311)*N(R311)/90+N(AV311)+N(AW311)+N(AX311)</f>
        <v/>
      </c>
      <c r="AZ311" s="3">
        <f>IF(N(R311)&lt;=0,0,(N(AY311)-N(AX311))*90/N(R311))</f>
        <v/>
      </c>
      <c r="BA311" s="7">
        <f>IFERROR(AY311-VLOOKUP($E311,Assumptions!$A$40:$C$43,3,FALSE),"")</f>
        <v/>
      </c>
      <c r="BB311" s="3">
        <f>IFERROR(BA311/H311,"")</f>
        <v/>
      </c>
      <c r="BC311">
        <f>IF(AND($G311=TRUE,$E311="GKP"),AY311,"")</f>
        <v/>
      </c>
      <c r="BD311">
        <f>IF(AND($G311=TRUE,$E311="DEF"),AY311,"")</f>
        <v/>
      </c>
      <c r="BE311">
        <f>IF(AND($G311=TRUE,$E311="MID"),AY311,"")</f>
        <v/>
      </c>
      <c r="BF311">
        <f>IF(AND($G311=TRUE,$E311="FWD"),AY311,"")</f>
        <v/>
      </c>
      <c r="BG311" t="n">
        <v>2</v>
      </c>
      <c r="BH311" t="n">
        <v>2</v>
      </c>
      <c r="BI311" t="n">
        <v>4</v>
      </c>
      <c r="BJ311" t="n">
        <v>6</v>
      </c>
    </row>
    <row r="312">
      <c r="A312" t="inlineStr">
        <is>
          <t>Gabriel Jesus</t>
        </is>
      </c>
      <c r="B312" t="inlineStr">
        <is>
          <t>ARS</t>
        </is>
      </c>
      <c r="C312" t="inlineStr">
        <is>
          <t>ARS</t>
        </is>
      </c>
      <c r="D312" t="b">
        <v>0</v>
      </c>
      <c r="E312" t="inlineStr">
        <is>
          <t>FWD</t>
        </is>
      </c>
      <c r="F312" t="inlineStr">
        <is>
          <t>FWD</t>
        </is>
      </c>
      <c r="G312" t="b">
        <v>1</v>
      </c>
      <c r="H312" s="2" t="n">
        <v>6</v>
      </c>
      <c r="I312" t="inlineStr">
        <is>
          <t>a</t>
        </is>
      </c>
      <c r="K312" s="2" t="n">
        <v>418</v>
      </c>
      <c r="L312" t="n">
        <v>24</v>
      </c>
      <c r="M312" s="3" t="n">
        <v>86</v>
      </c>
      <c r="N312" s="4" t="n">
        <v>0</v>
      </c>
      <c r="O312" s="4" t="n">
        <v>-86</v>
      </c>
      <c r="P312" s="5" t="inlineStr">
        <is>
          <t>medium</t>
        </is>
      </c>
      <c r="Q312" t="inlineStr">
        <is>
          <t>flat</t>
        </is>
      </c>
      <c r="R312" s="6" t="n">
        <v>0</v>
      </c>
      <c r="S312" t="inlineStr">
        <is>
          <t>research</t>
        </is>
      </c>
      <c r="T312" s="5" t="inlineStr">
        <is>
          <t>Arseblog News on 13 August: 'Napoli continue to be linked with Gabriel Jesus', and lists him among the players expected to move on before the window shuts. Behind Havertz, Gyokeres and Havertz-Gyokeres rotation he has no route to league minutes if he stays either.</t>
        </is>
      </c>
      <c r="U312" s="6" t="n">
        <v>75</v>
      </c>
      <c r="V312" s="2" t="n">
        <v>3</v>
      </c>
      <c r="W312" s="7">
        <f>IF(N(U312)&lt;=0,0,MIN(Assumptions!$B$15,N(R312)/N(U312)))</f>
        <v/>
      </c>
      <c r="X312" s="6" t="n">
        <v>0.391</v>
      </c>
      <c r="Y312" s="3" t="n">
        <v>0.509</v>
      </c>
      <c r="Z312" t="inlineStr">
        <is>
          <t>adjusted xGOT</t>
        </is>
      </c>
      <c r="AA312" s="3" t="n">
        <v>1</v>
      </c>
      <c r="AB312" s="3" t="n">
        <v>0.872</v>
      </c>
      <c r="AC312" s="3" t="n">
        <v>26.3</v>
      </c>
      <c r="AD312" s="3" t="n">
        <v>0.0504</v>
      </c>
      <c r="AE312" s="3" t="n">
        <v>5.405</v>
      </c>
      <c r="AF312" s="3" t="n">
        <v>0.002422105407343556</v>
      </c>
      <c r="AG312" s="3" t="n">
        <v>0</v>
      </c>
      <c r="AH312" s="3" t="n">
        <v>15</v>
      </c>
      <c r="AI312" s="3" t="n">
        <v>2.067</v>
      </c>
      <c r="AJ312" s="3" t="n">
        <v>0.9838</v>
      </c>
      <c r="AK312" s="3" t="n">
        <v>-0.3454871230750396</v>
      </c>
      <c r="AL312" s="6" t="n">
        <v>0</v>
      </c>
      <c r="AM312" s="3" t="n">
        <v>0</v>
      </c>
      <c r="AN312" s="3" t="n">
        <v>2.036</v>
      </c>
      <c r="AO312" s="3" t="n">
        <v>0.199584</v>
      </c>
      <c r="AP312" s="3">
        <f>N(X312)*N(BI312)</f>
        <v/>
      </c>
      <c r="AQ312" s="3" t="n">
        <v>0</v>
      </c>
      <c r="AR312" s="3" t="n">
        <v>0</v>
      </c>
      <c r="AS312" s="3" t="n">
        <v>-0</v>
      </c>
      <c r="AT312" s="3" t="n">
        <v>-0.3454871230750396</v>
      </c>
      <c r="AU312" s="3">
        <f>SUM(AN312:AT312)</f>
        <v/>
      </c>
      <c r="AV312" s="7">
        <f>IF(OR(N(W312)&lt;=0,N(BG312)=0),0,N(W312)*IF(N(R312)/N(W312)&gt;=60,N(BG312),1))</f>
        <v/>
      </c>
      <c r="AW312" s="7">
        <f>N(W312)*N(AF312)*N(BH312)</f>
        <v/>
      </c>
      <c r="AX312" s="7">
        <f>N(AL312)*(Assumptions!$B$13*N(BJ312)-(1-Assumptions!$B$13)*Assumptions!$B$14)+N(AM312)</f>
        <v/>
      </c>
      <c r="AY312" s="7">
        <f>N(AU312)*N(R312)/90+N(AV312)+N(AW312)+N(AX312)</f>
        <v/>
      </c>
      <c r="AZ312" s="3">
        <f>IF(N(R312)&lt;=0,0,(N(AY312)-N(AX312))*90/N(R312))</f>
        <v/>
      </c>
      <c r="BA312" s="7">
        <f>IFERROR(AY312-VLOOKUP($E312,Assumptions!$A$40:$C$43,3,FALSE),"")</f>
        <v/>
      </c>
      <c r="BB312" s="3">
        <f>IFERROR(BA312/H312,"")</f>
        <v/>
      </c>
      <c r="BC312">
        <f>IF(AND($G312=TRUE,$E312="GKP"),AY312,"")</f>
        <v/>
      </c>
      <c r="BD312">
        <f>IF(AND($G312=TRUE,$E312="DEF"),AY312,"")</f>
        <v/>
      </c>
      <c r="BE312">
        <f>IF(AND($G312=TRUE,$E312="MID"),AY312,"")</f>
        <v/>
      </c>
      <c r="BF312">
        <f>IF(AND($G312=TRUE,$E312="FWD"),AY312,"")</f>
        <v/>
      </c>
      <c r="BG312" t="n">
        <v>2</v>
      </c>
      <c r="BH312" t="n">
        <v>2</v>
      </c>
      <c r="BI312" t="n">
        <v>0</v>
      </c>
      <c r="BJ312" t="n">
        <v>4</v>
      </c>
    </row>
    <row r="313">
      <c r="A313" t="inlineStr">
        <is>
          <t>Daniel James</t>
        </is>
      </c>
      <c r="B313" t="inlineStr">
        <is>
          <t>LEE</t>
        </is>
      </c>
      <c r="C313" t="inlineStr">
        <is>
          <t>LEE</t>
        </is>
      </c>
      <c r="D313" t="b">
        <v>0</v>
      </c>
      <c r="E313" t="inlineStr">
        <is>
          <t>MID</t>
        </is>
      </c>
      <c r="F313" t="inlineStr">
        <is>
          <t>MID</t>
        </is>
      </c>
      <c r="G313" t="b">
        <v>1</v>
      </c>
      <c r="H313" s="2" t="n">
        <v>5</v>
      </c>
      <c r="I313" t="inlineStr">
        <is>
          <t>a</t>
        </is>
      </c>
      <c r="K313" s="2" t="n">
        <v>547</v>
      </c>
      <c r="L313" t="n">
        <v>23</v>
      </c>
      <c r="M313" s="3" t="n">
        <v>429</v>
      </c>
      <c r="N313" s="8" t="n">
        <v>429</v>
      </c>
      <c r="O313" s="8" t="n">
        <v>0</v>
      </c>
      <c r="Q313" t="inlineStr">
        <is>
          <t>flat</t>
        </is>
      </c>
      <c r="R313" s="6" t="n">
        <v>429</v>
      </c>
      <c r="S313" t="inlineStr">
        <is>
          <t>Solio</t>
        </is>
      </c>
      <c r="U313" s="6" t="n">
        <v>73</v>
      </c>
      <c r="V313" s="2" t="n">
        <v>6</v>
      </c>
      <c r="W313" s="7">
        <f>IF(N(U313)&lt;=0,0,MIN(Assumptions!$B$15,N(R313)/N(U313)))</f>
        <v/>
      </c>
      <c r="X313" s="6" t="n">
        <v>0.218</v>
      </c>
      <c r="Y313" s="3" t="n">
        <v>0.1466</v>
      </c>
      <c r="Z313" t="inlineStr">
        <is>
          <t>adjusted xGOT</t>
        </is>
      </c>
      <c r="AA313" s="3" t="n">
        <v>1</v>
      </c>
      <c r="AB313" s="3" t="n">
        <v>0.979</v>
      </c>
      <c r="AC313" s="3" t="n">
        <v>2.9</v>
      </c>
      <c r="AD313" s="3" t="n">
        <v>0.0987</v>
      </c>
      <c r="AE313" s="3" t="n">
        <v>7.36</v>
      </c>
      <c r="AF313" s="3" t="n">
        <v>0.01941962191453017</v>
      </c>
      <c r="AG313" s="3" t="n">
        <v>0</v>
      </c>
      <c r="AH313" s="3" t="n">
        <v>22</v>
      </c>
      <c r="AI313" s="3" t="n">
        <v>3.0611</v>
      </c>
      <c r="AJ313" s="3" t="n">
        <v>1.5875</v>
      </c>
      <c r="AK313" s="3" t="n">
        <v>-0.1611483197653539</v>
      </c>
      <c r="AL313" s="6" t="n">
        <v>0</v>
      </c>
      <c r="AM313" s="3" t="n">
        <v>0</v>
      </c>
      <c r="AN313" s="3" t="n">
        <v>0.7330000000000001</v>
      </c>
      <c r="AO313" s="3" t="n">
        <v>0.390852</v>
      </c>
      <c r="AP313" s="3">
        <f>N(X313)*N(BI313)</f>
        <v/>
      </c>
      <c r="AQ313" s="3" t="n">
        <v>0</v>
      </c>
      <c r="AR313" s="3" t="n">
        <v>0</v>
      </c>
      <c r="AS313" s="3" t="n">
        <v>-0</v>
      </c>
      <c r="AT313" s="3" t="n">
        <v>-0.1611483197653539</v>
      </c>
      <c r="AU313" s="3">
        <f>SUM(AN313:AT313)</f>
        <v/>
      </c>
      <c r="AV313" s="7">
        <f>IF(OR(N(W313)&lt;=0,N(BG313)=0),0,N(W313)*IF(N(R313)/N(W313)&gt;=60,N(BG313),1))</f>
        <v/>
      </c>
      <c r="AW313" s="7">
        <f>N(W313)*N(AF313)*N(BH313)</f>
        <v/>
      </c>
      <c r="AX313" s="7">
        <f>N(AL313)*(Assumptions!$B$13*N(BJ313)-(1-Assumptions!$B$13)*Assumptions!$B$14)+N(AM313)</f>
        <v/>
      </c>
      <c r="AY313" s="7">
        <f>N(AU313)*N(R313)/90+N(AV313)+N(AW313)+N(AX313)</f>
        <v/>
      </c>
      <c r="AZ313" s="3">
        <f>IF(N(R313)&lt;=0,0,(N(AY313)-N(AX313))*90/N(R313))</f>
        <v/>
      </c>
      <c r="BA313" s="7">
        <f>IFERROR(AY313-VLOOKUP($E313,Assumptions!$A$40:$C$43,3,FALSE),"")</f>
        <v/>
      </c>
      <c r="BB313" s="3">
        <f>IFERROR(BA313/H313,"")</f>
        <v/>
      </c>
      <c r="BC313">
        <f>IF(AND($G313=TRUE,$E313="GKP"),AY313,"")</f>
        <v/>
      </c>
      <c r="BD313">
        <f>IF(AND($G313=TRUE,$E313="DEF"),AY313,"")</f>
        <v/>
      </c>
      <c r="BE313">
        <f>IF(AND($G313=TRUE,$E313="MID"),AY313,"")</f>
        <v/>
      </c>
      <c r="BF313">
        <f>IF(AND($G313=TRUE,$E313="FWD"),AY313,"")</f>
        <v/>
      </c>
      <c r="BG313" t="n">
        <v>2</v>
      </c>
      <c r="BH313" t="n">
        <v>2</v>
      </c>
      <c r="BI313" t="n">
        <v>1</v>
      </c>
      <c r="BJ313" t="n">
        <v>5</v>
      </c>
    </row>
    <row r="314">
      <c r="A314" t="inlineStr">
        <is>
          <t>Eddie Nketiah</t>
        </is>
      </c>
      <c r="B314" t="inlineStr">
        <is>
          <t>CRY</t>
        </is>
      </c>
      <c r="C314" t="inlineStr">
        <is>
          <t>CRY</t>
        </is>
      </c>
      <c r="D314" t="b">
        <v>0</v>
      </c>
      <c r="E314" t="inlineStr">
        <is>
          <t>FWD</t>
        </is>
      </c>
      <c r="F314" t="inlineStr">
        <is>
          <t>FWD</t>
        </is>
      </c>
      <c r="G314" t="b">
        <v>1</v>
      </c>
      <c r="H314" s="2" t="n">
        <v>5.5</v>
      </c>
      <c r="I314" t="inlineStr">
        <is>
          <t>a</t>
        </is>
      </c>
      <c r="K314" s="2" t="n">
        <v>414</v>
      </c>
      <c r="L314" t="n">
        <v>23</v>
      </c>
      <c r="M314" s="3" t="n">
        <v>266</v>
      </c>
      <c r="N314" s="4" t="n">
        <v>400</v>
      </c>
      <c r="O314" s="4" t="n">
        <v>134</v>
      </c>
      <c r="P314" s="5" t="inlineStr">
        <is>
          <t>low</t>
        </is>
      </c>
      <c r="Q314" t="inlineStr">
        <is>
          <t>flat</t>
        </is>
      </c>
      <c r="R314" s="6" t="n">
        <v>400</v>
      </c>
      <c r="S314" t="inlineStr">
        <is>
          <t>research</t>
        </is>
      </c>
      <c r="T314" s="5" t="inlineStr">
        <is>
          <t>Small uplift. He scored twice against Swindon in July, scored again in the Como Cup against Al-Ula, and came on for Sarr at Freiburg, so he is fit and being used. Kept low because he is third in a three-way striker queue and is a candidate to be moved on before 1 September.</t>
        </is>
      </c>
      <c r="U314" s="6" t="n">
        <v>77.09999999999999</v>
      </c>
      <c r="V314" s="2" t="n">
        <v>2</v>
      </c>
      <c r="W314" s="7">
        <f>IF(N(U314)&lt;=0,0,MIN(Assumptions!$B$15,N(R314)/N(U314)))</f>
        <v/>
      </c>
      <c r="X314" s="6" t="n">
        <v>0.216</v>
      </c>
      <c r="Y314" s="3" t="n">
        <v>0.335</v>
      </c>
      <c r="Z314" t="inlineStr">
        <is>
          <t>adjusted xGOT</t>
        </is>
      </c>
      <c r="AA314" s="3" t="n">
        <v>1</v>
      </c>
      <c r="AB314" s="3" t="n">
        <v>0.871</v>
      </c>
      <c r="AC314" s="3" t="n">
        <v>20.2</v>
      </c>
      <c r="AD314" s="3" t="n">
        <v>0.1544</v>
      </c>
      <c r="AE314" s="3" t="n">
        <v>6.059</v>
      </c>
      <c r="AF314" s="3" t="n">
        <v>0.007212772624840658</v>
      </c>
      <c r="AG314" s="3" t="n">
        <v>0.6522</v>
      </c>
      <c r="AH314" s="3" t="n">
        <v>14</v>
      </c>
      <c r="AI314" s="3" t="n">
        <v>3.2035</v>
      </c>
      <c r="AJ314" s="3" t="n">
        <v>1.5923</v>
      </c>
      <c r="AK314" s="3" t="n">
        <v>-0.2672003494368691</v>
      </c>
      <c r="AL314" s="6" t="n">
        <v>0</v>
      </c>
      <c r="AM314" s="3" t="n">
        <v>0</v>
      </c>
      <c r="AN314" s="3" t="n">
        <v>1.34</v>
      </c>
      <c r="AO314" s="3" t="n">
        <v>0.6114240000000001</v>
      </c>
      <c r="AP314" s="3">
        <f>N(X314)*N(BI314)</f>
        <v/>
      </c>
      <c r="AQ314" s="3" t="n">
        <v>0.6522</v>
      </c>
      <c r="AR314" s="3" t="n">
        <v>0</v>
      </c>
      <c r="AS314" s="3" t="n">
        <v>-0</v>
      </c>
      <c r="AT314" s="3" t="n">
        <v>-0.2672003494368691</v>
      </c>
      <c r="AU314" s="3">
        <f>SUM(AN314:AT314)</f>
        <v/>
      </c>
      <c r="AV314" s="7">
        <f>IF(OR(N(W314)&lt;=0,N(BG314)=0),0,N(W314)*IF(N(R314)/N(W314)&gt;=60,N(BG314),1))</f>
        <v/>
      </c>
      <c r="AW314" s="7">
        <f>N(W314)*N(AF314)*N(BH314)</f>
        <v/>
      </c>
      <c r="AX314" s="7">
        <f>N(AL314)*(Assumptions!$B$13*N(BJ314)-(1-Assumptions!$B$13)*Assumptions!$B$14)+N(AM314)</f>
        <v/>
      </c>
      <c r="AY314" s="7">
        <f>N(AU314)*N(R314)/90+N(AV314)+N(AW314)+N(AX314)</f>
        <v/>
      </c>
      <c r="AZ314" s="3">
        <f>IF(N(R314)&lt;=0,0,(N(AY314)-N(AX314))*90/N(R314))</f>
        <v/>
      </c>
      <c r="BA314" s="7">
        <f>IFERROR(AY314-VLOOKUP($E314,Assumptions!$A$40:$C$43,3,FALSE),"")</f>
        <v/>
      </c>
      <c r="BB314" s="3">
        <f>IFERROR(BA314/H314,"")</f>
        <v/>
      </c>
      <c r="BC314">
        <f>IF(AND($G314=TRUE,$E314="GKP"),AY314,"")</f>
        <v/>
      </c>
      <c r="BD314">
        <f>IF(AND($G314=TRUE,$E314="DEF"),AY314,"")</f>
        <v/>
      </c>
      <c r="BE314">
        <f>IF(AND($G314=TRUE,$E314="MID"),AY314,"")</f>
        <v/>
      </c>
      <c r="BF314">
        <f>IF(AND($G314=TRUE,$E314="FWD"),AY314,"")</f>
        <v/>
      </c>
      <c r="BG314" t="n">
        <v>2</v>
      </c>
      <c r="BH314" t="n">
        <v>2</v>
      </c>
      <c r="BI314" t="n">
        <v>0</v>
      </c>
      <c r="BJ314" t="n">
        <v>4</v>
      </c>
    </row>
    <row r="315">
      <c r="A315" t="inlineStr">
        <is>
          <t>Tammy Abraham</t>
        </is>
      </c>
      <c r="B315" t="inlineStr">
        <is>
          <t>AVL</t>
        </is>
      </c>
      <c r="C315" t="inlineStr">
        <is>
          <t>AVL</t>
        </is>
      </c>
      <c r="D315" t="b">
        <v>0</v>
      </c>
      <c r="E315" t="inlineStr">
        <is>
          <t>FWD</t>
        </is>
      </c>
      <c r="F315" t="inlineStr">
        <is>
          <t>FWD</t>
        </is>
      </c>
      <c r="G315" t="b">
        <v>1</v>
      </c>
      <c r="H315" s="2" t="n">
        <v>5.5</v>
      </c>
      <c r="I315" t="inlineStr">
        <is>
          <t>a</t>
        </is>
      </c>
      <c r="K315" s="2" t="n">
        <v>278</v>
      </c>
      <c r="L315" t="n">
        <v>23</v>
      </c>
      <c r="M315" s="3" t="n">
        <v>280</v>
      </c>
      <c r="N315" s="4" t="n">
        <v>600</v>
      </c>
      <c r="O315" s="4" t="n">
        <v>320</v>
      </c>
      <c r="P315" s="5" t="inlineStr">
        <is>
          <t>medium</t>
        </is>
      </c>
      <c r="Q315" t="inlineStr">
        <is>
          <t>flat</t>
        </is>
      </c>
      <c r="R315" s="6" t="n">
        <v>600</v>
      </c>
      <c r="S315" t="inlineStr">
        <is>
          <t>research</t>
        </is>
      </c>
      <c r="T315" s="5" t="inlineStr">
        <is>
          <t>The backup-striker depth chart has emptied out. Malen was sold to Roma on 29 June, Guessand has been loaned to Crystal Palace, and Madjo is injured until at least September, leaving Abraham as Villa's only senior alternative to Watkins. He came off the bench in the Super Cup and started against Monchengladbach. Held to 600 rather than higher because he left the Monchengladbach pitch after slipping awkwardly.</t>
        </is>
      </c>
      <c r="U315" s="6" t="n">
        <v>77.8</v>
      </c>
      <c r="V315" s="2" t="n">
        <v>2</v>
      </c>
      <c r="W315" s="7">
        <f>IF(N(U315)&lt;=0,0,MIN(Assumptions!$B$15,N(R315)/N(U315)))</f>
        <v/>
      </c>
      <c r="X315" s="6" t="n">
        <v>0.273</v>
      </c>
      <c r="Y315" s="3" t="n">
        <v>0.6604</v>
      </c>
      <c r="Z315" t="inlineStr">
        <is>
          <t>adjusted xGOT</t>
        </is>
      </c>
      <c r="AA315" s="3" t="n">
        <v>1</v>
      </c>
      <c r="AB315" s="3" t="n">
        <v>0.995</v>
      </c>
      <c r="AC315" s="3" t="n">
        <v>2</v>
      </c>
      <c r="AD315" s="3" t="n">
        <v>0.07920000000000001</v>
      </c>
      <c r="AE315" s="3" t="n">
        <v>4.63</v>
      </c>
      <c r="AF315" s="3" t="n">
        <v>0.0009198147996386519</v>
      </c>
      <c r="AG315" s="3" t="n">
        <v>0.6475</v>
      </c>
      <c r="AH315" s="3" t="n">
        <v>13</v>
      </c>
      <c r="AI315" s="3" t="n">
        <v>2.7451</v>
      </c>
      <c r="AJ315" s="3" t="n">
        <v>1.3575</v>
      </c>
      <c r="AK315" s="3" t="n">
        <v>-0.1483047429334944</v>
      </c>
      <c r="AL315" s="6" t="n">
        <v>0</v>
      </c>
      <c r="AM315" s="3" t="n">
        <v>0</v>
      </c>
      <c r="AN315" s="3" t="n">
        <v>2.6416</v>
      </c>
      <c r="AO315" s="3" t="n">
        <v>0.3136320000000001</v>
      </c>
      <c r="AP315" s="3">
        <f>N(X315)*N(BI315)</f>
        <v/>
      </c>
      <c r="AQ315" s="3" t="n">
        <v>0.6475</v>
      </c>
      <c r="AR315" s="3" t="n">
        <v>0</v>
      </c>
      <c r="AS315" s="3" t="n">
        <v>-0</v>
      </c>
      <c r="AT315" s="3" t="n">
        <v>-0.1483047429334944</v>
      </c>
      <c r="AU315" s="3">
        <f>SUM(AN315:AT315)</f>
        <v/>
      </c>
      <c r="AV315" s="7">
        <f>IF(OR(N(W315)&lt;=0,N(BG315)=0),0,N(W315)*IF(N(R315)/N(W315)&gt;=60,N(BG315),1))</f>
        <v/>
      </c>
      <c r="AW315" s="7">
        <f>N(W315)*N(AF315)*N(BH315)</f>
        <v/>
      </c>
      <c r="AX315" s="7">
        <f>N(AL315)*(Assumptions!$B$13*N(BJ315)-(1-Assumptions!$B$13)*Assumptions!$B$14)+N(AM315)</f>
        <v/>
      </c>
      <c r="AY315" s="7">
        <f>N(AU315)*N(R315)/90+N(AV315)+N(AW315)+N(AX315)</f>
        <v/>
      </c>
      <c r="AZ315" s="3">
        <f>IF(N(R315)&lt;=0,0,(N(AY315)-N(AX315))*90/N(R315))</f>
        <v/>
      </c>
      <c r="BA315" s="7">
        <f>IFERROR(AY315-VLOOKUP($E315,Assumptions!$A$40:$C$43,3,FALSE),"")</f>
        <v/>
      </c>
      <c r="BB315" s="3">
        <f>IFERROR(BA315/H315,"")</f>
        <v/>
      </c>
      <c r="BC315">
        <f>IF(AND($G315=TRUE,$E315="GKP"),AY315,"")</f>
        <v/>
      </c>
      <c r="BD315">
        <f>IF(AND($G315=TRUE,$E315="DEF"),AY315,"")</f>
        <v/>
      </c>
      <c r="BE315">
        <f>IF(AND($G315=TRUE,$E315="MID"),AY315,"")</f>
        <v/>
      </c>
      <c r="BF315">
        <f>IF(AND($G315=TRUE,$E315="FWD"),AY315,"")</f>
        <v/>
      </c>
      <c r="BG315" t="n">
        <v>2</v>
      </c>
      <c r="BH315" t="n">
        <v>2</v>
      </c>
      <c r="BI315" t="n">
        <v>0</v>
      </c>
      <c r="BJ315" t="n">
        <v>4</v>
      </c>
    </row>
    <row r="316">
      <c r="A316" t="inlineStr">
        <is>
          <t>Nathan Patterson</t>
        </is>
      </c>
      <c r="B316" t="inlineStr">
        <is>
          <t>EVE</t>
        </is>
      </c>
      <c r="C316" t="inlineStr">
        <is>
          <t>EVE</t>
        </is>
      </c>
      <c r="D316" t="b">
        <v>0</v>
      </c>
      <c r="E316" t="inlineStr">
        <is>
          <t>DEF</t>
        </is>
      </c>
      <c r="F316" t="inlineStr">
        <is>
          <t>DEF</t>
        </is>
      </c>
      <c r="G316" t="b">
        <v>1</v>
      </c>
      <c r="H316" s="2" t="n">
        <v>4.5</v>
      </c>
      <c r="I316" t="inlineStr">
        <is>
          <t>a</t>
        </is>
      </c>
      <c r="K316" s="2" t="n">
        <v>238</v>
      </c>
      <c r="L316" t="n">
        <v>22</v>
      </c>
      <c r="M316" s="3" t="n">
        <v>140</v>
      </c>
      <c r="N316" s="4" t="n">
        <v>420</v>
      </c>
      <c r="O316" s="4" t="n">
        <v>280</v>
      </c>
      <c r="P316" s="5" t="inlineStr">
        <is>
          <t>low</t>
        </is>
      </c>
      <c r="Q316" t="inlineStr">
        <is>
          <t>flat</t>
        </is>
      </c>
      <c r="R316" s="6" t="n">
        <v>420</v>
      </c>
      <c r="S316" t="inlineStr">
        <is>
          <t>research</t>
        </is>
      </c>
      <c r="T316" s="5" t="inlineStr">
        <is>
          <t>Beneficiary of the unresolved right-back situation. Read Everton's 15 August preview says to 'expect another audition at the position - Nathan Patterson and Jake O'Brien have both featured there across pre-season, with Merlin Röhl also an option'. Patterson started at right-back against Newcastle on 12 August and was a substitute against Lille. Everton have failed to sign a specialist right-back all summer, so 140 minutes for the only recognised right-back on the books is too low - even if one of Fort, Munoz, Molina or Johnston arrives before 1 September.</t>
        </is>
      </c>
      <c r="U316" s="6" t="n">
        <v>83.5</v>
      </c>
      <c r="V316" s="2" t="n">
        <v>3</v>
      </c>
      <c r="W316" s="7">
        <f>IF(N(U316)&lt;=0,0,MIN(Assumptions!$B$15,N(R316)/N(U316)))</f>
        <v/>
      </c>
      <c r="X316" s="6" t="n">
        <v>0.231</v>
      </c>
      <c r="Y316" s="3" t="n">
        <v>0.0106</v>
      </c>
      <c r="Z316" t="inlineStr">
        <is>
          <t>adjusted xGOT</t>
        </is>
      </c>
      <c r="AA316" s="3" t="n">
        <v>1</v>
      </c>
      <c r="AB316" s="3" t="n">
        <v>0.93</v>
      </c>
      <c r="AC316" s="3" t="n">
        <v>0.9</v>
      </c>
      <c r="AD316" s="3" t="n">
        <v>0.0076</v>
      </c>
      <c r="AE316" s="3" t="n">
        <v>8.688000000000001</v>
      </c>
      <c r="AF316" s="3" t="n">
        <v>0.2909143720759721</v>
      </c>
      <c r="AG316" s="3" t="n">
        <v>0</v>
      </c>
      <c r="AH316" s="3" t="n">
        <v>10</v>
      </c>
      <c r="AI316" s="3" t="n">
        <v>3.0311</v>
      </c>
      <c r="AJ316" s="3" t="n">
        <v>1.5252</v>
      </c>
      <c r="AK316" s="3" t="n">
        <v>-0.2235404882666001</v>
      </c>
      <c r="AL316" s="6" t="n">
        <v>0</v>
      </c>
      <c r="AM316" s="3" t="n">
        <v>0</v>
      </c>
      <c r="AN316" s="3" t="n">
        <v>0.0636</v>
      </c>
      <c r="AO316" s="3" t="n">
        <v>0.030096</v>
      </c>
      <c r="AP316" s="3">
        <f>N(X316)*N(BI316)</f>
        <v/>
      </c>
      <c r="AQ316" s="3" t="n">
        <v>0</v>
      </c>
      <c r="AR316" s="3" t="n">
        <v>0</v>
      </c>
      <c r="AS316" s="3" t="n">
        <v>-0.524434996152324</v>
      </c>
      <c r="AT316" s="3" t="n">
        <v>-0.2235404882666001</v>
      </c>
      <c r="AU316" s="3">
        <f>SUM(AN316:AT316)</f>
        <v/>
      </c>
      <c r="AV316" s="7">
        <f>IF(OR(N(W316)&lt;=0,N(BG316)=0),0,N(W316)*IF(N(R316)/N(W316)&gt;=60,N(BG316),1))</f>
        <v/>
      </c>
      <c r="AW316" s="7">
        <f>N(W316)*N(AF316)*N(BH316)</f>
        <v/>
      </c>
      <c r="AX316" s="7">
        <f>N(AL316)*(Assumptions!$B$13*N(BJ316)-(1-Assumptions!$B$13)*Assumptions!$B$14)+N(AM316)</f>
        <v/>
      </c>
      <c r="AY316" s="7">
        <f>N(AU316)*N(R316)/90+N(AV316)+N(AW316)+N(AX316)</f>
        <v/>
      </c>
      <c r="AZ316" s="3">
        <f>IF(N(R316)&lt;=0,0,(N(AY316)-N(AX316))*90/N(R316))</f>
        <v/>
      </c>
      <c r="BA316" s="7">
        <f>IFERROR(AY316-VLOOKUP($E316,Assumptions!$A$40:$C$43,3,FALSE),"")</f>
        <v/>
      </c>
      <c r="BB316" s="3">
        <f>IFERROR(BA316/H316,"")</f>
        <v/>
      </c>
      <c r="BC316">
        <f>IF(AND($G316=TRUE,$E316="GKP"),AY316,"")</f>
        <v/>
      </c>
      <c r="BD316">
        <f>IF(AND($G316=TRUE,$E316="DEF"),AY316,"")</f>
        <v/>
      </c>
      <c r="BE316">
        <f>IF(AND($G316=TRUE,$E316="MID"),AY316,"")</f>
        <v/>
      </c>
      <c r="BF316">
        <f>IF(AND($G316=TRUE,$E316="FWD"),AY316,"")</f>
        <v/>
      </c>
      <c r="BG316" t="n">
        <v>2</v>
      </c>
      <c r="BH316" t="n">
        <v>2</v>
      </c>
      <c r="BI316" t="n">
        <v>4</v>
      </c>
      <c r="BJ316" t="n">
        <v>6</v>
      </c>
    </row>
    <row r="317">
      <c r="A317" t="inlineStr">
        <is>
          <t>Leon Bailey</t>
        </is>
      </c>
      <c r="B317" t="inlineStr">
        <is>
          <t>AVL</t>
        </is>
      </c>
      <c r="C317" t="inlineStr">
        <is>
          <t>AVL</t>
        </is>
      </c>
      <c r="D317" t="b">
        <v>0</v>
      </c>
      <c r="E317" t="inlineStr">
        <is>
          <t>MID</t>
        </is>
      </c>
      <c r="F317" t="inlineStr">
        <is>
          <t>MID</t>
        </is>
      </c>
      <c r="G317" t="b">
        <v>1</v>
      </c>
      <c r="H317" s="2" t="n">
        <v>5.5</v>
      </c>
      <c r="I317" t="inlineStr">
        <is>
          <t>a</t>
        </is>
      </c>
      <c r="K317" s="2" t="n">
        <v>450</v>
      </c>
      <c r="L317" t="n">
        <v>21</v>
      </c>
      <c r="M317" s="3" t="n">
        <v>111</v>
      </c>
      <c r="N317" s="4" t="n">
        <v>50</v>
      </c>
      <c r="O317" s="4" t="n">
        <v>-61</v>
      </c>
      <c r="P317" s="5" t="inlineStr">
        <is>
          <t>low</t>
        </is>
      </c>
      <c r="Q317" t="inlineStr">
        <is>
          <t>flat</t>
        </is>
      </c>
      <c r="R317" s="6" t="n">
        <v>50</v>
      </c>
      <c r="S317" t="inlineStr">
        <is>
          <t>research</t>
        </is>
      </c>
      <c r="T317" s="5" t="inlineStr">
        <is>
          <t>Out with a muscle injury and deemed surplus to requirements, with Villa actively trying to move him on before the 1 September deadline. Not zeroed because the move has stalled once already and he may still be at the club in September.</t>
        </is>
      </c>
      <c r="U317" s="6" t="n">
        <v>77.90000000000001</v>
      </c>
      <c r="V317" s="2" t="n">
        <v>3</v>
      </c>
      <c r="W317" s="7">
        <f>IF(N(U317)&lt;=0,0,MIN(Assumptions!$B$15,N(R317)/N(U317)))</f>
        <v/>
      </c>
      <c r="X317" s="6" t="n">
        <v>0.273</v>
      </c>
      <c r="Y317" s="3" t="n">
        <v>0.081</v>
      </c>
      <c r="Z317" t="inlineStr">
        <is>
          <t>adjusted xGOT</t>
        </is>
      </c>
      <c r="AA317" s="3" t="n">
        <v>1</v>
      </c>
      <c r="AB317" s="3" t="n">
        <v>0.8100000000000001</v>
      </c>
      <c r="AC317" s="3" t="n">
        <v>13.9</v>
      </c>
      <c r="AD317" s="3" t="n">
        <v>0.2577</v>
      </c>
      <c r="AE317" s="3" t="n">
        <v>8.970000000000001</v>
      </c>
      <c r="AF317" s="3" t="n">
        <v>0.09564721303099855</v>
      </c>
      <c r="AG317" s="3" t="n">
        <v>0</v>
      </c>
      <c r="AH317" s="3" t="n">
        <v>16</v>
      </c>
      <c r="AI317" s="3" t="n">
        <v>2.7451</v>
      </c>
      <c r="AJ317" s="3" t="n">
        <v>1.3575</v>
      </c>
      <c r="AK317" s="3" t="n">
        <v>-0.2284979422828767</v>
      </c>
      <c r="AL317" s="6" t="n">
        <v>0</v>
      </c>
      <c r="AM317" s="3" t="n">
        <v>0</v>
      </c>
      <c r="AN317" s="3" t="n">
        <v>0.405</v>
      </c>
      <c r="AO317" s="3" t="n">
        <v>1.020492</v>
      </c>
      <c r="AP317" s="3">
        <f>N(X317)*N(BI317)</f>
        <v/>
      </c>
      <c r="AQ317" s="3" t="n">
        <v>0</v>
      </c>
      <c r="AR317" s="3" t="n">
        <v>0</v>
      </c>
      <c r="AS317" s="3" t="n">
        <v>-0</v>
      </c>
      <c r="AT317" s="3" t="n">
        <v>-0.2284979422828767</v>
      </c>
      <c r="AU317" s="3">
        <f>SUM(AN317:AT317)</f>
        <v/>
      </c>
      <c r="AV317" s="7">
        <f>IF(OR(N(W317)&lt;=0,N(BG317)=0),0,N(W317)*IF(N(R317)/N(W317)&gt;=60,N(BG317),1))</f>
        <v/>
      </c>
      <c r="AW317" s="7">
        <f>N(W317)*N(AF317)*N(BH317)</f>
        <v/>
      </c>
      <c r="AX317" s="7">
        <f>N(AL317)*(Assumptions!$B$13*N(BJ317)-(1-Assumptions!$B$13)*Assumptions!$B$14)+N(AM317)</f>
        <v/>
      </c>
      <c r="AY317" s="7">
        <f>N(AU317)*N(R317)/90+N(AV317)+N(AW317)+N(AX317)</f>
        <v/>
      </c>
      <c r="AZ317" s="3">
        <f>IF(N(R317)&lt;=0,0,(N(AY317)-N(AX317))*90/N(R317))</f>
        <v/>
      </c>
      <c r="BA317" s="7">
        <f>IFERROR(AY317-VLOOKUP($E317,Assumptions!$A$40:$C$43,3,FALSE),"")</f>
        <v/>
      </c>
      <c r="BB317" s="3">
        <f>IFERROR(BA317/H317,"")</f>
        <v/>
      </c>
      <c r="BC317">
        <f>IF(AND($G317=TRUE,$E317="GKP"),AY317,"")</f>
        <v/>
      </c>
      <c r="BD317">
        <f>IF(AND($G317=TRUE,$E317="DEF"),AY317,"")</f>
        <v/>
      </c>
      <c r="BE317">
        <f>IF(AND($G317=TRUE,$E317="MID"),AY317,"")</f>
        <v/>
      </c>
      <c r="BF317">
        <f>IF(AND($G317=TRUE,$E317="FWD"),AY317,"")</f>
        <v/>
      </c>
      <c r="BG317" t="n">
        <v>2</v>
      </c>
      <c r="BH317" t="n">
        <v>2</v>
      </c>
      <c r="BI317" t="n">
        <v>1</v>
      </c>
      <c r="BJ317" t="n">
        <v>5</v>
      </c>
    </row>
    <row r="318">
      <c r="A318" t="inlineStr">
        <is>
          <t>Harrison Armstrong</t>
        </is>
      </c>
      <c r="B318" t="inlineStr">
        <is>
          <t>EVE</t>
        </is>
      </c>
      <c r="C318" t="inlineStr">
        <is>
          <t>EVE</t>
        </is>
      </c>
      <c r="D318" t="b">
        <v>0</v>
      </c>
      <c r="E318" t="inlineStr">
        <is>
          <t>MID</t>
        </is>
      </c>
      <c r="F318" t="inlineStr">
        <is>
          <t>MID</t>
        </is>
      </c>
      <c r="G318" t="b">
        <v>1</v>
      </c>
      <c r="H318" s="2" t="n">
        <v>5</v>
      </c>
      <c r="I318" t="inlineStr">
        <is>
          <t>a</t>
        </is>
      </c>
      <c r="K318" s="2" t="n">
        <v>524</v>
      </c>
      <c r="L318" t="n">
        <v>21</v>
      </c>
      <c r="M318" s="3" t="n">
        <v>357</v>
      </c>
      <c r="N318" s="8" t="n">
        <v>357</v>
      </c>
      <c r="O318" s="8" t="n">
        <v>0</v>
      </c>
      <c r="Q318" t="inlineStr">
        <is>
          <t>flat</t>
        </is>
      </c>
      <c r="R318" s="6" t="n">
        <v>357</v>
      </c>
      <c r="S318" t="inlineStr">
        <is>
          <t>Solio</t>
        </is>
      </c>
      <c r="U318" s="6" t="n">
        <v>77.59999999999999</v>
      </c>
      <c r="V318" s="2" t="n">
        <v>6</v>
      </c>
      <c r="W318" s="7">
        <f>IF(N(U318)&lt;=0,0,MIN(Assumptions!$B$15,N(R318)/N(U318)))</f>
        <v/>
      </c>
      <c r="X318" s="6" t="n">
        <v>0.231</v>
      </c>
      <c r="Y318" s="3" t="n">
        <v>0.1304</v>
      </c>
      <c r="Z318" t="inlineStr">
        <is>
          <t>adjusted xGOT</t>
        </is>
      </c>
      <c r="AA318" s="3" t="n">
        <v>1</v>
      </c>
      <c r="AB318" s="3" t="n">
        <v>0.961</v>
      </c>
      <c r="AC318" s="3" t="n">
        <v>1.2</v>
      </c>
      <c r="AD318" s="3" t="n">
        <v>0.0293</v>
      </c>
      <c r="AE318" s="3" t="n">
        <v>8.582000000000001</v>
      </c>
      <c r="AF318" s="3" t="n">
        <v>0.07350272849416184</v>
      </c>
      <c r="AG318" s="3" t="n">
        <v>0</v>
      </c>
      <c r="AH318" s="3" t="n">
        <v>18</v>
      </c>
      <c r="AI318" s="3" t="n">
        <v>3.0311</v>
      </c>
      <c r="AJ318" s="3" t="n">
        <v>1.5252</v>
      </c>
      <c r="AK318" s="3" t="n">
        <v>-0.1878768255767501</v>
      </c>
      <c r="AL318" s="6" t="n">
        <v>0</v>
      </c>
      <c r="AM318" s="3" t="n">
        <v>0</v>
      </c>
      <c r="AN318" s="3" t="n">
        <v>0.6519999999999999</v>
      </c>
      <c r="AO318" s="3" t="n">
        <v>0.116028</v>
      </c>
      <c r="AP318" s="3">
        <f>N(X318)*N(BI318)</f>
        <v/>
      </c>
      <c r="AQ318" s="3" t="n">
        <v>0</v>
      </c>
      <c r="AR318" s="3" t="n">
        <v>0</v>
      </c>
      <c r="AS318" s="3" t="n">
        <v>-0</v>
      </c>
      <c r="AT318" s="3" t="n">
        <v>-0.1878768255767501</v>
      </c>
      <c r="AU318" s="3">
        <f>SUM(AN318:AT318)</f>
        <v/>
      </c>
      <c r="AV318" s="7">
        <f>IF(OR(N(W318)&lt;=0,N(BG318)=0),0,N(W318)*IF(N(R318)/N(W318)&gt;=60,N(BG318),1))</f>
        <v/>
      </c>
      <c r="AW318" s="7">
        <f>N(W318)*N(AF318)*N(BH318)</f>
        <v/>
      </c>
      <c r="AX318" s="7">
        <f>N(AL318)*(Assumptions!$B$13*N(BJ318)-(1-Assumptions!$B$13)*Assumptions!$B$14)+N(AM318)</f>
        <v/>
      </c>
      <c r="AY318" s="7">
        <f>N(AU318)*N(R318)/90+N(AV318)+N(AW318)+N(AX318)</f>
        <v/>
      </c>
      <c r="AZ318" s="3">
        <f>IF(N(R318)&lt;=0,0,(N(AY318)-N(AX318))*90/N(R318))</f>
        <v/>
      </c>
      <c r="BA318" s="7">
        <f>IFERROR(AY318-VLOOKUP($E318,Assumptions!$A$40:$C$43,3,FALSE),"")</f>
        <v/>
      </c>
      <c r="BB318" s="3">
        <f>IFERROR(BA318/H318,"")</f>
        <v/>
      </c>
      <c r="BC318">
        <f>IF(AND($G318=TRUE,$E318="GKP"),AY318,"")</f>
        <v/>
      </c>
      <c r="BD318">
        <f>IF(AND($G318=TRUE,$E318="DEF"),AY318,"")</f>
        <v/>
      </c>
      <c r="BE318">
        <f>IF(AND($G318=TRUE,$E318="MID"),AY318,"")</f>
        <v/>
      </c>
      <c r="BF318">
        <f>IF(AND($G318=TRUE,$E318="FWD"),AY318,"")</f>
        <v/>
      </c>
      <c r="BG318" t="n">
        <v>2</v>
      </c>
      <c r="BH318" t="n">
        <v>2</v>
      </c>
      <c r="BI318" t="n">
        <v>1</v>
      </c>
      <c r="BJ318" t="n">
        <v>5</v>
      </c>
    </row>
    <row r="319">
      <c r="A319" t="inlineStr">
        <is>
          <t>Antonín Kinsky</t>
        </is>
      </c>
      <c r="B319" t="inlineStr">
        <is>
          <t>TOT</t>
        </is>
      </c>
      <c r="C319" t="inlineStr">
        <is>
          <t>TOT</t>
        </is>
      </c>
      <c r="D319" t="b">
        <v>0</v>
      </c>
      <c r="E319" t="inlineStr">
        <is>
          <t>GKP</t>
        </is>
      </c>
      <c r="F319" t="inlineStr">
        <is>
          <t>GKP</t>
        </is>
      </c>
      <c r="G319" t="b">
        <v>1</v>
      </c>
      <c r="H319" s="2" t="n">
        <v>4.5</v>
      </c>
      <c r="I319" t="inlineStr">
        <is>
          <t>a</t>
        </is>
      </c>
      <c r="K319" s="2" t="n">
        <v>630</v>
      </c>
      <c r="L319" t="n">
        <v>20</v>
      </c>
      <c r="M319" s="3" t="n">
        <v>3385</v>
      </c>
      <c r="N319" s="8" t="n">
        <v>3385</v>
      </c>
      <c r="O319" s="8" t="n">
        <v>0</v>
      </c>
      <c r="Q319" t="inlineStr">
        <is>
          <t>flat</t>
        </is>
      </c>
      <c r="R319" s="6" t="n">
        <v>3385</v>
      </c>
      <c r="S319" t="inlineStr">
        <is>
          <t>Solio</t>
        </is>
      </c>
      <c r="U319" s="6" t="n">
        <v>89.90000000000001</v>
      </c>
      <c r="V319" s="2" t="n">
        <v>7</v>
      </c>
      <c r="W319" s="7">
        <f>IF(N(U319)&lt;=0,0,MIN(Assumptions!$B$15,N(R319)/N(U319)))</f>
        <v/>
      </c>
      <c r="X319" s="6" t="n">
        <v>0.286</v>
      </c>
      <c r="Y319" s="3" t="n">
        <v>0</v>
      </c>
      <c r="Z319" t="inlineStr">
        <is>
          <t>blended xG</t>
        </is>
      </c>
      <c r="AA319" s="3" t="n">
        <v>1</v>
      </c>
      <c r="AB319" s="3" t="n">
        <v>1</v>
      </c>
      <c r="AC319" s="3" t="n">
        <v>0</v>
      </c>
      <c r="AD319" s="3" t="n">
        <v>0</v>
      </c>
      <c r="AE319" s="3" t="n">
        <v>0</v>
      </c>
      <c r="AF319" s="3" t="n">
        <v>0</v>
      </c>
      <c r="AG319" s="3" t="n">
        <v>0</v>
      </c>
      <c r="AH319" s="3" t="n">
        <v>14</v>
      </c>
      <c r="AI319" s="3" t="n">
        <v>2.5739</v>
      </c>
      <c r="AJ319" s="3" t="n">
        <v>1.3096</v>
      </c>
      <c r="AK319" s="3" t="n">
        <v>-0.08468159201970139</v>
      </c>
      <c r="AL319" s="6" t="n">
        <v>0</v>
      </c>
      <c r="AM319" s="3" t="n">
        <v>2.767265601918447</v>
      </c>
      <c r="AN319" s="3" t="n">
        <v>0</v>
      </c>
      <c r="AO319" s="3" t="n">
        <v>0</v>
      </c>
      <c r="AP319" s="3">
        <f>N(X319)*N(BI319)</f>
        <v/>
      </c>
      <c r="AQ319" s="3" t="n">
        <v>0</v>
      </c>
      <c r="AR319" s="3" t="n">
        <v>0.5235455255089686</v>
      </c>
      <c r="AS319" s="3" t="n">
        <v>-0.4230152821052008</v>
      </c>
      <c r="AT319" s="3" t="n">
        <v>-0.08468159201970139</v>
      </c>
      <c r="AU319" s="3">
        <f>SUM(AN319:AT319)</f>
        <v/>
      </c>
      <c r="AV319" s="7">
        <f>IF(OR(N(W319)&lt;=0,N(BG319)=0),0,N(W319)*IF(N(R319)/N(W319)&gt;=60,N(BG319),1))</f>
        <v/>
      </c>
      <c r="AW319" s="7">
        <f>N(W319)*N(AF319)*N(BH319)</f>
        <v/>
      </c>
      <c r="AX319" s="7">
        <f>N(AL319)*(Assumptions!$B$13*N(BJ319)-(1-Assumptions!$B$13)*Assumptions!$B$14)+N(AM319)</f>
        <v/>
      </c>
      <c r="AY319" s="7">
        <f>N(AU319)*N(R319)/90+N(AV319)+N(AW319)+N(AX319)</f>
        <v/>
      </c>
      <c r="AZ319" s="3">
        <f>IF(N(R319)&lt;=0,0,(N(AY319)-N(AX319))*90/N(R319))</f>
        <v/>
      </c>
      <c r="BA319" s="7">
        <f>IFERROR(AY319-VLOOKUP($E319,Assumptions!$A$40:$C$43,3,FALSE),"")</f>
        <v/>
      </c>
      <c r="BB319" s="3">
        <f>IFERROR(BA319/H319,"")</f>
        <v/>
      </c>
      <c r="BC319">
        <f>IF(AND($G319=TRUE,$E319="GKP"),AY319,"")</f>
        <v/>
      </c>
      <c r="BD319">
        <f>IF(AND($G319=TRUE,$E319="DEF"),AY319,"")</f>
        <v/>
      </c>
      <c r="BE319">
        <f>IF(AND($G319=TRUE,$E319="MID"),AY319,"")</f>
        <v/>
      </c>
      <c r="BF319">
        <f>IF(AND($G319=TRUE,$E319="FWD"),AY319,"")</f>
        <v/>
      </c>
      <c r="BG319" t="n">
        <v>2</v>
      </c>
      <c r="BH319" t="n">
        <v>0</v>
      </c>
      <c r="BI319" t="n">
        <v>4</v>
      </c>
      <c r="BJ319" t="n">
        <v>10</v>
      </c>
    </row>
    <row r="320">
      <c r="A320" t="inlineStr">
        <is>
          <t>Chadi Riad</t>
        </is>
      </c>
      <c r="B320" t="inlineStr">
        <is>
          <t>CRY</t>
        </is>
      </c>
      <c r="C320" t="inlineStr">
        <is>
          <t>CRY</t>
        </is>
      </c>
      <c r="D320" t="b">
        <v>0</v>
      </c>
      <c r="E320" t="inlineStr">
        <is>
          <t>DEF</t>
        </is>
      </c>
      <c r="F320" t="inlineStr">
        <is>
          <t>DEF</t>
        </is>
      </c>
      <c r="G320" t="b">
        <v>1</v>
      </c>
      <c r="H320" s="2" t="n">
        <v>4.5</v>
      </c>
      <c r="I320" t="inlineStr">
        <is>
          <t>a</t>
        </is>
      </c>
      <c r="K320" s="2" t="n">
        <v>550</v>
      </c>
      <c r="L320" t="n">
        <v>20</v>
      </c>
      <c r="M320" s="3" t="n">
        <v>356</v>
      </c>
      <c r="N320" s="4" t="n">
        <v>1500</v>
      </c>
      <c r="O320" s="4" t="n">
        <v>1144</v>
      </c>
      <c r="P320" s="5" t="inlineStr">
        <is>
          <t>medium</t>
        </is>
      </c>
      <c r="Q320" t="inlineStr">
        <is>
          <t>flat</t>
        </is>
      </c>
      <c r="R320" s="6" t="n">
        <v>1500</v>
      </c>
      <c r="S320" t="inlineStr">
        <is>
          <t>research</t>
        </is>
      </c>
      <c r="T320" s="5" t="inlineStr">
        <is>
          <t>Solio has him at four matches' worth, which reflects his ACL-shortened 550 minutes in 2025/26 rather than his current standing. Lacroix was sold to Chelsea for GBP 52m on 30 July, opening a back-three slot, and Riad started the final pre-season friendly in that back three, with Tomiyasu introduced as his replacement. He also scored in the Como Cup friendly against Al-Ula.</t>
        </is>
      </c>
      <c r="U320" s="6" t="n">
        <v>82.09999999999999</v>
      </c>
      <c r="V320" s="2" t="n">
        <v>6</v>
      </c>
      <c r="W320" s="7">
        <f>IF(N(U320)&lt;=0,0,MIN(Assumptions!$B$15,N(R320)/N(U320)))</f>
        <v/>
      </c>
      <c r="X320" s="6" t="n">
        <v>0.216</v>
      </c>
      <c r="Y320" s="3" t="n">
        <v>0.0532</v>
      </c>
      <c r="Z320" t="inlineStr">
        <is>
          <t>adjusted xGOT</t>
        </is>
      </c>
      <c r="AA320" s="3" t="n">
        <v>1</v>
      </c>
      <c r="AB320" s="3" t="n">
        <v>0.984</v>
      </c>
      <c r="AC320" s="3" t="n">
        <v>0.3</v>
      </c>
      <c r="AD320" s="3" t="n">
        <v>0.0456</v>
      </c>
      <c r="AE320" s="3" t="n">
        <v>7.546</v>
      </c>
      <c r="AF320" s="3" t="n">
        <v>0.1579023202369128</v>
      </c>
      <c r="AG320" s="3" t="n">
        <v>0</v>
      </c>
      <c r="AH320" s="3" t="n">
        <v>15</v>
      </c>
      <c r="AI320" s="3" t="n">
        <v>3.2035</v>
      </c>
      <c r="AJ320" s="3" t="n">
        <v>1.5923</v>
      </c>
      <c r="AK320" s="3" t="n">
        <v>-0.2384133220713924</v>
      </c>
      <c r="AL320" s="6" t="n">
        <v>0</v>
      </c>
      <c r="AM320" s="3" t="n">
        <v>0</v>
      </c>
      <c r="AN320" s="3" t="n">
        <v>0.3192</v>
      </c>
      <c r="AO320" s="3" t="n">
        <v>0.180576</v>
      </c>
      <c r="AP320" s="3">
        <f>N(X320)*N(BI320)</f>
        <v/>
      </c>
      <c r="AQ320" s="3" t="n">
        <v>0</v>
      </c>
      <c r="AR320" s="3" t="n">
        <v>0</v>
      </c>
      <c r="AS320" s="3" t="n">
        <v>-0.5564987001023466</v>
      </c>
      <c r="AT320" s="3" t="n">
        <v>-0.2384133220713924</v>
      </c>
      <c r="AU320" s="3">
        <f>SUM(AN320:AT320)</f>
        <v/>
      </c>
      <c r="AV320" s="7">
        <f>IF(OR(N(W320)&lt;=0,N(BG320)=0),0,N(W320)*IF(N(R320)/N(W320)&gt;=60,N(BG320),1))</f>
        <v/>
      </c>
      <c r="AW320" s="7">
        <f>N(W320)*N(AF320)*N(BH320)</f>
        <v/>
      </c>
      <c r="AX320" s="7">
        <f>N(AL320)*(Assumptions!$B$13*N(BJ320)-(1-Assumptions!$B$13)*Assumptions!$B$14)+N(AM320)</f>
        <v/>
      </c>
      <c r="AY320" s="7">
        <f>N(AU320)*N(R320)/90+N(AV320)+N(AW320)+N(AX320)</f>
        <v/>
      </c>
      <c r="AZ320" s="3">
        <f>IF(N(R320)&lt;=0,0,(N(AY320)-N(AX320))*90/N(R320))</f>
        <v/>
      </c>
      <c r="BA320" s="7">
        <f>IFERROR(AY320-VLOOKUP($E320,Assumptions!$A$40:$C$43,3,FALSE),"")</f>
        <v/>
      </c>
      <c r="BB320" s="3">
        <f>IFERROR(BA320/H320,"")</f>
        <v/>
      </c>
      <c r="BC320">
        <f>IF(AND($G320=TRUE,$E320="GKP"),AY320,"")</f>
        <v/>
      </c>
      <c r="BD320">
        <f>IF(AND($G320=TRUE,$E320="DEF"),AY320,"")</f>
        <v/>
      </c>
      <c r="BE320">
        <f>IF(AND($G320=TRUE,$E320="MID"),AY320,"")</f>
        <v/>
      </c>
      <c r="BF320">
        <f>IF(AND($G320=TRUE,$E320="FWD"),AY320,"")</f>
        <v/>
      </c>
      <c r="BG320" t="n">
        <v>2</v>
      </c>
      <c r="BH320" t="n">
        <v>2</v>
      </c>
      <c r="BI320" t="n">
        <v>4</v>
      </c>
      <c r="BJ320" t="n">
        <v>6</v>
      </c>
    </row>
    <row r="321">
      <c r="A321" t="inlineStr">
        <is>
          <t>Jorrel Hato</t>
        </is>
      </c>
      <c r="B321" t="inlineStr">
        <is>
          <t>CHE</t>
        </is>
      </c>
      <c r="C321" t="inlineStr">
        <is>
          <t>CHE</t>
        </is>
      </c>
      <c r="D321" t="b">
        <v>0</v>
      </c>
      <c r="E321" t="inlineStr">
        <is>
          <t>DEF</t>
        </is>
      </c>
      <c r="F321" t="inlineStr">
        <is>
          <t>DEF</t>
        </is>
      </c>
      <c r="G321" t="b">
        <v>1</v>
      </c>
      <c r="H321" s="2" t="n">
        <v>4.5</v>
      </c>
      <c r="I321" t="inlineStr">
        <is>
          <t>a</t>
        </is>
      </c>
      <c r="K321" s="2" t="n">
        <v>1139</v>
      </c>
      <c r="L321" t="n">
        <v>19</v>
      </c>
      <c r="M321" s="3" t="n">
        <v>1151</v>
      </c>
      <c r="N321" s="8" t="n">
        <v>1151</v>
      </c>
      <c r="O321" s="8" t="n">
        <v>0</v>
      </c>
      <c r="Q321" t="inlineStr">
        <is>
          <t>flat</t>
        </is>
      </c>
      <c r="R321" s="6" t="n">
        <v>1151</v>
      </c>
      <c r="S321" t="inlineStr">
        <is>
          <t>Solio</t>
        </is>
      </c>
      <c r="U321" s="6" t="n">
        <v>80.8</v>
      </c>
      <c r="V321" s="2" t="n">
        <v>12</v>
      </c>
      <c r="W321" s="7">
        <f>IF(N(U321)&lt;=0,0,MIN(Assumptions!$B$15,N(R321)/N(U321)))</f>
        <v/>
      </c>
      <c r="X321" s="6" t="n">
        <v>0.322</v>
      </c>
      <c r="Y321" s="3" t="n">
        <v>0.0228</v>
      </c>
      <c r="Z321" t="inlineStr">
        <is>
          <t>adjusted xGOT</t>
        </is>
      </c>
      <c r="AA321" s="3" t="n">
        <v>1</v>
      </c>
      <c r="AB321" s="3" t="n">
        <v>0.964</v>
      </c>
      <c r="AC321" s="3" t="n">
        <v>0.3</v>
      </c>
      <c r="AD321" s="3" t="n">
        <v>0.0521</v>
      </c>
      <c r="AE321" s="3" t="n">
        <v>7.769</v>
      </c>
      <c r="AF321" s="3" t="n">
        <v>0.166961471422465</v>
      </c>
      <c r="AG321" s="3" t="n">
        <v>0</v>
      </c>
      <c r="AH321" s="3" t="n">
        <v>32</v>
      </c>
      <c r="AI321" s="3" t="n">
        <v>2.4232</v>
      </c>
      <c r="AJ321" s="3" t="n">
        <v>1.1851</v>
      </c>
      <c r="AK321" s="3" t="n">
        <v>-0.3678395973145783</v>
      </c>
      <c r="AL321" s="6" t="n">
        <v>0</v>
      </c>
      <c r="AM321" s="3" t="n">
        <v>0</v>
      </c>
      <c r="AN321" s="3" t="n">
        <v>0.1368</v>
      </c>
      <c r="AO321" s="3" t="n">
        <v>0.206316</v>
      </c>
      <c r="AP321" s="3">
        <f>N(X321)*N(BI321)</f>
        <v/>
      </c>
      <c r="AQ321" s="3" t="n">
        <v>0</v>
      </c>
      <c r="AR321" s="3" t="n">
        <v>0</v>
      </c>
      <c r="AS321" s="3" t="n">
        <v>-0.365915508000572</v>
      </c>
      <c r="AT321" s="3" t="n">
        <v>-0.3678395973145783</v>
      </c>
      <c r="AU321" s="3">
        <f>SUM(AN321:AT321)</f>
        <v/>
      </c>
      <c r="AV321" s="7">
        <f>IF(OR(N(W321)&lt;=0,N(BG321)=0),0,N(W321)*IF(N(R321)/N(W321)&gt;=60,N(BG321),1))</f>
        <v/>
      </c>
      <c r="AW321" s="7">
        <f>N(W321)*N(AF321)*N(BH321)</f>
        <v/>
      </c>
      <c r="AX321" s="7">
        <f>N(AL321)*(Assumptions!$B$13*N(BJ321)-(1-Assumptions!$B$13)*Assumptions!$B$14)+N(AM321)</f>
        <v/>
      </c>
      <c r="AY321" s="7">
        <f>N(AU321)*N(R321)/90+N(AV321)+N(AW321)+N(AX321)</f>
        <v/>
      </c>
      <c r="AZ321" s="3">
        <f>IF(N(R321)&lt;=0,0,(N(AY321)-N(AX321))*90/N(R321))</f>
        <v/>
      </c>
      <c r="BA321" s="7">
        <f>IFERROR(AY321-VLOOKUP($E321,Assumptions!$A$40:$C$43,3,FALSE),"")</f>
        <v/>
      </c>
      <c r="BB321" s="3">
        <f>IFERROR(BA321/H321,"")</f>
        <v/>
      </c>
      <c r="BC321">
        <f>IF(AND($G321=TRUE,$E321="GKP"),AY321,"")</f>
        <v/>
      </c>
      <c r="BD321">
        <f>IF(AND($G321=TRUE,$E321="DEF"),AY321,"")</f>
        <v/>
      </c>
      <c r="BE321">
        <f>IF(AND($G321=TRUE,$E321="MID"),AY321,"")</f>
        <v/>
      </c>
      <c r="BF321">
        <f>IF(AND($G321=TRUE,$E321="FWD"),AY321,"")</f>
        <v/>
      </c>
      <c r="BG321" t="n">
        <v>2</v>
      </c>
      <c r="BH321" t="n">
        <v>2</v>
      </c>
      <c r="BI321" t="n">
        <v>4</v>
      </c>
      <c r="BJ321" t="n">
        <v>6</v>
      </c>
    </row>
    <row r="322">
      <c r="A322" t="inlineStr">
        <is>
          <t>Rico Lewis</t>
        </is>
      </c>
      <c r="B322" t="inlineStr">
        <is>
          <t>MCI</t>
        </is>
      </c>
      <c r="C322" t="inlineStr">
        <is>
          <t>MCI</t>
        </is>
      </c>
      <c r="D322" t="b">
        <v>0</v>
      </c>
      <c r="E322" t="inlineStr">
        <is>
          <t>DEF</t>
        </is>
      </c>
      <c r="F322" t="inlineStr">
        <is>
          <t>DEF</t>
        </is>
      </c>
      <c r="G322" t="b">
        <v>1</v>
      </c>
      <c r="H322" s="2" t="n">
        <v>4.5</v>
      </c>
      <c r="I322" t="inlineStr">
        <is>
          <t>a</t>
        </is>
      </c>
      <c r="K322" s="2" t="n">
        <v>401</v>
      </c>
      <c r="L322" t="n">
        <v>19</v>
      </c>
      <c r="M322" s="3" t="n">
        <v>50</v>
      </c>
      <c r="N322" s="8" t="n">
        <v>50</v>
      </c>
      <c r="O322" s="8" t="n">
        <v>0</v>
      </c>
      <c r="Q322" t="inlineStr">
        <is>
          <t>flat</t>
        </is>
      </c>
      <c r="R322" s="6" t="n">
        <v>50</v>
      </c>
      <c r="S322" t="inlineStr">
        <is>
          <t>Solio</t>
        </is>
      </c>
      <c r="U322" s="6" t="n">
        <v>85</v>
      </c>
      <c r="V322" s="2" t="n">
        <v>4</v>
      </c>
      <c r="W322" s="7">
        <f>IF(N(U322)&lt;=0,0,MIN(Assumptions!$B$15,N(R322)/N(U322)))</f>
        <v/>
      </c>
      <c r="X322" s="6" t="n">
        <v>0.371</v>
      </c>
      <c r="Y322" s="3" t="n">
        <v>0.0462</v>
      </c>
      <c r="Z322" t="inlineStr">
        <is>
          <t>adjusted xGOT</t>
        </is>
      </c>
      <c r="AA322" s="3" t="n">
        <v>1</v>
      </c>
      <c r="AB322" s="3" t="n">
        <v>1.082</v>
      </c>
      <c r="AC322" s="3" t="n">
        <v>2.4</v>
      </c>
      <c r="AD322" s="3" t="n">
        <v>0.3304</v>
      </c>
      <c r="AE322" s="3" t="n">
        <v>6.461</v>
      </c>
      <c r="AF322" s="3" t="n">
        <v>0.09112855939489939</v>
      </c>
      <c r="AG322" s="3" t="n">
        <v>0.4489</v>
      </c>
      <c r="AH322" s="3" t="n">
        <v>15</v>
      </c>
      <c r="AI322" s="3" t="n">
        <v>1.9737</v>
      </c>
      <c r="AJ322" s="3" t="n">
        <v>1.0365</v>
      </c>
      <c r="AK322" s="3" t="n">
        <v>-0.2160118104341646</v>
      </c>
      <c r="AL322" s="6" t="n">
        <v>0</v>
      </c>
      <c r="AM322" s="3" t="n">
        <v>0</v>
      </c>
      <c r="AN322" s="3" t="n">
        <v>0.2772</v>
      </c>
      <c r="AO322" s="3" t="n">
        <v>1.308384</v>
      </c>
      <c r="AP322" s="3">
        <f>N(X322)*N(BI322)</f>
        <v/>
      </c>
      <c r="AQ322" s="3" t="n">
        <v>0.4489</v>
      </c>
      <c r="AR322" s="3" t="n">
        <v>0</v>
      </c>
      <c r="AS322" s="3" t="n">
        <v>-0.2997019479071323</v>
      </c>
      <c r="AT322" s="3" t="n">
        <v>-0.2160118104341646</v>
      </c>
      <c r="AU322" s="3">
        <f>SUM(AN322:AT322)</f>
        <v/>
      </c>
      <c r="AV322" s="7">
        <f>IF(OR(N(W322)&lt;=0,N(BG322)=0),0,N(W322)*IF(N(R322)/N(W322)&gt;=60,N(BG322),1))</f>
        <v/>
      </c>
      <c r="AW322" s="7">
        <f>N(W322)*N(AF322)*N(BH322)</f>
        <v/>
      </c>
      <c r="AX322" s="7">
        <f>N(AL322)*(Assumptions!$B$13*N(BJ322)-(1-Assumptions!$B$13)*Assumptions!$B$14)+N(AM322)</f>
        <v/>
      </c>
      <c r="AY322" s="7">
        <f>N(AU322)*N(R322)/90+N(AV322)+N(AW322)+N(AX322)</f>
        <v/>
      </c>
      <c r="AZ322" s="3">
        <f>IF(N(R322)&lt;=0,0,(N(AY322)-N(AX322))*90/N(R322))</f>
        <v/>
      </c>
      <c r="BA322" s="7">
        <f>IFERROR(AY322-VLOOKUP($E322,Assumptions!$A$40:$C$43,3,FALSE),"")</f>
        <v/>
      </c>
      <c r="BB322" s="3">
        <f>IFERROR(BA322/H322,"")</f>
        <v/>
      </c>
      <c r="BC322">
        <f>IF(AND($G322=TRUE,$E322="GKP"),AY322,"")</f>
        <v/>
      </c>
      <c r="BD322">
        <f>IF(AND($G322=TRUE,$E322="DEF"),AY322,"")</f>
        <v/>
      </c>
      <c r="BE322">
        <f>IF(AND($G322=TRUE,$E322="MID"),AY322,"")</f>
        <v/>
      </c>
      <c r="BF322">
        <f>IF(AND($G322=TRUE,$E322="FWD"),AY322,"")</f>
        <v/>
      </c>
      <c r="BG322" t="n">
        <v>2</v>
      </c>
      <c r="BH322" t="n">
        <v>2</v>
      </c>
      <c r="BI322" t="n">
        <v>4</v>
      </c>
      <c r="BJ322" t="n">
        <v>6</v>
      </c>
    </row>
    <row r="323">
      <c r="A323" t="inlineStr">
        <is>
          <t>Veljko Milosavljevic</t>
        </is>
      </c>
      <c r="B323" t="inlineStr">
        <is>
          <t>BOU</t>
        </is>
      </c>
      <c r="C323" t="inlineStr">
        <is>
          <t>BOU</t>
        </is>
      </c>
      <c r="D323" t="b">
        <v>0</v>
      </c>
      <c r="E323" t="inlineStr">
        <is>
          <t>DEF</t>
        </is>
      </c>
      <c r="F323" t="inlineStr">
        <is>
          <t>DEF</t>
        </is>
      </c>
      <c r="G323" t="b">
        <v>1</v>
      </c>
      <c r="H323" s="2" t="n">
        <v>5</v>
      </c>
      <c r="I323" t="inlineStr">
        <is>
          <t>i</t>
        </is>
      </c>
      <c r="J323" t="inlineStr">
        <is>
          <t>Unspecified injury - Unknown return date</t>
        </is>
      </c>
      <c r="K323" s="2" t="n">
        <v>367</v>
      </c>
      <c r="L323" t="n">
        <v>19</v>
      </c>
      <c r="M323" s="3" t="n">
        <v>101</v>
      </c>
      <c r="N323" s="8" t="n">
        <v>101</v>
      </c>
      <c r="O323" s="8" t="n">
        <v>0</v>
      </c>
      <c r="Q323" t="inlineStr">
        <is>
          <t>flat</t>
        </is>
      </c>
      <c r="R323" s="6" t="n">
        <v>101</v>
      </c>
      <c r="S323" t="inlineStr">
        <is>
          <t>Solio</t>
        </is>
      </c>
      <c r="U323" s="6" t="n">
        <v>86.8</v>
      </c>
      <c r="V323" s="2" t="n">
        <v>4</v>
      </c>
      <c r="W323" s="7">
        <f>IF(N(U323)&lt;=0,0,MIN(Assumptions!$B$15,N(R323)/N(U323)))</f>
        <v/>
      </c>
      <c r="X323" s="6" t="n">
        <v>0.23</v>
      </c>
      <c r="Y323" s="3" t="n">
        <v>0.036</v>
      </c>
      <c r="Z323" t="inlineStr">
        <is>
          <t>adjusted xGOT</t>
        </is>
      </c>
      <c r="AA323" s="3" t="n">
        <v>1</v>
      </c>
      <c r="AB323" s="3" t="n">
        <v>0.982</v>
      </c>
      <c r="AC323" s="3" t="n">
        <v>0.2</v>
      </c>
      <c r="AD323" s="3" t="n">
        <v>0.0315</v>
      </c>
      <c r="AE323" s="3" t="n">
        <v>8.319000000000001</v>
      </c>
      <c r="AF323" s="3" t="n">
        <v>0.286260126502204</v>
      </c>
      <c r="AG323" s="3" t="n">
        <v>0</v>
      </c>
      <c r="AH323" s="3" t="n">
        <v>11</v>
      </c>
      <c r="AI323" s="3" t="n">
        <v>3.0957</v>
      </c>
      <c r="AJ323" s="3" t="n">
        <v>1.53</v>
      </c>
      <c r="AK323" s="3" t="n">
        <v>-0.1672897928750006</v>
      </c>
      <c r="AL323" s="6" t="n">
        <v>0</v>
      </c>
      <c r="AM323" s="3" t="n">
        <v>0</v>
      </c>
      <c r="AN323" s="3" t="n">
        <v>0.216</v>
      </c>
      <c r="AO323" s="3" t="n">
        <v>0.12474</v>
      </c>
      <c r="AP323" s="3">
        <f>N(X323)*N(BI323)</f>
        <v/>
      </c>
      <c r="AQ323" s="3" t="n">
        <v>0</v>
      </c>
      <c r="AR323" s="3" t="n">
        <v>0</v>
      </c>
      <c r="AS323" s="3" t="n">
        <v>-0.5267219238049191</v>
      </c>
      <c r="AT323" s="3" t="n">
        <v>-0.1672897928750006</v>
      </c>
      <c r="AU323" s="3">
        <f>SUM(AN323:AT323)</f>
        <v/>
      </c>
      <c r="AV323" s="7">
        <f>IF(OR(N(W323)&lt;=0,N(BG323)=0),0,N(W323)*IF(N(R323)/N(W323)&gt;=60,N(BG323),1))</f>
        <v/>
      </c>
      <c r="AW323" s="7">
        <f>N(W323)*N(AF323)*N(BH323)</f>
        <v/>
      </c>
      <c r="AX323" s="7">
        <f>N(AL323)*(Assumptions!$B$13*N(BJ323)-(1-Assumptions!$B$13)*Assumptions!$B$14)+N(AM323)</f>
        <v/>
      </c>
      <c r="AY323" s="7">
        <f>N(AU323)*N(R323)/90+N(AV323)+N(AW323)+N(AX323)</f>
        <v/>
      </c>
      <c r="AZ323" s="3">
        <f>IF(N(R323)&lt;=0,0,(N(AY323)-N(AX323))*90/N(R323))</f>
        <v/>
      </c>
      <c r="BA323" s="7">
        <f>IFERROR(AY323-VLOOKUP($E323,Assumptions!$A$40:$C$43,3,FALSE),"")</f>
        <v/>
      </c>
      <c r="BB323" s="3">
        <f>IFERROR(BA323/H323,"")</f>
        <v/>
      </c>
      <c r="BC323">
        <f>IF(AND($G323=TRUE,$E323="GKP"),AY323,"")</f>
        <v/>
      </c>
      <c r="BD323">
        <f>IF(AND($G323=TRUE,$E323="DEF"),AY323,"")</f>
        <v/>
      </c>
      <c r="BE323">
        <f>IF(AND($G323=TRUE,$E323="MID"),AY323,"")</f>
        <v/>
      </c>
      <c r="BF323">
        <f>IF(AND($G323=TRUE,$E323="FWD"),AY323,"")</f>
        <v/>
      </c>
      <c r="BG323" t="n">
        <v>2</v>
      </c>
      <c r="BH323" t="n">
        <v>2</v>
      </c>
      <c r="BI323" t="n">
        <v>4</v>
      </c>
      <c r="BJ323" t="n">
        <v>6</v>
      </c>
    </row>
    <row r="324">
      <c r="A324" t="inlineStr">
        <is>
          <t>Tyler Dibling</t>
        </is>
      </c>
      <c r="B324" t="inlineStr">
        <is>
          <t>EVE</t>
        </is>
      </c>
      <c r="C324" t="inlineStr">
        <is>
          <t>EVE</t>
        </is>
      </c>
      <c r="D324" t="b">
        <v>0</v>
      </c>
      <c r="E324" t="inlineStr">
        <is>
          <t>MID</t>
        </is>
      </c>
      <c r="F324" t="inlineStr">
        <is>
          <t>MID</t>
        </is>
      </c>
      <c r="G324" t="b">
        <v>1</v>
      </c>
      <c r="H324" s="2" t="n">
        <v>5.5</v>
      </c>
      <c r="I324" t="inlineStr">
        <is>
          <t>a</t>
        </is>
      </c>
      <c r="K324" s="2" t="n">
        <v>349</v>
      </c>
      <c r="L324" t="n">
        <v>18</v>
      </c>
      <c r="M324" s="3" t="n">
        <v>274</v>
      </c>
      <c r="N324" s="8" t="n">
        <v>274</v>
      </c>
      <c r="O324" s="8" t="n">
        <v>0</v>
      </c>
      <c r="Q324" t="inlineStr">
        <is>
          <t>flat</t>
        </is>
      </c>
      <c r="R324" s="6" t="n">
        <v>274</v>
      </c>
      <c r="S324" t="inlineStr">
        <is>
          <t>Solio</t>
        </is>
      </c>
      <c r="U324" s="6" t="n">
        <v>76.3</v>
      </c>
      <c r="V324" s="2" t="n">
        <v>4</v>
      </c>
      <c r="W324" s="7">
        <f>IF(N(U324)&lt;=0,0,MIN(Assumptions!$B$15,N(R324)/N(U324)))</f>
        <v/>
      </c>
      <c r="X324" s="6" t="n">
        <v>0.231</v>
      </c>
      <c r="Y324" s="3" t="n">
        <v>0.05</v>
      </c>
      <c r="Z324" t="inlineStr">
        <is>
          <t>adjusted xGOT</t>
        </is>
      </c>
      <c r="AA324" s="3" t="n">
        <v>1</v>
      </c>
      <c r="AB324" s="3" t="n">
        <v>0.972</v>
      </c>
      <c r="AC324" s="3" t="n">
        <v>2.8</v>
      </c>
      <c r="AD324" s="3" t="n">
        <v>0.0455</v>
      </c>
      <c r="AE324" s="3" t="n">
        <v>9.144</v>
      </c>
      <c r="AF324" s="3" t="n">
        <v>0.09486317972344482</v>
      </c>
      <c r="AG324" s="3" t="n">
        <v>0</v>
      </c>
      <c r="AH324" s="3" t="n">
        <v>16</v>
      </c>
      <c r="AI324" s="3" t="n">
        <v>3.0311</v>
      </c>
      <c r="AJ324" s="3" t="n">
        <v>1.5252</v>
      </c>
      <c r="AK324" s="3" t="n">
        <v>-0.2888063596275141</v>
      </c>
      <c r="AL324" s="6" t="n">
        <v>0</v>
      </c>
      <c r="AM324" s="3" t="n">
        <v>0</v>
      </c>
      <c r="AN324" s="3" t="n">
        <v>0.25</v>
      </c>
      <c r="AO324" s="3" t="n">
        <v>0.18018</v>
      </c>
      <c r="AP324" s="3">
        <f>N(X324)*N(BI324)</f>
        <v/>
      </c>
      <c r="AQ324" s="3" t="n">
        <v>0</v>
      </c>
      <c r="AR324" s="3" t="n">
        <v>0</v>
      </c>
      <c r="AS324" s="3" t="n">
        <v>-0</v>
      </c>
      <c r="AT324" s="3" t="n">
        <v>-0.2888063596275141</v>
      </c>
      <c r="AU324" s="3">
        <f>SUM(AN324:AT324)</f>
        <v/>
      </c>
      <c r="AV324" s="7">
        <f>IF(OR(N(W324)&lt;=0,N(BG324)=0),0,N(W324)*IF(N(R324)/N(W324)&gt;=60,N(BG324),1))</f>
        <v/>
      </c>
      <c r="AW324" s="7">
        <f>N(W324)*N(AF324)*N(BH324)</f>
        <v/>
      </c>
      <c r="AX324" s="7">
        <f>N(AL324)*(Assumptions!$B$13*N(BJ324)-(1-Assumptions!$B$13)*Assumptions!$B$14)+N(AM324)</f>
        <v/>
      </c>
      <c r="AY324" s="7">
        <f>N(AU324)*N(R324)/90+N(AV324)+N(AW324)+N(AX324)</f>
        <v/>
      </c>
      <c r="AZ324" s="3">
        <f>IF(N(R324)&lt;=0,0,(N(AY324)-N(AX324))*90/N(R324))</f>
        <v/>
      </c>
      <c r="BA324" s="7">
        <f>IFERROR(AY324-VLOOKUP($E324,Assumptions!$A$40:$C$43,3,FALSE),"")</f>
        <v/>
      </c>
      <c r="BB324" s="3">
        <f>IFERROR(BA324/H324,"")</f>
        <v/>
      </c>
      <c r="BC324">
        <f>IF(AND($G324=TRUE,$E324="GKP"),AY324,"")</f>
        <v/>
      </c>
      <c r="BD324">
        <f>IF(AND($G324=TRUE,$E324="DEF"),AY324,"")</f>
        <v/>
      </c>
      <c r="BE324">
        <f>IF(AND($G324=TRUE,$E324="MID"),AY324,"")</f>
        <v/>
      </c>
      <c r="BF324">
        <f>IF(AND($G324=TRUE,$E324="FWD"),AY324,"")</f>
        <v/>
      </c>
      <c r="BG324" t="n">
        <v>2</v>
      </c>
      <c r="BH324" t="n">
        <v>2</v>
      </c>
      <c r="BI324" t="n">
        <v>1</v>
      </c>
      <c r="BJ324" t="n">
        <v>5</v>
      </c>
    </row>
    <row r="325">
      <c r="A325" t="inlineStr">
        <is>
          <t>Christantus Uche</t>
        </is>
      </c>
      <c r="B325" t="inlineStr">
        <is>
          <t>CRY</t>
        </is>
      </c>
      <c r="C325" t="inlineStr">
        <is>
          <t>CRY</t>
        </is>
      </c>
      <c r="D325" t="b">
        <v>0</v>
      </c>
      <c r="E325" t="inlineStr">
        <is>
          <t>FWD</t>
        </is>
      </c>
      <c r="F325" t="inlineStr">
        <is>
          <t>FWD</t>
        </is>
      </c>
      <c r="G325" t="b">
        <v>1</v>
      </c>
      <c r="H325" s="2" t="n">
        <v>5</v>
      </c>
      <c r="I325" t="inlineStr">
        <is>
          <t>u</t>
        </is>
      </c>
      <c r="J325" t="inlineStr">
        <is>
          <t>has returned to Getafe CF</t>
        </is>
      </c>
      <c r="K325" s="2" t="n">
        <v>159</v>
      </c>
      <c r="L325" t="n">
        <v>17</v>
      </c>
      <c r="M325" s="3" t="n"/>
      <c r="N325" s="4" t="n">
        <v>0</v>
      </c>
      <c r="O325" s="4" t="n">
        <v>-159</v>
      </c>
      <c r="P325" s="5" t="inlineStr">
        <is>
          <t>high</t>
        </is>
      </c>
      <c r="R325" s="6" t="n">
        <v>0</v>
      </c>
      <c r="S325" t="inlineStr">
        <is>
          <t>research</t>
        </is>
      </c>
      <c r="T325" s="5" t="inlineStr">
        <is>
          <t>Loan ended and he has returned to Getafe CF. FPL status is 'u' with chance_of_playing 0, news dated 2026-07-23. He will play no Premier League minutes for Palace.</t>
        </is>
      </c>
      <c r="U325" s="6" t="n">
        <v>78.5</v>
      </c>
      <c r="V325" s="2" t="n">
        <v>0</v>
      </c>
      <c r="W325" s="7">
        <f>IF(N(U325)&lt;=0,0,MIN(Assumptions!$B$15,N(R325)/N(U325)))</f>
        <v/>
      </c>
      <c r="X325" s="6" t="n">
        <v>0.216</v>
      </c>
      <c r="Y325" s="3" t="n">
        <v>0.2745</v>
      </c>
      <c r="Z325" t="inlineStr">
        <is>
          <t>adjusted xGOT</t>
        </is>
      </c>
      <c r="AA325" s="3" t="n">
        <v>1</v>
      </c>
      <c r="AB325" s="3" t="n">
        <v>0.989</v>
      </c>
      <c r="AC325" s="3" t="n">
        <v>0.5</v>
      </c>
      <c r="AD325" s="3" t="n">
        <v>0.0028</v>
      </c>
      <c r="AE325" s="3" t="n">
        <v>5.257</v>
      </c>
      <c r="AF325" s="3" t="n">
        <v>0.00279100051185055</v>
      </c>
      <c r="AG325" s="3" t="n">
        <v>0</v>
      </c>
      <c r="AH325" s="3" t="n">
        <v>14</v>
      </c>
      <c r="AI325" s="3" t="n">
        <v>3.2035</v>
      </c>
      <c r="AJ325" s="3" t="n">
        <v>1.5923</v>
      </c>
      <c r="AK325" s="3" t="n">
        <v>-0.1584765660383624</v>
      </c>
      <c r="AL325" s="6" t="n">
        <v>0</v>
      </c>
      <c r="AM325" s="3" t="n">
        <v>0</v>
      </c>
      <c r="AN325" s="3" t="n">
        <v>1.098</v>
      </c>
      <c r="AO325" s="3" t="n">
        <v>0.011088</v>
      </c>
      <c r="AP325" s="3">
        <f>N(X325)*N(BI325)</f>
        <v/>
      </c>
      <c r="AQ325" s="3" t="n">
        <v>0</v>
      </c>
      <c r="AR325" s="3" t="n">
        <v>0</v>
      </c>
      <c r="AS325" s="3" t="n">
        <v>-0</v>
      </c>
      <c r="AT325" s="3" t="n">
        <v>-0.1584765660383624</v>
      </c>
      <c r="AU325" s="3">
        <f>SUM(AN325:AT325)</f>
        <v/>
      </c>
      <c r="AV325" s="7">
        <f>IF(OR(N(W325)&lt;=0,N(BG325)=0),0,N(W325)*IF(N(R325)/N(W325)&gt;=60,N(BG325),1))</f>
        <v/>
      </c>
      <c r="AW325" s="7">
        <f>N(W325)*N(AF325)*N(BH325)</f>
        <v/>
      </c>
      <c r="AX325" s="7">
        <f>N(AL325)*(Assumptions!$B$13*N(BJ325)-(1-Assumptions!$B$13)*Assumptions!$B$14)+N(AM325)</f>
        <v/>
      </c>
      <c r="AY325" s="7">
        <f>N(AU325)*N(R325)/90+N(AV325)+N(AW325)+N(AX325)</f>
        <v/>
      </c>
      <c r="AZ325" s="3">
        <f>IF(N(R325)&lt;=0,0,(N(AY325)-N(AX325))*90/N(R325))</f>
        <v/>
      </c>
      <c r="BA325" s="7">
        <f>IFERROR(AY325-VLOOKUP($E325,Assumptions!$A$40:$C$43,3,FALSE),"")</f>
        <v/>
      </c>
      <c r="BB325" s="3">
        <f>IFERROR(BA325/H325,"")</f>
        <v/>
      </c>
      <c r="BC325">
        <f>IF(AND($G325=TRUE,$E325="GKP"),AY325,"")</f>
        <v/>
      </c>
      <c r="BD325">
        <f>IF(AND($G325=TRUE,$E325="DEF"),AY325,"")</f>
        <v/>
      </c>
      <c r="BE325">
        <f>IF(AND($G325=TRUE,$E325="MID"),AY325,"")</f>
        <v/>
      </c>
      <c r="BF325">
        <f>IF(AND($G325=TRUE,$E325="FWD"),AY325,"")</f>
        <v/>
      </c>
      <c r="BG325" t="n">
        <v>2</v>
      </c>
      <c r="BH325" t="n">
        <v>2</v>
      </c>
      <c r="BI325" t="n">
        <v>0</v>
      </c>
      <c r="BJ325" t="n">
        <v>4</v>
      </c>
    </row>
    <row r="326">
      <c r="A326" t="inlineStr">
        <is>
          <t>Joël Piroe</t>
        </is>
      </c>
      <c r="B326" t="inlineStr">
        <is>
          <t>LEE</t>
        </is>
      </c>
      <c r="C326" t="inlineStr">
        <is>
          <t>LEE</t>
        </is>
      </c>
      <c r="D326" t="b">
        <v>0</v>
      </c>
      <c r="E326" t="inlineStr">
        <is>
          <t>FWD</t>
        </is>
      </c>
      <c r="F326" t="inlineStr">
        <is>
          <t>FWD</t>
        </is>
      </c>
      <c r="G326" t="b">
        <v>1</v>
      </c>
      <c r="H326" s="2" t="n">
        <v>5</v>
      </c>
      <c r="I326" t="inlineStr">
        <is>
          <t>a</t>
        </is>
      </c>
      <c r="K326" s="2" t="n">
        <v>244</v>
      </c>
      <c r="L326" t="n">
        <v>17</v>
      </c>
      <c r="M326" s="3" t="n">
        <v>15</v>
      </c>
      <c r="N326" s="8" t="n">
        <v>15</v>
      </c>
      <c r="O326" s="8" t="n">
        <v>0</v>
      </c>
      <c r="Q326" t="inlineStr">
        <is>
          <t>flat</t>
        </is>
      </c>
      <c r="R326" s="6" t="n">
        <v>15</v>
      </c>
      <c r="S326" t="inlineStr">
        <is>
          <t>Solio</t>
        </is>
      </c>
      <c r="U326" s="6" t="n">
        <v>76.59999999999999</v>
      </c>
      <c r="V326" s="2" t="n">
        <v>2</v>
      </c>
      <c r="W326" s="7">
        <f>IF(N(U326)&lt;=0,0,MIN(Assumptions!$B$15,N(R326)/N(U326)))</f>
        <v/>
      </c>
      <c r="X326" s="6" t="n">
        <v>0.218</v>
      </c>
      <c r="Y326" s="3" t="n">
        <v>0.3172</v>
      </c>
      <c r="Z326" t="inlineStr">
        <is>
          <t>adjusted xGOT</t>
        </is>
      </c>
      <c r="AA326" s="3" t="n">
        <v>1</v>
      </c>
      <c r="AB326" s="3" t="n">
        <v>0.955</v>
      </c>
      <c r="AC326" s="3" t="n">
        <v>0.9</v>
      </c>
      <c r="AD326" s="3" t="n">
        <v>0.0398</v>
      </c>
      <c r="AE326" s="3" t="n">
        <v>4.887</v>
      </c>
      <c r="AF326" s="3" t="n">
        <v>0.001267930977892684</v>
      </c>
      <c r="AG326" s="3" t="n">
        <v>0</v>
      </c>
      <c r="AH326" s="3" t="n">
        <v>17</v>
      </c>
      <c r="AI326" s="3" t="n">
        <v>3.0611</v>
      </c>
      <c r="AJ326" s="3" t="n">
        <v>1.5875</v>
      </c>
      <c r="AK326" s="3" t="n">
        <v>-0.1510642857133865</v>
      </c>
      <c r="AL326" s="6" t="n">
        <v>0.0016985847943565</v>
      </c>
      <c r="AM326" s="3" t="n">
        <v>0</v>
      </c>
      <c r="AN326" s="3" t="n">
        <v>1.2688</v>
      </c>
      <c r="AO326" s="3" t="n">
        <v>0.157608</v>
      </c>
      <c r="AP326" s="3">
        <f>N(X326)*N(BI326)</f>
        <v/>
      </c>
      <c r="AQ326" s="3" t="n">
        <v>0</v>
      </c>
      <c r="AR326" s="3" t="n">
        <v>0</v>
      </c>
      <c r="AS326" s="3" t="n">
        <v>-0</v>
      </c>
      <c r="AT326" s="3" t="n">
        <v>-0.1510642857133865</v>
      </c>
      <c r="AU326" s="3">
        <f>SUM(AN326:AT326)</f>
        <v/>
      </c>
      <c r="AV326" s="7">
        <f>IF(OR(N(W326)&lt;=0,N(BG326)=0),0,N(W326)*IF(N(R326)/N(W326)&gt;=60,N(BG326),1))</f>
        <v/>
      </c>
      <c r="AW326" s="7">
        <f>N(W326)*N(AF326)*N(BH326)</f>
        <v/>
      </c>
      <c r="AX326" s="7">
        <f>N(AL326)*(Assumptions!$B$13*N(BJ326)-(1-Assumptions!$B$13)*Assumptions!$B$14)+N(AM326)</f>
        <v/>
      </c>
      <c r="AY326" s="7">
        <f>N(AU326)*N(R326)/90+N(AV326)+N(AW326)+N(AX326)</f>
        <v/>
      </c>
      <c r="AZ326" s="3">
        <f>IF(N(R326)&lt;=0,0,(N(AY326)-N(AX326))*90/N(R326))</f>
        <v/>
      </c>
      <c r="BA326" s="7">
        <f>IFERROR(AY326-VLOOKUP($E326,Assumptions!$A$40:$C$43,3,FALSE),"")</f>
        <v/>
      </c>
      <c r="BB326" s="3">
        <f>IFERROR(BA326/H326,"")</f>
        <v/>
      </c>
      <c r="BC326">
        <f>IF(AND($G326=TRUE,$E326="GKP"),AY326,"")</f>
        <v/>
      </c>
      <c r="BD326">
        <f>IF(AND($G326=TRUE,$E326="DEF"),AY326,"")</f>
        <v/>
      </c>
      <c r="BE326">
        <f>IF(AND($G326=TRUE,$E326="MID"),AY326,"")</f>
        <v/>
      </c>
      <c r="BF326">
        <f>IF(AND($G326=TRUE,$E326="FWD"),AY326,"")</f>
        <v/>
      </c>
      <c r="BG326" t="n">
        <v>2</v>
      </c>
      <c r="BH326" t="n">
        <v>2</v>
      </c>
      <c r="BI326" t="n">
        <v>0</v>
      </c>
      <c r="BJ326" t="n">
        <v>4</v>
      </c>
    </row>
    <row r="327">
      <c r="A327" t="inlineStr">
        <is>
          <t>James McAtee</t>
        </is>
      </c>
      <c r="B327" t="inlineStr">
        <is>
          <t>NFO</t>
        </is>
      </c>
      <c r="C327" t="inlineStr">
        <is>
          <t>NFO</t>
        </is>
      </c>
      <c r="D327" t="b">
        <v>0</v>
      </c>
      <c r="E327" t="inlineStr">
        <is>
          <t>MID</t>
        </is>
      </c>
      <c r="F327" t="inlineStr">
        <is>
          <t>MID</t>
        </is>
      </c>
      <c r="G327" t="b">
        <v>1</v>
      </c>
      <c r="H327" s="2" t="n">
        <v>5.5</v>
      </c>
      <c r="I327" t="inlineStr">
        <is>
          <t>a</t>
        </is>
      </c>
      <c r="K327" s="2" t="n">
        <v>288</v>
      </c>
      <c r="L327" t="n">
        <v>17</v>
      </c>
      <c r="M327" s="3" t="n">
        <v>633</v>
      </c>
      <c r="N327" s="4" t="n">
        <v>790</v>
      </c>
      <c r="O327" s="4" t="n">
        <v>157</v>
      </c>
      <c r="P327" s="5" t="inlineStr">
        <is>
          <t>low</t>
        </is>
      </c>
      <c r="Q327" t="inlineStr">
        <is>
          <t>flat</t>
        </is>
      </c>
      <c r="R327" s="6" t="n">
        <v>790</v>
      </c>
      <c r="S327" t="inlineStr">
        <is>
          <t>research</t>
        </is>
      </c>
      <c r="T327" s="5" t="inlineStr">
        <is>
          <t>Started Glasner's first pre-season XI. His 288 league minutes in 2025-26 came under previous managers, and a coaching change plus Elliot Anderson's departure both work in his favour for the contested central and ten roles.</t>
        </is>
      </c>
      <c r="U327" s="6" t="n">
        <v>79.2</v>
      </c>
      <c r="V327" s="2" t="n">
        <v>2</v>
      </c>
      <c r="W327" s="7">
        <f>IF(N(U327)&lt;=0,0,MIN(Assumptions!$B$15,N(R327)/N(U327)))</f>
        <v/>
      </c>
      <c r="X327" s="6" t="n">
        <v>0.224</v>
      </c>
      <c r="Y327" s="3" t="n">
        <v>0.0572</v>
      </c>
      <c r="Z327" t="inlineStr">
        <is>
          <t>adjusted xGOT</t>
        </is>
      </c>
      <c r="AA327" s="3" t="n">
        <v>1</v>
      </c>
      <c r="AB327" s="3" t="n">
        <v>1.017</v>
      </c>
      <c r="AC327" s="3" t="n">
        <v>6</v>
      </c>
      <c r="AD327" s="3" t="n">
        <v>0.1925</v>
      </c>
      <c r="AE327" s="3" t="n">
        <v>8.984</v>
      </c>
      <c r="AF327" s="3" t="n">
        <v>0.1052524412148426</v>
      </c>
      <c r="AG327" s="3" t="n">
        <v>0</v>
      </c>
      <c r="AH327" s="3" t="n">
        <v>15</v>
      </c>
      <c r="AI327" s="3" t="n">
        <v>3.1134</v>
      </c>
      <c r="AJ327" s="3" t="n">
        <v>1.5588</v>
      </c>
      <c r="AK327" s="3" t="n">
        <v>-0.2059306275428898</v>
      </c>
      <c r="AL327" s="6" t="n">
        <v>0</v>
      </c>
      <c r="AM327" s="3" t="n">
        <v>0</v>
      </c>
      <c r="AN327" s="3" t="n">
        <v>0.286</v>
      </c>
      <c r="AO327" s="3" t="n">
        <v>0.7623000000000001</v>
      </c>
      <c r="AP327" s="3">
        <f>N(X327)*N(BI327)</f>
        <v/>
      </c>
      <c r="AQ327" s="3" t="n">
        <v>0</v>
      </c>
      <c r="AR327" s="3" t="n">
        <v>0</v>
      </c>
      <c r="AS327" s="3" t="n">
        <v>-0</v>
      </c>
      <c r="AT327" s="3" t="n">
        <v>-0.2059306275428898</v>
      </c>
      <c r="AU327" s="3">
        <f>SUM(AN327:AT327)</f>
        <v/>
      </c>
      <c r="AV327" s="7">
        <f>IF(OR(N(W327)&lt;=0,N(BG327)=0),0,N(W327)*IF(N(R327)/N(W327)&gt;=60,N(BG327),1))</f>
        <v/>
      </c>
      <c r="AW327" s="7">
        <f>N(W327)*N(AF327)*N(BH327)</f>
        <v/>
      </c>
      <c r="AX327" s="7">
        <f>N(AL327)*(Assumptions!$B$13*N(BJ327)-(1-Assumptions!$B$13)*Assumptions!$B$14)+N(AM327)</f>
        <v/>
      </c>
      <c r="AY327" s="7">
        <f>N(AU327)*N(R327)/90+N(AV327)+N(AW327)+N(AX327)</f>
        <v/>
      </c>
      <c r="AZ327" s="3">
        <f>IF(N(R327)&lt;=0,0,(N(AY327)-N(AX327))*90/N(R327))</f>
        <v/>
      </c>
      <c r="BA327" s="7">
        <f>IFERROR(AY327-VLOOKUP($E327,Assumptions!$A$40:$C$43,3,FALSE),"")</f>
        <v/>
      </c>
      <c r="BB327" s="3">
        <f>IFERROR(BA327/H327,"")</f>
        <v/>
      </c>
      <c r="BC327">
        <f>IF(AND($G327=TRUE,$E327="GKP"),AY327,"")</f>
        <v/>
      </c>
      <c r="BD327">
        <f>IF(AND($G327=TRUE,$E327="DEF"),AY327,"")</f>
        <v/>
      </c>
      <c r="BE327">
        <f>IF(AND($G327=TRUE,$E327="MID"),AY327,"")</f>
        <v/>
      </c>
      <c r="BF327">
        <f>IF(AND($G327=TRUE,$E327="FWD"),AY327,"")</f>
        <v/>
      </c>
      <c r="BG327" t="n">
        <v>2</v>
      </c>
      <c r="BH327" t="n">
        <v>2</v>
      </c>
      <c r="BI327" t="n">
        <v>1</v>
      </c>
      <c r="BJ327" t="n">
        <v>5</v>
      </c>
    </row>
    <row r="328">
      <c r="A328" t="inlineStr">
        <is>
          <t>Stefanos Tzimas</t>
        </is>
      </c>
      <c r="B328" t="inlineStr">
        <is>
          <t>BHA</t>
        </is>
      </c>
      <c r="C328" t="inlineStr">
        <is>
          <t>BHA</t>
        </is>
      </c>
      <c r="D328" t="b">
        <v>0</v>
      </c>
      <c r="E328" t="inlineStr">
        <is>
          <t>FWD</t>
        </is>
      </c>
      <c r="F328" t="inlineStr">
        <is>
          <t>FWD</t>
        </is>
      </c>
      <c r="G328" t="b">
        <v>1</v>
      </c>
      <c r="H328" s="2" t="n">
        <v>5.5</v>
      </c>
      <c r="I328" t="inlineStr">
        <is>
          <t>d</t>
        </is>
      </c>
      <c r="J328" t="inlineStr">
        <is>
          <t>Knee injury - 75% chance of playing</t>
        </is>
      </c>
      <c r="K328" s="2" t="n">
        <v>132</v>
      </c>
      <c r="L328" t="n">
        <v>16</v>
      </c>
      <c r="M328" s="3" t="n">
        <v>268</v>
      </c>
      <c r="N328" s="8" t="n">
        <v>268</v>
      </c>
      <c r="O328" s="8" t="n">
        <v>0</v>
      </c>
      <c r="Q328" t="inlineStr">
        <is>
          <t>flat</t>
        </is>
      </c>
      <c r="R328" s="6" t="n">
        <v>268</v>
      </c>
      <c r="S328" t="inlineStr">
        <is>
          <t>Solio</t>
        </is>
      </c>
      <c r="U328" s="6" t="n">
        <v>73.5</v>
      </c>
      <c r="V328" s="2" t="n">
        <v>1</v>
      </c>
      <c r="W328" s="7">
        <f>IF(N(U328)&lt;=0,0,MIN(Assumptions!$B$15,N(R328)/N(U328)))</f>
        <v/>
      </c>
      <c r="X328" s="6" t="n">
        <v>0.252</v>
      </c>
      <c r="Y328" s="3" t="n">
        <v>0.3055</v>
      </c>
      <c r="Z328" t="inlineStr">
        <is>
          <t>adjusted xGOT</t>
        </is>
      </c>
      <c r="AA328" s="3" t="n">
        <v>1</v>
      </c>
      <c r="AB328" s="3" t="n">
        <v>1.019</v>
      </c>
      <c r="AC328" s="3" t="n">
        <v>0.4</v>
      </c>
      <c r="AD328" s="3" t="n">
        <v>0.1685</v>
      </c>
      <c r="AE328" s="3" t="n">
        <v>5.635</v>
      </c>
      <c r="AF328" s="3" t="n">
        <v>0.002872064348191428</v>
      </c>
      <c r="AG328" s="3" t="n">
        <v>0</v>
      </c>
      <c r="AH328" s="3" t="n">
        <v>9</v>
      </c>
      <c r="AI328" s="3" t="n">
        <v>2.8404</v>
      </c>
      <c r="AJ328" s="3" t="n">
        <v>1.439</v>
      </c>
      <c r="AK328" s="3" t="n">
        <v>-0.1609988049383475</v>
      </c>
      <c r="AL328" s="6" t="n">
        <v>0</v>
      </c>
      <c r="AM328" s="3" t="n">
        <v>0</v>
      </c>
      <c r="AN328" s="3" t="n">
        <v>1.222</v>
      </c>
      <c r="AO328" s="3" t="n">
        <v>0.6672600000000001</v>
      </c>
      <c r="AP328" s="3">
        <f>N(X328)*N(BI328)</f>
        <v/>
      </c>
      <c r="AQ328" s="3" t="n">
        <v>0</v>
      </c>
      <c r="AR328" s="3" t="n">
        <v>0</v>
      </c>
      <c r="AS328" s="3" t="n">
        <v>-0</v>
      </c>
      <c r="AT328" s="3" t="n">
        <v>-0.1609988049383475</v>
      </c>
      <c r="AU328" s="3">
        <f>SUM(AN328:AT328)</f>
        <v/>
      </c>
      <c r="AV328" s="7">
        <f>IF(OR(N(W328)&lt;=0,N(BG328)=0),0,N(W328)*IF(N(R328)/N(W328)&gt;=60,N(BG328),1))</f>
        <v/>
      </c>
      <c r="AW328" s="7">
        <f>N(W328)*N(AF328)*N(BH328)</f>
        <v/>
      </c>
      <c r="AX328" s="7">
        <f>N(AL328)*(Assumptions!$B$13*N(BJ328)-(1-Assumptions!$B$13)*Assumptions!$B$14)+N(AM328)</f>
        <v/>
      </c>
      <c r="AY328" s="7">
        <f>N(AU328)*N(R328)/90+N(AV328)+N(AW328)+N(AX328)</f>
        <v/>
      </c>
      <c r="AZ328" s="3">
        <f>IF(N(R328)&lt;=0,0,(N(AY328)-N(AX328))*90/N(R328))</f>
        <v/>
      </c>
      <c r="BA328" s="7">
        <f>IFERROR(AY328-VLOOKUP($E328,Assumptions!$A$40:$C$43,3,FALSE),"")</f>
        <v/>
      </c>
      <c r="BB328" s="3">
        <f>IFERROR(BA328/H328,"")</f>
        <v/>
      </c>
      <c r="BC328">
        <f>IF(AND($G328=TRUE,$E328="GKP"),AY328,"")</f>
        <v/>
      </c>
      <c r="BD328">
        <f>IF(AND($G328=TRUE,$E328="DEF"),AY328,"")</f>
        <v/>
      </c>
      <c r="BE328">
        <f>IF(AND($G328=TRUE,$E328="MID"),AY328,"")</f>
        <v/>
      </c>
      <c r="BF328">
        <f>IF(AND($G328=TRUE,$E328="FWD"),AY328,"")</f>
        <v/>
      </c>
      <c r="BG328" t="n">
        <v>2</v>
      </c>
      <c r="BH328" t="n">
        <v>2</v>
      </c>
      <c r="BI328" t="n">
        <v>0</v>
      </c>
      <c r="BJ328" t="n">
        <v>4</v>
      </c>
    </row>
    <row r="329">
      <c r="A329" t="inlineStr">
        <is>
          <t>Melker Ellborg</t>
        </is>
      </c>
      <c r="B329" t="inlineStr">
        <is>
          <t>SUN</t>
        </is>
      </c>
      <c r="C329" t="inlineStr">
        <is>
          <t>SUN</t>
        </is>
      </c>
      <c r="D329" t="b">
        <v>0</v>
      </c>
      <c r="E329" t="inlineStr">
        <is>
          <t>GKP</t>
        </is>
      </c>
      <c r="F329" t="inlineStr">
        <is>
          <t>GKP</t>
        </is>
      </c>
      <c r="G329" t="b">
        <v>1</v>
      </c>
      <c r="H329" s="2" t="n">
        <v>4.5</v>
      </c>
      <c r="I329" t="inlineStr">
        <is>
          <t>a</t>
        </is>
      </c>
      <c r="K329" s="2" t="n">
        <v>270</v>
      </c>
      <c r="L329" t="n">
        <v>16</v>
      </c>
      <c r="M329" s="3" t="n">
        <v>0</v>
      </c>
      <c r="N329" s="8" t="n">
        <v>0</v>
      </c>
      <c r="O329" s="8" t="n">
        <v>0</v>
      </c>
      <c r="Q329" t="inlineStr">
        <is>
          <t>flat</t>
        </is>
      </c>
      <c r="R329" s="6" t="n">
        <v>0</v>
      </c>
      <c r="S329" t="inlineStr">
        <is>
          <t>Solio</t>
        </is>
      </c>
      <c r="U329" s="6" t="n">
        <v>89.8</v>
      </c>
      <c r="V329" s="2" t="n">
        <v>3</v>
      </c>
      <c r="W329" s="7">
        <f>IF(N(U329)&lt;=0,0,MIN(Assumptions!$B$15,N(R329)/N(U329)))</f>
        <v/>
      </c>
      <c r="X329" s="6" t="n">
        <v>0.204</v>
      </c>
      <c r="Y329" s="3" t="n">
        <v>0</v>
      </c>
      <c r="Z329" t="inlineStr">
        <is>
          <t>blended xG</t>
        </is>
      </c>
      <c r="AA329" s="3" t="n">
        <v>1</v>
      </c>
      <c r="AB329" s="3" t="n">
        <v>1</v>
      </c>
      <c r="AC329" s="3" t="n">
        <v>0</v>
      </c>
      <c r="AD329" s="3" t="n">
        <v>0.0033</v>
      </c>
      <c r="AE329" s="3" t="n">
        <v>0</v>
      </c>
      <c r="AF329" s="3" t="n">
        <v>0</v>
      </c>
      <c r="AG329" s="3" t="n">
        <v>1</v>
      </c>
      <c r="AH329" s="3" t="n">
        <v>6</v>
      </c>
      <c r="AI329" s="3" t="n">
        <v>3.3348</v>
      </c>
      <c r="AJ329" s="3" t="n">
        <v>1.6498</v>
      </c>
      <c r="AK329" s="3" t="n">
        <v>-0.06473834845356891</v>
      </c>
      <c r="AL329" s="6" t="n">
        <v>0</v>
      </c>
      <c r="AM329" s="3" t="n">
        <v>0</v>
      </c>
      <c r="AN329" s="3" t="n">
        <v>0</v>
      </c>
      <c r="AO329" s="3" t="n">
        <v>0.013068</v>
      </c>
      <c r="AP329" s="3">
        <f>N(X329)*N(BI329)</f>
        <v/>
      </c>
      <c r="AQ329" s="3" t="n">
        <v>1</v>
      </c>
      <c r="AR329" s="3" t="n">
        <v>0.7764218657798218</v>
      </c>
      <c r="AS329" s="3" t="n">
        <v>-0.5841244809045405</v>
      </c>
      <c r="AT329" s="3" t="n">
        <v>-0.06473834845356891</v>
      </c>
      <c r="AU329" s="3">
        <f>SUM(AN329:AT329)</f>
        <v/>
      </c>
      <c r="AV329" s="7">
        <f>IF(OR(N(W329)&lt;=0,N(BG329)=0),0,N(W329)*IF(N(R329)/N(W329)&gt;=60,N(BG329),1))</f>
        <v/>
      </c>
      <c r="AW329" s="7">
        <f>N(W329)*N(AF329)*N(BH329)</f>
        <v/>
      </c>
      <c r="AX329" s="7">
        <f>N(AL329)*(Assumptions!$B$13*N(BJ329)-(1-Assumptions!$B$13)*Assumptions!$B$14)+N(AM329)</f>
        <v/>
      </c>
      <c r="AY329" s="7">
        <f>N(AU329)*N(R329)/90+N(AV329)+N(AW329)+N(AX329)</f>
        <v/>
      </c>
      <c r="AZ329" s="3">
        <f>IF(N(R329)&lt;=0,0,(N(AY329)-N(AX329))*90/N(R329))</f>
        <v/>
      </c>
      <c r="BA329" s="7">
        <f>IFERROR(AY329-VLOOKUP($E329,Assumptions!$A$40:$C$43,3,FALSE),"")</f>
        <v/>
      </c>
      <c r="BB329" s="3">
        <f>IFERROR(BA329/H329,"")</f>
        <v/>
      </c>
      <c r="BC329">
        <f>IF(AND($G329=TRUE,$E329="GKP"),AY329,"")</f>
        <v/>
      </c>
      <c r="BD329">
        <f>IF(AND($G329=TRUE,$E329="DEF"),AY329,"")</f>
        <v/>
      </c>
      <c r="BE329">
        <f>IF(AND($G329=TRUE,$E329="MID"),AY329,"")</f>
        <v/>
      </c>
      <c r="BF329">
        <f>IF(AND($G329=TRUE,$E329="FWD"),AY329,"")</f>
        <v/>
      </c>
      <c r="BG329" t="n">
        <v>2</v>
      </c>
      <c r="BH329" t="n">
        <v>0</v>
      </c>
      <c r="BI329" t="n">
        <v>4</v>
      </c>
      <c r="BJ329" t="n">
        <v>10</v>
      </c>
    </row>
    <row r="330">
      <c r="A330" t="inlineStr">
        <is>
          <t>Matt O'Riley</t>
        </is>
      </c>
      <c r="B330" t="inlineStr">
        <is>
          <t>BHA</t>
        </is>
      </c>
      <c r="C330" t="inlineStr">
        <is>
          <t>BHA</t>
        </is>
      </c>
      <c r="D330" t="b">
        <v>0</v>
      </c>
      <c r="E330" t="inlineStr">
        <is>
          <t>MID</t>
        </is>
      </c>
      <c r="F330" t="inlineStr">
        <is>
          <t>MID</t>
        </is>
      </c>
      <c r="G330" t="b">
        <v>1</v>
      </c>
      <c r="H330" s="2" t="n">
        <v>5.5</v>
      </c>
      <c r="I330" t="inlineStr">
        <is>
          <t>a</t>
        </is>
      </c>
      <c r="K330" s="2" t="n">
        <v>202</v>
      </c>
      <c r="L330" t="n">
        <v>16</v>
      </c>
      <c r="M330" s="3" t="n">
        <v>0</v>
      </c>
      <c r="N330" s="8" t="n">
        <v>0</v>
      </c>
      <c r="O330" s="8" t="n">
        <v>0</v>
      </c>
      <c r="Q330" t="inlineStr">
        <is>
          <t>flat</t>
        </is>
      </c>
      <c r="R330" s="6" t="n">
        <v>0</v>
      </c>
      <c r="S330" t="inlineStr">
        <is>
          <t>Solio</t>
        </is>
      </c>
      <c r="U330" s="6" t="n">
        <v>81.5</v>
      </c>
      <c r="V330" s="2" t="n">
        <v>2</v>
      </c>
      <c r="W330" s="7">
        <f>IF(N(U330)&lt;=0,0,MIN(Assumptions!$B$15,N(R330)/N(U330)))</f>
        <v/>
      </c>
      <c r="X330" s="6" t="n">
        <v>0.252</v>
      </c>
      <c r="Y330" s="3" t="n">
        <v>0.1705</v>
      </c>
      <c r="Z330" t="inlineStr">
        <is>
          <t>adjusted xGOT</t>
        </is>
      </c>
      <c r="AA330" s="3" t="n">
        <v>0.332</v>
      </c>
      <c r="AB330" s="3" t="n">
        <v>0.952</v>
      </c>
      <c r="AC330" s="3" t="n">
        <v>4</v>
      </c>
      <c r="AD330" s="3" t="n">
        <v>0.07340000000000001</v>
      </c>
      <c r="AE330" s="3" t="n">
        <v>7.674</v>
      </c>
      <c r="AF330" s="3" t="n">
        <v>0.05108959336326291</v>
      </c>
      <c r="AG330" s="3" t="n">
        <v>0.8911</v>
      </c>
      <c r="AH330" s="3" t="n">
        <v>8</v>
      </c>
      <c r="AI330" s="3" t="n">
        <v>2.8404</v>
      </c>
      <c r="AJ330" s="3" t="n">
        <v>1.439</v>
      </c>
      <c r="AK330" s="3" t="n">
        <v>-0.1717445329400345</v>
      </c>
      <c r="AL330" s="6" t="n">
        <v>0</v>
      </c>
      <c r="AM330" s="3" t="n">
        <v>0</v>
      </c>
      <c r="AN330" s="3" t="n">
        <v>0.8525</v>
      </c>
      <c r="AO330" s="3" t="n">
        <v>0.290664</v>
      </c>
      <c r="AP330" s="3">
        <f>N(X330)*N(BI330)</f>
        <v/>
      </c>
      <c r="AQ330" s="3" t="n">
        <v>0.8911</v>
      </c>
      <c r="AR330" s="3" t="n">
        <v>0</v>
      </c>
      <c r="AS330" s="3" t="n">
        <v>-0</v>
      </c>
      <c r="AT330" s="3" t="n">
        <v>-0.1717445329400345</v>
      </c>
      <c r="AU330" s="3">
        <f>SUM(AN330:AT330)</f>
        <v/>
      </c>
      <c r="AV330" s="7">
        <f>IF(OR(N(W330)&lt;=0,N(BG330)=0),0,N(W330)*IF(N(R330)/N(W330)&gt;=60,N(BG330),1))</f>
        <v/>
      </c>
      <c r="AW330" s="7">
        <f>N(W330)*N(AF330)*N(BH330)</f>
        <v/>
      </c>
      <c r="AX330" s="7">
        <f>N(AL330)*(Assumptions!$B$13*N(BJ330)-(1-Assumptions!$B$13)*Assumptions!$B$14)+N(AM330)</f>
        <v/>
      </c>
      <c r="AY330" s="7">
        <f>N(AU330)*N(R330)/90+N(AV330)+N(AW330)+N(AX330)</f>
        <v/>
      </c>
      <c r="AZ330" s="3">
        <f>IF(N(R330)&lt;=0,0,(N(AY330)-N(AX330))*90/N(R330))</f>
        <v/>
      </c>
      <c r="BA330" s="7">
        <f>IFERROR(AY330-VLOOKUP($E330,Assumptions!$A$40:$C$43,3,FALSE),"")</f>
        <v/>
      </c>
      <c r="BB330" s="3">
        <f>IFERROR(BA330/H330,"")</f>
        <v/>
      </c>
      <c r="BC330">
        <f>IF(AND($G330=TRUE,$E330="GKP"),AY330,"")</f>
        <v/>
      </c>
      <c r="BD330">
        <f>IF(AND($G330=TRUE,$E330="DEF"),AY330,"")</f>
        <v/>
      </c>
      <c r="BE330">
        <f>IF(AND($G330=TRUE,$E330="MID"),AY330,"")</f>
        <v/>
      </c>
      <c r="BF330">
        <f>IF(AND($G330=TRUE,$E330="FWD"),AY330,"")</f>
        <v/>
      </c>
      <c r="BG330" t="n">
        <v>2</v>
      </c>
      <c r="BH330" t="n">
        <v>2</v>
      </c>
      <c r="BI330" t="n">
        <v>1</v>
      </c>
      <c r="BJ330" t="n">
        <v>5</v>
      </c>
    </row>
    <row r="331">
      <c r="A331" t="inlineStr">
        <is>
          <t>Tyrique George</t>
        </is>
      </c>
      <c r="B331" t="inlineStr">
        <is>
          <t>EVE</t>
        </is>
      </c>
      <c r="C331" t="inlineStr">
        <is>
          <t>EVE</t>
        </is>
      </c>
      <c r="D331" t="b">
        <v>0</v>
      </c>
      <c r="E331" t="inlineStr">
        <is>
          <t>MID</t>
        </is>
      </c>
      <c r="F331" t="inlineStr">
        <is>
          <t>MID</t>
        </is>
      </c>
      <c r="G331" t="b">
        <v>1</v>
      </c>
      <c r="H331" s="2" t="n">
        <v>5.5</v>
      </c>
      <c r="I331" t="inlineStr">
        <is>
          <t>a</t>
        </is>
      </c>
      <c r="K331" s="2" t="n">
        <v>351</v>
      </c>
      <c r="L331" t="n">
        <v>16</v>
      </c>
      <c r="M331" s="3" t="n">
        <v>885</v>
      </c>
      <c r="N331" s="8" t="n">
        <v>885</v>
      </c>
      <c r="O331" s="8" t="n">
        <v>0</v>
      </c>
      <c r="Q331" t="inlineStr">
        <is>
          <t>flat</t>
        </is>
      </c>
      <c r="R331" s="6" t="n">
        <v>885</v>
      </c>
      <c r="S331" t="inlineStr">
        <is>
          <t>Solio</t>
        </is>
      </c>
      <c r="U331" s="6" t="n">
        <v>78.40000000000001</v>
      </c>
      <c r="V331" s="2" t="n">
        <v>1</v>
      </c>
      <c r="W331" s="7">
        <f>IF(N(U331)&lt;=0,0,MIN(Assumptions!$B$15,N(R331)/N(U331)))</f>
        <v/>
      </c>
      <c r="X331" s="6" t="n">
        <v>0.231</v>
      </c>
      <c r="Y331" s="3" t="n">
        <v>0.1821</v>
      </c>
      <c r="Z331" t="inlineStr">
        <is>
          <t>adjusted xGOT</t>
        </is>
      </c>
      <c r="AA331" s="3" t="n">
        <v>1</v>
      </c>
      <c r="AB331" s="3" t="n">
        <v>1.109</v>
      </c>
      <c r="AC331" s="3" t="n">
        <v>0.8</v>
      </c>
      <c r="AD331" s="3" t="n">
        <v>0.3246</v>
      </c>
      <c r="AE331" s="3" t="n">
        <v>7.699</v>
      </c>
      <c r="AF331" s="3" t="n">
        <v>0.04118937526389166</v>
      </c>
      <c r="AG331" s="3" t="n">
        <v>0</v>
      </c>
      <c r="AH331" s="3" t="n">
        <v>17</v>
      </c>
      <c r="AI331" s="3" t="n">
        <v>3.0311</v>
      </c>
      <c r="AJ331" s="3" t="n">
        <v>1.5252</v>
      </c>
      <c r="AK331" s="3" t="n">
        <v>-0.291328227694831</v>
      </c>
      <c r="AL331" s="6" t="n">
        <v>0</v>
      </c>
      <c r="AM331" s="3" t="n">
        <v>0</v>
      </c>
      <c r="AN331" s="3" t="n">
        <v>0.9105000000000001</v>
      </c>
      <c r="AO331" s="3" t="n">
        <v>1.285416</v>
      </c>
      <c r="AP331" s="3">
        <f>N(X331)*N(BI331)</f>
        <v/>
      </c>
      <c r="AQ331" s="3" t="n">
        <v>0</v>
      </c>
      <c r="AR331" s="3" t="n">
        <v>0</v>
      </c>
      <c r="AS331" s="3" t="n">
        <v>-0</v>
      </c>
      <c r="AT331" s="3" t="n">
        <v>-0.291328227694831</v>
      </c>
      <c r="AU331" s="3">
        <f>SUM(AN331:AT331)</f>
        <v/>
      </c>
      <c r="AV331" s="7">
        <f>IF(OR(N(W331)&lt;=0,N(BG331)=0),0,N(W331)*IF(N(R331)/N(W331)&gt;=60,N(BG331),1))</f>
        <v/>
      </c>
      <c r="AW331" s="7">
        <f>N(W331)*N(AF331)*N(BH331)</f>
        <v/>
      </c>
      <c r="AX331" s="7">
        <f>N(AL331)*(Assumptions!$B$13*N(BJ331)-(1-Assumptions!$B$13)*Assumptions!$B$14)+N(AM331)</f>
        <v/>
      </c>
      <c r="AY331" s="7">
        <f>N(AU331)*N(R331)/90+N(AV331)+N(AW331)+N(AX331)</f>
        <v/>
      </c>
      <c r="AZ331" s="3">
        <f>IF(N(R331)&lt;=0,0,(N(AY331)-N(AX331))*90/N(R331))</f>
        <v/>
      </c>
      <c r="BA331" s="7">
        <f>IFERROR(AY331-VLOOKUP($E331,Assumptions!$A$40:$C$43,3,FALSE),"")</f>
        <v/>
      </c>
      <c r="BB331" s="3">
        <f>IFERROR(BA331/H331,"")</f>
        <v/>
      </c>
      <c r="BC331">
        <f>IF(AND($G331=TRUE,$E331="GKP"),AY331,"")</f>
        <v/>
      </c>
      <c r="BD331">
        <f>IF(AND($G331=TRUE,$E331="DEF"),AY331,"")</f>
        <v/>
      </c>
      <c r="BE331">
        <f>IF(AND($G331=TRUE,$E331="MID"),AY331,"")</f>
        <v/>
      </c>
      <c r="BF331">
        <f>IF(AND($G331=TRUE,$E331="FWD"),AY331,"")</f>
        <v/>
      </c>
      <c r="BG331" t="n">
        <v>2</v>
      </c>
      <c r="BH331" t="n">
        <v>2</v>
      </c>
      <c r="BI331" t="n">
        <v>1</v>
      </c>
      <c r="BJ331" t="n">
        <v>5</v>
      </c>
    </row>
    <row r="332">
      <c r="A332" t="inlineStr">
        <is>
          <t>Marco Bizot</t>
        </is>
      </c>
      <c r="B332" t="inlineStr">
        <is>
          <t>AVL</t>
        </is>
      </c>
      <c r="C332" t="inlineStr">
        <is>
          <t>AVL</t>
        </is>
      </c>
      <c r="D332" t="b">
        <v>0</v>
      </c>
      <c r="E332" t="inlineStr">
        <is>
          <t>GKP</t>
        </is>
      </c>
      <c r="F332" t="inlineStr">
        <is>
          <t>GKP</t>
        </is>
      </c>
      <c r="G332" t="b">
        <v>1</v>
      </c>
      <c r="H332" s="2" t="n">
        <v>4.5</v>
      </c>
      <c r="I332" t="inlineStr">
        <is>
          <t>a</t>
        </is>
      </c>
      <c r="K332" s="2" t="n">
        <v>585</v>
      </c>
      <c r="L332" t="n">
        <v>16</v>
      </c>
      <c r="M332" s="3" t="n">
        <v>35</v>
      </c>
      <c r="N332" s="4" t="n">
        <v>320</v>
      </c>
      <c r="O332" s="4" t="n">
        <v>285</v>
      </c>
      <c r="P332" s="5" t="inlineStr">
        <is>
          <t>low</t>
        </is>
      </c>
      <c r="Q332" t="inlineStr">
        <is>
          <t>flat</t>
        </is>
      </c>
      <c r="R332" s="6" t="n">
        <v>320</v>
      </c>
      <c r="S332" t="inlineStr">
        <is>
          <t>research</t>
        </is>
      </c>
      <c r="T332" s="5" t="inlineStr">
        <is>
          <t>The exact counterpart to the Martinez adjustment - the goalkeeper block still totals 3,420. Bizot started the UEFA Super Cup final and the Monchengladbach friendly, so he is a trusted deputy rather than an emergency option, and Martinez's late start plus exit speculation gives him a realistic path to a few league starts.</t>
        </is>
      </c>
      <c r="U332" s="6" t="n">
        <v>89.90000000000001</v>
      </c>
      <c r="V332" s="2" t="n">
        <v>6</v>
      </c>
      <c r="W332" s="7">
        <f>IF(N(U332)&lt;=0,0,MIN(Assumptions!$B$15,N(R332)/N(U332)))</f>
        <v/>
      </c>
      <c r="X332" s="6" t="n">
        <v>0.273</v>
      </c>
      <c r="Y332" s="3" t="n">
        <v>0</v>
      </c>
      <c r="Z332" t="inlineStr">
        <is>
          <t>blended xG</t>
        </is>
      </c>
      <c r="AA332" s="3" t="n">
        <v>1</v>
      </c>
      <c r="AB332" s="3" t="n">
        <v>1</v>
      </c>
      <c r="AC332" s="3" t="n">
        <v>0</v>
      </c>
      <c r="AD332" s="3" t="n">
        <v>0</v>
      </c>
      <c r="AE332" s="3" t="n">
        <v>0</v>
      </c>
      <c r="AF332" s="3" t="n">
        <v>0</v>
      </c>
      <c r="AG332" s="3" t="n">
        <v>0.1538</v>
      </c>
      <c r="AH332" s="3" t="n">
        <v>13</v>
      </c>
      <c r="AI332" s="3" t="n">
        <v>2.7451</v>
      </c>
      <c r="AJ332" s="3" t="n">
        <v>1.3575</v>
      </c>
      <c r="AK332" s="3" t="n">
        <v>-0.1440173892489311</v>
      </c>
      <c r="AL332" s="6" t="n">
        <v>0</v>
      </c>
      <c r="AM332" s="3" t="n">
        <v>0.0296591933078106</v>
      </c>
      <c r="AN332" s="3" t="n">
        <v>0</v>
      </c>
      <c r="AO332" s="3" t="n">
        <v>0</v>
      </c>
      <c r="AP332" s="3">
        <f>N(X332)*N(BI332)</f>
        <v/>
      </c>
      <c r="AQ332" s="3" t="n">
        <v>0.1538</v>
      </c>
      <c r="AR332" s="3" t="n">
        <v>0.5799503685565225</v>
      </c>
      <c r="AS332" s="3" t="n">
        <v>-0.4453012382517575</v>
      </c>
      <c r="AT332" s="3" t="n">
        <v>-0.1440173892489311</v>
      </c>
      <c r="AU332" s="3">
        <f>SUM(AN332:AT332)</f>
        <v/>
      </c>
      <c r="AV332" s="7">
        <f>IF(OR(N(W332)&lt;=0,N(BG332)=0),0,N(W332)*IF(N(R332)/N(W332)&gt;=60,N(BG332),1))</f>
        <v/>
      </c>
      <c r="AW332" s="7">
        <f>N(W332)*N(AF332)*N(BH332)</f>
        <v/>
      </c>
      <c r="AX332" s="7">
        <f>N(AL332)*(Assumptions!$B$13*N(BJ332)-(1-Assumptions!$B$13)*Assumptions!$B$14)+N(AM332)</f>
        <v/>
      </c>
      <c r="AY332" s="7">
        <f>N(AU332)*N(R332)/90+N(AV332)+N(AW332)+N(AX332)</f>
        <v/>
      </c>
      <c r="AZ332" s="3">
        <f>IF(N(R332)&lt;=0,0,(N(AY332)-N(AX332))*90/N(R332))</f>
        <v/>
      </c>
      <c r="BA332" s="7">
        <f>IFERROR(AY332-VLOOKUP($E332,Assumptions!$A$40:$C$43,3,FALSE),"")</f>
        <v/>
      </c>
      <c r="BB332" s="3">
        <f>IFERROR(BA332/H332,"")</f>
        <v/>
      </c>
      <c r="BC332">
        <f>IF(AND($G332=TRUE,$E332="GKP"),AY332,"")</f>
        <v/>
      </c>
      <c r="BD332">
        <f>IF(AND($G332=TRUE,$E332="DEF"),AY332,"")</f>
        <v/>
      </c>
      <c r="BE332">
        <f>IF(AND($G332=TRUE,$E332="MID"),AY332,"")</f>
        <v/>
      </c>
      <c r="BF332">
        <f>IF(AND($G332=TRUE,$E332="FWD"),AY332,"")</f>
        <v/>
      </c>
      <c r="BG332" t="n">
        <v>2</v>
      </c>
      <c r="BH332" t="n">
        <v>0</v>
      </c>
      <c r="BI332" t="n">
        <v>4</v>
      </c>
      <c r="BJ332" t="n">
        <v>10</v>
      </c>
    </row>
    <row r="333">
      <c r="A333" t="inlineStr">
        <is>
          <t>Max Dowman</t>
        </is>
      </c>
      <c r="B333" t="inlineStr">
        <is>
          <t>ARS</t>
        </is>
      </c>
      <c r="C333" t="inlineStr">
        <is>
          <t>ARS</t>
        </is>
      </c>
      <c r="D333" t="b">
        <v>0</v>
      </c>
      <c r="E333" t="inlineStr">
        <is>
          <t>MID</t>
        </is>
      </c>
      <c r="F333" t="inlineStr">
        <is>
          <t>MID</t>
        </is>
      </c>
      <c r="G333" t="b">
        <v>1</v>
      </c>
      <c r="H333" s="2" t="n">
        <v>5.5</v>
      </c>
      <c r="I333" t="inlineStr">
        <is>
          <t>a</t>
        </is>
      </c>
      <c r="K333" s="2" t="n">
        <v>152</v>
      </c>
      <c r="L333" t="n">
        <v>16</v>
      </c>
      <c r="M333" s="3" t="n">
        <v>85</v>
      </c>
      <c r="N333" s="8" t="n">
        <v>85</v>
      </c>
      <c r="O333" s="8" t="n">
        <v>0</v>
      </c>
      <c r="Q333" t="inlineStr">
        <is>
          <t>flat</t>
        </is>
      </c>
      <c r="R333" s="6" t="n">
        <v>85</v>
      </c>
      <c r="S333" t="inlineStr">
        <is>
          <t>Solio</t>
        </is>
      </c>
      <c r="U333" s="6" t="n">
        <v>78.40000000000001</v>
      </c>
      <c r="V333" s="2" t="n">
        <v>1</v>
      </c>
      <c r="W333" s="7">
        <f>IF(N(U333)&lt;=0,0,MIN(Assumptions!$B$15,N(R333)/N(U333)))</f>
        <v/>
      </c>
      <c r="X333" s="6" t="n">
        <v>0.391</v>
      </c>
      <c r="Y333" s="3" t="n">
        <v>0.6898</v>
      </c>
      <c r="Z333" t="inlineStr">
        <is>
          <t>adjusted xGOT</t>
        </is>
      </c>
      <c r="AA333" s="3" t="n">
        <v>1</v>
      </c>
      <c r="AB333" s="3" t="n">
        <v>0.979</v>
      </c>
      <c r="AC333" s="3" t="n">
        <v>1.2</v>
      </c>
      <c r="AD333" s="3" t="n">
        <v>0.2764</v>
      </c>
      <c r="AE333" s="3" t="n">
        <v>8.733000000000001</v>
      </c>
      <c r="AF333" s="3" t="n">
        <v>0.08568498755775111</v>
      </c>
      <c r="AG333" s="3" t="n">
        <v>0</v>
      </c>
      <c r="AH333" s="3" t="n">
        <v>7</v>
      </c>
      <c r="AI333" s="3" t="n">
        <v>2.067</v>
      </c>
      <c r="AJ333" s="3" t="n">
        <v>0.9838</v>
      </c>
      <c r="AK333" s="3" t="n">
        <v>-0.1970043952632675</v>
      </c>
      <c r="AL333" s="6" t="n">
        <v>0</v>
      </c>
      <c r="AM333" s="3" t="n">
        <v>0</v>
      </c>
      <c r="AN333" s="3" t="n">
        <v>3.449</v>
      </c>
      <c r="AO333" s="3" t="n">
        <v>1.094544</v>
      </c>
      <c r="AP333" s="3">
        <f>N(X333)*N(BI333)</f>
        <v/>
      </c>
      <c r="AQ333" s="3" t="n">
        <v>0</v>
      </c>
      <c r="AR333" s="3" t="n">
        <v>0</v>
      </c>
      <c r="AS333" s="3" t="n">
        <v>-0</v>
      </c>
      <c r="AT333" s="3" t="n">
        <v>-0.1970043952632675</v>
      </c>
      <c r="AU333" s="3">
        <f>SUM(AN333:AT333)</f>
        <v/>
      </c>
      <c r="AV333" s="7">
        <f>IF(OR(N(W333)&lt;=0,N(BG333)=0),0,N(W333)*IF(N(R333)/N(W333)&gt;=60,N(BG333),1))</f>
        <v/>
      </c>
      <c r="AW333" s="7">
        <f>N(W333)*N(AF333)*N(BH333)</f>
        <v/>
      </c>
      <c r="AX333" s="7">
        <f>N(AL333)*(Assumptions!$B$13*N(BJ333)-(1-Assumptions!$B$13)*Assumptions!$B$14)+N(AM333)</f>
        <v/>
      </c>
      <c r="AY333" s="7">
        <f>N(AU333)*N(R333)/90+N(AV333)+N(AW333)+N(AX333)</f>
        <v/>
      </c>
      <c r="AZ333" s="3">
        <f>IF(N(R333)&lt;=0,0,(N(AY333)-N(AX333))*90/N(R333))</f>
        <v/>
      </c>
      <c r="BA333" s="7">
        <f>IFERROR(AY333-VLOOKUP($E333,Assumptions!$A$40:$C$43,3,FALSE),"")</f>
        <v/>
      </c>
      <c r="BB333" s="3">
        <f>IFERROR(BA333/H333,"")</f>
        <v/>
      </c>
      <c r="BC333">
        <f>IF(AND($G333=TRUE,$E333="GKP"),AY333,"")</f>
        <v/>
      </c>
      <c r="BD333">
        <f>IF(AND($G333=TRUE,$E333="DEF"),AY333,"")</f>
        <v/>
      </c>
      <c r="BE333">
        <f>IF(AND($G333=TRUE,$E333="MID"),AY333,"")</f>
        <v/>
      </c>
      <c r="BF333">
        <f>IF(AND($G333=TRUE,$E333="FWD"),AY333,"")</f>
        <v/>
      </c>
      <c r="BG333" t="n">
        <v>2</v>
      </c>
      <c r="BH333" t="n">
        <v>2</v>
      </c>
      <c r="BI333" t="n">
        <v>1</v>
      </c>
      <c r="BJ333" t="n">
        <v>5</v>
      </c>
    </row>
    <row r="334">
      <c r="A334" t="inlineStr">
        <is>
          <t>Harrison Reed</t>
        </is>
      </c>
      <c r="B334" t="inlineStr">
        <is>
          <t>FUL</t>
        </is>
      </c>
      <c r="C334" t="inlineStr">
        <is>
          <t>FUL</t>
        </is>
      </c>
      <c r="D334" t="b">
        <v>0</v>
      </c>
      <c r="E334" t="inlineStr">
        <is>
          <t>MID</t>
        </is>
      </c>
      <c r="F334" t="inlineStr">
        <is>
          <t>MID</t>
        </is>
      </c>
      <c r="G334" t="b">
        <v>1</v>
      </c>
      <c r="H334" s="2" t="n">
        <v>4.5</v>
      </c>
      <c r="I334" t="inlineStr">
        <is>
          <t>a</t>
        </is>
      </c>
      <c r="K334" s="2" t="n">
        <v>89</v>
      </c>
      <c r="L334" t="n">
        <v>15</v>
      </c>
      <c r="M334" s="3" t="n">
        <v>46</v>
      </c>
      <c r="N334" s="8" t="n">
        <v>46</v>
      </c>
      <c r="O334" s="8" t="n">
        <v>0</v>
      </c>
      <c r="Q334" t="inlineStr">
        <is>
          <t>flat</t>
        </is>
      </c>
      <c r="R334" s="6" t="n">
        <v>46</v>
      </c>
      <c r="S334" t="inlineStr">
        <is>
          <t>Solio</t>
        </is>
      </c>
      <c r="U334" s="6" t="n">
        <v>78.5</v>
      </c>
      <c r="V334" s="2" t="n">
        <v>1</v>
      </c>
      <c r="W334" s="7">
        <f>IF(N(U334)&lt;=0,0,MIN(Assumptions!$B$15,N(R334)/N(U334)))</f>
        <v/>
      </c>
      <c r="X334" s="6" t="n">
        <v>0.214</v>
      </c>
      <c r="Y334" s="3" t="n">
        <v>0.1547</v>
      </c>
      <c r="Z334" t="inlineStr">
        <is>
          <t>adjusted xGOT</t>
        </is>
      </c>
      <c r="AA334" s="3" t="n">
        <v>1</v>
      </c>
      <c r="AB334" s="3" t="n">
        <v>1.179</v>
      </c>
      <c r="AC334" s="3" t="n">
        <v>2.6</v>
      </c>
      <c r="AD334" s="3" t="n">
        <v>0.4313</v>
      </c>
      <c r="AE334" s="3" t="n">
        <v>8.301</v>
      </c>
      <c r="AF334" s="3" t="n">
        <v>0.0649601618255804</v>
      </c>
      <c r="AG334" s="3" t="n">
        <v>2.0225</v>
      </c>
      <c r="AH334" s="3" t="n">
        <v>8</v>
      </c>
      <c r="AI334" s="3" t="n">
        <v>3.22</v>
      </c>
      <c r="AJ334" s="3" t="n">
        <v>1.6019</v>
      </c>
      <c r="AK334" s="3" t="n">
        <v>-0.3054845747314056</v>
      </c>
      <c r="AL334" s="6" t="n">
        <v>0</v>
      </c>
      <c r="AM334" s="3" t="n">
        <v>0</v>
      </c>
      <c r="AN334" s="3" t="n">
        <v>0.7735000000000001</v>
      </c>
      <c r="AO334" s="3" t="n">
        <v>1.707948</v>
      </c>
      <c r="AP334" s="3">
        <f>N(X334)*N(BI334)</f>
        <v/>
      </c>
      <c r="AQ334" s="3" t="n">
        <v>2.0225</v>
      </c>
      <c r="AR334" s="3" t="n">
        <v>0</v>
      </c>
      <c r="AS334" s="3" t="n">
        <v>-0</v>
      </c>
      <c r="AT334" s="3" t="n">
        <v>-0.3054845747314056</v>
      </c>
      <c r="AU334" s="3">
        <f>SUM(AN334:AT334)</f>
        <v/>
      </c>
      <c r="AV334" s="7">
        <f>IF(OR(N(W334)&lt;=0,N(BG334)=0),0,N(W334)*IF(N(R334)/N(W334)&gt;=60,N(BG334),1))</f>
        <v/>
      </c>
      <c r="AW334" s="7">
        <f>N(W334)*N(AF334)*N(BH334)</f>
        <v/>
      </c>
      <c r="AX334" s="7">
        <f>N(AL334)*(Assumptions!$B$13*N(BJ334)-(1-Assumptions!$B$13)*Assumptions!$B$14)+N(AM334)</f>
        <v/>
      </c>
      <c r="AY334" s="7">
        <f>N(AU334)*N(R334)/90+N(AV334)+N(AW334)+N(AX334)</f>
        <v/>
      </c>
      <c r="AZ334" s="3">
        <f>IF(N(R334)&lt;=0,0,(N(AY334)-N(AX334))*90/N(R334))</f>
        <v/>
      </c>
      <c r="BA334" s="7">
        <f>IFERROR(AY334-VLOOKUP($E334,Assumptions!$A$40:$C$43,3,FALSE),"")</f>
        <v/>
      </c>
      <c r="BB334" s="3">
        <f>IFERROR(BA334/H334,"")</f>
        <v/>
      </c>
      <c r="BC334">
        <f>IF(AND($G334=TRUE,$E334="GKP"),AY334,"")</f>
        <v/>
      </c>
      <c r="BD334">
        <f>IF(AND($G334=TRUE,$E334="DEF"),AY334,"")</f>
        <v/>
      </c>
      <c r="BE334">
        <f>IF(AND($G334=TRUE,$E334="MID"),AY334,"")</f>
        <v/>
      </c>
      <c r="BF334">
        <f>IF(AND($G334=TRUE,$E334="FWD"),AY334,"")</f>
        <v/>
      </c>
      <c r="BG334" t="n">
        <v>2</v>
      </c>
      <c r="BH334" t="n">
        <v>2</v>
      </c>
      <c r="BI334" t="n">
        <v>1</v>
      </c>
      <c r="BJ334" t="n">
        <v>5</v>
      </c>
    </row>
    <row r="335">
      <c r="A335" t="inlineStr">
        <is>
          <t>Romaine Mundle</t>
        </is>
      </c>
      <c r="B335" t="inlineStr">
        <is>
          <t>SUN</t>
        </is>
      </c>
      <c r="C335" t="inlineStr">
        <is>
          <t>SUN</t>
        </is>
      </c>
      <c r="D335" t="b">
        <v>0</v>
      </c>
      <c r="E335" t="inlineStr">
        <is>
          <t>MID</t>
        </is>
      </c>
      <c r="F335" t="inlineStr">
        <is>
          <t>MID</t>
        </is>
      </c>
      <c r="G335" t="b">
        <v>1</v>
      </c>
      <c r="H335" s="2" t="n">
        <v>5</v>
      </c>
      <c r="I335" t="inlineStr">
        <is>
          <t>a</t>
        </is>
      </c>
      <c r="K335" s="2" t="n">
        <v>399</v>
      </c>
      <c r="L335" t="n">
        <v>14</v>
      </c>
      <c r="M335" s="3" t="n">
        <v>52</v>
      </c>
      <c r="N335" s="4" t="n">
        <v>300</v>
      </c>
      <c r="O335" s="4" t="n">
        <v>248</v>
      </c>
      <c r="P335" s="5" t="inlineStr">
        <is>
          <t>low</t>
        </is>
      </c>
      <c r="Q335" t="inlineStr">
        <is>
          <t>flat</t>
        </is>
      </c>
      <c r="R335" s="6" t="n">
        <v>300</v>
      </c>
      <c r="S335" t="inlineStr">
        <is>
          <t>research</t>
        </is>
      </c>
      <c r="T335" s="5" t="inlineStr">
        <is>
          <t>Solio's 52 minutes is effectively an exit assumption, but Mundle is still at the club, recovered from the minor knock that kept him out of the Lens friendly, and came off the bench on 64' against Rennes a week before the opener. He played 399 Premier League minutes last season. With Adingra in a walking boot and possibly leaving on loan, Mundle is the fourth wide option in a squad playing at least 46 fixtures. Small delta and low confidence — he could still be moved before 31 Aug.</t>
        </is>
      </c>
      <c r="U335" s="6" t="n">
        <v>77.8</v>
      </c>
      <c r="V335" s="2" t="n">
        <v>2</v>
      </c>
      <c r="W335" s="7">
        <f>IF(N(U335)&lt;=0,0,MIN(Assumptions!$B$15,N(R335)/N(U335)))</f>
        <v/>
      </c>
      <c r="X335" s="6" t="n">
        <v>0.204</v>
      </c>
      <c r="Y335" s="3" t="n">
        <v>0.1791</v>
      </c>
      <c r="Z335" t="inlineStr">
        <is>
          <t>adjusted xGOT</t>
        </is>
      </c>
      <c r="AA335" s="3" t="n">
        <v>1</v>
      </c>
      <c r="AB335" s="3" t="n">
        <v>0.913</v>
      </c>
      <c r="AC335" s="3" t="n">
        <v>0.9</v>
      </c>
      <c r="AD335" s="3" t="n">
        <v>0.0561</v>
      </c>
      <c r="AE335" s="3" t="n">
        <v>8.173</v>
      </c>
      <c r="AF335" s="3" t="n">
        <v>0.05634537800256501</v>
      </c>
      <c r="AG335" s="3" t="n">
        <v>0</v>
      </c>
      <c r="AH335" s="3" t="n">
        <v>15</v>
      </c>
      <c r="AI335" s="3" t="n">
        <v>3.3348</v>
      </c>
      <c r="AJ335" s="3" t="n">
        <v>1.6498</v>
      </c>
      <c r="AK335" s="3" t="n">
        <v>-0.2217182016969436</v>
      </c>
      <c r="AL335" s="6" t="n">
        <v>0</v>
      </c>
      <c r="AM335" s="3" t="n">
        <v>0</v>
      </c>
      <c r="AN335" s="3" t="n">
        <v>0.8955000000000001</v>
      </c>
      <c r="AO335" s="3" t="n">
        <v>0.222156</v>
      </c>
      <c r="AP335" s="3">
        <f>N(X335)*N(BI335)</f>
        <v/>
      </c>
      <c r="AQ335" s="3" t="n">
        <v>0</v>
      </c>
      <c r="AR335" s="3" t="n">
        <v>0</v>
      </c>
      <c r="AS335" s="3" t="n">
        <v>-0</v>
      </c>
      <c r="AT335" s="3" t="n">
        <v>-0.2217182016969436</v>
      </c>
      <c r="AU335" s="3">
        <f>SUM(AN335:AT335)</f>
        <v/>
      </c>
      <c r="AV335" s="7">
        <f>IF(OR(N(W335)&lt;=0,N(BG335)=0),0,N(W335)*IF(N(R335)/N(W335)&gt;=60,N(BG335),1))</f>
        <v/>
      </c>
      <c r="AW335" s="7">
        <f>N(W335)*N(AF335)*N(BH335)</f>
        <v/>
      </c>
      <c r="AX335" s="7">
        <f>N(AL335)*(Assumptions!$B$13*N(BJ335)-(1-Assumptions!$B$13)*Assumptions!$B$14)+N(AM335)</f>
        <v/>
      </c>
      <c r="AY335" s="7">
        <f>N(AU335)*N(R335)/90+N(AV335)+N(AW335)+N(AX335)</f>
        <v/>
      </c>
      <c r="AZ335" s="3">
        <f>IF(N(R335)&lt;=0,0,(N(AY335)-N(AX335))*90/N(R335))</f>
        <v/>
      </c>
      <c r="BA335" s="7">
        <f>IFERROR(AY335-VLOOKUP($E335,Assumptions!$A$40:$C$43,3,FALSE),"")</f>
        <v/>
      </c>
      <c r="BB335" s="3">
        <f>IFERROR(BA335/H335,"")</f>
        <v/>
      </c>
      <c r="BC335">
        <f>IF(AND($G335=TRUE,$E335="GKP"),AY335,"")</f>
        <v/>
      </c>
      <c r="BD335">
        <f>IF(AND($G335=TRUE,$E335="DEF"),AY335,"")</f>
        <v/>
      </c>
      <c r="BE335">
        <f>IF(AND($G335=TRUE,$E335="MID"),AY335,"")</f>
        <v/>
      </c>
      <c r="BF335">
        <f>IF(AND($G335=TRUE,$E335="FWD"),AY335,"")</f>
        <v/>
      </c>
      <c r="BG335" t="n">
        <v>2</v>
      </c>
      <c r="BH335" t="n">
        <v>2</v>
      </c>
      <c r="BI335" t="n">
        <v>1</v>
      </c>
      <c r="BJ335" t="n">
        <v>5</v>
      </c>
    </row>
    <row r="336">
      <c r="A336" t="inlineStr">
        <is>
          <t>Ethan Pinnock</t>
        </is>
      </c>
      <c r="B336" t="inlineStr">
        <is>
          <t>BRE</t>
        </is>
      </c>
      <c r="C336" t="inlineStr">
        <is>
          <t>BRE</t>
        </is>
      </c>
      <c r="D336" t="b">
        <v>0</v>
      </c>
      <c r="E336" t="inlineStr">
        <is>
          <t>DEF</t>
        </is>
      </c>
      <c r="F336" t="inlineStr">
        <is>
          <t>DEF</t>
        </is>
      </c>
      <c r="G336" t="b">
        <v>1</v>
      </c>
      <c r="H336" s="2" t="n">
        <v>4.5</v>
      </c>
      <c r="I336" t="inlineStr">
        <is>
          <t>a</t>
        </is>
      </c>
      <c r="K336" s="2" t="n">
        <v>318</v>
      </c>
      <c r="L336" t="n">
        <v>14</v>
      </c>
      <c r="M336" s="3" t="n">
        <v>0</v>
      </c>
      <c r="N336" s="8" t="n">
        <v>0</v>
      </c>
      <c r="O336" s="8" t="n">
        <v>0</v>
      </c>
      <c r="Q336" t="inlineStr">
        <is>
          <t>flat</t>
        </is>
      </c>
      <c r="R336" s="6" t="n">
        <v>0</v>
      </c>
      <c r="S336" t="inlineStr">
        <is>
          <t>Solio</t>
        </is>
      </c>
      <c r="U336" s="6" t="n">
        <v>83.8</v>
      </c>
      <c r="V336" s="2" t="n">
        <v>4</v>
      </c>
      <c r="W336" s="7">
        <f>IF(N(U336)&lt;=0,0,MIN(Assumptions!$B$15,N(R336)/N(U336)))</f>
        <v/>
      </c>
      <c r="X336" s="6" t="n">
        <v>0.228</v>
      </c>
      <c r="Y336" s="3" t="n">
        <v>0.0028</v>
      </c>
      <c r="Z336" t="inlineStr">
        <is>
          <t>adjusted xGOT</t>
        </is>
      </c>
      <c r="AA336" s="3" t="n">
        <v>1</v>
      </c>
      <c r="AB336" s="3" t="n">
        <v>1.034</v>
      </c>
      <c r="AC336" s="3" t="n">
        <v>5.8</v>
      </c>
      <c r="AD336" s="3" t="n">
        <v>0.008500000000000001</v>
      </c>
      <c r="AE336" s="3" t="n">
        <v>8.972</v>
      </c>
      <c r="AF336" s="3" t="n">
        <v>0.3281459741394295</v>
      </c>
      <c r="AG336" s="3" t="n">
        <v>0.5659999999999999</v>
      </c>
      <c r="AH336" s="3" t="n">
        <v>8</v>
      </c>
      <c r="AI336" s="3" t="n">
        <v>3.2371</v>
      </c>
      <c r="AJ336" s="3" t="n">
        <v>1.5396</v>
      </c>
      <c r="AK336" s="3" t="n">
        <v>-0.1484440341714589</v>
      </c>
      <c r="AL336" s="6" t="n">
        <v>0</v>
      </c>
      <c r="AM336" s="3" t="n">
        <v>0</v>
      </c>
      <c r="AN336" s="3" t="n">
        <v>0.0168</v>
      </c>
      <c r="AO336" s="3" t="n">
        <v>0.03366</v>
      </c>
      <c r="AP336" s="3">
        <f>N(X336)*N(BI336)</f>
        <v/>
      </c>
      <c r="AQ336" s="3" t="n">
        <v>0.5659999999999999</v>
      </c>
      <c r="AR336" s="3" t="n">
        <v>0</v>
      </c>
      <c r="AS336" s="3" t="n">
        <v>-0.5312990096912251</v>
      </c>
      <c r="AT336" s="3" t="n">
        <v>-0.1484440341714589</v>
      </c>
      <c r="AU336" s="3">
        <f>SUM(AN336:AT336)</f>
        <v/>
      </c>
      <c r="AV336" s="7">
        <f>IF(OR(N(W336)&lt;=0,N(BG336)=0),0,N(W336)*IF(N(R336)/N(W336)&gt;=60,N(BG336),1))</f>
        <v/>
      </c>
      <c r="AW336" s="7">
        <f>N(W336)*N(AF336)*N(BH336)</f>
        <v/>
      </c>
      <c r="AX336" s="7">
        <f>N(AL336)*(Assumptions!$B$13*N(BJ336)-(1-Assumptions!$B$13)*Assumptions!$B$14)+N(AM336)</f>
        <v/>
      </c>
      <c r="AY336" s="7">
        <f>N(AU336)*N(R336)/90+N(AV336)+N(AW336)+N(AX336)</f>
        <v/>
      </c>
      <c r="AZ336" s="3">
        <f>IF(N(R336)&lt;=0,0,(N(AY336)-N(AX336))*90/N(R336))</f>
        <v/>
      </c>
      <c r="BA336" s="7">
        <f>IFERROR(AY336-VLOOKUP($E336,Assumptions!$A$40:$C$43,3,FALSE),"")</f>
        <v/>
      </c>
      <c r="BB336" s="3">
        <f>IFERROR(BA336/H336,"")</f>
        <v/>
      </c>
      <c r="BC336">
        <f>IF(AND($G336=TRUE,$E336="GKP"),AY336,"")</f>
        <v/>
      </c>
      <c r="BD336">
        <f>IF(AND($G336=TRUE,$E336="DEF"),AY336,"")</f>
        <v/>
      </c>
      <c r="BE336">
        <f>IF(AND($G336=TRUE,$E336="MID"),AY336,"")</f>
        <v/>
      </c>
      <c r="BF336">
        <f>IF(AND($G336=TRUE,$E336="FWD"),AY336,"")</f>
        <v/>
      </c>
      <c r="BG336" t="n">
        <v>2</v>
      </c>
      <c r="BH336" t="n">
        <v>2</v>
      </c>
      <c r="BI336" t="n">
        <v>4</v>
      </c>
      <c r="BJ336" t="n">
        <v>6</v>
      </c>
    </row>
    <row r="337">
      <c r="A337" t="inlineStr">
        <is>
          <t>Marc Guiu</t>
        </is>
      </c>
      <c r="B337" t="inlineStr">
        <is>
          <t>CHE</t>
        </is>
      </c>
      <c r="C337" t="inlineStr">
        <is>
          <t>CHE</t>
        </is>
      </c>
      <c r="D337" t="b">
        <v>0</v>
      </c>
      <c r="E337" t="inlineStr">
        <is>
          <t>FWD</t>
        </is>
      </c>
      <c r="F337" t="inlineStr">
        <is>
          <t>FWD</t>
        </is>
      </c>
      <c r="G337" t="b">
        <v>1</v>
      </c>
      <c r="H337" s="2" t="n">
        <v>5</v>
      </c>
      <c r="I337" t="inlineStr">
        <is>
          <t>a</t>
        </is>
      </c>
      <c r="K337" s="2" t="n">
        <v>265</v>
      </c>
      <c r="L337" t="n">
        <v>13</v>
      </c>
      <c r="M337" s="3" t="n">
        <v>0</v>
      </c>
      <c r="N337" s="8" t="n">
        <v>0</v>
      </c>
      <c r="O337" s="8" t="n">
        <v>0</v>
      </c>
      <c r="Q337" t="inlineStr">
        <is>
          <t>flat</t>
        </is>
      </c>
      <c r="R337" s="6" t="n">
        <v>0</v>
      </c>
      <c r="S337" t="inlineStr">
        <is>
          <t>Solio</t>
        </is>
      </c>
      <c r="U337" s="6" t="n">
        <v>78.2</v>
      </c>
      <c r="V337" s="2" t="n">
        <v>1</v>
      </c>
      <c r="W337" s="7">
        <f>IF(N(U337)&lt;=0,0,MIN(Assumptions!$B$15,N(R337)/N(U337)))</f>
        <v/>
      </c>
      <c r="X337" s="6" t="n">
        <v>0.322</v>
      </c>
      <c r="Y337" s="3" t="n">
        <v>0.4442</v>
      </c>
      <c r="Z337" t="inlineStr">
        <is>
          <t>adjusted xGOT</t>
        </is>
      </c>
      <c r="AA337" s="3" t="n">
        <v>1</v>
      </c>
      <c r="AB337" s="3" t="n">
        <v>0.849</v>
      </c>
      <c r="AC337" s="3" t="n">
        <v>1.5</v>
      </c>
      <c r="AD337" s="3" t="n">
        <v>0.1781</v>
      </c>
      <c r="AE337" s="3" t="n">
        <v>4.234</v>
      </c>
      <c r="AF337" s="3" t="n">
        <v>0.0004474021992010302</v>
      </c>
      <c r="AG337" s="3" t="n">
        <v>0</v>
      </c>
      <c r="AH337" s="3" t="n">
        <v>11</v>
      </c>
      <c r="AI337" s="3" t="n">
        <v>2.4232</v>
      </c>
      <c r="AJ337" s="3" t="n">
        <v>1.1851</v>
      </c>
      <c r="AK337" s="3" t="n">
        <v>-0.197488947267108</v>
      </c>
      <c r="AL337" s="6" t="n">
        <v>0</v>
      </c>
      <c r="AM337" s="3" t="n">
        <v>0</v>
      </c>
      <c r="AN337" s="3" t="n">
        <v>1.7768</v>
      </c>
      <c r="AO337" s="3" t="n">
        <v>0.705276</v>
      </c>
      <c r="AP337" s="3">
        <f>N(X337)*N(BI337)</f>
        <v/>
      </c>
      <c r="AQ337" s="3" t="n">
        <v>0</v>
      </c>
      <c r="AR337" s="3" t="n">
        <v>0</v>
      </c>
      <c r="AS337" s="3" t="n">
        <v>-0</v>
      </c>
      <c r="AT337" s="3" t="n">
        <v>-0.197488947267108</v>
      </c>
      <c r="AU337" s="3">
        <f>SUM(AN337:AT337)</f>
        <v/>
      </c>
      <c r="AV337" s="7">
        <f>IF(OR(N(W337)&lt;=0,N(BG337)=0),0,N(W337)*IF(N(R337)/N(W337)&gt;=60,N(BG337),1))</f>
        <v/>
      </c>
      <c r="AW337" s="7">
        <f>N(W337)*N(AF337)*N(BH337)</f>
        <v/>
      </c>
      <c r="AX337" s="7">
        <f>N(AL337)*(Assumptions!$B$13*N(BJ337)-(1-Assumptions!$B$13)*Assumptions!$B$14)+N(AM337)</f>
        <v/>
      </c>
      <c r="AY337" s="7">
        <f>N(AU337)*N(R337)/90+N(AV337)+N(AW337)+N(AX337)</f>
        <v/>
      </c>
      <c r="AZ337" s="3">
        <f>IF(N(R337)&lt;=0,0,(N(AY337)-N(AX337))*90/N(R337))</f>
        <v/>
      </c>
      <c r="BA337" s="7">
        <f>IFERROR(AY337-VLOOKUP($E337,Assumptions!$A$40:$C$43,3,FALSE),"")</f>
        <v/>
      </c>
      <c r="BB337" s="3">
        <f>IFERROR(BA337/H337,"")</f>
        <v/>
      </c>
      <c r="BC337">
        <f>IF(AND($G337=TRUE,$E337="GKP"),AY337,"")</f>
        <v/>
      </c>
      <c r="BD337">
        <f>IF(AND($G337=TRUE,$E337="DEF"),AY337,"")</f>
        <v/>
      </c>
      <c r="BE337">
        <f>IF(AND($G337=TRUE,$E337="MID"),AY337,"")</f>
        <v/>
      </c>
      <c r="BF337">
        <f>IF(AND($G337=TRUE,$E337="FWD"),AY337,"")</f>
        <v/>
      </c>
      <c r="BG337" t="n">
        <v>2</v>
      </c>
      <c r="BH337" t="n">
        <v>2</v>
      </c>
      <c r="BI337" t="n">
        <v>0</v>
      </c>
      <c r="BJ337" t="n">
        <v>4</v>
      </c>
    </row>
    <row r="338">
      <c r="A338" t="inlineStr">
        <is>
          <t>Jair Cunha</t>
        </is>
      </c>
      <c r="B338" t="inlineStr">
        <is>
          <t>NFO</t>
        </is>
      </c>
      <c r="C338" t="inlineStr">
        <is>
          <t>NFO</t>
        </is>
      </c>
      <c r="D338" t="b">
        <v>0</v>
      </c>
      <c r="E338" t="inlineStr">
        <is>
          <t>DEF</t>
        </is>
      </c>
      <c r="F338" t="inlineStr">
        <is>
          <t>DEF</t>
        </is>
      </c>
      <c r="G338" t="b">
        <v>1</v>
      </c>
      <c r="H338" s="2" t="n">
        <v>4.5</v>
      </c>
      <c r="I338" t="inlineStr">
        <is>
          <t>a</t>
        </is>
      </c>
      <c r="K338" s="2" t="n">
        <v>514</v>
      </c>
      <c r="L338" t="n">
        <v>13</v>
      </c>
      <c r="M338" s="3" t="n">
        <v>249</v>
      </c>
      <c r="N338" s="4" t="n">
        <v>540</v>
      </c>
      <c r="O338" s="4" t="n">
        <v>291</v>
      </c>
      <c r="P338" s="5" t="inlineStr">
        <is>
          <t>low</t>
        </is>
      </c>
      <c r="Q338" t="inlineStr">
        <is>
          <t>flat</t>
        </is>
      </c>
      <c r="R338" s="6" t="n">
        <v>540</v>
      </c>
      <c r="S338" t="inlineStr">
        <is>
          <t>research</t>
        </is>
      </c>
      <c r="T338" s="5" t="inlineStr">
        <is>
          <t>Same structural point as Morato. Cunha started in the back three in Glasner's first pre-season match at Notts County and is one of five senior centre-backs for three slots in a system that plays three all season.</t>
        </is>
      </c>
      <c r="U338" s="6" t="n">
        <v>80.09999999999999</v>
      </c>
      <c r="V338" s="2" t="n">
        <v>6</v>
      </c>
      <c r="W338" s="7">
        <f>IF(N(U338)&lt;=0,0,MIN(Assumptions!$B$15,N(R338)/N(U338)))</f>
        <v/>
      </c>
      <c r="X338" s="6" t="n">
        <v>0.224</v>
      </c>
      <c r="Y338" s="3" t="n">
        <v>0.0462</v>
      </c>
      <c r="Z338" t="inlineStr">
        <is>
          <t>adjusted xGOT</t>
        </is>
      </c>
      <c r="AA338" s="3" t="n">
        <v>1</v>
      </c>
      <c r="AB338" s="3" t="n">
        <v>0.979</v>
      </c>
      <c r="AC338" s="3" t="n">
        <v>0.3</v>
      </c>
      <c r="AD338" s="3" t="n">
        <v>0.0122</v>
      </c>
      <c r="AE338" s="3" t="n">
        <v>7.912</v>
      </c>
      <c r="AF338" s="3" t="n">
        <v>0.1737556495456569</v>
      </c>
      <c r="AG338" s="3" t="n">
        <v>0</v>
      </c>
      <c r="AH338" s="3" t="n">
        <v>13</v>
      </c>
      <c r="AI338" s="3" t="n">
        <v>3.1134</v>
      </c>
      <c r="AJ338" s="3" t="n">
        <v>1.5588</v>
      </c>
      <c r="AK338" s="3" t="n">
        <v>-0.1562993428419221</v>
      </c>
      <c r="AL338" s="6" t="n">
        <v>0</v>
      </c>
      <c r="AM338" s="3" t="n">
        <v>0</v>
      </c>
      <c r="AN338" s="3" t="n">
        <v>0.2772</v>
      </c>
      <c r="AO338" s="3" t="n">
        <v>0.048312</v>
      </c>
      <c r="AP338" s="3">
        <f>N(X338)*N(BI338)</f>
        <v/>
      </c>
      <c r="AQ338" s="3" t="n">
        <v>0</v>
      </c>
      <c r="AR338" s="3" t="n">
        <v>0</v>
      </c>
      <c r="AS338" s="3" t="n">
        <v>-0.5404658182244797</v>
      </c>
      <c r="AT338" s="3" t="n">
        <v>-0.1562993428419221</v>
      </c>
      <c r="AU338" s="3">
        <f>SUM(AN338:AT338)</f>
        <v/>
      </c>
      <c r="AV338" s="7">
        <f>IF(OR(N(W338)&lt;=0,N(BG338)=0),0,N(W338)*IF(N(R338)/N(W338)&gt;=60,N(BG338),1))</f>
        <v/>
      </c>
      <c r="AW338" s="7">
        <f>N(W338)*N(AF338)*N(BH338)</f>
        <v/>
      </c>
      <c r="AX338" s="7">
        <f>N(AL338)*(Assumptions!$B$13*N(BJ338)-(1-Assumptions!$B$13)*Assumptions!$B$14)+N(AM338)</f>
        <v/>
      </c>
      <c r="AY338" s="7">
        <f>N(AU338)*N(R338)/90+N(AV338)+N(AW338)+N(AX338)</f>
        <v/>
      </c>
      <c r="AZ338" s="3">
        <f>IF(N(R338)&lt;=0,0,(N(AY338)-N(AX338))*90/N(R338))</f>
        <v/>
      </c>
      <c r="BA338" s="7">
        <f>IFERROR(AY338-VLOOKUP($E338,Assumptions!$A$40:$C$43,3,FALSE),"")</f>
        <v/>
      </c>
      <c r="BB338" s="3">
        <f>IFERROR(BA338/H338,"")</f>
        <v/>
      </c>
      <c r="BC338">
        <f>IF(AND($G338=TRUE,$E338="GKP"),AY338,"")</f>
        <v/>
      </c>
      <c r="BD338">
        <f>IF(AND($G338=TRUE,$E338="DEF"),AY338,"")</f>
        <v/>
      </c>
      <c r="BE338">
        <f>IF(AND($G338=TRUE,$E338="MID"),AY338,"")</f>
        <v/>
      </c>
      <c r="BF338">
        <f>IF(AND($G338=TRUE,$E338="FWD"),AY338,"")</f>
        <v/>
      </c>
      <c r="BG338" t="n">
        <v>2</v>
      </c>
      <c r="BH338" t="n">
        <v>2</v>
      </c>
      <c r="BI338" t="n">
        <v>4</v>
      </c>
      <c r="BJ338" t="n">
        <v>6</v>
      </c>
    </row>
    <row r="339">
      <c r="A339" t="inlineStr">
        <is>
          <t>Roméo Lavia</t>
        </is>
      </c>
      <c r="B339" t="inlineStr">
        <is>
          <t>CHE</t>
        </is>
      </c>
      <c r="C339" t="inlineStr">
        <is>
          <t>CHE</t>
        </is>
      </c>
      <c r="D339" t="b">
        <v>0</v>
      </c>
      <c r="E339" t="inlineStr">
        <is>
          <t>MID</t>
        </is>
      </c>
      <c r="F339" t="inlineStr">
        <is>
          <t>MID</t>
        </is>
      </c>
      <c r="G339" t="b">
        <v>1</v>
      </c>
      <c r="H339" s="2" t="n">
        <v>5</v>
      </c>
      <c r="I339" t="inlineStr">
        <is>
          <t>a</t>
        </is>
      </c>
      <c r="K339" s="2" t="n">
        <v>374</v>
      </c>
      <c r="L339" t="n">
        <v>13</v>
      </c>
      <c r="M339" s="3" t="n">
        <v>128</v>
      </c>
      <c r="N339" s="8" t="n">
        <v>128</v>
      </c>
      <c r="O339" s="8" t="n">
        <v>0</v>
      </c>
      <c r="Q339" t="inlineStr">
        <is>
          <t>flat</t>
        </is>
      </c>
      <c r="R339" s="6" t="n">
        <v>128</v>
      </c>
      <c r="S339" t="inlineStr">
        <is>
          <t>Solio</t>
        </is>
      </c>
      <c r="U339" s="6" t="n">
        <v>73.59999999999999</v>
      </c>
      <c r="V339" s="2" t="n">
        <v>4</v>
      </c>
      <c r="W339" s="7">
        <f>IF(N(U339)&lt;=0,0,MIN(Assumptions!$B$15,N(R339)/N(U339)))</f>
        <v/>
      </c>
      <c r="X339" s="6" t="n">
        <v>0.322</v>
      </c>
      <c r="Y339" s="3" t="n">
        <v>0.0484</v>
      </c>
      <c r="Z339" t="inlineStr">
        <is>
          <t>adjusted xGOT</t>
        </is>
      </c>
      <c r="AA339" s="3" t="n">
        <v>1</v>
      </c>
      <c r="AB339" s="3" t="n">
        <v>0.957</v>
      </c>
      <c r="AC339" s="3" t="n">
        <v>0.9</v>
      </c>
      <c r="AD339" s="3" t="n">
        <v>0.1161</v>
      </c>
      <c r="AE339" s="3" t="n">
        <v>8.689</v>
      </c>
      <c r="AF339" s="3" t="n">
        <v>0.05826789956131262</v>
      </c>
      <c r="AG339" s="3" t="n">
        <v>0</v>
      </c>
      <c r="AH339" s="3" t="n">
        <v>13</v>
      </c>
      <c r="AI339" s="3" t="n">
        <v>2.4232</v>
      </c>
      <c r="AJ339" s="3" t="n">
        <v>1.1851</v>
      </c>
      <c r="AK339" s="3" t="n">
        <v>-0.2352048861625498</v>
      </c>
      <c r="AL339" s="6" t="n">
        <v>0</v>
      </c>
      <c r="AM339" s="3" t="n">
        <v>0</v>
      </c>
      <c r="AN339" s="3" t="n">
        <v>0.242</v>
      </c>
      <c r="AO339" s="3" t="n">
        <v>0.459756</v>
      </c>
      <c r="AP339" s="3">
        <f>N(X339)*N(BI339)</f>
        <v/>
      </c>
      <c r="AQ339" s="3" t="n">
        <v>0</v>
      </c>
      <c r="AR339" s="3" t="n">
        <v>0</v>
      </c>
      <c r="AS339" s="3" t="n">
        <v>-0</v>
      </c>
      <c r="AT339" s="3" t="n">
        <v>-0.2352048861625498</v>
      </c>
      <c r="AU339" s="3">
        <f>SUM(AN339:AT339)</f>
        <v/>
      </c>
      <c r="AV339" s="7">
        <f>IF(OR(N(W339)&lt;=0,N(BG339)=0),0,N(W339)*IF(N(R339)/N(W339)&gt;=60,N(BG339),1))</f>
        <v/>
      </c>
      <c r="AW339" s="7">
        <f>N(W339)*N(AF339)*N(BH339)</f>
        <v/>
      </c>
      <c r="AX339" s="7">
        <f>N(AL339)*(Assumptions!$B$13*N(BJ339)-(1-Assumptions!$B$13)*Assumptions!$B$14)+N(AM339)</f>
        <v/>
      </c>
      <c r="AY339" s="7">
        <f>N(AU339)*N(R339)/90+N(AV339)+N(AW339)+N(AX339)</f>
        <v/>
      </c>
      <c r="AZ339" s="3">
        <f>IF(N(R339)&lt;=0,0,(N(AY339)-N(AX339))*90/N(R339))</f>
        <v/>
      </c>
      <c r="BA339" s="7">
        <f>IFERROR(AY339-VLOOKUP($E339,Assumptions!$A$40:$C$43,3,FALSE),"")</f>
        <v/>
      </c>
      <c r="BB339" s="3">
        <f>IFERROR(BA339/H339,"")</f>
        <v/>
      </c>
      <c r="BC339">
        <f>IF(AND($G339=TRUE,$E339="GKP"),AY339,"")</f>
        <v/>
      </c>
      <c r="BD339">
        <f>IF(AND($G339=TRUE,$E339="DEF"),AY339,"")</f>
        <v/>
      </c>
      <c r="BE339">
        <f>IF(AND($G339=TRUE,$E339="MID"),AY339,"")</f>
        <v/>
      </c>
      <c r="BF339">
        <f>IF(AND($G339=TRUE,$E339="FWD"),AY339,"")</f>
        <v/>
      </c>
      <c r="BG339" t="n">
        <v>2</v>
      </c>
      <c r="BH339" t="n">
        <v>2</v>
      </c>
      <c r="BI339" t="n">
        <v>1</v>
      </c>
      <c r="BJ339" t="n">
        <v>5</v>
      </c>
    </row>
    <row r="340">
      <c r="A340" t="inlineStr">
        <is>
          <t>Nilson Angulo</t>
        </is>
      </c>
      <c r="B340" t="inlineStr">
        <is>
          <t>SUN</t>
        </is>
      </c>
      <c r="C340" t="inlineStr">
        <is>
          <t>SUN</t>
        </is>
      </c>
      <c r="D340" t="b">
        <v>0</v>
      </c>
      <c r="E340" t="inlineStr">
        <is>
          <t>MID</t>
        </is>
      </c>
      <c r="F340" t="inlineStr">
        <is>
          <t>MID</t>
        </is>
      </c>
      <c r="G340" t="b">
        <v>1</v>
      </c>
      <c r="H340" s="2" t="n">
        <v>5</v>
      </c>
      <c r="I340" t="inlineStr">
        <is>
          <t>a</t>
        </is>
      </c>
      <c r="K340" s="2" t="n">
        <v>401</v>
      </c>
      <c r="L340" t="n">
        <v>13</v>
      </c>
      <c r="M340" s="3" t="n">
        <v>648</v>
      </c>
      <c r="N340" s="4" t="n">
        <v>1500</v>
      </c>
      <c r="O340" s="4" t="n">
        <v>852</v>
      </c>
      <c r="P340" s="5" t="inlineStr">
        <is>
          <t>medium</t>
        </is>
      </c>
      <c r="Q340" t="inlineStr">
        <is>
          <t>flat</t>
        </is>
      </c>
      <c r="R340" s="6" t="n">
        <v>1500</v>
      </c>
      <c r="S340" t="inlineStr">
        <is>
          <t>research</t>
        </is>
      </c>
      <c r="T340" s="5" t="inlineStr">
        <is>
          <t>Solio's 648 extrapolates from a stop-start 401-minute half-season after his January arrival from Anderlecht for around GBP15m, during which injuries limited him to eight appearances. That is a bad base rate for 2026/27. He started the final pre-season friendly on the left of the front three, the Echo names him as pushing for the one 'up for grabs' starting spot, and beat coverage expects him to share the left flank with Talbi across four competitions. Set below Talbi because Talbi has the Premier League experience the Echo says 'might count' in the opener, and because Sunderland may still sign a wide attacker.</t>
        </is>
      </c>
      <c r="U340" s="6" t="n">
        <v>78.09999999999999</v>
      </c>
      <c r="V340" s="2" t="n">
        <v>5</v>
      </c>
      <c r="W340" s="7">
        <f>IF(N(U340)&lt;=0,0,MIN(Assumptions!$B$15,N(R340)/N(U340)))</f>
        <v/>
      </c>
      <c r="X340" s="6" t="n">
        <v>0.204</v>
      </c>
      <c r="Y340" s="3" t="n">
        <v>0.1674</v>
      </c>
      <c r="Z340" t="inlineStr">
        <is>
          <t>adjusted xGOT</t>
        </is>
      </c>
      <c r="AA340" s="3" t="n">
        <v>1</v>
      </c>
      <c r="AB340" s="3" t="n">
        <v>0.969</v>
      </c>
      <c r="AC340" s="3" t="n">
        <v>0.8</v>
      </c>
      <c r="AD340" s="3" t="n">
        <v>0.0194</v>
      </c>
      <c r="AE340" s="3" t="n">
        <v>8.319000000000001</v>
      </c>
      <c r="AF340" s="3" t="n">
        <v>0.06387078025033821</v>
      </c>
      <c r="AG340" s="3" t="n">
        <v>0</v>
      </c>
      <c r="AH340" s="3" t="n">
        <v>13</v>
      </c>
      <c r="AI340" s="3" t="n">
        <v>3.3348</v>
      </c>
      <c r="AJ340" s="3" t="n">
        <v>1.6498</v>
      </c>
      <c r="AK340" s="3" t="n">
        <v>-0.2214954059528704</v>
      </c>
      <c r="AL340" s="6" t="n">
        <v>0</v>
      </c>
      <c r="AM340" s="3" t="n">
        <v>0</v>
      </c>
      <c r="AN340" s="3" t="n">
        <v>0.837</v>
      </c>
      <c r="AO340" s="3" t="n">
        <v>0.076824</v>
      </c>
      <c r="AP340" s="3">
        <f>N(X340)*N(BI340)</f>
        <v/>
      </c>
      <c r="AQ340" s="3" t="n">
        <v>0</v>
      </c>
      <c r="AR340" s="3" t="n">
        <v>0</v>
      </c>
      <c r="AS340" s="3" t="n">
        <v>-0</v>
      </c>
      <c r="AT340" s="3" t="n">
        <v>-0.2214954059528704</v>
      </c>
      <c r="AU340" s="3">
        <f>SUM(AN340:AT340)</f>
        <v/>
      </c>
      <c r="AV340" s="7">
        <f>IF(OR(N(W340)&lt;=0,N(BG340)=0),0,N(W340)*IF(N(R340)/N(W340)&gt;=60,N(BG340),1))</f>
        <v/>
      </c>
      <c r="AW340" s="7">
        <f>N(W340)*N(AF340)*N(BH340)</f>
        <v/>
      </c>
      <c r="AX340" s="7">
        <f>N(AL340)*(Assumptions!$B$13*N(BJ340)-(1-Assumptions!$B$13)*Assumptions!$B$14)+N(AM340)</f>
        <v/>
      </c>
      <c r="AY340" s="7">
        <f>N(AU340)*N(R340)/90+N(AV340)+N(AW340)+N(AX340)</f>
        <v/>
      </c>
      <c r="AZ340" s="3">
        <f>IF(N(R340)&lt;=0,0,(N(AY340)-N(AX340))*90/N(R340))</f>
        <v/>
      </c>
      <c r="BA340" s="7">
        <f>IFERROR(AY340-VLOOKUP($E340,Assumptions!$A$40:$C$43,3,FALSE),"")</f>
        <v/>
      </c>
      <c r="BB340" s="3">
        <f>IFERROR(BA340/H340,"")</f>
        <v/>
      </c>
      <c r="BC340">
        <f>IF(AND($G340=TRUE,$E340="GKP"),AY340,"")</f>
        <v/>
      </c>
      <c r="BD340">
        <f>IF(AND($G340=TRUE,$E340="DEF"),AY340,"")</f>
        <v/>
      </c>
      <c r="BE340">
        <f>IF(AND($G340=TRUE,$E340="MID"),AY340,"")</f>
        <v/>
      </c>
      <c r="BF340">
        <f>IF(AND($G340=TRUE,$E340="FWD"),AY340,"")</f>
        <v/>
      </c>
      <c r="BG340" t="n">
        <v>2</v>
      </c>
      <c r="BH340" t="n">
        <v>2</v>
      </c>
      <c r="BI340" t="n">
        <v>1</v>
      </c>
      <c r="BJ340" t="n">
        <v>5</v>
      </c>
    </row>
    <row r="341">
      <c r="A341" t="inlineStr">
        <is>
          <t>Fábio Carvalho</t>
        </is>
      </c>
      <c r="B341" t="inlineStr">
        <is>
          <t>BRE</t>
        </is>
      </c>
      <c r="C341" t="inlineStr">
        <is>
          <t>BRE</t>
        </is>
      </c>
      <c r="D341" t="b">
        <v>0</v>
      </c>
      <c r="E341" t="inlineStr">
        <is>
          <t>MID</t>
        </is>
      </c>
      <c r="F341" t="inlineStr">
        <is>
          <t>MID</t>
        </is>
      </c>
      <c r="G341" t="b">
        <v>1</v>
      </c>
      <c r="H341" s="2" t="n">
        <v>5</v>
      </c>
      <c r="I341" t="inlineStr">
        <is>
          <t>a</t>
        </is>
      </c>
      <c r="K341" s="2" t="n">
        <v>100</v>
      </c>
      <c r="L341" t="n">
        <v>13</v>
      </c>
      <c r="M341" s="3" t="n">
        <v>10</v>
      </c>
      <c r="N341" s="8" t="n">
        <v>10</v>
      </c>
      <c r="O341" s="8" t="n">
        <v>0</v>
      </c>
      <c r="Q341" t="inlineStr">
        <is>
          <t>flat</t>
        </is>
      </c>
      <c r="R341" s="6" t="n">
        <v>10</v>
      </c>
      <c r="S341" t="inlineStr">
        <is>
          <t>Solio</t>
        </is>
      </c>
      <c r="U341" s="6" t="n">
        <v>81</v>
      </c>
      <c r="V341" s="2" t="n">
        <v>1</v>
      </c>
      <c r="W341" s="7">
        <f>IF(N(U341)&lt;=0,0,MIN(Assumptions!$B$15,N(R341)/N(U341)))</f>
        <v/>
      </c>
      <c r="X341" s="6" t="n">
        <v>0.228</v>
      </c>
      <c r="Y341" s="3" t="n">
        <v>0.63</v>
      </c>
      <c r="Z341" t="inlineStr">
        <is>
          <t>adjusted xGOT</t>
        </is>
      </c>
      <c r="AA341" s="3" t="n">
        <v>1</v>
      </c>
      <c r="AB341" s="3" t="n">
        <v>1</v>
      </c>
      <c r="AC341" s="3" t="n">
        <v>4.3</v>
      </c>
      <c r="AD341" s="3" t="n">
        <v>0.0135</v>
      </c>
      <c r="AE341" s="3" t="n">
        <v>8.409000000000001</v>
      </c>
      <c r="AF341" s="3" t="n">
        <v>0.08328995755939095</v>
      </c>
      <c r="AG341" s="3" t="n">
        <v>0.9</v>
      </c>
      <c r="AH341" s="3" t="n">
        <v>7</v>
      </c>
      <c r="AI341" s="3" t="n">
        <v>3.2371</v>
      </c>
      <c r="AJ341" s="3" t="n">
        <v>1.5396</v>
      </c>
      <c r="AK341" s="3" t="n">
        <v>-0.205552940658248</v>
      </c>
      <c r="AL341" s="6" t="n">
        <v>0</v>
      </c>
      <c r="AM341" s="3" t="n">
        <v>0</v>
      </c>
      <c r="AN341" s="3" t="n">
        <v>3.15</v>
      </c>
      <c r="AO341" s="3" t="n">
        <v>0.05346000000000001</v>
      </c>
      <c r="AP341" s="3">
        <f>N(X341)*N(BI341)</f>
        <v/>
      </c>
      <c r="AQ341" s="3" t="n">
        <v>0.9</v>
      </c>
      <c r="AR341" s="3" t="n">
        <v>0</v>
      </c>
      <c r="AS341" s="3" t="n">
        <v>-0</v>
      </c>
      <c r="AT341" s="3" t="n">
        <v>-0.205552940658248</v>
      </c>
      <c r="AU341" s="3">
        <f>SUM(AN341:AT341)</f>
        <v/>
      </c>
      <c r="AV341" s="7">
        <f>IF(OR(N(W341)&lt;=0,N(BG341)=0),0,N(W341)*IF(N(R341)/N(W341)&gt;=60,N(BG341),1))</f>
        <v/>
      </c>
      <c r="AW341" s="7">
        <f>N(W341)*N(AF341)*N(BH341)</f>
        <v/>
      </c>
      <c r="AX341" s="7">
        <f>N(AL341)*(Assumptions!$B$13*N(BJ341)-(1-Assumptions!$B$13)*Assumptions!$B$14)+N(AM341)</f>
        <v/>
      </c>
      <c r="AY341" s="7">
        <f>N(AU341)*N(R341)/90+N(AV341)+N(AW341)+N(AX341)</f>
        <v/>
      </c>
      <c r="AZ341" s="3">
        <f>IF(N(R341)&lt;=0,0,(N(AY341)-N(AX341))*90/N(R341))</f>
        <v/>
      </c>
      <c r="BA341" s="7">
        <f>IFERROR(AY341-VLOOKUP($E341,Assumptions!$A$40:$C$43,3,FALSE),"")</f>
        <v/>
      </c>
      <c r="BB341" s="3">
        <f>IFERROR(BA341/H341,"")</f>
        <v/>
      </c>
      <c r="BC341">
        <f>IF(AND($G341=TRUE,$E341="GKP"),AY341,"")</f>
        <v/>
      </c>
      <c r="BD341">
        <f>IF(AND($G341=TRUE,$E341="DEF"),AY341,"")</f>
        <v/>
      </c>
      <c r="BE341">
        <f>IF(AND($G341=TRUE,$E341="MID"),AY341,"")</f>
        <v/>
      </c>
      <c r="BF341">
        <f>IF(AND($G341=TRUE,$E341="FWD"),AY341,"")</f>
        <v/>
      </c>
      <c r="BG341" t="n">
        <v>2</v>
      </c>
      <c r="BH341" t="n">
        <v>2</v>
      </c>
      <c r="BI341" t="n">
        <v>1</v>
      </c>
      <c r="BJ341" t="n">
        <v>5</v>
      </c>
    </row>
    <row r="342">
      <c r="A342" s="9" t="inlineStr">
        <is>
          <t>Reiss Nelson</t>
        </is>
      </c>
      <c r="B342" t="inlineStr">
        <is>
          <t>ARS</t>
        </is>
      </c>
      <c r="C342" s="9" t="inlineStr">
        <is>
          <t>BRE</t>
        </is>
      </c>
      <c r="D342" t="b">
        <v>1</v>
      </c>
      <c r="E342" t="inlineStr">
        <is>
          <t>MID</t>
        </is>
      </c>
      <c r="F342" t="inlineStr">
        <is>
          <t>MID</t>
        </is>
      </c>
      <c r="G342" t="b">
        <v>1</v>
      </c>
      <c r="H342" s="2" t="n">
        <v>5.5</v>
      </c>
      <c r="I342" t="inlineStr">
        <is>
          <t>a</t>
        </is>
      </c>
      <c r="K342" s="2" t="n">
        <v>118</v>
      </c>
      <c r="L342" t="n">
        <v>13</v>
      </c>
      <c r="M342" s="3" t="n">
        <v>0</v>
      </c>
      <c r="N342" s="8" t="n">
        <v>0</v>
      </c>
      <c r="O342" s="8" t="n">
        <v>0</v>
      </c>
      <c r="Q342" t="inlineStr">
        <is>
          <t>flat</t>
        </is>
      </c>
      <c r="R342" s="6" t="n">
        <v>0</v>
      </c>
      <c r="S342" t="inlineStr">
        <is>
          <t>Solio</t>
        </is>
      </c>
      <c r="U342" s="6" t="n">
        <v>80.09999999999999</v>
      </c>
      <c r="V342" s="2" t="n">
        <v>0</v>
      </c>
      <c r="W342" s="7">
        <f>IF(N(U342)&lt;=0,0,MIN(Assumptions!$B$15,N(R342)/N(U342)))</f>
        <v/>
      </c>
      <c r="X342" s="6" t="n">
        <v>0.391</v>
      </c>
      <c r="Y342" s="10" t="n">
        <v>0.6079</v>
      </c>
      <c r="Z342" t="inlineStr">
        <is>
          <t>adjusted xGOT</t>
        </is>
      </c>
      <c r="AA342" s="3" t="n">
        <v>1</v>
      </c>
      <c r="AB342" s="3" t="n">
        <v>1.122</v>
      </c>
      <c r="AC342" s="3" t="n">
        <v>3</v>
      </c>
      <c r="AD342" s="10" t="n">
        <v>0.0645</v>
      </c>
      <c r="AE342" s="3" t="n">
        <v>9.839</v>
      </c>
      <c r="AF342" s="3" t="n">
        <v>0.1740450759616596</v>
      </c>
      <c r="AG342" s="3" t="n">
        <v>0</v>
      </c>
      <c r="AH342" s="3" t="n">
        <v>10</v>
      </c>
      <c r="AI342" s="3" t="n">
        <v>2.067</v>
      </c>
      <c r="AJ342" s="3" t="n">
        <v>0.9838</v>
      </c>
      <c r="AK342" s="3" t="n">
        <v>-0.2100243840141236</v>
      </c>
      <c r="AL342" s="6" t="n">
        <v>0</v>
      </c>
      <c r="AM342" s="3" t="n">
        <v>0</v>
      </c>
      <c r="AN342" s="10" t="n">
        <v>3.0395</v>
      </c>
      <c r="AO342" s="10" t="n">
        <v>0.25542</v>
      </c>
      <c r="AP342" s="3">
        <f>N(X342)*N(BI342)</f>
        <v/>
      </c>
      <c r="AQ342" s="3" t="n">
        <v>0</v>
      </c>
      <c r="AR342" s="3" t="n">
        <v>0</v>
      </c>
      <c r="AS342" s="3" t="n">
        <v>-0</v>
      </c>
      <c r="AT342" s="3" t="n">
        <v>-0.2100243840141236</v>
      </c>
      <c r="AU342" s="3">
        <f>SUM(AN342:AT342)</f>
        <v/>
      </c>
      <c r="AV342" s="7">
        <f>IF(OR(N(W342)&lt;=0,N(BG342)=0),0,N(W342)*IF(N(R342)/N(W342)&gt;=60,N(BG342),1))</f>
        <v/>
      </c>
      <c r="AW342" s="7">
        <f>N(W342)*N(AF342)*N(BH342)</f>
        <v/>
      </c>
      <c r="AX342" s="7">
        <f>N(AL342)*(Assumptions!$B$13*N(BJ342)-(1-Assumptions!$B$13)*Assumptions!$B$14)+N(AM342)</f>
        <v/>
      </c>
      <c r="AY342" s="7">
        <f>N(AU342)*N(R342)/90+N(AV342)+N(AW342)+N(AX342)</f>
        <v/>
      </c>
      <c r="AZ342" s="3">
        <f>IF(N(R342)&lt;=0,0,(N(AY342)-N(AX342))*90/N(R342))</f>
        <v/>
      </c>
      <c r="BA342" s="7">
        <f>IFERROR(AY342-VLOOKUP($E342,Assumptions!$A$40:$C$43,3,FALSE),"")</f>
        <v/>
      </c>
      <c r="BB342" s="3">
        <f>IFERROR(BA342/H342,"")</f>
        <v/>
      </c>
      <c r="BC342">
        <f>IF(AND($G342=TRUE,$E342="GKP"),AY342,"")</f>
        <v/>
      </c>
      <c r="BD342">
        <f>IF(AND($G342=TRUE,$E342="DEF"),AY342,"")</f>
        <v/>
      </c>
      <c r="BE342">
        <f>IF(AND($G342=TRUE,$E342="MID"),AY342,"")</f>
        <v/>
      </c>
      <c r="BF342">
        <f>IF(AND($G342=TRUE,$E342="FWD"),AY342,"")</f>
        <v/>
      </c>
      <c r="BG342" t="n">
        <v>2</v>
      </c>
      <c r="BH342" t="n">
        <v>2</v>
      </c>
      <c r="BI342" t="n">
        <v>1</v>
      </c>
      <c r="BJ342" t="n">
        <v>5</v>
      </c>
    </row>
    <row r="343">
      <c r="A343" s="9" t="inlineStr">
        <is>
          <t>James Trafford</t>
        </is>
      </c>
      <c r="B343" t="inlineStr">
        <is>
          <t>LEE</t>
        </is>
      </c>
      <c r="C343" s="9" t="inlineStr">
        <is>
          <t>MCI</t>
        </is>
      </c>
      <c r="D343" t="b">
        <v>1</v>
      </c>
      <c r="E343" t="inlineStr">
        <is>
          <t>GKP</t>
        </is>
      </c>
      <c r="F343" t="inlineStr">
        <is>
          <t>GKP</t>
        </is>
      </c>
      <c r="G343" t="b">
        <v>1</v>
      </c>
      <c r="H343" s="2" t="n">
        <v>5</v>
      </c>
      <c r="I343" t="inlineStr">
        <is>
          <t>a</t>
        </is>
      </c>
      <c r="K343" s="2" t="n">
        <v>360</v>
      </c>
      <c r="L343" t="n">
        <v>13</v>
      </c>
      <c r="M343" s="3" t="n">
        <v>3385</v>
      </c>
      <c r="N343" s="8" t="n">
        <v>3385</v>
      </c>
      <c r="O343" s="8" t="n">
        <v>0</v>
      </c>
      <c r="Q343" t="inlineStr">
        <is>
          <t>flat</t>
        </is>
      </c>
      <c r="R343" s="6" t="n">
        <v>3385</v>
      </c>
      <c r="S343" t="inlineStr">
        <is>
          <t>Solio</t>
        </is>
      </c>
      <c r="U343" s="6" t="n">
        <v>89.90000000000001</v>
      </c>
      <c r="V343" s="2" t="n">
        <v>4</v>
      </c>
      <c r="W343" s="7">
        <f>IF(N(U343)&lt;=0,0,MIN(Assumptions!$B$15,N(R343)/N(U343)))</f>
        <v/>
      </c>
      <c r="X343" s="6" t="n">
        <v>0.218</v>
      </c>
      <c r="Y343" s="10" t="n">
        <v>0</v>
      </c>
      <c r="Z343" t="inlineStr">
        <is>
          <t>blended xG</t>
        </is>
      </c>
      <c r="AA343" s="3" t="n">
        <v>1</v>
      </c>
      <c r="AB343" s="3" t="n">
        <v>1</v>
      </c>
      <c r="AC343" s="3" t="n">
        <v>0</v>
      </c>
      <c r="AD343" s="10" t="n">
        <v>0</v>
      </c>
      <c r="AE343" s="3" t="n">
        <v>0</v>
      </c>
      <c r="AF343" s="3" t="n">
        <v>0</v>
      </c>
      <c r="AG343" s="3" t="n">
        <v>0</v>
      </c>
      <c r="AH343" s="3" t="n">
        <v>8</v>
      </c>
      <c r="AI343" s="3" t="n">
        <v>3.0611</v>
      </c>
      <c r="AJ343" s="3" t="n">
        <v>1.5875</v>
      </c>
      <c r="AK343" s="3" t="n">
        <v>-0.0662227504528997</v>
      </c>
      <c r="AL343" s="6" t="n">
        <v>0</v>
      </c>
      <c r="AM343" s="3" t="n">
        <v>3.354460167611065</v>
      </c>
      <c r="AN343" s="10" t="n">
        <v>0</v>
      </c>
      <c r="AO343" s="10" t="n">
        <v>0</v>
      </c>
      <c r="AP343" s="3">
        <f>N(X343)*N(BI343)</f>
        <v/>
      </c>
      <c r="AQ343" s="3" t="n">
        <v>0</v>
      </c>
      <c r="AR343" s="3" t="n">
        <v>0.684972232751521</v>
      </c>
      <c r="AS343" s="3" t="n">
        <v>-0.5541985260210861</v>
      </c>
      <c r="AT343" s="3" t="n">
        <v>-0.0662227504528997</v>
      </c>
      <c r="AU343" s="3">
        <f>SUM(AN343:AT343)</f>
        <v/>
      </c>
      <c r="AV343" s="7">
        <f>IF(OR(N(W343)&lt;=0,N(BG343)=0),0,N(W343)*IF(N(R343)/N(W343)&gt;=60,N(BG343),1))</f>
        <v/>
      </c>
      <c r="AW343" s="7">
        <f>N(W343)*N(AF343)*N(BH343)</f>
        <v/>
      </c>
      <c r="AX343" s="7">
        <f>N(AL343)*(Assumptions!$B$13*N(BJ343)-(1-Assumptions!$B$13)*Assumptions!$B$14)+N(AM343)</f>
        <v/>
      </c>
      <c r="AY343" s="7">
        <f>N(AU343)*N(R343)/90+N(AV343)+N(AW343)+N(AX343)</f>
        <v/>
      </c>
      <c r="AZ343" s="3">
        <f>IF(N(R343)&lt;=0,0,(N(AY343)-N(AX343))*90/N(R343))</f>
        <v/>
      </c>
      <c r="BA343" s="7">
        <f>IFERROR(AY343-VLOOKUP($E343,Assumptions!$A$40:$C$43,3,FALSE),"")</f>
        <v/>
      </c>
      <c r="BB343" s="3">
        <f>IFERROR(BA343/H343,"")</f>
        <v/>
      </c>
      <c r="BC343">
        <f>IF(AND($G343=TRUE,$E343="GKP"),AY343,"")</f>
        <v/>
      </c>
      <c r="BD343">
        <f>IF(AND($G343=TRUE,$E343="DEF"),AY343,"")</f>
        <v/>
      </c>
      <c r="BE343">
        <f>IF(AND($G343=TRUE,$E343="MID"),AY343,"")</f>
        <v/>
      </c>
      <c r="BF343">
        <f>IF(AND($G343=TRUE,$E343="FWD"),AY343,"")</f>
        <v/>
      </c>
      <c r="BG343" t="n">
        <v>2</v>
      </c>
      <c r="BH343" t="n">
        <v>0</v>
      </c>
      <c r="BI343" t="n">
        <v>4</v>
      </c>
      <c r="BJ343" t="n">
        <v>10</v>
      </c>
    </row>
    <row r="344">
      <c r="A344" t="inlineStr">
        <is>
          <t>Jack Harrison</t>
        </is>
      </c>
      <c r="B344" t="inlineStr">
        <is>
          <t>LEE</t>
        </is>
      </c>
      <c r="C344" t="inlineStr">
        <is>
          <t>LEE</t>
        </is>
      </c>
      <c r="D344" t="b">
        <v>0</v>
      </c>
      <c r="E344" t="inlineStr">
        <is>
          <t>MID</t>
        </is>
      </c>
      <c r="F344" t="inlineStr">
        <is>
          <t>MID</t>
        </is>
      </c>
      <c r="G344" t="b">
        <v>1</v>
      </c>
      <c r="H344" s="2" t="n">
        <v>5</v>
      </c>
      <c r="I344" t="inlineStr">
        <is>
          <t>u</t>
        </is>
      </c>
      <c r="J344" t="inlineStr">
        <is>
          <t>Has joined New England Revolution permanently</t>
        </is>
      </c>
      <c r="K344" s="2" t="n">
        <v>262</v>
      </c>
      <c r="L344" t="n">
        <v>12</v>
      </c>
      <c r="M344" s="3" t="n"/>
      <c r="N344" s="4" t="n">
        <v>0</v>
      </c>
      <c r="O344" s="4" t="n">
        <v>-262</v>
      </c>
      <c r="P344" s="5" t="inlineStr">
        <is>
          <t>high</t>
        </is>
      </c>
      <c r="R344" s="6" t="n">
        <v>0</v>
      </c>
      <c r="S344" t="inlineStr">
        <is>
          <t>research</t>
        </is>
      </c>
      <c r="T344" s="5" t="inlineStr">
        <is>
          <t>Sold. Permanent transfer to New England Revolution - FPL flagged him status 'u' with the news string 'Has joined New England Revolution permanently' added 2026-07-28, and both Transfermarkt and the Wikipedia season page list him under departures. He cannot play a Premier League minute for Leeds in 2026/27. This is the Chelsea-style stale-departure case the brief asked me to look for.</t>
        </is>
      </c>
      <c r="U344" s="6" t="n">
        <v>78.7</v>
      </c>
      <c r="V344" s="2" t="n">
        <v>1</v>
      </c>
      <c r="W344" s="7">
        <f>IF(N(U344)&lt;=0,0,MIN(Assumptions!$B$15,N(R344)/N(U344)))</f>
        <v/>
      </c>
      <c r="X344" s="6" t="n">
        <v>0.218</v>
      </c>
      <c r="Y344" s="3" t="n">
        <v>0.0814</v>
      </c>
      <c r="Z344" t="inlineStr">
        <is>
          <t>adjusted xGOT</t>
        </is>
      </c>
      <c r="AA344" s="3" t="n">
        <v>1</v>
      </c>
      <c r="AB344" s="3" t="n">
        <v>0.845</v>
      </c>
      <c r="AC344" s="3" t="n">
        <v>12.9</v>
      </c>
      <c r="AD344" s="3" t="n">
        <v>0.09760000000000001</v>
      </c>
      <c r="AE344" s="3" t="n">
        <v>8.488</v>
      </c>
      <c r="AF344" s="3" t="n">
        <v>0.07477569901752035</v>
      </c>
      <c r="AG344" s="3" t="n">
        <v>0</v>
      </c>
      <c r="AH344" s="3" t="n">
        <v>12</v>
      </c>
      <c r="AI344" s="3" t="n">
        <v>3.0611</v>
      </c>
      <c r="AJ344" s="3" t="n">
        <v>1.5875</v>
      </c>
      <c r="AK344" s="3" t="n">
        <v>-0.1010606060393028</v>
      </c>
      <c r="AL344" s="6" t="n">
        <v>0</v>
      </c>
      <c r="AM344" s="3" t="n">
        <v>0</v>
      </c>
      <c r="AN344" s="3" t="n">
        <v>0.407</v>
      </c>
      <c r="AO344" s="3" t="n">
        <v>0.386496</v>
      </c>
      <c r="AP344" s="3">
        <f>N(X344)*N(BI344)</f>
        <v/>
      </c>
      <c r="AQ344" s="3" t="n">
        <v>0</v>
      </c>
      <c r="AR344" s="3" t="n">
        <v>0</v>
      </c>
      <c r="AS344" s="3" t="n">
        <v>-0</v>
      </c>
      <c r="AT344" s="3" t="n">
        <v>-0.1010606060393028</v>
      </c>
      <c r="AU344" s="3">
        <f>SUM(AN344:AT344)</f>
        <v/>
      </c>
      <c r="AV344" s="7">
        <f>IF(OR(N(W344)&lt;=0,N(BG344)=0),0,N(W344)*IF(N(R344)/N(W344)&gt;=60,N(BG344),1))</f>
        <v/>
      </c>
      <c r="AW344" s="7">
        <f>N(W344)*N(AF344)*N(BH344)</f>
        <v/>
      </c>
      <c r="AX344" s="7">
        <f>N(AL344)*(Assumptions!$B$13*N(BJ344)-(1-Assumptions!$B$13)*Assumptions!$B$14)+N(AM344)</f>
        <v/>
      </c>
      <c r="AY344" s="7">
        <f>N(AU344)*N(R344)/90+N(AV344)+N(AW344)+N(AX344)</f>
        <v/>
      </c>
      <c r="AZ344" s="3">
        <f>IF(N(R344)&lt;=0,0,(N(AY344)-N(AX344))*90/N(R344))</f>
        <v/>
      </c>
      <c r="BA344" s="7">
        <f>IFERROR(AY344-VLOOKUP($E344,Assumptions!$A$40:$C$43,3,FALSE),"")</f>
        <v/>
      </c>
      <c r="BB344" s="3">
        <f>IFERROR(BA344/H344,"")</f>
        <v/>
      </c>
      <c r="BC344">
        <f>IF(AND($G344=TRUE,$E344="GKP"),AY344,"")</f>
        <v/>
      </c>
      <c r="BD344">
        <f>IF(AND($G344=TRUE,$E344="DEF"),AY344,"")</f>
        <v/>
      </c>
      <c r="BE344">
        <f>IF(AND($G344=TRUE,$E344="MID"),AY344,"")</f>
        <v/>
      </c>
      <c r="BF344">
        <f>IF(AND($G344=TRUE,$E344="FWD"),AY344,"")</f>
        <v/>
      </c>
      <c r="BG344" t="n">
        <v>2</v>
      </c>
      <c r="BH344" t="n">
        <v>2</v>
      </c>
      <c r="BI344" t="n">
        <v>1</v>
      </c>
      <c r="BJ344" t="n">
        <v>5</v>
      </c>
    </row>
    <row r="345">
      <c r="A345" t="inlineStr">
        <is>
          <t>Wataru Endo</t>
        </is>
      </c>
      <c r="B345" t="inlineStr">
        <is>
          <t>LIV</t>
        </is>
      </c>
      <c r="C345" t="inlineStr">
        <is>
          <t>LIV</t>
        </is>
      </c>
      <c r="D345" t="b">
        <v>0</v>
      </c>
      <c r="E345" t="inlineStr">
        <is>
          <t>MID</t>
        </is>
      </c>
      <c r="F345" t="inlineStr">
        <is>
          <t>MID</t>
        </is>
      </c>
      <c r="G345" t="b">
        <v>1</v>
      </c>
      <c r="H345" s="2" t="n">
        <v>5</v>
      </c>
      <c r="I345" t="inlineStr">
        <is>
          <t>a</t>
        </is>
      </c>
      <c r="K345" s="2" t="n">
        <v>170</v>
      </c>
      <c r="L345" t="n">
        <v>12</v>
      </c>
      <c r="M345" s="3" t="n">
        <v>76</v>
      </c>
      <c r="N345" s="8" t="n">
        <v>76</v>
      </c>
      <c r="O345" s="8" t="n">
        <v>0</v>
      </c>
      <c r="Q345" t="inlineStr">
        <is>
          <t>flat</t>
        </is>
      </c>
      <c r="R345" s="6" t="n">
        <v>76</v>
      </c>
      <c r="S345" t="inlineStr">
        <is>
          <t>Solio</t>
        </is>
      </c>
      <c r="U345" s="6" t="n">
        <v>79</v>
      </c>
      <c r="V345" s="2" t="n">
        <v>1</v>
      </c>
      <c r="W345" s="7">
        <f>IF(N(U345)&lt;=0,0,MIN(Assumptions!$B$15,N(R345)/N(U345)))</f>
        <v/>
      </c>
      <c r="X345" s="6" t="n">
        <v>0.342</v>
      </c>
      <c r="Y345" s="3" t="n">
        <v>0.0222</v>
      </c>
      <c r="Z345" t="inlineStr">
        <is>
          <t>adjusted xGOT</t>
        </is>
      </c>
      <c r="AA345" s="3" t="n">
        <v>1</v>
      </c>
      <c r="AB345" s="3" t="n">
        <v>1.041</v>
      </c>
      <c r="AC345" s="3" t="n">
        <v>0.6</v>
      </c>
      <c r="AD345" s="3" t="n">
        <v>0.05</v>
      </c>
      <c r="AE345" s="3" t="n">
        <v>9.265000000000001</v>
      </c>
      <c r="AF345" s="3" t="n">
        <v>0.1217342913566316</v>
      </c>
      <c r="AG345" s="3" t="n">
        <v>0</v>
      </c>
      <c r="AH345" s="3" t="n">
        <v>9</v>
      </c>
      <c r="AI345" s="3" t="n">
        <v>2.409</v>
      </c>
      <c r="AJ345" s="3" t="n">
        <v>1.1228</v>
      </c>
      <c r="AK345" s="3" t="n">
        <v>-0.3173889111050779</v>
      </c>
      <c r="AL345" s="6" t="n">
        <v>0</v>
      </c>
      <c r="AM345" s="3" t="n">
        <v>0</v>
      </c>
      <c r="AN345" s="3" t="n">
        <v>0.111</v>
      </c>
      <c r="AO345" s="3" t="n">
        <v>0.198</v>
      </c>
      <c r="AP345" s="3">
        <f>N(X345)*N(BI345)</f>
        <v/>
      </c>
      <c r="AQ345" s="3" t="n">
        <v>0</v>
      </c>
      <c r="AR345" s="3" t="n">
        <v>0</v>
      </c>
      <c r="AS345" s="3" t="n">
        <v>-0</v>
      </c>
      <c r="AT345" s="3" t="n">
        <v>-0.3173889111050779</v>
      </c>
      <c r="AU345" s="3">
        <f>SUM(AN345:AT345)</f>
        <v/>
      </c>
      <c r="AV345" s="7">
        <f>IF(OR(N(W345)&lt;=0,N(BG345)=0),0,N(W345)*IF(N(R345)/N(W345)&gt;=60,N(BG345),1))</f>
        <v/>
      </c>
      <c r="AW345" s="7">
        <f>N(W345)*N(AF345)*N(BH345)</f>
        <v/>
      </c>
      <c r="AX345" s="7">
        <f>N(AL345)*(Assumptions!$B$13*N(BJ345)-(1-Assumptions!$B$13)*Assumptions!$B$14)+N(AM345)</f>
        <v/>
      </c>
      <c r="AY345" s="7">
        <f>N(AU345)*N(R345)/90+N(AV345)+N(AW345)+N(AX345)</f>
        <v/>
      </c>
      <c r="AZ345" s="3">
        <f>IF(N(R345)&lt;=0,0,(N(AY345)-N(AX345))*90/N(R345))</f>
        <v/>
      </c>
      <c r="BA345" s="7">
        <f>IFERROR(AY345-VLOOKUP($E345,Assumptions!$A$40:$C$43,3,FALSE),"")</f>
        <v/>
      </c>
      <c r="BB345" s="3">
        <f>IFERROR(BA345/H345,"")</f>
        <v/>
      </c>
      <c r="BC345">
        <f>IF(AND($G345=TRUE,$E345="GKP"),AY345,"")</f>
        <v/>
      </c>
      <c r="BD345">
        <f>IF(AND($G345=TRUE,$E345="DEF"),AY345,"")</f>
        <v/>
      </c>
      <c r="BE345">
        <f>IF(AND($G345=TRUE,$E345="MID"),AY345,"")</f>
        <v/>
      </c>
      <c r="BF345">
        <f>IF(AND($G345=TRUE,$E345="FWD"),AY345,"")</f>
        <v/>
      </c>
      <c r="BG345" t="n">
        <v>2</v>
      </c>
      <c r="BH345" t="n">
        <v>2</v>
      </c>
      <c r="BI345" t="n">
        <v>1</v>
      </c>
      <c r="BJ345" t="n">
        <v>5</v>
      </c>
    </row>
    <row r="346">
      <c r="A346" s="9" t="inlineStr">
        <is>
          <t>Frank Onyeka</t>
        </is>
      </c>
      <c r="B346" t="inlineStr">
        <is>
          <t>COV</t>
        </is>
      </c>
      <c r="C346" s="9" t="inlineStr">
        <is>
          <t>BRE</t>
        </is>
      </c>
      <c r="D346" t="b">
        <v>1</v>
      </c>
      <c r="E346" t="inlineStr">
        <is>
          <t>MID</t>
        </is>
      </c>
      <c r="F346" t="inlineStr">
        <is>
          <t>MID</t>
        </is>
      </c>
      <c r="G346" t="b">
        <v>1</v>
      </c>
      <c r="H346" s="2" t="n">
        <v>5</v>
      </c>
      <c r="I346" t="inlineStr">
        <is>
          <t>a</t>
        </is>
      </c>
      <c r="K346" s="2" t="n">
        <v>88</v>
      </c>
      <c r="L346" t="n">
        <v>12</v>
      </c>
      <c r="M346" s="3" t="n">
        <v>480</v>
      </c>
      <c r="N346" s="8" t="n">
        <v>480</v>
      </c>
      <c r="O346" s="8" t="n">
        <v>0</v>
      </c>
      <c r="Q346" t="inlineStr">
        <is>
          <t>flat</t>
        </is>
      </c>
      <c r="R346" s="6" t="n">
        <v>480</v>
      </c>
      <c r="S346" t="inlineStr">
        <is>
          <t>Solio</t>
        </is>
      </c>
      <c r="U346" s="6" t="n">
        <v>80.09999999999999</v>
      </c>
      <c r="V346" s="2" t="n">
        <v>0</v>
      </c>
      <c r="W346" s="7">
        <f>IF(N(U346)&lt;=0,0,MIN(Assumptions!$B$15,N(R346)/N(U346)))</f>
        <v/>
      </c>
      <c r="X346" s="6" t="n">
        <v>0.17</v>
      </c>
      <c r="Y346" s="10" t="n">
        <v>0</v>
      </c>
      <c r="Z346" t="inlineStr">
        <is>
          <t>adjusted xGOT</t>
        </is>
      </c>
      <c r="AA346" s="3" t="n">
        <v>1</v>
      </c>
      <c r="AB346" s="3" t="n">
        <v>0.908</v>
      </c>
      <c r="AC346" s="3" t="n">
        <v>3.1</v>
      </c>
      <c r="AD346" s="10" t="n">
        <v>0.3736</v>
      </c>
      <c r="AE346" s="3" t="n">
        <v>8.757</v>
      </c>
      <c r="AF346" s="3" t="n">
        <v>0.09761199902347195</v>
      </c>
      <c r="AG346" s="3" t="n">
        <v>0</v>
      </c>
      <c r="AH346" s="3" t="n">
        <v>6</v>
      </c>
      <c r="AI346" s="3" t="n">
        <v>3.6194</v>
      </c>
      <c r="AJ346" s="3" t="n">
        <v>1.8271</v>
      </c>
      <c r="AK346" s="3" t="n">
        <v>-0.3041227349574793</v>
      </c>
      <c r="AL346" s="6" t="n">
        <v>0</v>
      </c>
      <c r="AM346" s="3" t="n">
        <v>0</v>
      </c>
      <c r="AN346" s="10" t="n">
        <v>0</v>
      </c>
      <c r="AO346" s="10" t="n">
        <v>1.479456</v>
      </c>
      <c r="AP346" s="3">
        <f>N(X346)*N(BI346)</f>
        <v/>
      </c>
      <c r="AQ346" s="3" t="n">
        <v>0</v>
      </c>
      <c r="AR346" s="3" t="n">
        <v>0</v>
      </c>
      <c r="AS346" s="3" t="n">
        <v>-0</v>
      </c>
      <c r="AT346" s="3" t="n">
        <v>-0.3041227349574793</v>
      </c>
      <c r="AU346" s="3">
        <f>SUM(AN346:AT346)</f>
        <v/>
      </c>
      <c r="AV346" s="7">
        <f>IF(OR(N(W346)&lt;=0,N(BG346)=0),0,N(W346)*IF(N(R346)/N(W346)&gt;=60,N(BG346),1))</f>
        <v/>
      </c>
      <c r="AW346" s="7">
        <f>N(W346)*N(AF346)*N(BH346)</f>
        <v/>
      </c>
      <c r="AX346" s="7">
        <f>N(AL346)*(Assumptions!$B$13*N(BJ346)-(1-Assumptions!$B$13)*Assumptions!$B$14)+N(AM346)</f>
        <v/>
      </c>
      <c r="AY346" s="7">
        <f>N(AU346)*N(R346)/90+N(AV346)+N(AW346)+N(AX346)</f>
        <v/>
      </c>
      <c r="AZ346" s="3">
        <f>IF(N(R346)&lt;=0,0,(N(AY346)-N(AX346))*90/N(R346))</f>
        <v/>
      </c>
      <c r="BA346" s="7">
        <f>IFERROR(AY346-VLOOKUP($E346,Assumptions!$A$40:$C$43,3,FALSE),"")</f>
        <v/>
      </c>
      <c r="BB346" s="3">
        <f>IFERROR(BA346/H346,"")</f>
        <v/>
      </c>
      <c r="BC346">
        <f>IF(AND($G346=TRUE,$E346="GKP"),AY346,"")</f>
        <v/>
      </c>
      <c r="BD346">
        <f>IF(AND($G346=TRUE,$E346="DEF"),AY346,"")</f>
        <v/>
      </c>
      <c r="BE346">
        <f>IF(AND($G346=TRUE,$E346="MID"),AY346,"")</f>
        <v/>
      </c>
      <c r="BF346">
        <f>IF(AND($G346=TRUE,$E346="FWD"),AY346,"")</f>
        <v/>
      </c>
      <c r="BG346" t="n">
        <v>2</v>
      </c>
      <c r="BH346" t="n">
        <v>2</v>
      </c>
      <c r="BI346" t="n">
        <v>1</v>
      </c>
      <c r="BJ346" t="n">
        <v>5</v>
      </c>
    </row>
    <row r="347">
      <c r="A347" t="inlineStr">
        <is>
          <t>Altay Bayindir</t>
        </is>
      </c>
      <c r="B347" t="inlineStr">
        <is>
          <t>MUN</t>
        </is>
      </c>
      <c r="C347" t="inlineStr">
        <is>
          <t>MUN</t>
        </is>
      </c>
      <c r="D347" t="b">
        <v>0</v>
      </c>
      <c r="E347" t="inlineStr">
        <is>
          <t>GKP</t>
        </is>
      </c>
      <c r="F347" t="inlineStr">
        <is>
          <t>GKP</t>
        </is>
      </c>
      <c r="G347" t="b">
        <v>1</v>
      </c>
      <c r="H347" s="2" t="n">
        <v>4.5</v>
      </c>
      <c r="I347" t="inlineStr">
        <is>
          <t>u</t>
        </is>
      </c>
      <c r="J347" t="inlineStr">
        <is>
          <t>Has joined Celta Vigo on loan for the rest of the season</t>
        </is>
      </c>
      <c r="K347" s="2" t="n">
        <v>540</v>
      </c>
      <c r="L347" t="n">
        <v>11</v>
      </c>
      <c r="M347" s="3" t="n"/>
      <c r="N347" s="4" t="n">
        <v>0</v>
      </c>
      <c r="O347" s="4" t="n">
        <v>-540</v>
      </c>
      <c r="P347" s="5" t="inlineStr">
        <is>
          <t>high</t>
        </is>
      </c>
      <c r="R347" s="6" t="n">
        <v>0</v>
      </c>
      <c r="S347" t="inlineStr">
        <is>
          <t>research</t>
        </is>
      </c>
      <c r="T347" s="5" t="inlineStr">
        <is>
          <t>Joined Celta Vigo on loan for the whole season on 7 August. He cannot record a Premier League minute for United. This is also the single cleanest arithmetic error in Solio's allocation: Lammens 3,385 + Bayindir 540 + Darlow 35 = 3,960 against a hard goalkeeping cap of 3,420. Removing Bayindir lands the goalkeeping pool on exactly 3,420.</t>
        </is>
      </c>
      <c r="U347" s="6" t="n">
        <v>89.90000000000001</v>
      </c>
      <c r="V347" s="2" t="n">
        <v>6</v>
      </c>
      <c r="W347" s="7">
        <f>IF(N(U347)&lt;=0,0,MIN(Assumptions!$B$15,N(R347)/N(U347)))</f>
        <v/>
      </c>
      <c r="X347" s="6" t="n">
        <v>0.334</v>
      </c>
      <c r="Y347" s="3" t="n">
        <v>0</v>
      </c>
      <c r="Z347" t="inlineStr">
        <is>
          <t>blended xG</t>
        </is>
      </c>
      <c r="AA347" s="3" t="n">
        <v>1</v>
      </c>
      <c r="AB347" s="3" t="n">
        <v>1</v>
      </c>
      <c r="AC347" s="3" t="n">
        <v>0</v>
      </c>
      <c r="AD347" s="3" t="n">
        <v>0.0287</v>
      </c>
      <c r="AE347" s="3" t="n">
        <v>0</v>
      </c>
      <c r="AF347" s="3" t="n">
        <v>0</v>
      </c>
      <c r="AG347" s="3" t="n">
        <v>0</v>
      </c>
      <c r="AH347" s="3" t="n">
        <v>12</v>
      </c>
      <c r="AI347" s="3" t="n">
        <v>2.2165</v>
      </c>
      <c r="AJ347" s="3" t="n">
        <v>1.1467</v>
      </c>
      <c r="AK347" s="3" t="n">
        <v>-0.0510662577818652</v>
      </c>
      <c r="AL347" s="6" t="n">
        <v>0</v>
      </c>
      <c r="AM347" s="3" t="n">
        <v>0.3865365731175343</v>
      </c>
      <c r="AN347" s="3" t="n">
        <v>0</v>
      </c>
      <c r="AO347" s="3" t="n">
        <v>0.113652</v>
      </c>
      <c r="AP347" s="3">
        <f>N(X347)*N(BI347)</f>
        <v/>
      </c>
      <c r="AQ347" s="3" t="n">
        <v>0</v>
      </c>
      <c r="AR347" s="3" t="n">
        <v>0.407909225741714</v>
      </c>
      <c r="AS347" s="3" t="n">
        <v>-0.348580685135232</v>
      </c>
      <c r="AT347" s="3" t="n">
        <v>-0.0510662577818652</v>
      </c>
      <c r="AU347" s="3">
        <f>SUM(AN347:AT347)</f>
        <v/>
      </c>
      <c r="AV347" s="7">
        <f>IF(OR(N(W347)&lt;=0,N(BG347)=0),0,N(W347)*IF(N(R347)/N(W347)&gt;=60,N(BG347),1))</f>
        <v/>
      </c>
      <c r="AW347" s="7">
        <f>N(W347)*N(AF347)*N(BH347)</f>
        <v/>
      </c>
      <c r="AX347" s="7">
        <f>N(AL347)*(Assumptions!$B$13*N(BJ347)-(1-Assumptions!$B$13)*Assumptions!$B$14)+N(AM347)</f>
        <v/>
      </c>
      <c r="AY347" s="7">
        <f>N(AU347)*N(R347)/90+N(AV347)+N(AW347)+N(AX347)</f>
        <v/>
      </c>
      <c r="AZ347" s="3">
        <f>IF(N(R347)&lt;=0,0,(N(AY347)-N(AX347))*90/N(R347))</f>
        <v/>
      </c>
      <c r="BA347" s="7">
        <f>IFERROR(AY347-VLOOKUP($E347,Assumptions!$A$40:$C$43,3,FALSE),"")</f>
        <v/>
      </c>
      <c r="BB347" s="3">
        <f>IFERROR(BA347/H347,"")</f>
        <v/>
      </c>
      <c r="BC347">
        <f>IF(AND($G347=TRUE,$E347="GKP"),AY347,"")</f>
        <v/>
      </c>
      <c r="BD347">
        <f>IF(AND($G347=TRUE,$E347="DEF"),AY347,"")</f>
        <v/>
      </c>
      <c r="BE347">
        <f>IF(AND($G347=TRUE,$E347="MID"),AY347,"")</f>
        <v/>
      </c>
      <c r="BF347">
        <f>IF(AND($G347=TRUE,$E347="FWD"),AY347,"")</f>
        <v/>
      </c>
      <c r="BG347" t="n">
        <v>2</v>
      </c>
      <c r="BH347" t="n">
        <v>0</v>
      </c>
      <c r="BI347" t="n">
        <v>4</v>
      </c>
      <c r="BJ347" t="n">
        <v>10</v>
      </c>
    </row>
    <row r="348">
      <c r="A348" t="inlineStr">
        <is>
          <t>Ben Gannon-Doak</t>
        </is>
      </c>
      <c r="B348" t="inlineStr">
        <is>
          <t>BOU</t>
        </is>
      </c>
      <c r="C348" t="inlineStr">
        <is>
          <t>BOU</t>
        </is>
      </c>
      <c r="D348" t="b">
        <v>0</v>
      </c>
      <c r="E348" t="inlineStr">
        <is>
          <t>MID</t>
        </is>
      </c>
      <c r="F348" t="inlineStr">
        <is>
          <t>MID</t>
        </is>
      </c>
      <c r="G348" t="b">
        <v>1</v>
      </c>
      <c r="H348" s="2" t="n">
        <v>5</v>
      </c>
      <c r="I348" t="inlineStr">
        <is>
          <t>a</t>
        </is>
      </c>
      <c r="K348" s="2" t="n">
        <v>105</v>
      </c>
      <c r="L348" t="n">
        <v>11</v>
      </c>
      <c r="M348" s="3" t="n">
        <v>160</v>
      </c>
      <c r="N348" s="4" t="n">
        <v>450</v>
      </c>
      <c r="O348" s="4" t="n">
        <v>290</v>
      </c>
      <c r="P348" s="5" t="inlineStr">
        <is>
          <t>low</t>
        </is>
      </c>
      <c r="Q348" t="inlineStr">
        <is>
          <t>flat</t>
        </is>
      </c>
      <c r="R348" s="6" t="n">
        <v>450</v>
      </c>
      <c r="S348" t="inlineStr">
        <is>
          <t>research</t>
        </is>
      </c>
      <c r="T348" s="5" t="inlineStr">
        <is>
          <t>Solio's 160 minutes carries forward a 105-minute debut season. He was named on the bench for the final friendly vs Mainz, is the third senior wide option behind Rayan and Tavernier, and Adli - the other competitor - is now injured with no return date. A Europa League campaign gives a fringe winger more routes into the side than last season did. Small, low-stakes correction.</t>
        </is>
      </c>
      <c r="U348" s="6" t="n">
        <v>80.09999999999999</v>
      </c>
      <c r="V348" s="2" t="n">
        <v>0</v>
      </c>
      <c r="W348" s="7">
        <f>IF(N(U348)&lt;=0,0,MIN(Assumptions!$B$15,N(R348)/N(U348)))</f>
        <v/>
      </c>
      <c r="X348" s="6" t="n">
        <v>0.23</v>
      </c>
      <c r="Y348" s="3" t="n">
        <v>0.2186</v>
      </c>
      <c r="Z348" t="inlineStr">
        <is>
          <t>adjusted xGOT</t>
        </is>
      </c>
      <c r="AA348" s="3" t="n">
        <v>1</v>
      </c>
      <c r="AB348" s="3" t="n">
        <v>0.981</v>
      </c>
      <c r="AC348" s="3" t="n">
        <v>0.3</v>
      </c>
      <c r="AD348" s="3" t="n">
        <v>0.2516</v>
      </c>
      <c r="AE348" s="3" t="n">
        <v>8.904</v>
      </c>
      <c r="AF348" s="3" t="n">
        <v>0.1065551578272375</v>
      </c>
      <c r="AG348" s="3" t="n">
        <v>0</v>
      </c>
      <c r="AH348" s="3" t="n">
        <v>8</v>
      </c>
      <c r="AI348" s="3" t="n">
        <v>3.0957</v>
      </c>
      <c r="AJ348" s="3" t="n">
        <v>1.53</v>
      </c>
      <c r="AK348" s="3" t="n">
        <v>-0.2018679305852921</v>
      </c>
      <c r="AL348" s="6" t="n">
        <v>0</v>
      </c>
      <c r="AM348" s="3" t="n">
        <v>0</v>
      </c>
      <c r="AN348" s="3" t="n">
        <v>1.093</v>
      </c>
      <c r="AO348" s="3" t="n">
        <v>0.9963359999999999</v>
      </c>
      <c r="AP348" s="3">
        <f>N(X348)*N(BI348)</f>
        <v/>
      </c>
      <c r="AQ348" s="3" t="n">
        <v>0</v>
      </c>
      <c r="AR348" s="3" t="n">
        <v>0</v>
      </c>
      <c r="AS348" s="3" t="n">
        <v>-0</v>
      </c>
      <c r="AT348" s="3" t="n">
        <v>-0.2018679305852921</v>
      </c>
      <c r="AU348" s="3">
        <f>SUM(AN348:AT348)</f>
        <v/>
      </c>
      <c r="AV348" s="7">
        <f>IF(OR(N(W348)&lt;=0,N(BG348)=0),0,N(W348)*IF(N(R348)/N(W348)&gt;=60,N(BG348),1))</f>
        <v/>
      </c>
      <c r="AW348" s="7">
        <f>N(W348)*N(AF348)*N(BH348)</f>
        <v/>
      </c>
      <c r="AX348" s="7">
        <f>N(AL348)*(Assumptions!$B$13*N(BJ348)-(1-Assumptions!$B$13)*Assumptions!$B$14)+N(AM348)</f>
        <v/>
      </c>
      <c r="AY348" s="7">
        <f>N(AU348)*N(R348)/90+N(AV348)+N(AW348)+N(AX348)</f>
        <v/>
      </c>
      <c r="AZ348" s="3">
        <f>IF(N(R348)&lt;=0,0,(N(AY348)-N(AX348))*90/N(R348))</f>
        <v/>
      </c>
      <c r="BA348" s="7">
        <f>IFERROR(AY348-VLOOKUP($E348,Assumptions!$A$40:$C$43,3,FALSE),"")</f>
        <v/>
      </c>
      <c r="BB348" s="3">
        <f>IFERROR(BA348/H348,"")</f>
        <v/>
      </c>
      <c r="BC348">
        <f>IF(AND($G348=TRUE,$E348="GKP"),AY348,"")</f>
        <v/>
      </c>
      <c r="BD348">
        <f>IF(AND($G348=TRUE,$E348="DEF"),AY348,"")</f>
        <v/>
      </c>
      <c r="BE348">
        <f>IF(AND($G348=TRUE,$E348="MID"),AY348,"")</f>
        <v/>
      </c>
      <c r="BF348">
        <f>IF(AND($G348=TRUE,$E348="FWD"),AY348,"")</f>
        <v/>
      </c>
      <c r="BG348" t="n">
        <v>2</v>
      </c>
      <c r="BH348" t="n">
        <v>2</v>
      </c>
      <c r="BI348" t="n">
        <v>1</v>
      </c>
      <c r="BJ348" t="n">
        <v>5</v>
      </c>
    </row>
    <row r="349">
      <c r="A349" t="inlineStr">
        <is>
          <t>John Victor</t>
        </is>
      </c>
      <c r="B349" t="inlineStr">
        <is>
          <t>NFO</t>
        </is>
      </c>
      <c r="C349" t="inlineStr">
        <is>
          <t>NFO</t>
        </is>
      </c>
      <c r="D349" t="b">
        <v>0</v>
      </c>
      <c r="E349" t="inlineStr">
        <is>
          <t>GKP</t>
        </is>
      </c>
      <c r="F349" t="inlineStr">
        <is>
          <t>GKP</t>
        </is>
      </c>
      <c r="G349" t="b">
        <v>1</v>
      </c>
      <c r="H349" s="2" t="n">
        <v>4.5</v>
      </c>
      <c r="I349" t="inlineStr">
        <is>
          <t>a</t>
        </is>
      </c>
      <c r="K349" s="2" t="n">
        <v>437</v>
      </c>
      <c r="L349" t="n">
        <v>11</v>
      </c>
      <c r="M349" s="3" t="n">
        <v>35</v>
      </c>
      <c r="N349" s="4" t="n">
        <v>170</v>
      </c>
      <c r="O349" s="4" t="n">
        <v>135</v>
      </c>
      <c r="P349" s="5" t="inlineStr">
        <is>
          <t>low</t>
        </is>
      </c>
      <c r="Q349" t="inlineStr">
        <is>
          <t>flat</t>
        </is>
      </c>
      <c r="R349" s="6" t="n">
        <v>170</v>
      </c>
      <c r="S349" t="inlineStr">
        <is>
          <t>research</t>
        </is>
      </c>
      <c r="T349" s="5" t="inlineStr">
        <is>
          <t>Played 437 league minutes in 2025-26 as Sels's deputy, so the pairing has demonstrably split league minutes within the last year. Thirty-five minutes assumes Sels plays effectively every second of the season.</t>
        </is>
      </c>
      <c r="U349" s="6" t="n">
        <v>89</v>
      </c>
      <c r="V349" s="2" t="n">
        <v>5</v>
      </c>
      <c r="W349" s="7">
        <f>IF(N(U349)&lt;=0,0,MIN(Assumptions!$B$15,N(R349)/N(U349)))</f>
        <v/>
      </c>
      <c r="X349" s="6" t="n">
        <v>0.224</v>
      </c>
      <c r="Y349" s="3" t="n">
        <v>0</v>
      </c>
      <c r="Z349" t="inlineStr">
        <is>
          <t>blended xG</t>
        </is>
      </c>
      <c r="AA349" s="3" t="n">
        <v>1</v>
      </c>
      <c r="AB349" s="3" t="n">
        <v>1</v>
      </c>
      <c r="AC349" s="3" t="n">
        <v>0</v>
      </c>
      <c r="AD349" s="3" t="n">
        <v>0</v>
      </c>
      <c r="AE349" s="3" t="n">
        <v>0</v>
      </c>
      <c r="AF349" s="3" t="n">
        <v>0</v>
      </c>
      <c r="AG349" s="3" t="n">
        <v>0</v>
      </c>
      <c r="AH349" s="3" t="n">
        <v>10</v>
      </c>
      <c r="AI349" s="3" t="n">
        <v>3.1134</v>
      </c>
      <c r="AJ349" s="3" t="n">
        <v>1.5588</v>
      </c>
      <c r="AK349" s="3" t="n">
        <v>-0.1071907414497747</v>
      </c>
      <c r="AL349" s="6" t="n">
        <v>0</v>
      </c>
      <c r="AM349" s="3" t="n">
        <v>0.0340558096615661</v>
      </c>
      <c r="AN349" s="3" t="n">
        <v>0</v>
      </c>
      <c r="AO349" s="3" t="n">
        <v>0</v>
      </c>
      <c r="AP349" s="3">
        <f>N(X349)*N(BI349)</f>
        <v/>
      </c>
      <c r="AQ349" s="3" t="n">
        <v>0</v>
      </c>
      <c r="AR349" s="3" t="n">
        <v>0.7024243676191486</v>
      </c>
      <c r="AS349" s="3" t="n">
        <v>-0.5404658182244797</v>
      </c>
      <c r="AT349" s="3" t="n">
        <v>-0.1071907414497747</v>
      </c>
      <c r="AU349" s="3">
        <f>SUM(AN349:AT349)</f>
        <v/>
      </c>
      <c r="AV349" s="7">
        <f>IF(OR(N(W349)&lt;=0,N(BG349)=0),0,N(W349)*IF(N(R349)/N(W349)&gt;=60,N(BG349),1))</f>
        <v/>
      </c>
      <c r="AW349" s="7">
        <f>N(W349)*N(AF349)*N(BH349)</f>
        <v/>
      </c>
      <c r="AX349" s="7">
        <f>N(AL349)*(Assumptions!$B$13*N(BJ349)-(1-Assumptions!$B$13)*Assumptions!$B$14)+N(AM349)</f>
        <v/>
      </c>
      <c r="AY349" s="7">
        <f>N(AU349)*N(R349)/90+N(AV349)+N(AW349)+N(AX349)</f>
        <v/>
      </c>
      <c r="AZ349" s="3">
        <f>IF(N(R349)&lt;=0,0,(N(AY349)-N(AX349))*90/N(R349))</f>
        <v/>
      </c>
      <c r="BA349" s="7">
        <f>IFERROR(AY349-VLOOKUP($E349,Assumptions!$A$40:$C$43,3,FALSE),"")</f>
        <v/>
      </c>
      <c r="BB349" s="3">
        <f>IFERROR(BA349/H349,"")</f>
        <v/>
      </c>
      <c r="BC349">
        <f>IF(AND($G349=TRUE,$E349="GKP"),AY349,"")</f>
        <v/>
      </c>
      <c r="BD349">
        <f>IF(AND($G349=TRUE,$E349="DEF"),AY349,"")</f>
        <v/>
      </c>
      <c r="BE349">
        <f>IF(AND($G349=TRUE,$E349="MID"),AY349,"")</f>
        <v/>
      </c>
      <c r="BF349">
        <f>IF(AND($G349=TRUE,$E349="FWD"),AY349,"")</f>
        <v/>
      </c>
      <c r="BG349" t="n">
        <v>2</v>
      </c>
      <c r="BH349" t="n">
        <v>0</v>
      </c>
      <c r="BI349" t="n">
        <v>4</v>
      </c>
      <c r="BJ349" t="n">
        <v>10</v>
      </c>
    </row>
    <row r="350">
      <c r="A350" t="inlineStr">
        <is>
          <t>Luca Netz</t>
        </is>
      </c>
      <c r="B350" t="inlineStr">
        <is>
          <t>NFO</t>
        </is>
      </c>
      <c r="C350" t="inlineStr">
        <is>
          <t>NFO</t>
        </is>
      </c>
      <c r="D350" t="b">
        <v>0</v>
      </c>
      <c r="E350" t="inlineStr">
        <is>
          <t>DEF</t>
        </is>
      </c>
      <c r="F350" t="inlineStr">
        <is>
          <t>DEF</t>
        </is>
      </c>
      <c r="G350" t="b">
        <v>1</v>
      </c>
      <c r="H350" s="2" t="n">
        <v>4.5</v>
      </c>
      <c r="I350" t="inlineStr">
        <is>
          <t>a</t>
        </is>
      </c>
      <c r="K350" s="2" t="n">
        <v>353</v>
      </c>
      <c r="L350" t="n">
        <v>11</v>
      </c>
      <c r="M350" s="3" t="n">
        <v>115</v>
      </c>
      <c r="N350" s="4" t="n">
        <v>470</v>
      </c>
      <c r="O350" s="4" t="n">
        <v>355</v>
      </c>
      <c r="P350" s="5" t="inlineStr">
        <is>
          <t>medium</t>
        </is>
      </c>
      <c r="Q350" t="inlineStr">
        <is>
          <t>flat</t>
        </is>
      </c>
      <c r="R350" s="6" t="n">
        <v>470</v>
      </c>
      <c r="S350" t="inlineStr">
        <is>
          <t>research</t>
        </is>
      </c>
      <c r="T350" s="5" t="inlineStr">
        <is>
          <t>Glasner's 3-4-2-1 requires a left wing-back for all 3,420 minutes, and Forest are filling it with a natural right-back in Ola Aina. Netz is the only natural left-sided defender in the squad, the third-choice wing-back Savona is injured with no return date, and Forest have had three bids rejected for a wing-back this window. 115 minutes is not a coherent number for that role.</t>
        </is>
      </c>
      <c r="U350" s="6" t="n">
        <v>85.40000000000001</v>
      </c>
      <c r="V350" s="2" t="n">
        <v>3</v>
      </c>
      <c r="W350" s="7">
        <f>IF(N(U350)&lt;=0,0,MIN(Assumptions!$B$15,N(R350)/N(U350)))</f>
        <v/>
      </c>
      <c r="X350" s="6" t="n">
        <v>0.224</v>
      </c>
      <c r="Y350" s="3" t="n">
        <v>0</v>
      </c>
      <c r="Z350" t="inlineStr">
        <is>
          <t>blended xG</t>
        </is>
      </c>
      <c r="AA350" s="3" t="n">
        <v>1</v>
      </c>
      <c r="AB350" s="3" t="n">
        <v>1</v>
      </c>
      <c r="AC350" s="3" t="n">
        <v>0</v>
      </c>
      <c r="AD350" s="3" t="n">
        <v>0.0648</v>
      </c>
      <c r="AE350" s="3" t="n">
        <v>7.421</v>
      </c>
      <c r="AF350" s="3" t="n">
        <v>0.1737581576316021</v>
      </c>
      <c r="AG350" s="3" t="n">
        <v>0</v>
      </c>
      <c r="AH350" s="3" t="n">
        <v>10</v>
      </c>
      <c r="AI350" s="3" t="n">
        <v>3.1134</v>
      </c>
      <c r="AJ350" s="3" t="n">
        <v>1.5588</v>
      </c>
      <c r="AK350" s="3" t="n">
        <v>-0.1684304902624404</v>
      </c>
      <c r="AL350" s="6" t="n">
        <v>0</v>
      </c>
      <c r="AM350" s="3" t="n">
        <v>0</v>
      </c>
      <c r="AN350" s="3" t="n">
        <v>0</v>
      </c>
      <c r="AO350" s="3" t="n">
        <v>0.256608</v>
      </c>
      <c r="AP350" s="3">
        <f>N(X350)*N(BI350)</f>
        <v/>
      </c>
      <c r="AQ350" s="3" t="n">
        <v>0</v>
      </c>
      <c r="AR350" s="3" t="n">
        <v>0</v>
      </c>
      <c r="AS350" s="3" t="n">
        <v>-0.5404658182244797</v>
      </c>
      <c r="AT350" s="3" t="n">
        <v>-0.1684304902624404</v>
      </c>
      <c r="AU350" s="3">
        <f>SUM(AN350:AT350)</f>
        <v/>
      </c>
      <c r="AV350" s="7">
        <f>IF(OR(N(W350)&lt;=0,N(BG350)=0),0,N(W350)*IF(N(R350)/N(W350)&gt;=60,N(BG350),1))</f>
        <v/>
      </c>
      <c r="AW350" s="7">
        <f>N(W350)*N(AF350)*N(BH350)</f>
        <v/>
      </c>
      <c r="AX350" s="7">
        <f>N(AL350)*(Assumptions!$B$13*N(BJ350)-(1-Assumptions!$B$13)*Assumptions!$B$14)+N(AM350)</f>
        <v/>
      </c>
      <c r="AY350" s="7">
        <f>N(AU350)*N(R350)/90+N(AV350)+N(AW350)+N(AX350)</f>
        <v/>
      </c>
      <c r="AZ350" s="3">
        <f>IF(N(R350)&lt;=0,0,(N(AY350)-N(AX350))*90/N(R350))</f>
        <v/>
      </c>
      <c r="BA350" s="7">
        <f>IFERROR(AY350-VLOOKUP($E350,Assumptions!$A$40:$C$43,3,FALSE),"")</f>
        <v/>
      </c>
      <c r="BB350" s="3">
        <f>IFERROR(BA350/H350,"")</f>
        <v/>
      </c>
      <c r="BC350">
        <f>IF(AND($G350=TRUE,$E350="GKP"),AY350,"")</f>
        <v/>
      </c>
      <c r="BD350">
        <f>IF(AND($G350=TRUE,$E350="DEF"),AY350,"")</f>
        <v/>
      </c>
      <c r="BE350">
        <f>IF(AND($G350=TRUE,$E350="MID"),AY350,"")</f>
        <v/>
      </c>
      <c r="BF350">
        <f>IF(AND($G350=TRUE,$E350="FWD"),AY350,"")</f>
        <v/>
      </c>
      <c r="BG350" t="n">
        <v>2</v>
      </c>
      <c r="BH350" t="n">
        <v>2</v>
      </c>
      <c r="BI350" t="n">
        <v>4</v>
      </c>
      <c r="BJ350" t="n">
        <v>6</v>
      </c>
    </row>
    <row r="351">
      <c r="A351" t="inlineStr">
        <is>
          <t>Ben Davies</t>
        </is>
      </c>
      <c r="B351" t="inlineStr">
        <is>
          <t>TOT</t>
        </is>
      </c>
      <c r="C351" t="inlineStr">
        <is>
          <t>TOT</t>
        </is>
      </c>
      <c r="D351" t="b">
        <v>0</v>
      </c>
      <c r="E351" t="inlineStr">
        <is>
          <t>DEF</t>
        </is>
      </c>
      <c r="F351" t="inlineStr">
        <is>
          <t>DEF</t>
        </is>
      </c>
      <c r="G351" t="b">
        <v>1</v>
      </c>
      <c r="H351" s="2" t="n">
        <v>4</v>
      </c>
      <c r="I351" t="inlineStr">
        <is>
          <t>a</t>
        </is>
      </c>
      <c r="K351" s="2" t="n">
        <v>136</v>
      </c>
      <c r="L351" t="n">
        <v>10</v>
      </c>
      <c r="M351" s="3" t="n">
        <v>108</v>
      </c>
      <c r="N351" s="4" t="n">
        <v>250</v>
      </c>
      <c r="O351" s="4" t="n">
        <v>142</v>
      </c>
      <c r="P351" s="5" t="inlineStr">
        <is>
          <t>low</t>
        </is>
      </c>
      <c r="Q351" t="inlineStr">
        <is>
          <t>flat</t>
        </is>
      </c>
      <c r="R351" s="6" t="n">
        <v>250</v>
      </c>
      <c r="S351" t="inlineStr">
        <is>
          <t>research</t>
        </is>
      </c>
      <c r="T351" s="5" t="inlineStr">
        <is>
          <t>Davies started at centre-back against Getafe on 8 August. With Romero, Vuskovic and Phillips sold, Dragusin loaned out and Spence gone, he is now one of very few senior bodies who can cover both centre-back and left-back. Small raise only - he is a 33-year-old emergency option, not a starter.</t>
        </is>
      </c>
      <c r="U351" s="6" t="n">
        <v>80</v>
      </c>
      <c r="V351" s="2" t="n">
        <v>2</v>
      </c>
      <c r="W351" s="7">
        <f>IF(N(U351)&lt;=0,0,MIN(Assumptions!$B$15,N(R351)/N(U351)))</f>
        <v/>
      </c>
      <c r="X351" s="6" t="n">
        <v>0.286</v>
      </c>
      <c r="Y351" s="3" t="n">
        <v>0.3051</v>
      </c>
      <c r="Z351" t="inlineStr">
        <is>
          <t>adjusted xGOT</t>
        </is>
      </c>
      <c r="AA351" s="3" t="n">
        <v>1</v>
      </c>
      <c r="AB351" s="3" t="n">
        <v>0.9409999999999999</v>
      </c>
      <c r="AC351" s="3" t="n">
        <v>4.1</v>
      </c>
      <c r="AD351" s="3" t="n">
        <v>0.0313</v>
      </c>
      <c r="AE351" s="3" t="n">
        <v>7.936</v>
      </c>
      <c r="AF351" s="3" t="n">
        <v>0.1750447620786324</v>
      </c>
      <c r="AG351" s="3" t="n">
        <v>0.6618000000000001</v>
      </c>
      <c r="AH351" s="3" t="n">
        <v>4</v>
      </c>
      <c r="AI351" s="3" t="n">
        <v>2.5739</v>
      </c>
      <c r="AJ351" s="3" t="n">
        <v>1.3096</v>
      </c>
      <c r="AK351" s="3" t="n">
        <v>-0.2691102743615358</v>
      </c>
      <c r="AL351" s="6" t="n">
        <v>0</v>
      </c>
      <c r="AM351" s="3" t="n">
        <v>0</v>
      </c>
      <c r="AN351" s="3" t="n">
        <v>1.8306</v>
      </c>
      <c r="AO351" s="3" t="n">
        <v>0.123948</v>
      </c>
      <c r="AP351" s="3">
        <f>N(X351)*N(BI351)</f>
        <v/>
      </c>
      <c r="AQ351" s="3" t="n">
        <v>0.6618000000000001</v>
      </c>
      <c r="AR351" s="3" t="n">
        <v>0</v>
      </c>
      <c r="AS351" s="3" t="n">
        <v>-0.4230152821052008</v>
      </c>
      <c r="AT351" s="3" t="n">
        <v>-0.2691102743615358</v>
      </c>
      <c r="AU351" s="3">
        <f>SUM(AN351:AT351)</f>
        <v/>
      </c>
      <c r="AV351" s="7">
        <f>IF(OR(N(W351)&lt;=0,N(BG351)=0),0,N(W351)*IF(N(R351)/N(W351)&gt;=60,N(BG351),1))</f>
        <v/>
      </c>
      <c r="AW351" s="7">
        <f>N(W351)*N(AF351)*N(BH351)</f>
        <v/>
      </c>
      <c r="AX351" s="7">
        <f>N(AL351)*(Assumptions!$B$13*N(BJ351)-(1-Assumptions!$B$13)*Assumptions!$B$14)+N(AM351)</f>
        <v/>
      </c>
      <c r="AY351" s="7">
        <f>N(AU351)*N(R351)/90+N(AV351)+N(AW351)+N(AX351)</f>
        <v/>
      </c>
      <c r="AZ351" s="3">
        <f>IF(N(R351)&lt;=0,0,(N(AY351)-N(AX351))*90/N(R351))</f>
        <v/>
      </c>
      <c r="BA351" s="7">
        <f>IFERROR(AY351-VLOOKUP($E351,Assumptions!$A$40:$C$43,3,FALSE),"")</f>
        <v/>
      </c>
      <c r="BB351" s="3">
        <f>IFERROR(BA351/H351,"")</f>
        <v/>
      </c>
      <c r="BC351">
        <f>IF(AND($G351=TRUE,$E351="GKP"),AY351,"")</f>
        <v/>
      </c>
      <c r="BD351">
        <f>IF(AND($G351=TRUE,$E351="DEF"),AY351,"")</f>
        <v/>
      </c>
      <c r="BE351">
        <f>IF(AND($G351=TRUE,$E351="MID"),AY351,"")</f>
        <v/>
      </c>
      <c r="BF351">
        <f>IF(AND($G351=TRUE,$E351="FWD"),AY351,"")</f>
        <v/>
      </c>
      <c r="BG351" t="n">
        <v>2</v>
      </c>
      <c r="BH351" t="n">
        <v>2</v>
      </c>
      <c r="BI351" t="n">
        <v>4</v>
      </c>
      <c r="BJ351" t="n">
        <v>6</v>
      </c>
    </row>
    <row r="352">
      <c r="A352" t="inlineStr">
        <is>
          <t>Diego Coppola</t>
        </is>
      </c>
      <c r="B352" t="inlineStr">
        <is>
          <t>BHA</t>
        </is>
      </c>
      <c r="C352" t="inlineStr">
        <is>
          <t>BHA</t>
        </is>
      </c>
      <c r="D352" t="b">
        <v>0</v>
      </c>
      <c r="E352" t="inlineStr">
        <is>
          <t>DEF</t>
        </is>
      </c>
      <c r="F352" t="inlineStr">
        <is>
          <t>DEF</t>
        </is>
      </c>
      <c r="G352" t="b">
        <v>1</v>
      </c>
      <c r="H352" s="2" t="n">
        <v>4.5</v>
      </c>
      <c r="I352" t="inlineStr">
        <is>
          <t>a</t>
        </is>
      </c>
      <c r="K352" s="2" t="n">
        <v>193</v>
      </c>
      <c r="L352" t="n">
        <v>10</v>
      </c>
      <c r="M352" s="3" t="n">
        <v>3</v>
      </c>
      <c r="N352" s="4" t="n">
        <v>0</v>
      </c>
      <c r="O352" s="4" t="n">
        <v>-3</v>
      </c>
      <c r="P352" s="5" t="inlineStr">
        <is>
          <t>high</t>
        </is>
      </c>
      <c r="Q352" t="inlineStr">
        <is>
          <t>flat</t>
        </is>
      </c>
      <c r="R352" s="6" t="n">
        <v>0</v>
      </c>
      <c r="S352" t="inlineStr">
        <is>
          <t>research</t>
        </is>
      </c>
      <c r="T352" s="5" t="inlineStr">
        <is>
          <t>Sold permanently to Paris FC on 16 Jul 2026 for GBP 16.5m (reported EUR 18m plus EUR 2m add-ons) after a loan spell there from January. He can play no Premier League minutes. Note: the FPL bootstrap STILL lists him as an available Brighton player as of 2026-08-16, which is an FPL data lag worth flagging to anyone else consuming that feed.</t>
        </is>
      </c>
      <c r="U352" s="6" t="n">
        <v>85.90000000000001</v>
      </c>
      <c r="V352" s="2" t="n">
        <v>2</v>
      </c>
      <c r="W352" s="7">
        <f>IF(N(U352)&lt;=0,0,MIN(Assumptions!$B$15,N(R352)/N(U352)))</f>
        <v/>
      </c>
      <c r="X352" s="6" t="n">
        <v>0.252</v>
      </c>
      <c r="Y352" s="3" t="n">
        <v>0</v>
      </c>
      <c r="Z352" t="inlineStr">
        <is>
          <t>blended xG</t>
        </is>
      </c>
      <c r="AA352" s="3" t="n">
        <v>1</v>
      </c>
      <c r="AB352" s="3" t="n">
        <v>1</v>
      </c>
      <c r="AC352" s="3" t="n">
        <v>0</v>
      </c>
      <c r="AD352" s="3" t="n">
        <v>0.0023</v>
      </c>
      <c r="AE352" s="3" t="n">
        <v>7.835</v>
      </c>
      <c r="AF352" s="3" t="n">
        <v>0.2210884879564577</v>
      </c>
      <c r="AG352" s="3" t="n">
        <v>0</v>
      </c>
      <c r="AH352" s="3" t="n">
        <v>7</v>
      </c>
      <c r="AI352" s="3" t="n">
        <v>2.8404</v>
      </c>
      <c r="AJ352" s="3" t="n">
        <v>1.439</v>
      </c>
      <c r="AK352" s="3" t="n">
        <v>-0.2930826829252255</v>
      </c>
      <c r="AL352" s="6" t="n">
        <v>0</v>
      </c>
      <c r="AM352" s="3" t="n">
        <v>0</v>
      </c>
      <c r="AN352" s="3" t="n">
        <v>0</v>
      </c>
      <c r="AO352" s="3" t="n">
        <v>0.009108</v>
      </c>
      <c r="AP352" s="3">
        <f>N(X352)*N(BI352)</f>
        <v/>
      </c>
      <c r="AQ352" s="3" t="n">
        <v>0</v>
      </c>
      <c r="AR352" s="3" t="n">
        <v>0</v>
      </c>
      <c r="AS352" s="3" t="n">
        <v>-0.4835617861760246</v>
      </c>
      <c r="AT352" s="3" t="n">
        <v>-0.2930826829252255</v>
      </c>
      <c r="AU352" s="3">
        <f>SUM(AN352:AT352)</f>
        <v/>
      </c>
      <c r="AV352" s="7">
        <f>IF(OR(N(W352)&lt;=0,N(BG352)=0),0,N(W352)*IF(N(R352)/N(W352)&gt;=60,N(BG352),1))</f>
        <v/>
      </c>
      <c r="AW352" s="7">
        <f>N(W352)*N(AF352)*N(BH352)</f>
        <v/>
      </c>
      <c r="AX352" s="7">
        <f>N(AL352)*(Assumptions!$B$13*N(BJ352)-(1-Assumptions!$B$13)*Assumptions!$B$14)+N(AM352)</f>
        <v/>
      </c>
      <c r="AY352" s="7">
        <f>N(AU352)*N(R352)/90+N(AV352)+N(AW352)+N(AX352)</f>
        <v/>
      </c>
      <c r="AZ352" s="3">
        <f>IF(N(R352)&lt;=0,0,(N(AY352)-N(AX352))*90/N(R352))</f>
        <v/>
      </c>
      <c r="BA352" s="7">
        <f>IFERROR(AY352-VLOOKUP($E352,Assumptions!$A$40:$C$43,3,FALSE),"")</f>
        <v/>
      </c>
      <c r="BB352" s="3">
        <f>IFERROR(BA352/H352,"")</f>
        <v/>
      </c>
      <c r="BC352">
        <f>IF(AND($G352=TRUE,$E352="GKP"),AY352,"")</f>
        <v/>
      </c>
      <c r="BD352">
        <f>IF(AND($G352=TRUE,$E352="DEF"),AY352,"")</f>
        <v/>
      </c>
      <c r="BE352">
        <f>IF(AND($G352=TRUE,$E352="MID"),AY352,"")</f>
        <v/>
      </c>
      <c r="BF352">
        <f>IF(AND($G352=TRUE,$E352="FWD"),AY352,"")</f>
        <v/>
      </c>
      <c r="BG352" t="n">
        <v>2</v>
      </c>
      <c r="BH352" t="n">
        <v>2</v>
      </c>
      <c r="BI352" t="n">
        <v>4</v>
      </c>
      <c r="BJ352" t="n">
        <v>6</v>
      </c>
    </row>
    <row r="353">
      <c r="A353" t="inlineStr">
        <is>
          <t>Mateo Kovacic</t>
        </is>
      </c>
      <c r="B353" t="inlineStr">
        <is>
          <t>MCI</t>
        </is>
      </c>
      <c r="C353" t="inlineStr">
        <is>
          <t>MCI</t>
        </is>
      </c>
      <c r="D353" t="b">
        <v>0</v>
      </c>
      <c r="E353" t="inlineStr">
        <is>
          <t>MID</t>
        </is>
      </c>
      <c r="F353" t="inlineStr">
        <is>
          <t>MID</t>
        </is>
      </c>
      <c r="G353" t="b">
        <v>1</v>
      </c>
      <c r="H353" s="2" t="n">
        <v>5.5</v>
      </c>
      <c r="I353" t="inlineStr">
        <is>
          <t>a</t>
        </is>
      </c>
      <c r="K353" s="2" t="n">
        <v>125</v>
      </c>
      <c r="L353" t="n">
        <v>9</v>
      </c>
      <c r="M353" s="3" t="n">
        <v>206</v>
      </c>
      <c r="N353" s="4" t="n">
        <v>400</v>
      </c>
      <c r="O353" s="4" t="n">
        <v>194</v>
      </c>
      <c r="P353" s="5" t="inlineStr">
        <is>
          <t>low</t>
        </is>
      </c>
      <c r="Q353" t="inlineStr">
        <is>
          <t>flat</t>
        </is>
      </c>
      <c r="R353" s="6" t="n">
        <v>400</v>
      </c>
      <c r="S353" t="inlineStr">
        <is>
          <t>research</t>
        </is>
      </c>
      <c r="T353" s="5" t="inlineStr">
        <is>
          <t>Started the final pre-season match, is in the Community Shield predicted XI in the double pivot, and Opta still rates his passing volume as elite. With Reijnders sold and Rodri out, the senior pivot cover is thin enough that 206 minutes looks too close to zero. Kept small because he is 32, missed most of last season injured, and his own future has been the subject of a Maresca update.</t>
        </is>
      </c>
      <c r="U353" s="6" t="n">
        <v>77.8</v>
      </c>
      <c r="V353" s="2" t="n">
        <v>1</v>
      </c>
      <c r="W353" s="7">
        <f>IF(N(U353)&lt;=0,0,MIN(Assumptions!$B$15,N(R353)/N(U353)))</f>
        <v/>
      </c>
      <c r="X353" s="6" t="n">
        <v>0.371</v>
      </c>
      <c r="Y353" s="3" t="n">
        <v>0.08210000000000001</v>
      </c>
      <c r="Z353" t="inlineStr">
        <is>
          <t>adjusted xGOT</t>
        </is>
      </c>
      <c r="AA353" s="3" t="n">
        <v>1</v>
      </c>
      <c r="AB353" s="3" t="n">
        <v>0.88</v>
      </c>
      <c r="AC353" s="3" t="n">
        <v>5.1</v>
      </c>
      <c r="AD353" s="3" t="n">
        <v>0.3051</v>
      </c>
      <c r="AE353" s="3" t="n">
        <v>9.225</v>
      </c>
      <c r="AF353" s="3" t="n">
        <v>0.110091958430223</v>
      </c>
      <c r="AG353" s="3" t="n">
        <v>0</v>
      </c>
      <c r="AH353" s="3" t="n">
        <v>6</v>
      </c>
      <c r="AI353" s="3" t="n">
        <v>1.9737</v>
      </c>
      <c r="AJ353" s="3" t="n">
        <v>1.0365</v>
      </c>
      <c r="AK353" s="3" t="n">
        <v>-0.2171347261889832</v>
      </c>
      <c r="AL353" s="6" t="n">
        <v>0</v>
      </c>
      <c r="AM353" s="3" t="n">
        <v>0</v>
      </c>
      <c r="AN353" s="3" t="n">
        <v>0.4105</v>
      </c>
      <c r="AO353" s="3" t="n">
        <v>1.208196</v>
      </c>
      <c r="AP353" s="3">
        <f>N(X353)*N(BI353)</f>
        <v/>
      </c>
      <c r="AQ353" s="3" t="n">
        <v>0</v>
      </c>
      <c r="AR353" s="3" t="n">
        <v>0</v>
      </c>
      <c r="AS353" s="3" t="n">
        <v>-0</v>
      </c>
      <c r="AT353" s="3" t="n">
        <v>-0.2171347261889832</v>
      </c>
      <c r="AU353" s="3">
        <f>SUM(AN353:AT353)</f>
        <v/>
      </c>
      <c r="AV353" s="7">
        <f>IF(OR(N(W353)&lt;=0,N(BG353)=0),0,N(W353)*IF(N(R353)/N(W353)&gt;=60,N(BG353),1))</f>
        <v/>
      </c>
      <c r="AW353" s="7">
        <f>N(W353)*N(AF353)*N(BH353)</f>
        <v/>
      </c>
      <c r="AX353" s="7">
        <f>N(AL353)*(Assumptions!$B$13*N(BJ353)-(1-Assumptions!$B$13)*Assumptions!$B$14)+N(AM353)</f>
        <v/>
      </c>
      <c r="AY353" s="7">
        <f>N(AU353)*N(R353)/90+N(AV353)+N(AW353)+N(AX353)</f>
        <v/>
      </c>
      <c r="AZ353" s="3">
        <f>IF(N(R353)&lt;=0,0,(N(AY353)-N(AX353))*90/N(R353))</f>
        <v/>
      </c>
      <c r="BA353" s="7">
        <f>IFERROR(AY353-VLOOKUP($E353,Assumptions!$A$40:$C$43,3,FALSE),"")</f>
        <v/>
      </c>
      <c r="BB353" s="3">
        <f>IFERROR(BA353/H353,"")</f>
        <v/>
      </c>
      <c r="BC353">
        <f>IF(AND($G353=TRUE,$E353="GKP"),AY353,"")</f>
        <v/>
      </c>
      <c r="BD353">
        <f>IF(AND($G353=TRUE,$E353="DEF"),AY353,"")</f>
        <v/>
      </c>
      <c r="BE353">
        <f>IF(AND($G353=TRUE,$E353="MID"),AY353,"")</f>
        <v/>
      </c>
      <c r="BF353">
        <f>IF(AND($G353=TRUE,$E353="FWD"),AY353,"")</f>
        <v/>
      </c>
      <c r="BG353" t="n">
        <v>2</v>
      </c>
      <c r="BH353" t="n">
        <v>2</v>
      </c>
      <c r="BI353" t="n">
        <v>1</v>
      </c>
      <c r="BJ353" t="n">
        <v>5</v>
      </c>
    </row>
    <row r="354">
      <c r="A354" t="inlineStr">
        <is>
          <t>Arnaud Kalimuendo</t>
        </is>
      </c>
      <c r="B354" t="inlineStr">
        <is>
          <t>NFO</t>
        </is>
      </c>
      <c r="C354" t="inlineStr">
        <is>
          <t>NFO</t>
        </is>
      </c>
      <c r="D354" t="b">
        <v>0</v>
      </c>
      <c r="E354" t="inlineStr">
        <is>
          <t>FWD</t>
        </is>
      </c>
      <c r="F354" t="inlineStr">
        <is>
          <t>FWD</t>
        </is>
      </c>
      <c r="G354" t="b">
        <v>1</v>
      </c>
      <c r="H354" s="2" t="n">
        <v>5.5</v>
      </c>
      <c r="I354" t="inlineStr">
        <is>
          <t>a</t>
        </is>
      </c>
      <c r="K354" s="2" t="n">
        <v>89</v>
      </c>
      <c r="L354" t="n">
        <v>9</v>
      </c>
      <c r="M354" s="3" t="n">
        <v>38</v>
      </c>
      <c r="N354" s="4" t="n">
        <v>480</v>
      </c>
      <c r="O354" s="4" t="n">
        <v>442</v>
      </c>
      <c r="P354" s="5" t="inlineStr">
        <is>
          <t>medium</t>
        </is>
      </c>
      <c r="Q354" t="inlineStr">
        <is>
          <t>flat</t>
        </is>
      </c>
      <c r="R354" s="6" t="n">
        <v>480</v>
      </c>
      <c r="S354" t="inlineStr">
        <is>
          <t>research</t>
        </is>
      </c>
      <c r="T354" s="5" t="inlineStr">
        <is>
          <t>The largest error in the allocation. Solio extrapolates his 89 league minutes from a season he spent largely on loan at Eintracht Frankfurt. He is back, fit, in the FPL game with an 'available' flag, and has scored three times in pre-season including the 90th-minute winner against Bayer Leverkusen on 12 Aug. A Sevilla loan-to-buy is live but stalled, so the number is held well below a true backup-striker share to price that exit risk.</t>
        </is>
      </c>
      <c r="U354" s="6" t="n">
        <v>78.5</v>
      </c>
      <c r="V354" s="2" t="n">
        <v>0</v>
      </c>
      <c r="W354" s="7">
        <f>IF(N(U354)&lt;=0,0,MIN(Assumptions!$B$15,N(R354)/N(U354)))</f>
        <v/>
      </c>
      <c r="X354" s="6" t="n">
        <v>0.224</v>
      </c>
      <c r="Y354" s="3" t="n">
        <v>0.4267</v>
      </c>
      <c r="Z354" t="inlineStr">
        <is>
          <t>adjusted xGOT</t>
        </is>
      </c>
      <c r="AA354" s="3" t="n">
        <v>1</v>
      </c>
      <c r="AB354" s="3" t="n">
        <v>0.96</v>
      </c>
      <c r="AC354" s="3" t="n">
        <v>0.4</v>
      </c>
      <c r="AD354" s="3" t="n">
        <v>0.0159</v>
      </c>
      <c r="AE354" s="3" t="n">
        <v>4.933</v>
      </c>
      <c r="AF354" s="3" t="n">
        <v>0.001674543204074341</v>
      </c>
      <c r="AG354" s="3" t="n">
        <v>0</v>
      </c>
      <c r="AH354" s="3" t="n">
        <v>9</v>
      </c>
      <c r="AI354" s="3" t="n">
        <v>3.1134</v>
      </c>
      <c r="AJ354" s="3" t="n">
        <v>1.5588</v>
      </c>
      <c r="AK354" s="3" t="n">
        <v>-0.165199603815519</v>
      </c>
      <c r="AL354" s="6" t="n">
        <v>0</v>
      </c>
      <c r="AM354" s="3" t="n">
        <v>0</v>
      </c>
      <c r="AN354" s="3" t="n">
        <v>1.7068</v>
      </c>
      <c r="AO354" s="3" t="n">
        <v>0.06296400000000001</v>
      </c>
      <c r="AP354" s="3">
        <f>N(X354)*N(BI354)</f>
        <v/>
      </c>
      <c r="AQ354" s="3" t="n">
        <v>0</v>
      </c>
      <c r="AR354" s="3" t="n">
        <v>0</v>
      </c>
      <c r="AS354" s="3" t="n">
        <v>-0</v>
      </c>
      <c r="AT354" s="3" t="n">
        <v>-0.165199603815519</v>
      </c>
      <c r="AU354" s="3">
        <f>SUM(AN354:AT354)</f>
        <v/>
      </c>
      <c r="AV354" s="7">
        <f>IF(OR(N(W354)&lt;=0,N(BG354)=0),0,N(W354)*IF(N(R354)/N(W354)&gt;=60,N(BG354),1))</f>
        <v/>
      </c>
      <c r="AW354" s="7">
        <f>N(W354)*N(AF354)*N(BH354)</f>
        <v/>
      </c>
      <c r="AX354" s="7">
        <f>N(AL354)*(Assumptions!$B$13*N(BJ354)-(1-Assumptions!$B$13)*Assumptions!$B$14)+N(AM354)</f>
        <v/>
      </c>
      <c r="AY354" s="7">
        <f>N(AU354)*N(R354)/90+N(AV354)+N(AW354)+N(AX354)</f>
        <v/>
      </c>
      <c r="AZ354" s="3">
        <f>IF(N(R354)&lt;=0,0,(N(AY354)-N(AX354))*90/N(R354))</f>
        <v/>
      </c>
      <c r="BA354" s="7">
        <f>IFERROR(AY354-VLOOKUP($E354,Assumptions!$A$40:$C$43,3,FALSE),"")</f>
        <v/>
      </c>
      <c r="BB354" s="3">
        <f>IFERROR(BA354/H354,"")</f>
        <v/>
      </c>
      <c r="BC354">
        <f>IF(AND($G354=TRUE,$E354="GKP"),AY354,"")</f>
        <v/>
      </c>
      <c r="BD354">
        <f>IF(AND($G354=TRUE,$E354="DEF"),AY354,"")</f>
        <v/>
      </c>
      <c r="BE354">
        <f>IF(AND($G354=TRUE,$E354="MID"),AY354,"")</f>
        <v/>
      </c>
      <c r="BF354">
        <f>IF(AND($G354=TRUE,$E354="FWD"),AY354,"")</f>
        <v/>
      </c>
      <c r="BG354" t="n">
        <v>2</v>
      </c>
      <c r="BH354" t="n">
        <v>2</v>
      </c>
      <c r="BI354" t="n">
        <v>0</v>
      </c>
      <c r="BJ354" t="n">
        <v>4</v>
      </c>
    </row>
    <row r="355">
      <c r="A355" t="inlineStr">
        <is>
          <t>Filip Jörgensen</t>
        </is>
      </c>
      <c r="B355" t="inlineStr">
        <is>
          <t>CHE</t>
        </is>
      </c>
      <c r="C355" t="inlineStr">
        <is>
          <t>CHE</t>
        </is>
      </c>
      <c r="D355" t="b">
        <v>0</v>
      </c>
      <c r="E355" t="inlineStr">
        <is>
          <t>GKP</t>
        </is>
      </c>
      <c r="F355" t="inlineStr">
        <is>
          <t>GKP</t>
        </is>
      </c>
      <c r="G355" t="b">
        <v>1</v>
      </c>
      <c r="H355" s="2" t="n">
        <v>5</v>
      </c>
      <c r="I355" t="inlineStr">
        <is>
          <t>u</t>
        </is>
      </c>
      <c r="J355" t="inlineStr">
        <is>
          <t>Has joined RC Strasbourg on loan for the rest of the season</t>
        </is>
      </c>
      <c r="K355" s="2" t="n">
        <v>378</v>
      </c>
      <c r="L355" t="n">
        <v>9</v>
      </c>
      <c r="M355" s="3" t="n"/>
      <c r="N355" s="4" t="n">
        <v>0</v>
      </c>
      <c r="O355" s="4" t="n">
        <v>-378</v>
      </c>
      <c r="P355" s="5" t="inlineStr">
        <is>
          <t>high</t>
        </is>
      </c>
      <c r="R355" s="6" t="n">
        <v>0</v>
      </c>
      <c r="S355" t="inlineStr">
        <is>
          <t>research</t>
        </is>
      </c>
      <c r="T355" s="5" t="inlineStr">
        <is>
          <t>Left the club. Season-long loan to RC Strasbourg confirmed 11 August 2026; the official FPL game flagged him unavailable on 2026-08-12 with the note 'Has joined RC Strasbourg on loan for the rest of the season'. Chelsea's three remaining keepers in the final pre-season matchday squad were Sanchez, Penders and Slonina.</t>
        </is>
      </c>
      <c r="U355" s="6" t="n">
        <v>89.8</v>
      </c>
      <c r="V355" s="2" t="n">
        <v>3</v>
      </c>
      <c r="W355" s="7">
        <f>IF(N(U355)&lt;=0,0,MIN(Assumptions!$B$15,N(R355)/N(U355)))</f>
        <v/>
      </c>
      <c r="X355" s="6" t="n">
        <v>0.322</v>
      </c>
      <c r="Y355" s="3" t="n">
        <v>0</v>
      </c>
      <c r="Z355" t="inlineStr">
        <is>
          <t>blended xG</t>
        </is>
      </c>
      <c r="AA355" s="3" t="n">
        <v>1</v>
      </c>
      <c r="AB355" s="3" t="n">
        <v>1</v>
      </c>
      <c r="AC355" s="3" t="n">
        <v>0</v>
      </c>
      <c r="AD355" s="3" t="n">
        <v>0</v>
      </c>
      <c r="AE355" s="3" t="n">
        <v>0</v>
      </c>
      <c r="AF355" s="3" t="n">
        <v>0</v>
      </c>
      <c r="AG355" s="3" t="n">
        <v>0</v>
      </c>
      <c r="AH355" s="3" t="n">
        <v>9</v>
      </c>
      <c r="AI355" s="3" t="n">
        <v>2.4232</v>
      </c>
      <c r="AJ355" s="3" t="n">
        <v>1.1851</v>
      </c>
      <c r="AK355" s="3" t="n">
        <v>-0.0522790015856111</v>
      </c>
      <c r="AL355" s="6" t="n">
        <v>0</v>
      </c>
      <c r="AM355" s="3" t="n">
        <v>0.2796227302912258</v>
      </c>
      <c r="AN355" s="3" t="n">
        <v>0</v>
      </c>
      <c r="AO355" s="3" t="n">
        <v>0</v>
      </c>
      <c r="AP355" s="3">
        <f>N(X355)*N(BI355)</f>
        <v/>
      </c>
      <c r="AQ355" s="3" t="n">
        <v>0</v>
      </c>
      <c r="AR355" s="3" t="n">
        <v>0.474357769926339</v>
      </c>
      <c r="AS355" s="3" t="n">
        <v>-0.365915508000572</v>
      </c>
      <c r="AT355" s="3" t="n">
        <v>-0.0522790015856111</v>
      </c>
      <c r="AU355" s="3">
        <f>SUM(AN355:AT355)</f>
        <v/>
      </c>
      <c r="AV355" s="7">
        <f>IF(OR(N(W355)&lt;=0,N(BG355)=0),0,N(W355)*IF(N(R355)/N(W355)&gt;=60,N(BG355),1))</f>
        <v/>
      </c>
      <c r="AW355" s="7">
        <f>N(W355)*N(AF355)*N(BH355)</f>
        <v/>
      </c>
      <c r="AX355" s="7">
        <f>N(AL355)*(Assumptions!$B$13*N(BJ355)-(1-Assumptions!$B$13)*Assumptions!$B$14)+N(AM355)</f>
        <v/>
      </c>
      <c r="AY355" s="7">
        <f>N(AU355)*N(R355)/90+N(AV355)+N(AW355)+N(AX355)</f>
        <v/>
      </c>
      <c r="AZ355" s="3">
        <f>IF(N(R355)&lt;=0,0,(N(AY355)-N(AX355))*90/N(R355))</f>
        <v/>
      </c>
      <c r="BA355" s="7">
        <f>IFERROR(AY355-VLOOKUP($E355,Assumptions!$A$40:$C$43,3,FALSE),"")</f>
        <v/>
      </c>
      <c r="BB355" s="3">
        <f>IFERROR(BA355/H355,"")</f>
        <v/>
      </c>
      <c r="BC355">
        <f>IF(AND($G355=TRUE,$E355="GKP"),AY355,"")</f>
        <v/>
      </c>
      <c r="BD355">
        <f>IF(AND($G355=TRUE,$E355="DEF"),AY355,"")</f>
        <v/>
      </c>
      <c r="BE355">
        <f>IF(AND($G355=TRUE,$E355="MID"),AY355,"")</f>
        <v/>
      </c>
      <c r="BF355">
        <f>IF(AND($G355=TRUE,$E355="FWD"),AY355,"")</f>
        <v/>
      </c>
      <c r="BG355" t="n">
        <v>2</v>
      </c>
      <c r="BH355" t="n">
        <v>0</v>
      </c>
      <c r="BI355" t="n">
        <v>4</v>
      </c>
      <c r="BJ355" t="n">
        <v>10</v>
      </c>
    </row>
    <row r="356">
      <c r="A356" t="inlineStr">
        <is>
          <t>Levi Colwill</t>
        </is>
      </c>
      <c r="B356" t="inlineStr">
        <is>
          <t>CHE</t>
        </is>
      </c>
      <c r="C356" t="inlineStr">
        <is>
          <t>CHE</t>
        </is>
      </c>
      <c r="D356" t="b">
        <v>0</v>
      </c>
      <c r="E356" t="inlineStr">
        <is>
          <t>DEF</t>
        </is>
      </c>
      <c r="F356" t="inlineStr">
        <is>
          <t>DEF</t>
        </is>
      </c>
      <c r="G356" t="b">
        <v>1</v>
      </c>
      <c r="H356" s="2" t="n">
        <v>5</v>
      </c>
      <c r="I356" t="inlineStr">
        <is>
          <t>a</t>
        </is>
      </c>
      <c r="K356" s="2" t="n">
        <v>225</v>
      </c>
      <c r="L356" t="n">
        <v>8</v>
      </c>
      <c r="M356" s="3" t="n">
        <v>2576</v>
      </c>
      <c r="N356" s="8" t="n">
        <v>2576</v>
      </c>
      <c r="O356" s="8" t="n">
        <v>0</v>
      </c>
      <c r="Q356" t="inlineStr">
        <is>
          <t>flat</t>
        </is>
      </c>
      <c r="R356" s="6" t="n">
        <v>2576</v>
      </c>
      <c r="S356" t="inlineStr">
        <is>
          <t>Solio</t>
        </is>
      </c>
      <c r="U356" s="6" t="n">
        <v>86.2</v>
      </c>
      <c r="V356" s="2" t="n">
        <v>2</v>
      </c>
      <c r="W356" s="7">
        <f>IF(N(U356)&lt;=0,0,MIN(Assumptions!$B$15,N(R356)/N(U356)))</f>
        <v/>
      </c>
      <c r="X356" s="6" t="n">
        <v>0.322</v>
      </c>
      <c r="Y356" s="3" t="n">
        <v>0</v>
      </c>
      <c r="Z356" t="inlineStr">
        <is>
          <t>adjusted xGOT</t>
        </is>
      </c>
      <c r="AA356" s="3" t="n">
        <v>1</v>
      </c>
      <c r="AB356" s="3" t="n">
        <v>0.951</v>
      </c>
      <c r="AC356" s="3" t="n">
        <v>4.6</v>
      </c>
      <c r="AD356" s="3" t="n">
        <v>0.024</v>
      </c>
      <c r="AE356" s="3" t="n">
        <v>8.236000000000001</v>
      </c>
      <c r="AF356" s="3" t="n">
        <v>0.269611532965363</v>
      </c>
      <c r="AG356" s="3" t="n">
        <v>0</v>
      </c>
      <c r="AH356" s="3" t="n">
        <v>5</v>
      </c>
      <c r="AI356" s="3" t="n">
        <v>2.4232</v>
      </c>
      <c r="AJ356" s="3" t="n">
        <v>1.1851</v>
      </c>
      <c r="AK356" s="3" t="n">
        <v>-0.2135844756559857</v>
      </c>
      <c r="AL356" s="6" t="n">
        <v>0</v>
      </c>
      <c r="AM356" s="3" t="n">
        <v>0</v>
      </c>
      <c r="AN356" s="3" t="n">
        <v>0</v>
      </c>
      <c r="AO356" s="3" t="n">
        <v>0.09504000000000001</v>
      </c>
      <c r="AP356" s="3">
        <f>N(X356)*N(BI356)</f>
        <v/>
      </c>
      <c r="AQ356" s="3" t="n">
        <v>0</v>
      </c>
      <c r="AR356" s="3" t="n">
        <v>0</v>
      </c>
      <c r="AS356" s="3" t="n">
        <v>-0.365915508000572</v>
      </c>
      <c r="AT356" s="3" t="n">
        <v>-0.2135844756559857</v>
      </c>
      <c r="AU356" s="3">
        <f>SUM(AN356:AT356)</f>
        <v/>
      </c>
      <c r="AV356" s="7">
        <f>IF(OR(N(W356)&lt;=0,N(BG356)=0),0,N(W356)*IF(N(R356)/N(W356)&gt;=60,N(BG356),1))</f>
        <v/>
      </c>
      <c r="AW356" s="7">
        <f>N(W356)*N(AF356)*N(BH356)</f>
        <v/>
      </c>
      <c r="AX356" s="7">
        <f>N(AL356)*(Assumptions!$B$13*N(BJ356)-(1-Assumptions!$B$13)*Assumptions!$B$14)+N(AM356)</f>
        <v/>
      </c>
      <c r="AY356" s="7">
        <f>N(AU356)*N(R356)/90+N(AV356)+N(AW356)+N(AX356)</f>
        <v/>
      </c>
      <c r="AZ356" s="3">
        <f>IF(N(R356)&lt;=0,0,(N(AY356)-N(AX356))*90/N(R356))</f>
        <v/>
      </c>
      <c r="BA356" s="7">
        <f>IFERROR(AY356-VLOOKUP($E356,Assumptions!$A$40:$C$43,3,FALSE),"")</f>
        <v/>
      </c>
      <c r="BB356" s="3">
        <f>IFERROR(BA356/H356,"")</f>
        <v/>
      </c>
      <c r="BC356">
        <f>IF(AND($G356=TRUE,$E356="GKP"),AY356,"")</f>
        <v/>
      </c>
      <c r="BD356">
        <f>IF(AND($G356=TRUE,$E356="DEF"),AY356,"")</f>
        <v/>
      </c>
      <c r="BE356">
        <f>IF(AND($G356=TRUE,$E356="MID"),AY356,"")</f>
        <v/>
      </c>
      <c r="BF356">
        <f>IF(AND($G356=TRUE,$E356="FWD"),AY356,"")</f>
        <v/>
      </c>
      <c r="BG356" t="n">
        <v>2</v>
      </c>
      <c r="BH356" t="n">
        <v>2</v>
      </c>
      <c r="BI356" t="n">
        <v>4</v>
      </c>
      <c r="BJ356" t="n">
        <v>6</v>
      </c>
    </row>
    <row r="357">
      <c r="A357" t="inlineStr">
        <is>
          <t>Alex Tóth</t>
        </is>
      </c>
      <c r="B357" t="inlineStr">
        <is>
          <t>BOU</t>
        </is>
      </c>
      <c r="C357" t="inlineStr">
        <is>
          <t>BOU</t>
        </is>
      </c>
      <c r="D357" t="b">
        <v>0</v>
      </c>
      <c r="E357" t="inlineStr">
        <is>
          <t>MID</t>
        </is>
      </c>
      <c r="F357" t="inlineStr">
        <is>
          <t>MID</t>
        </is>
      </c>
      <c r="G357" t="b">
        <v>1</v>
      </c>
      <c r="H357" s="2" t="n">
        <v>5</v>
      </c>
      <c r="I357" t="inlineStr">
        <is>
          <t>a</t>
        </is>
      </c>
      <c r="K357" s="2" t="n">
        <v>135</v>
      </c>
      <c r="L357" t="n">
        <v>8</v>
      </c>
      <c r="M357" s="3" t="n">
        <v>126</v>
      </c>
      <c r="N357" s="4" t="n">
        <v>450</v>
      </c>
      <c r="O357" s="4" t="n">
        <v>324</v>
      </c>
      <c r="P357" s="5" t="inlineStr">
        <is>
          <t>low</t>
        </is>
      </c>
      <c r="Q357" t="inlineStr">
        <is>
          <t>flat</t>
        </is>
      </c>
      <c r="R357" s="6" t="n">
        <v>450</v>
      </c>
      <c r="S357" t="inlineStr">
        <is>
          <t>research</t>
        </is>
      </c>
      <c r="T357" s="5" t="inlineStr">
        <is>
          <t>Started the pivot alongside Cook in the final pre-season friendly on 15 Aug and assisted a goal as a substitute vs Betis on 8 Aug. Deliberately kept low because that Mainz start coincided with Scott, Adams and Christie all being unavailable, so it is weak evidence of a settled role - but 126 minutes understates a player Rose is clearly willing to use.</t>
        </is>
      </c>
      <c r="U357" s="6" t="n">
        <v>76.2</v>
      </c>
      <c r="V357" s="2" t="n">
        <v>2</v>
      </c>
      <c r="W357" s="7">
        <f>IF(N(U357)&lt;=0,0,MIN(Assumptions!$B$15,N(R357)/N(U357)))</f>
        <v/>
      </c>
      <c r="X357" s="6" t="n">
        <v>0.23</v>
      </c>
      <c r="Y357" s="3" t="n">
        <v>0.0727</v>
      </c>
      <c r="Z357" t="inlineStr">
        <is>
          <t>adjusted xGOT</t>
        </is>
      </c>
      <c r="AA357" s="3" t="n">
        <v>1</v>
      </c>
      <c r="AB357" s="3" t="n">
        <v>0.986</v>
      </c>
      <c r="AC357" s="3" t="n">
        <v>0.1</v>
      </c>
      <c r="AD357" s="3" t="n">
        <v>0.2291</v>
      </c>
      <c r="AE357" s="3" t="n">
        <v>9.012</v>
      </c>
      <c r="AF357" s="3" t="n">
        <v>0.08709009343695318</v>
      </c>
      <c r="AG357" s="3" t="n">
        <v>0</v>
      </c>
      <c r="AH357" s="3" t="n">
        <v>9</v>
      </c>
      <c r="AI357" s="3" t="n">
        <v>3.0957</v>
      </c>
      <c r="AJ357" s="3" t="n">
        <v>1.53</v>
      </c>
      <c r="AK357" s="3" t="n">
        <v>-0.2560940997024783</v>
      </c>
      <c r="AL357" s="6" t="n">
        <v>0</v>
      </c>
      <c r="AM357" s="3" t="n">
        <v>0</v>
      </c>
      <c r="AN357" s="3" t="n">
        <v>0.3635</v>
      </c>
      <c r="AO357" s="3" t="n">
        <v>0.907236</v>
      </c>
      <c r="AP357" s="3">
        <f>N(X357)*N(BI357)</f>
        <v/>
      </c>
      <c r="AQ357" s="3" t="n">
        <v>0</v>
      </c>
      <c r="AR357" s="3" t="n">
        <v>0</v>
      </c>
      <c r="AS357" s="3" t="n">
        <v>-0</v>
      </c>
      <c r="AT357" s="3" t="n">
        <v>-0.2560940997024783</v>
      </c>
      <c r="AU357" s="3">
        <f>SUM(AN357:AT357)</f>
        <v/>
      </c>
      <c r="AV357" s="7">
        <f>IF(OR(N(W357)&lt;=0,N(BG357)=0),0,N(W357)*IF(N(R357)/N(W357)&gt;=60,N(BG357),1))</f>
        <v/>
      </c>
      <c r="AW357" s="7">
        <f>N(W357)*N(AF357)*N(BH357)</f>
        <v/>
      </c>
      <c r="AX357" s="7">
        <f>N(AL357)*(Assumptions!$B$13*N(BJ357)-(1-Assumptions!$B$13)*Assumptions!$B$14)+N(AM357)</f>
        <v/>
      </c>
      <c r="AY357" s="7">
        <f>N(AU357)*N(R357)/90+N(AV357)+N(AW357)+N(AX357)</f>
        <v/>
      </c>
      <c r="AZ357" s="3">
        <f>IF(N(R357)&lt;=0,0,(N(AY357)-N(AX357))*90/N(R357))</f>
        <v/>
      </c>
      <c r="BA357" s="7">
        <f>IFERROR(AY357-VLOOKUP($E357,Assumptions!$A$40:$C$43,3,FALSE),"")</f>
        <v/>
      </c>
      <c r="BB357" s="3">
        <f>IFERROR(BA357/H357,"")</f>
        <v/>
      </c>
      <c r="BC357">
        <f>IF(AND($G357=TRUE,$E357="GKP"),AY357,"")</f>
        <v/>
      </c>
      <c r="BD357">
        <f>IF(AND($G357=TRUE,$E357="DEF"),AY357,"")</f>
        <v/>
      </c>
      <c r="BE357">
        <f>IF(AND($G357=TRUE,$E357="MID"),AY357,"")</f>
        <v/>
      </c>
      <c r="BF357">
        <f>IF(AND($G357=TRUE,$E357="FWD"),AY357,"")</f>
        <v/>
      </c>
      <c r="BG357" t="n">
        <v>2</v>
      </c>
      <c r="BH357" t="n">
        <v>2</v>
      </c>
      <c r="BI357" t="n">
        <v>1</v>
      </c>
      <c r="BJ357" t="n">
        <v>5</v>
      </c>
    </row>
    <row r="358">
      <c r="A358" t="inlineStr">
        <is>
          <t>Ethan Nwaneri</t>
        </is>
      </c>
      <c r="B358" t="inlineStr">
        <is>
          <t>ARS</t>
        </is>
      </c>
      <c r="C358" t="inlineStr">
        <is>
          <t>ARS</t>
        </is>
      </c>
      <c r="D358" t="b">
        <v>0</v>
      </c>
      <c r="E358" t="inlineStr">
        <is>
          <t>MID</t>
        </is>
      </c>
      <c r="F358" t="inlineStr">
        <is>
          <t>MID</t>
        </is>
      </c>
      <c r="G358" t="b">
        <v>1</v>
      </c>
      <c r="H358" s="2" t="n">
        <v>5.5</v>
      </c>
      <c r="I358" t="inlineStr">
        <is>
          <t>a</t>
        </is>
      </c>
      <c r="K358" s="2" t="n">
        <v>165</v>
      </c>
      <c r="L358" t="n">
        <v>8</v>
      </c>
      <c r="M358" s="3" t="n">
        <v>11</v>
      </c>
      <c r="N358" s="8" t="n">
        <v>11</v>
      </c>
      <c r="O358" s="8" t="n">
        <v>0</v>
      </c>
      <c r="Q358" t="inlineStr">
        <is>
          <t>flat</t>
        </is>
      </c>
      <c r="R358" s="6" t="n">
        <v>11</v>
      </c>
      <c r="S358" t="inlineStr">
        <is>
          <t>Solio</t>
        </is>
      </c>
      <c r="U358" s="6" t="n">
        <v>80.09999999999999</v>
      </c>
      <c r="V358" s="2" t="n">
        <v>0</v>
      </c>
      <c r="W358" s="7">
        <f>IF(N(U358)&lt;=0,0,MIN(Assumptions!$B$15,N(R358)/N(U358)))</f>
        <v/>
      </c>
      <c r="X358" s="6" t="n">
        <v>0.391</v>
      </c>
      <c r="Y358" s="3" t="n">
        <v>0.1293</v>
      </c>
      <c r="Z358" t="inlineStr">
        <is>
          <t>adjusted xGOT</t>
        </is>
      </c>
      <c r="AA358" s="3" t="n">
        <v>1</v>
      </c>
      <c r="AB358" s="3" t="n">
        <v>1.03</v>
      </c>
      <c r="AC358" s="3" t="n">
        <v>1.4</v>
      </c>
      <c r="AD358" s="3" t="n">
        <v>0.035</v>
      </c>
      <c r="AE358" s="3" t="n">
        <v>8.300000000000001</v>
      </c>
      <c r="AF358" s="3" t="n">
        <v>0.0728024678344561</v>
      </c>
      <c r="AG358" s="3" t="n">
        <v>0</v>
      </c>
      <c r="AH358" s="3" t="n">
        <v>7</v>
      </c>
      <c r="AI358" s="3" t="n">
        <v>2.067</v>
      </c>
      <c r="AJ358" s="3" t="n">
        <v>0.9838</v>
      </c>
      <c r="AK358" s="3" t="n">
        <v>-0.1760946258725149</v>
      </c>
      <c r="AL358" s="6" t="n">
        <v>0</v>
      </c>
      <c r="AM358" s="3" t="n">
        <v>0</v>
      </c>
      <c r="AN358" s="3" t="n">
        <v>0.6465</v>
      </c>
      <c r="AO358" s="3" t="n">
        <v>0.1386</v>
      </c>
      <c r="AP358" s="3">
        <f>N(X358)*N(BI358)</f>
        <v/>
      </c>
      <c r="AQ358" s="3" t="n">
        <v>0</v>
      </c>
      <c r="AR358" s="3" t="n">
        <v>0</v>
      </c>
      <c r="AS358" s="3" t="n">
        <v>-0</v>
      </c>
      <c r="AT358" s="3" t="n">
        <v>-0.1760946258725149</v>
      </c>
      <c r="AU358" s="3">
        <f>SUM(AN358:AT358)</f>
        <v/>
      </c>
      <c r="AV358" s="7">
        <f>IF(OR(N(W358)&lt;=0,N(BG358)=0),0,N(W358)*IF(N(R358)/N(W358)&gt;=60,N(BG358),1))</f>
        <v/>
      </c>
      <c r="AW358" s="7">
        <f>N(W358)*N(AF358)*N(BH358)</f>
        <v/>
      </c>
      <c r="AX358" s="7">
        <f>N(AL358)*(Assumptions!$B$13*N(BJ358)-(1-Assumptions!$B$13)*Assumptions!$B$14)+N(AM358)</f>
        <v/>
      </c>
      <c r="AY358" s="7">
        <f>N(AU358)*N(R358)/90+N(AV358)+N(AW358)+N(AX358)</f>
        <v/>
      </c>
      <c r="AZ358" s="3">
        <f>IF(N(R358)&lt;=0,0,(N(AY358)-N(AX358))*90/N(R358))</f>
        <v/>
      </c>
      <c r="BA358" s="7">
        <f>IFERROR(AY358-VLOOKUP($E358,Assumptions!$A$40:$C$43,3,FALSE),"")</f>
        <v/>
      </c>
      <c r="BB358" s="3">
        <f>IFERROR(BA358/H358,"")</f>
        <v/>
      </c>
      <c r="BC358">
        <f>IF(AND($G358=TRUE,$E358="GKP"),AY358,"")</f>
        <v/>
      </c>
      <c r="BD358">
        <f>IF(AND($G358=TRUE,$E358="DEF"),AY358,"")</f>
        <v/>
      </c>
      <c r="BE358">
        <f>IF(AND($G358=TRUE,$E358="MID"),AY358,"")</f>
        <v/>
      </c>
      <c r="BF358">
        <f>IF(AND($G358=TRUE,$E358="FWD"),AY358,"")</f>
        <v/>
      </c>
      <c r="BG358" t="n">
        <v>2</v>
      </c>
      <c r="BH358" t="n">
        <v>2</v>
      </c>
      <c r="BI358" t="n">
        <v>1</v>
      </c>
      <c r="BJ358" t="n">
        <v>5</v>
      </c>
    </row>
    <row r="359">
      <c r="A359" t="inlineStr">
        <is>
          <t>Walter Benítez</t>
        </is>
      </c>
      <c r="B359" t="inlineStr">
        <is>
          <t>CRY</t>
        </is>
      </c>
      <c r="C359" t="inlineStr">
        <is>
          <t>CRY</t>
        </is>
      </c>
      <c r="D359" t="b">
        <v>0</v>
      </c>
      <c r="E359" t="inlineStr">
        <is>
          <t>GKP</t>
        </is>
      </c>
      <c r="F359" t="inlineStr">
        <is>
          <t>GKP</t>
        </is>
      </c>
      <c r="G359" t="b">
        <v>1</v>
      </c>
      <c r="H359" s="2" t="n">
        <v>4.5</v>
      </c>
      <c r="I359" t="inlineStr">
        <is>
          <t>a</t>
        </is>
      </c>
      <c r="K359" s="2" t="n">
        <v>90</v>
      </c>
      <c r="L359" t="n">
        <v>7</v>
      </c>
      <c r="M359" s="3" t="n">
        <v>35</v>
      </c>
      <c r="N359" s="8" t="n">
        <v>35</v>
      </c>
      <c r="O359" s="8" t="n">
        <v>0</v>
      </c>
      <c r="Q359" t="inlineStr">
        <is>
          <t>flat</t>
        </is>
      </c>
      <c r="R359" s="6" t="n">
        <v>35</v>
      </c>
      <c r="S359" t="inlineStr">
        <is>
          <t>Solio</t>
        </is>
      </c>
      <c r="U359" s="6" t="n">
        <v>89.8</v>
      </c>
      <c r="V359" s="2" t="n">
        <v>1</v>
      </c>
      <c r="W359" s="7">
        <f>IF(N(U359)&lt;=0,0,MIN(Assumptions!$B$15,N(R359)/N(U359)))</f>
        <v/>
      </c>
      <c r="X359" s="6" t="n">
        <v>0.216</v>
      </c>
      <c r="Y359" s="3" t="n">
        <v>0</v>
      </c>
      <c r="Z359" t="inlineStr">
        <is>
          <t>blended xG</t>
        </is>
      </c>
      <c r="AA359" s="3" t="n">
        <v>1</v>
      </c>
      <c r="AB359" s="3" t="n">
        <v>1</v>
      </c>
      <c r="AC359" s="3" t="n">
        <v>0</v>
      </c>
      <c r="AD359" s="3" t="n">
        <v>0</v>
      </c>
      <c r="AE359" s="3" t="n">
        <v>0</v>
      </c>
      <c r="AF359" s="3" t="n">
        <v>0</v>
      </c>
      <c r="AG359" s="3" t="n">
        <v>1</v>
      </c>
      <c r="AH359" s="3" t="n">
        <v>2</v>
      </c>
      <c r="AI359" s="3" t="n">
        <v>3.2035</v>
      </c>
      <c r="AJ359" s="3" t="n">
        <v>1.5923</v>
      </c>
      <c r="AK359" s="3" t="n">
        <v>-0.07200630079321101</v>
      </c>
      <c r="AL359" s="6" t="n">
        <v>0</v>
      </c>
      <c r="AM359" s="3" t="n">
        <v>0.0347888665271393</v>
      </c>
      <c r="AN359" s="3" t="n">
        <v>0</v>
      </c>
      <c r="AO359" s="3" t="n">
        <v>0</v>
      </c>
      <c r="AP359" s="3">
        <f>N(X359)*N(BI359)</f>
        <v/>
      </c>
      <c r="AQ359" s="3" t="n">
        <v>1</v>
      </c>
      <c r="AR359" s="3" t="n">
        <v>0.7325188478059661</v>
      </c>
      <c r="AS359" s="3" t="n">
        <v>-0.5564987001023466</v>
      </c>
      <c r="AT359" s="3" t="n">
        <v>-0.07200630079321101</v>
      </c>
      <c r="AU359" s="3">
        <f>SUM(AN359:AT359)</f>
        <v/>
      </c>
      <c r="AV359" s="7">
        <f>IF(OR(N(W359)&lt;=0,N(BG359)=0),0,N(W359)*IF(N(R359)/N(W359)&gt;=60,N(BG359),1))</f>
        <v/>
      </c>
      <c r="AW359" s="7">
        <f>N(W359)*N(AF359)*N(BH359)</f>
        <v/>
      </c>
      <c r="AX359" s="7">
        <f>N(AL359)*(Assumptions!$B$13*N(BJ359)-(1-Assumptions!$B$13)*Assumptions!$B$14)+N(AM359)</f>
        <v/>
      </c>
      <c r="AY359" s="7">
        <f>N(AU359)*N(R359)/90+N(AV359)+N(AW359)+N(AX359)</f>
        <v/>
      </c>
      <c r="AZ359" s="3">
        <f>IF(N(R359)&lt;=0,0,(N(AY359)-N(AX359))*90/N(R359))</f>
        <v/>
      </c>
      <c r="BA359" s="7">
        <f>IFERROR(AY359-VLOOKUP($E359,Assumptions!$A$40:$C$43,3,FALSE),"")</f>
        <v/>
      </c>
      <c r="BB359" s="3">
        <f>IFERROR(BA359/H359,"")</f>
        <v/>
      </c>
      <c r="BC359">
        <f>IF(AND($G359=TRUE,$E359="GKP"),AY359,"")</f>
        <v/>
      </c>
      <c r="BD359">
        <f>IF(AND($G359=TRUE,$E359="DEF"),AY359,"")</f>
        <v/>
      </c>
      <c r="BE359">
        <f>IF(AND($G359=TRUE,$E359="MID"),AY359,"")</f>
        <v/>
      </c>
      <c r="BF359">
        <f>IF(AND($G359=TRUE,$E359="FWD"),AY359,"")</f>
        <v/>
      </c>
      <c r="BG359" t="n">
        <v>2</v>
      </c>
      <c r="BH359" t="n">
        <v>0</v>
      </c>
      <c r="BI359" t="n">
        <v>4</v>
      </c>
      <c r="BJ359" t="n">
        <v>10</v>
      </c>
    </row>
    <row r="360">
      <c r="A360" s="9" t="inlineStr">
        <is>
          <t>Christian Nørgaard</t>
        </is>
      </c>
      <c r="B360" t="inlineStr">
        <is>
          <t>EVE</t>
        </is>
      </c>
      <c r="C360" s="9" t="inlineStr">
        <is>
          <t>ARS</t>
        </is>
      </c>
      <c r="D360" t="b">
        <v>1</v>
      </c>
      <c r="E360" t="inlineStr">
        <is>
          <t>MID</t>
        </is>
      </c>
      <c r="F360" t="inlineStr">
        <is>
          <t>MID</t>
        </is>
      </c>
      <c r="G360" t="b">
        <v>1</v>
      </c>
      <c r="H360" s="2" t="n">
        <v>5</v>
      </c>
      <c r="I360" t="inlineStr">
        <is>
          <t>a</t>
        </is>
      </c>
      <c r="K360" s="2" t="n">
        <v>101</v>
      </c>
      <c r="L360" t="n">
        <v>7</v>
      </c>
      <c r="M360" s="3" t="n">
        <v>2804</v>
      </c>
      <c r="N360" s="4" t="n">
        <v>1450</v>
      </c>
      <c r="O360" s="4" t="n">
        <v>-1354</v>
      </c>
      <c r="P360" s="5" t="inlineStr">
        <is>
          <t>medium</t>
        </is>
      </c>
      <c r="Q360" t="inlineStr">
        <is>
          <t>flat</t>
        </is>
      </c>
      <c r="R360" s="6" t="n">
        <v>1450</v>
      </c>
      <c r="S360" t="inlineStr">
        <is>
          <t>research</t>
        </is>
      </c>
      <c r="T360" s="5" t="inlineStr">
        <is>
          <t>The largest single error in Solio's Everton allocation. Solio projects 82% of every available minute for a 32-year-old who cost GBP 7m, made seven league starts for Arsenal last season and played 101 minutes. Three pieces of dated evidence point down: the official FPL game flags him 'Lack of match fitness - 75% chance of playing'; Read Everton's 14 August injury tracker records him as an unused substitute against Stuttgart still building sharpness; and he was not in the matchday squad at all for the final friendly against Lille on 15 August. He is a real contender - Read Everton describes him as Moyes' direct replacement for Idrissa Gueye in defensive midfield - but he is competing with Hayden Hackney for one berth alongside Garner, and Hackney started the last two friendlies. 1,450 keeps him as a heavily-used squad midfielder rather than an ever-present.</t>
        </is>
      </c>
      <c r="U360" s="6" t="n">
        <v>76.90000000000001</v>
      </c>
      <c r="V360" s="2" t="n">
        <v>1</v>
      </c>
      <c r="W360" s="7">
        <f>IF(N(U360)&lt;=0,0,MIN(Assumptions!$B$15,N(R360)/N(U360)))</f>
        <v/>
      </c>
      <c r="X360" s="6" t="n">
        <v>0.231</v>
      </c>
      <c r="Y360" s="10" t="n">
        <v>0.0659</v>
      </c>
      <c r="Z360" t="inlineStr">
        <is>
          <t>adjusted xGOT</t>
        </is>
      </c>
      <c r="AA360" s="3" t="n">
        <v>1</v>
      </c>
      <c r="AB360" s="3" t="n">
        <v>0.928</v>
      </c>
      <c r="AC360" s="3" t="n">
        <v>9.6</v>
      </c>
      <c r="AD360" s="10" t="n">
        <v>0.0178</v>
      </c>
      <c r="AE360" s="3" t="n">
        <v>9.276</v>
      </c>
      <c r="AF360" s="3" t="n">
        <v>0.1066440262375161</v>
      </c>
      <c r="AG360" s="3" t="n">
        <v>0</v>
      </c>
      <c r="AH360" s="3" t="n">
        <v>7</v>
      </c>
      <c r="AI360" s="3" t="n">
        <v>3.0311</v>
      </c>
      <c r="AJ360" s="3" t="n">
        <v>1.5252</v>
      </c>
      <c r="AK360" s="3" t="n">
        <v>-0.2544726553681582</v>
      </c>
      <c r="AL360" s="6" t="n">
        <v>0</v>
      </c>
      <c r="AM360" s="3" t="n">
        <v>0</v>
      </c>
      <c r="AN360" s="10" t="n">
        <v>0.3295</v>
      </c>
      <c r="AO360" s="10" t="n">
        <v>0.07048800000000001</v>
      </c>
      <c r="AP360" s="3">
        <f>N(X360)*N(BI360)</f>
        <v/>
      </c>
      <c r="AQ360" s="3" t="n">
        <v>0</v>
      </c>
      <c r="AR360" s="3" t="n">
        <v>0</v>
      </c>
      <c r="AS360" s="3" t="n">
        <v>-0</v>
      </c>
      <c r="AT360" s="3" t="n">
        <v>-0.2544726553681582</v>
      </c>
      <c r="AU360" s="3">
        <f>SUM(AN360:AT360)</f>
        <v/>
      </c>
      <c r="AV360" s="7">
        <f>IF(OR(N(W360)&lt;=0,N(BG360)=0),0,N(W360)*IF(N(R360)/N(W360)&gt;=60,N(BG360),1))</f>
        <v/>
      </c>
      <c r="AW360" s="7">
        <f>N(W360)*N(AF360)*N(BH360)</f>
        <v/>
      </c>
      <c r="AX360" s="7">
        <f>N(AL360)*(Assumptions!$B$13*N(BJ360)-(1-Assumptions!$B$13)*Assumptions!$B$14)+N(AM360)</f>
        <v/>
      </c>
      <c r="AY360" s="7">
        <f>N(AU360)*N(R360)/90+N(AV360)+N(AW360)+N(AX360)</f>
        <v/>
      </c>
      <c r="AZ360" s="3">
        <f>IF(N(R360)&lt;=0,0,(N(AY360)-N(AX360))*90/N(R360))</f>
        <v/>
      </c>
      <c r="BA360" s="7">
        <f>IFERROR(AY360-VLOOKUP($E360,Assumptions!$A$40:$C$43,3,FALSE),"")</f>
        <v/>
      </c>
      <c r="BB360" s="3">
        <f>IFERROR(BA360/H360,"")</f>
        <v/>
      </c>
      <c r="BC360">
        <f>IF(AND($G360=TRUE,$E360="GKP"),AY360,"")</f>
        <v/>
      </c>
      <c r="BD360">
        <f>IF(AND($G360=TRUE,$E360="DEF"),AY360,"")</f>
        <v/>
      </c>
      <c r="BE360">
        <f>IF(AND($G360=TRUE,$E360="MID"),AY360,"")</f>
        <v/>
      </c>
      <c r="BF360">
        <f>IF(AND($G360=TRUE,$E360="FWD"),AY360,"")</f>
        <v/>
      </c>
      <c r="BG360" t="n">
        <v>2</v>
      </c>
      <c r="BH360" t="n">
        <v>2</v>
      </c>
      <c r="BI360" t="n">
        <v>1</v>
      </c>
      <c r="BJ360" t="n">
        <v>5</v>
      </c>
    </row>
    <row r="361">
      <c r="A361" t="inlineStr">
        <is>
          <t>Benoît Badiashile</t>
        </is>
      </c>
      <c r="B361" t="inlineStr">
        <is>
          <t>CHE</t>
        </is>
      </c>
      <c r="C361" t="inlineStr">
        <is>
          <t>CHE</t>
        </is>
      </c>
      <c r="D361" t="b">
        <v>0</v>
      </c>
      <c r="E361" t="inlineStr">
        <is>
          <t>DEF</t>
        </is>
      </c>
      <c r="F361" t="inlineStr">
        <is>
          <t>DEF</t>
        </is>
      </c>
      <c r="G361" t="b">
        <v>1</v>
      </c>
      <c r="H361" s="2" t="n">
        <v>4.5</v>
      </c>
      <c r="I361" t="inlineStr">
        <is>
          <t>a</t>
        </is>
      </c>
      <c r="K361" s="2" t="n">
        <v>470</v>
      </c>
      <c r="L361" t="n">
        <v>7</v>
      </c>
      <c r="M361" s="3" t="n">
        <v>14</v>
      </c>
      <c r="N361" s="4" t="n">
        <v>0</v>
      </c>
      <c r="O361" s="4" t="n">
        <v>-14</v>
      </c>
      <c r="P361" s="5" t="inlineStr">
        <is>
          <t>medium</t>
        </is>
      </c>
      <c r="Q361" t="inlineStr">
        <is>
          <t>flat</t>
        </is>
      </c>
      <c r="R361" s="6" t="n">
        <v>0</v>
      </c>
      <c r="S361" t="inlineStr">
        <is>
          <t>research</t>
        </is>
      </c>
      <c r="T361" s="5" t="inlineStr">
        <is>
          <t>Loan to Napoli (with an option to buy) reported as agreed; ranked 'Very High' likelihood in FootballTransfers' deadline-day exit list, and he was left out of Chelsea's pre-season tour squad entirely to facilitate the move. Immaterial in size but removes a body from the centre-back queue.</t>
        </is>
      </c>
      <c r="U361" s="6" t="n">
        <v>79.3</v>
      </c>
      <c r="V361" s="2" t="n">
        <v>6</v>
      </c>
      <c r="W361" s="7">
        <f>IF(N(U361)&lt;=0,0,MIN(Assumptions!$B$15,N(R361)/N(U361)))</f>
        <v/>
      </c>
      <c r="X361" s="6" t="n">
        <v>0.322</v>
      </c>
      <c r="Y361" s="3" t="n">
        <v>0</v>
      </c>
      <c r="Z361" t="inlineStr">
        <is>
          <t>adjusted xGOT</t>
        </is>
      </c>
      <c r="AA361" s="3" t="n">
        <v>1</v>
      </c>
      <c r="AB361" s="3" t="n">
        <v>0.913</v>
      </c>
      <c r="AC361" s="3" t="n">
        <v>1.5</v>
      </c>
      <c r="AD361" s="3" t="n">
        <v>0.0057</v>
      </c>
      <c r="AE361" s="3" t="n">
        <v>8.279999999999999</v>
      </c>
      <c r="AF361" s="3" t="n">
        <v>0.2006980241798085</v>
      </c>
      <c r="AG361" s="3" t="n">
        <v>0</v>
      </c>
      <c r="AH361" s="3" t="n">
        <v>11</v>
      </c>
      <c r="AI361" s="3" t="n">
        <v>2.4232</v>
      </c>
      <c r="AJ361" s="3" t="n">
        <v>1.1851</v>
      </c>
      <c r="AK361" s="3" t="n">
        <v>-0.2299683281590999</v>
      </c>
      <c r="AL361" s="6" t="n">
        <v>0</v>
      </c>
      <c r="AM361" s="3" t="n">
        <v>0</v>
      </c>
      <c r="AN361" s="3" t="n">
        <v>0</v>
      </c>
      <c r="AO361" s="3" t="n">
        <v>0.022572</v>
      </c>
      <c r="AP361" s="3">
        <f>N(X361)*N(BI361)</f>
        <v/>
      </c>
      <c r="AQ361" s="3" t="n">
        <v>0</v>
      </c>
      <c r="AR361" s="3" t="n">
        <v>0</v>
      </c>
      <c r="AS361" s="3" t="n">
        <v>-0.365915508000572</v>
      </c>
      <c r="AT361" s="3" t="n">
        <v>-0.2299683281590999</v>
      </c>
      <c r="AU361" s="3">
        <f>SUM(AN361:AT361)</f>
        <v/>
      </c>
      <c r="AV361" s="7">
        <f>IF(OR(N(W361)&lt;=0,N(BG361)=0),0,N(W361)*IF(N(R361)/N(W361)&gt;=60,N(BG361),1))</f>
        <v/>
      </c>
      <c r="AW361" s="7">
        <f>N(W361)*N(AF361)*N(BH361)</f>
        <v/>
      </c>
      <c r="AX361" s="7">
        <f>N(AL361)*(Assumptions!$B$13*N(BJ361)-(1-Assumptions!$B$13)*Assumptions!$B$14)+N(AM361)</f>
        <v/>
      </c>
      <c r="AY361" s="7">
        <f>N(AU361)*N(R361)/90+N(AV361)+N(AW361)+N(AX361)</f>
        <v/>
      </c>
      <c r="AZ361" s="3">
        <f>IF(N(R361)&lt;=0,0,(N(AY361)-N(AX361))*90/N(R361))</f>
        <v/>
      </c>
      <c r="BA361" s="7">
        <f>IFERROR(AY361-VLOOKUP($E361,Assumptions!$A$40:$C$43,3,FALSE),"")</f>
        <v/>
      </c>
      <c r="BB361" s="3">
        <f>IFERROR(BA361/H361,"")</f>
        <v/>
      </c>
      <c r="BC361">
        <f>IF(AND($G361=TRUE,$E361="GKP"),AY361,"")</f>
        <v/>
      </c>
      <c r="BD361">
        <f>IF(AND($G361=TRUE,$E361="DEF"),AY361,"")</f>
        <v/>
      </c>
      <c r="BE361">
        <f>IF(AND($G361=TRUE,$E361="MID"),AY361,"")</f>
        <v/>
      </c>
      <c r="BF361">
        <f>IF(AND($G361=TRUE,$E361="FWD"),AY361,"")</f>
        <v/>
      </c>
      <c r="BG361" t="n">
        <v>2</v>
      </c>
      <c r="BH361" t="n">
        <v>2</v>
      </c>
      <c r="BI361" t="n">
        <v>4</v>
      </c>
      <c r="BJ361" t="n">
        <v>6</v>
      </c>
    </row>
    <row r="362">
      <c r="A362" t="inlineStr">
        <is>
          <t>Igor Julio</t>
        </is>
      </c>
      <c r="B362" t="inlineStr">
        <is>
          <t>BHA</t>
        </is>
      </c>
      <c r="C362" t="inlineStr">
        <is>
          <t>BHA</t>
        </is>
      </c>
      <c r="D362" t="b">
        <v>0</v>
      </c>
      <c r="E362" t="inlineStr">
        <is>
          <t>DEF</t>
        </is>
      </c>
      <c r="F362" t="inlineStr">
        <is>
          <t>DEF</t>
        </is>
      </c>
      <c r="G362" t="b">
        <v>1</v>
      </c>
      <c r="H362" s="2" t="n">
        <v>4.5</v>
      </c>
      <c r="I362" t="inlineStr">
        <is>
          <t>a</t>
        </is>
      </c>
      <c r="K362" s="2" t="n">
        <v>103</v>
      </c>
      <c r="L362" t="n">
        <v>6</v>
      </c>
      <c r="M362" s="3" t="n">
        <v>0</v>
      </c>
      <c r="N362" s="4" t="n">
        <v>200</v>
      </c>
      <c r="O362" s="4" t="n">
        <v>200</v>
      </c>
      <c r="P362" s="5" t="inlineStr">
        <is>
          <t>low</t>
        </is>
      </c>
      <c r="Q362" t="inlineStr">
        <is>
          <t>flat</t>
        </is>
      </c>
      <c r="R362" s="6" t="n">
        <v>200</v>
      </c>
      <c r="S362" t="inlineStr">
        <is>
          <t>research</t>
        </is>
      </c>
      <c r="T362" s="5" t="inlineStr">
        <is>
          <t>Solio gives him zero, but he is registered and available (FPL status 'a') and came on at 78' against Bologna, replacing Kadioglu. With van Hecke and Coppola both sold, he is emergency defensive cover. A small non-zero allocation, not a role claim.</t>
        </is>
      </c>
      <c r="U362" s="6" t="n">
        <v>85.90000000000001</v>
      </c>
      <c r="V362" s="2" t="n">
        <v>1</v>
      </c>
      <c r="W362" s="7">
        <f>IF(N(U362)&lt;=0,0,MIN(Assumptions!$B$15,N(R362)/N(U362)))</f>
        <v/>
      </c>
      <c r="X362" s="6" t="n">
        <v>0.252</v>
      </c>
      <c r="Y362" s="3" t="n">
        <v>0</v>
      </c>
      <c r="Z362" t="inlineStr">
        <is>
          <t>adjusted xGOT</t>
        </is>
      </c>
      <c r="AA362" s="3" t="n">
        <v>1</v>
      </c>
      <c r="AB362" s="3" t="n">
        <v>0.964</v>
      </c>
      <c r="AC362" s="3" t="n">
        <v>0.3</v>
      </c>
      <c r="AD362" s="3" t="n">
        <v>0.007900000000000001</v>
      </c>
      <c r="AE362" s="3" t="n">
        <v>8.145</v>
      </c>
      <c r="AF362" s="3" t="n">
        <v>0.2557540299648547</v>
      </c>
      <c r="AG362" s="3" t="n">
        <v>0</v>
      </c>
      <c r="AH362" s="3" t="n">
        <v>5</v>
      </c>
      <c r="AI362" s="3" t="n">
        <v>2.8404</v>
      </c>
      <c r="AJ362" s="3" t="n">
        <v>1.439</v>
      </c>
      <c r="AK362" s="3" t="n">
        <v>-0.2463997037147801</v>
      </c>
      <c r="AL362" s="6" t="n">
        <v>0</v>
      </c>
      <c r="AM362" s="3" t="n">
        <v>0</v>
      </c>
      <c r="AN362" s="3" t="n">
        <v>0</v>
      </c>
      <c r="AO362" s="3" t="n">
        <v>0.03128400000000001</v>
      </c>
      <c r="AP362" s="3">
        <f>N(X362)*N(BI362)</f>
        <v/>
      </c>
      <c r="AQ362" s="3" t="n">
        <v>0</v>
      </c>
      <c r="AR362" s="3" t="n">
        <v>0</v>
      </c>
      <c r="AS362" s="3" t="n">
        <v>-0.4835617861760246</v>
      </c>
      <c r="AT362" s="3" t="n">
        <v>-0.2463997037147801</v>
      </c>
      <c r="AU362" s="3">
        <f>SUM(AN362:AT362)</f>
        <v/>
      </c>
      <c r="AV362" s="7">
        <f>IF(OR(N(W362)&lt;=0,N(BG362)=0),0,N(W362)*IF(N(R362)/N(W362)&gt;=60,N(BG362),1))</f>
        <v/>
      </c>
      <c r="AW362" s="7">
        <f>N(W362)*N(AF362)*N(BH362)</f>
        <v/>
      </c>
      <c r="AX362" s="7">
        <f>N(AL362)*(Assumptions!$B$13*N(BJ362)-(1-Assumptions!$B$13)*Assumptions!$B$14)+N(AM362)</f>
        <v/>
      </c>
      <c r="AY362" s="7">
        <f>N(AU362)*N(R362)/90+N(AV362)+N(AW362)+N(AX362)</f>
        <v/>
      </c>
      <c r="AZ362" s="3">
        <f>IF(N(R362)&lt;=0,0,(N(AY362)-N(AX362))*90/N(R362))</f>
        <v/>
      </c>
      <c r="BA362" s="7">
        <f>IFERROR(AY362-VLOOKUP($E362,Assumptions!$A$40:$C$43,3,FALSE),"")</f>
        <v/>
      </c>
      <c r="BB362" s="3">
        <f>IFERROR(BA362/H362,"")</f>
        <v/>
      </c>
      <c r="BC362">
        <f>IF(AND($G362=TRUE,$E362="GKP"),AY362,"")</f>
        <v/>
      </c>
      <c r="BD362">
        <f>IF(AND($G362=TRUE,$E362="DEF"),AY362,"")</f>
        <v/>
      </c>
      <c r="BE362">
        <f>IF(AND($G362=TRUE,$E362="MID"),AY362,"")</f>
        <v/>
      </c>
      <c r="BF362">
        <f>IF(AND($G362=TRUE,$E362="FWD"),AY362,"")</f>
        <v/>
      </c>
      <c r="BG362" t="n">
        <v>2</v>
      </c>
      <c r="BH362" t="n">
        <v>2</v>
      </c>
      <c r="BI362" t="n">
        <v>4</v>
      </c>
      <c r="BJ362" t="n">
        <v>6</v>
      </c>
    </row>
    <row r="363">
      <c r="A363" t="inlineStr">
        <is>
          <t>Freddie Woodman</t>
        </is>
      </c>
      <c r="B363" t="inlineStr">
        <is>
          <t>LIV</t>
        </is>
      </c>
      <c r="C363" t="inlineStr">
        <is>
          <t>LIV</t>
        </is>
      </c>
      <c r="D363" t="b">
        <v>0</v>
      </c>
      <c r="E363" t="inlineStr">
        <is>
          <t>GKP</t>
        </is>
      </c>
      <c r="F363" t="inlineStr">
        <is>
          <t>GKP</t>
        </is>
      </c>
      <c r="G363" t="b">
        <v>1</v>
      </c>
      <c r="H363" s="2" t="n">
        <v>4</v>
      </c>
      <c r="I363" t="inlineStr">
        <is>
          <t>a</t>
        </is>
      </c>
      <c r="K363" s="2" t="n">
        <v>212</v>
      </c>
      <c r="L363" t="n">
        <v>6</v>
      </c>
      <c r="M363" s="3" t="n">
        <v>0</v>
      </c>
      <c r="N363" s="8" t="n">
        <v>0</v>
      </c>
      <c r="O363" s="8" t="n">
        <v>0</v>
      </c>
      <c r="Q363" t="inlineStr">
        <is>
          <t>flat</t>
        </is>
      </c>
      <c r="R363" s="6" t="n">
        <v>0</v>
      </c>
      <c r="S363" t="inlineStr">
        <is>
          <t>Solio</t>
        </is>
      </c>
      <c r="U363" s="6" t="n">
        <v>89.8</v>
      </c>
      <c r="V363" s="2" t="n">
        <v>2</v>
      </c>
      <c r="W363" s="7">
        <f>IF(N(U363)&lt;=0,0,MIN(Assumptions!$B$15,N(R363)/N(U363)))</f>
        <v/>
      </c>
      <c r="X363" s="6" t="n">
        <v>0.342</v>
      </c>
      <c r="Y363" s="3" t="n">
        <v>0</v>
      </c>
      <c r="Z363" t="inlineStr">
        <is>
          <t>blended xG</t>
        </is>
      </c>
      <c r="AA363" s="3" t="n">
        <v>1</v>
      </c>
      <c r="AB363" s="3" t="n">
        <v>1</v>
      </c>
      <c r="AC363" s="3" t="n">
        <v>0</v>
      </c>
      <c r="AD363" s="3" t="n">
        <v>0</v>
      </c>
      <c r="AE363" s="3" t="n">
        <v>0</v>
      </c>
      <c r="AF363" s="3" t="n">
        <v>0</v>
      </c>
      <c r="AG363" s="3" t="n">
        <v>0</v>
      </c>
      <c r="AH363" s="3" t="n">
        <v>5</v>
      </c>
      <c r="AI363" s="3" t="n">
        <v>2.409</v>
      </c>
      <c r="AJ363" s="3" t="n">
        <v>1.1228</v>
      </c>
      <c r="AK363" s="3" t="n">
        <v>-0.0669072954895517</v>
      </c>
      <c r="AL363" s="6" t="n">
        <v>0</v>
      </c>
      <c r="AM363" s="3" t="n">
        <v>0</v>
      </c>
      <c r="AN363" s="3" t="n">
        <v>0</v>
      </c>
      <c r="AO363" s="3" t="n">
        <v>0</v>
      </c>
      <c r="AP363" s="3">
        <f>N(X363)*N(BI363)</f>
        <v/>
      </c>
      <c r="AQ363" s="3" t="n">
        <v>0</v>
      </c>
      <c r="AR363" s="3" t="n">
        <v>0.4697511244203511</v>
      </c>
      <c r="AS363" s="3" t="n">
        <v>-0.3378660007281162</v>
      </c>
      <c r="AT363" s="3" t="n">
        <v>-0.0669072954895517</v>
      </c>
      <c r="AU363" s="3">
        <f>SUM(AN363:AT363)</f>
        <v/>
      </c>
      <c r="AV363" s="7">
        <f>IF(OR(N(W363)&lt;=0,N(BG363)=0),0,N(W363)*IF(N(R363)/N(W363)&gt;=60,N(BG363),1))</f>
        <v/>
      </c>
      <c r="AW363" s="7">
        <f>N(W363)*N(AF363)*N(BH363)</f>
        <v/>
      </c>
      <c r="AX363" s="7">
        <f>N(AL363)*(Assumptions!$B$13*N(BJ363)-(1-Assumptions!$B$13)*Assumptions!$B$14)+N(AM363)</f>
        <v/>
      </c>
      <c r="AY363" s="7">
        <f>N(AU363)*N(R363)/90+N(AV363)+N(AW363)+N(AX363)</f>
        <v/>
      </c>
      <c r="AZ363" s="3">
        <f>IF(N(R363)&lt;=0,0,(N(AY363)-N(AX363))*90/N(R363))</f>
        <v/>
      </c>
      <c r="BA363" s="7">
        <f>IFERROR(AY363-VLOOKUP($E363,Assumptions!$A$40:$C$43,3,FALSE),"")</f>
        <v/>
      </c>
      <c r="BB363" s="3">
        <f>IFERROR(BA363/H363,"")</f>
        <v/>
      </c>
      <c r="BC363">
        <f>IF(AND($G363=TRUE,$E363="GKP"),AY363,"")</f>
        <v/>
      </c>
      <c r="BD363">
        <f>IF(AND($G363=TRUE,$E363="DEF"),AY363,"")</f>
        <v/>
      </c>
      <c r="BE363">
        <f>IF(AND($G363=TRUE,$E363="MID"),AY363,"")</f>
        <v/>
      </c>
      <c r="BF363">
        <f>IF(AND($G363=TRUE,$E363="FWD"),AY363,"")</f>
        <v/>
      </c>
      <c r="BG363" t="n">
        <v>2</v>
      </c>
      <c r="BH363" t="n">
        <v>0</v>
      </c>
      <c r="BI363" t="n">
        <v>4</v>
      </c>
      <c r="BJ363" t="n">
        <v>10</v>
      </c>
    </row>
    <row r="364">
      <c r="A364" t="inlineStr">
        <is>
          <t>Trey Nyoni</t>
        </is>
      </c>
      <c r="B364" t="inlineStr">
        <is>
          <t>LIV</t>
        </is>
      </c>
      <c r="C364" t="inlineStr">
        <is>
          <t>LIV</t>
        </is>
      </c>
      <c r="D364" t="b">
        <v>0</v>
      </c>
      <c r="E364" t="inlineStr">
        <is>
          <t>MID</t>
        </is>
      </c>
      <c r="F364" t="inlineStr">
        <is>
          <t>MID</t>
        </is>
      </c>
      <c r="G364" t="b">
        <v>1</v>
      </c>
      <c r="H364" s="2" t="n">
        <v>5</v>
      </c>
      <c r="I364" t="inlineStr">
        <is>
          <t>a</t>
        </is>
      </c>
      <c r="K364" s="2" t="n">
        <v>21</v>
      </c>
      <c r="L364" t="n">
        <v>6</v>
      </c>
      <c r="M364" s="3" t="n">
        <v>24</v>
      </c>
      <c r="N364" s="4" t="n">
        <v>600</v>
      </c>
      <c r="O364" s="4" t="n">
        <v>576</v>
      </c>
      <c r="P364" s="5" t="inlineStr">
        <is>
          <t>medium</t>
        </is>
      </c>
      <c r="Q364" t="inlineStr">
        <is>
          <t>flat</t>
        </is>
      </c>
      <c r="R364" s="6" t="n">
        <v>600</v>
      </c>
      <c r="S364" t="inlineStr">
        <is>
          <t>research</t>
        </is>
      </c>
      <c r="T364" s="5" t="inlineStr">
        <is>
          <t>Solio gives Nyoni 24 minutes, which is not consistent with pre-season. He started the double pivot against Monaco, Jay Spearing called him the 'best player in pre-season', and This Is Anfield reports he 'could be next in the pecking order in the No. 6 berth' with 'seeing him start at St James' Park' now 'no great risk'. James McConnell is leaving on loan and Endo/Bajcetic are unreliable, so he is the fourth pivot option at worst.</t>
        </is>
      </c>
      <c r="U364" s="6" t="n">
        <v>80.09999999999999</v>
      </c>
      <c r="V364" s="2" t="n">
        <v>0</v>
      </c>
      <c r="W364" s="7">
        <f>IF(N(U364)&lt;=0,0,MIN(Assumptions!$B$15,N(R364)/N(U364)))</f>
        <v/>
      </c>
      <c r="X364" s="6" t="n">
        <v>0.342</v>
      </c>
      <c r="Y364" s="3" t="n">
        <v>1.5171</v>
      </c>
      <c r="Z364" t="inlineStr">
        <is>
          <t>adjusted xGOT</t>
        </is>
      </c>
      <c r="AA364" s="3" t="n">
        <v>1</v>
      </c>
      <c r="AB364" s="3" t="n">
        <v>0.956</v>
      </c>
      <c r="AC364" s="3" t="n">
        <v>0.4</v>
      </c>
      <c r="AD364" s="3" t="n">
        <v>0.0857</v>
      </c>
      <c r="AE364" s="3" t="n">
        <v>8.941000000000001</v>
      </c>
      <c r="AF364" s="3" t="n">
        <v>0.1088796835660499</v>
      </c>
      <c r="AG364" s="3" t="n">
        <v>0</v>
      </c>
      <c r="AH364" s="3" t="n">
        <v>6</v>
      </c>
      <c r="AI364" s="3" t="n">
        <v>2.409</v>
      </c>
      <c r="AJ364" s="3" t="n">
        <v>1.1228</v>
      </c>
      <c r="AK364" s="3" t="n">
        <v>-0.213177172507708</v>
      </c>
      <c r="AL364" s="6" t="n">
        <v>0</v>
      </c>
      <c r="AM364" s="3" t="n">
        <v>0</v>
      </c>
      <c r="AN364" s="3" t="n">
        <v>7.5855</v>
      </c>
      <c r="AO364" s="3" t="n">
        <v>0.339372</v>
      </c>
      <c r="AP364" s="3">
        <f>N(X364)*N(BI364)</f>
        <v/>
      </c>
      <c r="AQ364" s="3" t="n">
        <v>0</v>
      </c>
      <c r="AR364" s="3" t="n">
        <v>0</v>
      </c>
      <c r="AS364" s="3" t="n">
        <v>-0</v>
      </c>
      <c r="AT364" s="3" t="n">
        <v>-0.213177172507708</v>
      </c>
      <c r="AU364" s="3">
        <f>SUM(AN364:AT364)</f>
        <v/>
      </c>
      <c r="AV364" s="7">
        <f>IF(OR(N(W364)&lt;=0,N(BG364)=0),0,N(W364)*IF(N(R364)/N(W364)&gt;=60,N(BG364),1))</f>
        <v/>
      </c>
      <c r="AW364" s="7">
        <f>N(W364)*N(AF364)*N(BH364)</f>
        <v/>
      </c>
      <c r="AX364" s="7">
        <f>N(AL364)*(Assumptions!$B$13*N(BJ364)-(1-Assumptions!$B$13)*Assumptions!$B$14)+N(AM364)</f>
        <v/>
      </c>
      <c r="AY364" s="7">
        <f>N(AU364)*N(R364)/90+N(AV364)+N(AW364)+N(AX364)</f>
        <v/>
      </c>
      <c r="AZ364" s="3">
        <f>IF(N(R364)&lt;=0,0,(N(AY364)-N(AX364))*90/N(R364))</f>
        <v/>
      </c>
      <c r="BA364" s="7">
        <f>IFERROR(AY364-VLOOKUP($E364,Assumptions!$A$40:$C$43,3,FALSE),"")</f>
        <v/>
      </c>
      <c r="BB364" s="3">
        <f>IFERROR(BA364/H364,"")</f>
        <v/>
      </c>
      <c r="BC364">
        <f>IF(AND($G364=TRUE,$E364="GKP"),AY364,"")</f>
        <v/>
      </c>
      <c r="BD364">
        <f>IF(AND($G364=TRUE,$E364="DEF"),AY364,"")</f>
        <v/>
      </c>
      <c r="BE364">
        <f>IF(AND($G364=TRUE,$E364="MID"),AY364,"")</f>
        <v/>
      </c>
      <c r="BF364">
        <f>IF(AND($G364=TRUE,$E364="FWD"),AY364,"")</f>
        <v/>
      </c>
      <c r="BG364" t="n">
        <v>2</v>
      </c>
      <c r="BH364" t="n">
        <v>2</v>
      </c>
      <c r="BI364" t="n">
        <v>1</v>
      </c>
      <c r="BJ364" t="n">
        <v>5</v>
      </c>
    </row>
    <row r="365">
      <c r="A365" t="inlineStr">
        <is>
          <t>Borna Sosa</t>
        </is>
      </c>
      <c r="B365" t="inlineStr">
        <is>
          <t>CRY</t>
        </is>
      </c>
      <c r="C365" t="inlineStr">
        <is>
          <t>CRY</t>
        </is>
      </c>
      <c r="D365" t="b">
        <v>0</v>
      </c>
      <c r="E365" t="inlineStr">
        <is>
          <t>DEF</t>
        </is>
      </c>
      <c r="F365" t="inlineStr">
        <is>
          <t>DEF</t>
        </is>
      </c>
      <c r="G365" t="b">
        <v>1</v>
      </c>
      <c r="H365" s="2" t="n">
        <v>4.5</v>
      </c>
      <c r="I365" t="inlineStr">
        <is>
          <t>a</t>
        </is>
      </c>
      <c r="K365" s="2" t="n">
        <v>99</v>
      </c>
      <c r="L365" t="n">
        <v>6</v>
      </c>
      <c r="M365" s="3" t="n">
        <v>19</v>
      </c>
      <c r="N365" s="8" t="n">
        <v>19</v>
      </c>
      <c r="O365" s="8" t="n">
        <v>0</v>
      </c>
      <c r="Q365" t="inlineStr">
        <is>
          <t>flat</t>
        </is>
      </c>
      <c r="R365" s="6" t="n">
        <v>19</v>
      </c>
      <c r="S365" t="inlineStr">
        <is>
          <t>Solio</t>
        </is>
      </c>
      <c r="U365" s="6" t="n">
        <v>85.5</v>
      </c>
      <c r="V365" s="2" t="n">
        <v>0</v>
      </c>
      <c r="W365" s="7">
        <f>IF(N(U365)&lt;=0,0,MIN(Assumptions!$B$15,N(R365)/N(U365)))</f>
        <v/>
      </c>
      <c r="X365" s="6" t="n">
        <v>0.216</v>
      </c>
      <c r="Y365" s="3" t="n">
        <v>0.0364</v>
      </c>
      <c r="Z365" t="inlineStr">
        <is>
          <t>adjusted xGOT</t>
        </is>
      </c>
      <c r="AA365" s="3" t="n">
        <v>1</v>
      </c>
      <c r="AB365" s="3" t="n">
        <v>0.995</v>
      </c>
      <c r="AC365" s="3" t="n">
        <v>0</v>
      </c>
      <c r="AD365" s="3" t="n">
        <v>0.0665</v>
      </c>
      <c r="AE365" s="3" t="n">
        <v>7.745</v>
      </c>
      <c r="AF365" s="3" t="n">
        <v>0.2075512943046414</v>
      </c>
      <c r="AG365" s="3" t="n">
        <v>0</v>
      </c>
      <c r="AH365" s="3" t="n">
        <v>7</v>
      </c>
      <c r="AI365" s="3" t="n">
        <v>3.2035</v>
      </c>
      <c r="AJ365" s="3" t="n">
        <v>1.5923</v>
      </c>
      <c r="AK365" s="3" t="n">
        <v>-0.2512094286033083</v>
      </c>
      <c r="AL365" s="6" t="n">
        <v>0</v>
      </c>
      <c r="AM365" s="3" t="n">
        <v>0</v>
      </c>
      <c r="AN365" s="3" t="n">
        <v>0.2184</v>
      </c>
      <c r="AO365" s="3" t="n">
        <v>0.26334</v>
      </c>
      <c r="AP365" s="3">
        <f>N(X365)*N(BI365)</f>
        <v/>
      </c>
      <c r="AQ365" s="3" t="n">
        <v>0</v>
      </c>
      <c r="AR365" s="3" t="n">
        <v>0</v>
      </c>
      <c r="AS365" s="3" t="n">
        <v>-0.5564987001023466</v>
      </c>
      <c r="AT365" s="3" t="n">
        <v>-0.2512094286033083</v>
      </c>
      <c r="AU365" s="3">
        <f>SUM(AN365:AT365)</f>
        <v/>
      </c>
      <c r="AV365" s="7">
        <f>IF(OR(N(W365)&lt;=0,N(BG365)=0),0,N(W365)*IF(N(R365)/N(W365)&gt;=60,N(BG365),1))</f>
        <v/>
      </c>
      <c r="AW365" s="7">
        <f>N(W365)*N(AF365)*N(BH365)</f>
        <v/>
      </c>
      <c r="AX365" s="7">
        <f>N(AL365)*(Assumptions!$B$13*N(BJ365)-(1-Assumptions!$B$13)*Assumptions!$B$14)+N(AM365)</f>
        <v/>
      </c>
      <c r="AY365" s="7">
        <f>N(AU365)*N(R365)/90+N(AV365)+N(AW365)+N(AX365)</f>
        <v/>
      </c>
      <c r="AZ365" s="3">
        <f>IF(N(R365)&lt;=0,0,(N(AY365)-N(AX365))*90/N(R365))</f>
        <v/>
      </c>
      <c r="BA365" s="7">
        <f>IFERROR(AY365-VLOOKUP($E365,Assumptions!$A$40:$C$43,3,FALSE),"")</f>
        <v/>
      </c>
      <c r="BB365" s="3">
        <f>IFERROR(BA365/H365,"")</f>
        <v/>
      </c>
      <c r="BC365">
        <f>IF(AND($G365=TRUE,$E365="GKP"),AY365,"")</f>
        <v/>
      </c>
      <c r="BD365">
        <f>IF(AND($G365=TRUE,$E365="DEF"),AY365,"")</f>
        <v/>
      </c>
      <c r="BE365">
        <f>IF(AND($G365=TRUE,$E365="MID"),AY365,"")</f>
        <v/>
      </c>
      <c r="BF365">
        <f>IF(AND($G365=TRUE,$E365="FWD"),AY365,"")</f>
        <v/>
      </c>
      <c r="BG365" t="n">
        <v>2</v>
      </c>
      <c r="BH365" t="n">
        <v>2</v>
      </c>
      <c r="BI365" t="n">
        <v>4</v>
      </c>
      <c r="BJ365" t="n">
        <v>6</v>
      </c>
    </row>
    <row r="366">
      <c r="A366" t="inlineStr">
        <is>
          <t>Jonah Kusi-Asare</t>
        </is>
      </c>
      <c r="B366" t="inlineStr">
        <is>
          <t>FUL</t>
        </is>
      </c>
      <c r="C366" t="inlineStr">
        <is>
          <t>FUL</t>
        </is>
      </c>
      <c r="D366" t="b">
        <v>0</v>
      </c>
      <c r="E366" t="inlineStr">
        <is>
          <t>FWD</t>
        </is>
      </c>
      <c r="F366" t="inlineStr">
        <is>
          <t>FWD</t>
        </is>
      </c>
      <c r="G366" t="b">
        <v>1</v>
      </c>
      <c r="H366" s="2" t="n">
        <v>4.5</v>
      </c>
      <c r="I366" t="inlineStr">
        <is>
          <t>a</t>
        </is>
      </c>
      <c r="K366" s="2" t="n">
        <v>49</v>
      </c>
      <c r="L366" t="n">
        <v>6</v>
      </c>
      <c r="M366" s="3" t="n">
        <v>42</v>
      </c>
      <c r="N366" s="8" t="n">
        <v>42</v>
      </c>
      <c r="O366" s="8" t="n">
        <v>0</v>
      </c>
      <c r="Q366" t="inlineStr">
        <is>
          <t>flat</t>
        </is>
      </c>
      <c r="R366" s="6" t="n">
        <v>42</v>
      </c>
      <c r="S366" t="inlineStr">
        <is>
          <t>Solio</t>
        </is>
      </c>
      <c r="U366" s="6" t="n">
        <v>78.5</v>
      </c>
      <c r="V366" s="2" t="n">
        <v>0</v>
      </c>
      <c r="W366" s="7">
        <f>IF(N(U366)&lt;=0,0,MIN(Assumptions!$B$15,N(R366)/N(U366)))</f>
        <v/>
      </c>
      <c r="X366" s="6" t="n">
        <v>0.214</v>
      </c>
      <c r="Y366" s="3" t="n">
        <v>0</v>
      </c>
      <c r="Z366" t="inlineStr">
        <is>
          <t>blended xG</t>
        </is>
      </c>
      <c r="AA366" s="3" t="n">
        <v>1</v>
      </c>
      <c r="AB366" s="3" t="n">
        <v>1</v>
      </c>
      <c r="AC366" s="3" t="n">
        <v>0</v>
      </c>
      <c r="AD366" s="3" t="n">
        <v>0.1396</v>
      </c>
      <c r="AE366" s="3" t="n">
        <v>5.073</v>
      </c>
      <c r="AF366" s="3" t="n">
        <v>0.002100493216263044</v>
      </c>
      <c r="AG366" s="3" t="n">
        <v>0</v>
      </c>
      <c r="AH366" s="3" t="n">
        <v>7</v>
      </c>
      <c r="AI366" s="3" t="n">
        <v>3.22</v>
      </c>
      <c r="AJ366" s="3" t="n">
        <v>1.6019</v>
      </c>
      <c r="AK366" s="3" t="n">
        <v>-0.2297683987519763</v>
      </c>
      <c r="AL366" s="6" t="n">
        <v>0</v>
      </c>
      <c r="AM366" s="3" t="n">
        <v>0</v>
      </c>
      <c r="AN366" s="3" t="n">
        <v>0</v>
      </c>
      <c r="AO366" s="3" t="n">
        <v>0.5528160000000001</v>
      </c>
      <c r="AP366" s="3">
        <f>N(X366)*N(BI366)</f>
        <v/>
      </c>
      <c r="AQ366" s="3" t="n">
        <v>0</v>
      </c>
      <c r="AR366" s="3" t="n">
        <v>0</v>
      </c>
      <c r="AS366" s="3" t="n">
        <v>-0</v>
      </c>
      <c r="AT366" s="3" t="n">
        <v>-0.2297683987519763</v>
      </c>
      <c r="AU366" s="3">
        <f>SUM(AN366:AT366)</f>
        <v/>
      </c>
      <c r="AV366" s="7">
        <f>IF(OR(N(W366)&lt;=0,N(BG366)=0),0,N(W366)*IF(N(R366)/N(W366)&gt;=60,N(BG366),1))</f>
        <v/>
      </c>
      <c r="AW366" s="7">
        <f>N(W366)*N(AF366)*N(BH366)</f>
        <v/>
      </c>
      <c r="AX366" s="7">
        <f>N(AL366)*(Assumptions!$B$13*N(BJ366)-(1-Assumptions!$B$13)*Assumptions!$B$14)+N(AM366)</f>
        <v/>
      </c>
      <c r="AY366" s="7">
        <f>N(AU366)*N(R366)/90+N(AV366)+N(AW366)+N(AX366)</f>
        <v/>
      </c>
      <c r="AZ366" s="3">
        <f>IF(N(R366)&lt;=0,0,(N(AY366)-N(AX366))*90/N(R366))</f>
        <v/>
      </c>
      <c r="BA366" s="7">
        <f>IFERROR(AY366-VLOOKUP($E366,Assumptions!$A$40:$C$43,3,FALSE),"")</f>
        <v/>
      </c>
      <c r="BB366" s="3">
        <f>IFERROR(BA366/H366,"")</f>
        <v/>
      </c>
      <c r="BC366">
        <f>IF(AND($G366=TRUE,$E366="GKP"),AY366,"")</f>
        <v/>
      </c>
      <c r="BD366">
        <f>IF(AND($G366=TRUE,$E366="DEF"),AY366,"")</f>
        <v/>
      </c>
      <c r="BE366">
        <f>IF(AND($G366=TRUE,$E366="MID"),AY366,"")</f>
        <v/>
      </c>
      <c r="BF366">
        <f>IF(AND($G366=TRUE,$E366="FWD"),AY366,"")</f>
        <v/>
      </c>
      <c r="BG366" t="n">
        <v>2</v>
      </c>
      <c r="BH366" t="n">
        <v>2</v>
      </c>
      <c r="BI366" t="n">
        <v>0</v>
      </c>
      <c r="BJ366" t="n">
        <v>4</v>
      </c>
    </row>
    <row r="367">
      <c r="A367" t="inlineStr">
        <is>
          <t>Andrés García</t>
        </is>
      </c>
      <c r="B367" t="inlineStr">
        <is>
          <t>AVL</t>
        </is>
      </c>
      <c r="C367" t="inlineStr">
        <is>
          <t>AVL</t>
        </is>
      </c>
      <c r="D367" t="b">
        <v>0</v>
      </c>
      <c r="E367" t="inlineStr">
        <is>
          <t>DEF</t>
        </is>
      </c>
      <c r="F367" t="inlineStr">
        <is>
          <t>DEF</t>
        </is>
      </c>
      <c r="G367" t="b">
        <v>1</v>
      </c>
      <c r="H367" s="2" t="n">
        <v>4</v>
      </c>
      <c r="I367" t="inlineStr">
        <is>
          <t>a</t>
        </is>
      </c>
      <c r="K367" s="2" t="n">
        <v>83</v>
      </c>
      <c r="L367" t="n">
        <v>5</v>
      </c>
      <c r="M367" s="3" t="n">
        <v>0</v>
      </c>
      <c r="N367" s="8" t="n">
        <v>0</v>
      </c>
      <c r="O367" s="8" t="n">
        <v>0</v>
      </c>
      <c r="Q367" t="inlineStr">
        <is>
          <t>flat</t>
        </is>
      </c>
      <c r="R367" s="6" t="n">
        <v>0</v>
      </c>
      <c r="S367" t="inlineStr">
        <is>
          <t>Solio</t>
        </is>
      </c>
      <c r="U367" s="6" t="n">
        <v>81.8</v>
      </c>
      <c r="V367" s="2" t="n">
        <v>1</v>
      </c>
      <c r="W367" s="7">
        <f>IF(N(U367)&lt;=0,0,MIN(Assumptions!$B$15,N(R367)/N(U367)))</f>
        <v/>
      </c>
      <c r="X367" s="6" t="n">
        <v>0.273</v>
      </c>
      <c r="Y367" s="3" t="n">
        <v>0</v>
      </c>
      <c r="Z367" t="inlineStr">
        <is>
          <t>adjusted xGOT</t>
        </is>
      </c>
      <c r="AA367" s="3" t="n">
        <v>1</v>
      </c>
      <c r="AB367" s="3" t="n">
        <v>0.995</v>
      </c>
      <c r="AC367" s="3" t="n">
        <v>0</v>
      </c>
      <c r="AD367" s="3" t="n">
        <v>0.0054</v>
      </c>
      <c r="AE367" s="3" t="n">
        <v>8.010999999999999</v>
      </c>
      <c r="AF367" s="3" t="n">
        <v>0.1991141835987874</v>
      </c>
      <c r="AG367" s="3" t="n">
        <v>0</v>
      </c>
      <c r="AH367" s="3" t="n">
        <v>6</v>
      </c>
      <c r="AI367" s="3" t="n">
        <v>2.7451</v>
      </c>
      <c r="AJ367" s="3" t="n">
        <v>1.3575</v>
      </c>
      <c r="AK367" s="3" t="n">
        <v>-0.1753424416146007</v>
      </c>
      <c r="AL367" s="6" t="n">
        <v>0</v>
      </c>
      <c r="AM367" s="3" t="n">
        <v>0</v>
      </c>
      <c r="AN367" s="3" t="n">
        <v>0</v>
      </c>
      <c r="AO367" s="3" t="n">
        <v>0.021384</v>
      </c>
      <c r="AP367" s="3">
        <f>N(X367)*N(BI367)</f>
        <v/>
      </c>
      <c r="AQ367" s="3" t="n">
        <v>0</v>
      </c>
      <c r="AR367" s="3" t="n">
        <v>0</v>
      </c>
      <c r="AS367" s="3" t="n">
        <v>-0.4453012382517575</v>
      </c>
      <c r="AT367" s="3" t="n">
        <v>-0.1753424416146007</v>
      </c>
      <c r="AU367" s="3">
        <f>SUM(AN367:AT367)</f>
        <v/>
      </c>
      <c r="AV367" s="7">
        <f>IF(OR(N(W367)&lt;=0,N(BG367)=0),0,N(W367)*IF(N(R367)/N(W367)&gt;=60,N(BG367),1))</f>
        <v/>
      </c>
      <c r="AW367" s="7">
        <f>N(W367)*N(AF367)*N(BH367)</f>
        <v/>
      </c>
      <c r="AX367" s="7">
        <f>N(AL367)*(Assumptions!$B$13*N(BJ367)-(1-Assumptions!$B$13)*Assumptions!$B$14)+N(AM367)</f>
        <v/>
      </c>
      <c r="AY367" s="7">
        <f>N(AU367)*N(R367)/90+N(AV367)+N(AW367)+N(AX367)</f>
        <v/>
      </c>
      <c r="AZ367" s="3">
        <f>IF(N(R367)&lt;=0,0,(N(AY367)-N(AX367))*90/N(R367))</f>
        <v/>
      </c>
      <c r="BA367" s="7">
        <f>IFERROR(AY367-VLOOKUP($E367,Assumptions!$A$40:$C$43,3,FALSE),"")</f>
        <v/>
      </c>
      <c r="BB367" s="3">
        <f>IFERROR(BA367/H367,"")</f>
        <v/>
      </c>
      <c r="BC367">
        <f>IF(AND($G367=TRUE,$E367="GKP"),AY367,"")</f>
        <v/>
      </c>
      <c r="BD367">
        <f>IF(AND($G367=TRUE,$E367="DEF"),AY367,"")</f>
        <v/>
      </c>
      <c r="BE367">
        <f>IF(AND($G367=TRUE,$E367="MID"),AY367,"")</f>
        <v/>
      </c>
      <c r="BF367">
        <f>IF(AND($G367=TRUE,$E367="FWD"),AY367,"")</f>
        <v/>
      </c>
      <c r="BG367" t="n">
        <v>2</v>
      </c>
      <c r="BH367" t="n">
        <v>2</v>
      </c>
      <c r="BI367" t="n">
        <v>4</v>
      </c>
      <c r="BJ367" t="n">
        <v>6</v>
      </c>
    </row>
    <row r="368">
      <c r="A368" t="inlineStr">
        <is>
          <t>Max Alleyne</t>
        </is>
      </c>
      <c r="B368" t="inlineStr">
        <is>
          <t>MCI</t>
        </is>
      </c>
      <c r="C368" t="inlineStr">
        <is>
          <t>MCI</t>
        </is>
      </c>
      <c r="D368" t="b">
        <v>0</v>
      </c>
      <c r="E368" t="inlineStr">
        <is>
          <t>DEF</t>
        </is>
      </c>
      <c r="F368" t="inlineStr">
        <is>
          <t>DEF</t>
        </is>
      </c>
      <c r="G368" t="b">
        <v>1</v>
      </c>
      <c r="H368" s="2" t="n">
        <v>5</v>
      </c>
      <c r="I368" t="inlineStr">
        <is>
          <t>a</t>
        </is>
      </c>
      <c r="K368" s="2" t="n">
        <v>135</v>
      </c>
      <c r="L368" t="n">
        <v>5</v>
      </c>
      <c r="M368" s="3" t="n">
        <v>0</v>
      </c>
      <c r="N368" s="8" t="n">
        <v>0</v>
      </c>
      <c r="O368" s="8" t="n">
        <v>0</v>
      </c>
      <c r="Q368" t="inlineStr">
        <is>
          <t>flat</t>
        </is>
      </c>
      <c r="R368" s="6" t="n">
        <v>0</v>
      </c>
      <c r="S368" t="inlineStr">
        <is>
          <t>Solio</t>
        </is>
      </c>
      <c r="U368" s="6" t="n">
        <v>82.5</v>
      </c>
      <c r="V368" s="2" t="n">
        <v>2</v>
      </c>
      <c r="W368" s="7">
        <f>IF(N(U368)&lt;=0,0,MIN(Assumptions!$B$15,N(R368)/N(U368)))</f>
        <v/>
      </c>
      <c r="X368" s="6" t="n">
        <v>0.371</v>
      </c>
      <c r="Y368" s="3" t="n">
        <v>0.174</v>
      </c>
      <c r="Z368" t="inlineStr">
        <is>
          <t>adjusted xGOT</t>
        </is>
      </c>
      <c r="AA368" s="3" t="n">
        <v>1</v>
      </c>
      <c r="AB368" s="3" t="n">
        <v>1.005</v>
      </c>
      <c r="AC368" s="3" t="n">
        <v>0.3</v>
      </c>
      <c r="AD368" s="3" t="n">
        <v>0.0307</v>
      </c>
      <c r="AE368" s="3" t="n">
        <v>7.629</v>
      </c>
      <c r="AF368" s="3" t="n">
        <v>0.1688202418076172</v>
      </c>
      <c r="AG368" s="3" t="n">
        <v>0</v>
      </c>
      <c r="AH368" s="3" t="n">
        <v>3</v>
      </c>
      <c r="AI368" s="3" t="n">
        <v>1.9737</v>
      </c>
      <c r="AJ368" s="3" t="n">
        <v>1.0365</v>
      </c>
      <c r="AK368" s="3" t="n">
        <v>-0.1888091913528987</v>
      </c>
      <c r="AL368" s="6" t="n">
        <v>0</v>
      </c>
      <c r="AM368" s="3" t="n">
        <v>0</v>
      </c>
      <c r="AN368" s="3" t="n">
        <v>1.044</v>
      </c>
      <c r="AO368" s="3" t="n">
        <v>0.121572</v>
      </c>
      <c r="AP368" s="3">
        <f>N(X368)*N(BI368)</f>
        <v/>
      </c>
      <c r="AQ368" s="3" t="n">
        <v>0</v>
      </c>
      <c r="AR368" s="3" t="n">
        <v>0</v>
      </c>
      <c r="AS368" s="3" t="n">
        <v>-0.2997019479071323</v>
      </c>
      <c r="AT368" s="3" t="n">
        <v>-0.1888091913528987</v>
      </c>
      <c r="AU368" s="3">
        <f>SUM(AN368:AT368)</f>
        <v/>
      </c>
      <c r="AV368" s="7">
        <f>IF(OR(N(W368)&lt;=0,N(BG368)=0),0,N(W368)*IF(N(R368)/N(W368)&gt;=60,N(BG368),1))</f>
        <v/>
      </c>
      <c r="AW368" s="7">
        <f>N(W368)*N(AF368)*N(BH368)</f>
        <v/>
      </c>
      <c r="AX368" s="7">
        <f>N(AL368)*(Assumptions!$B$13*N(BJ368)-(1-Assumptions!$B$13)*Assumptions!$B$14)+N(AM368)</f>
        <v/>
      </c>
      <c r="AY368" s="7">
        <f>N(AU368)*N(R368)/90+N(AV368)+N(AW368)+N(AX368)</f>
        <v/>
      </c>
      <c r="AZ368" s="3">
        <f>IF(N(R368)&lt;=0,0,(N(AY368)-N(AX368))*90/N(R368))</f>
        <v/>
      </c>
      <c r="BA368" s="7">
        <f>IFERROR(AY368-VLOOKUP($E368,Assumptions!$A$40:$C$43,3,FALSE),"")</f>
        <v/>
      </c>
      <c r="BB368" s="3">
        <f>IFERROR(BA368/H368,"")</f>
        <v/>
      </c>
      <c r="BC368">
        <f>IF(AND($G368=TRUE,$E368="GKP"),AY368,"")</f>
        <v/>
      </c>
      <c r="BD368">
        <f>IF(AND($G368=TRUE,$E368="DEF"),AY368,"")</f>
        <v/>
      </c>
      <c r="BE368">
        <f>IF(AND($G368=TRUE,$E368="MID"),AY368,"")</f>
        <v/>
      </c>
      <c r="BF368">
        <f>IF(AND($G368=TRUE,$E368="FWD"),AY368,"")</f>
        <v/>
      </c>
      <c r="BG368" t="n">
        <v>2</v>
      </c>
      <c r="BH368" t="n">
        <v>2</v>
      </c>
      <c r="BI368" t="n">
        <v>4</v>
      </c>
      <c r="BJ368" t="n">
        <v>6</v>
      </c>
    </row>
    <row r="369">
      <c r="A369" s="9" t="inlineStr">
        <is>
          <t>Harvey Elliott</t>
        </is>
      </c>
      <c r="B369" t="inlineStr">
        <is>
          <t>LIV</t>
        </is>
      </c>
      <c r="C369" s="9" t="inlineStr">
        <is>
          <t>AVL</t>
        </is>
      </c>
      <c r="D369" t="b">
        <v>1</v>
      </c>
      <c r="E369" t="inlineStr">
        <is>
          <t>MID</t>
        </is>
      </c>
      <c r="F369" t="inlineStr">
        <is>
          <t>MID</t>
        </is>
      </c>
      <c r="G369" t="b">
        <v>1</v>
      </c>
      <c r="H369" s="2" t="n">
        <v>5.5</v>
      </c>
      <c r="I369" t="inlineStr">
        <is>
          <t>a</t>
        </is>
      </c>
      <c r="K369" s="2" t="n">
        <v>110</v>
      </c>
      <c r="L369" t="n">
        <v>5</v>
      </c>
      <c r="M369" s="3" t="n">
        <v>103</v>
      </c>
      <c r="N369" s="8" t="n">
        <v>103</v>
      </c>
      <c r="O369" s="8" t="n">
        <v>0</v>
      </c>
      <c r="Q369" t="inlineStr">
        <is>
          <t>flat</t>
        </is>
      </c>
      <c r="R369" s="6" t="n">
        <v>103</v>
      </c>
      <c r="S369" t="inlineStr">
        <is>
          <t>Solio</t>
        </is>
      </c>
      <c r="U369" s="6" t="n">
        <v>76.90000000000001</v>
      </c>
      <c r="V369" s="2" t="n">
        <v>1</v>
      </c>
      <c r="W369" s="7">
        <f>IF(N(U369)&lt;=0,0,MIN(Assumptions!$B$15,N(R369)/N(U369)))</f>
        <v/>
      </c>
      <c r="X369" s="6" t="n">
        <v>0.342</v>
      </c>
      <c r="Y369" s="10" t="n">
        <v>0.2324</v>
      </c>
      <c r="Z369" t="inlineStr">
        <is>
          <t>adjusted xGOT</t>
        </is>
      </c>
      <c r="AA369" s="3" t="n">
        <v>1</v>
      </c>
      <c r="AB369" s="3" t="n">
        <v>0.979</v>
      </c>
      <c r="AC369" s="3" t="n">
        <v>6.9</v>
      </c>
      <c r="AD369" s="10" t="n">
        <v>0.0711</v>
      </c>
      <c r="AE369" s="3" t="n">
        <v>8.090999999999999</v>
      </c>
      <c r="AF369" s="3" t="n">
        <v>0.04953021069003405</v>
      </c>
      <c r="AG369" s="3" t="n">
        <v>0</v>
      </c>
      <c r="AH369" s="3" t="n">
        <v>5</v>
      </c>
      <c r="AI369" s="3" t="n">
        <v>2.409</v>
      </c>
      <c r="AJ369" s="3" t="n">
        <v>1.1228</v>
      </c>
      <c r="AK369" s="3" t="n">
        <v>-0.1964678019663589</v>
      </c>
      <c r="AL369" s="6" t="n">
        <v>0</v>
      </c>
      <c r="AM369" s="3" t="n">
        <v>0</v>
      </c>
      <c r="AN369" s="10" t="n">
        <v>1.162</v>
      </c>
      <c r="AO369" s="10" t="n">
        <v>0.281556</v>
      </c>
      <c r="AP369" s="3">
        <f>N(X369)*N(BI369)</f>
        <v/>
      </c>
      <c r="AQ369" s="3" t="n">
        <v>0</v>
      </c>
      <c r="AR369" s="3" t="n">
        <v>0</v>
      </c>
      <c r="AS369" s="3" t="n">
        <v>-0</v>
      </c>
      <c r="AT369" s="3" t="n">
        <v>-0.1964678019663589</v>
      </c>
      <c r="AU369" s="3">
        <f>SUM(AN369:AT369)</f>
        <v/>
      </c>
      <c r="AV369" s="7">
        <f>IF(OR(N(W369)&lt;=0,N(BG369)=0),0,N(W369)*IF(N(R369)/N(W369)&gt;=60,N(BG369),1))</f>
        <v/>
      </c>
      <c r="AW369" s="7">
        <f>N(W369)*N(AF369)*N(BH369)</f>
        <v/>
      </c>
      <c r="AX369" s="7">
        <f>N(AL369)*(Assumptions!$B$13*N(BJ369)-(1-Assumptions!$B$13)*Assumptions!$B$14)+N(AM369)</f>
        <v/>
      </c>
      <c r="AY369" s="7">
        <f>N(AU369)*N(R369)/90+N(AV369)+N(AW369)+N(AX369)</f>
        <v/>
      </c>
      <c r="AZ369" s="3">
        <f>IF(N(R369)&lt;=0,0,(N(AY369)-N(AX369))*90/N(R369))</f>
        <v/>
      </c>
      <c r="BA369" s="7">
        <f>IFERROR(AY369-VLOOKUP($E369,Assumptions!$A$40:$C$43,3,FALSE),"")</f>
        <v/>
      </c>
      <c r="BB369" s="3">
        <f>IFERROR(BA369/H369,"")</f>
        <v/>
      </c>
      <c r="BC369">
        <f>IF(AND($G369=TRUE,$E369="GKP"),AY369,"")</f>
        <v/>
      </c>
      <c r="BD369">
        <f>IF(AND($G369=TRUE,$E369="DEF"),AY369,"")</f>
        <v/>
      </c>
      <c r="BE369">
        <f>IF(AND($G369=TRUE,$E369="MID"),AY369,"")</f>
        <v/>
      </c>
      <c r="BF369">
        <f>IF(AND($G369=TRUE,$E369="FWD"),AY369,"")</f>
        <v/>
      </c>
      <c r="BG369" t="n">
        <v>2</v>
      </c>
      <c r="BH369" t="n">
        <v>2</v>
      </c>
      <c r="BI369" t="n">
        <v>1</v>
      </c>
      <c r="BJ369" t="n">
        <v>5</v>
      </c>
    </row>
    <row r="370">
      <c r="A370" t="inlineStr">
        <is>
          <t>Tom Watson</t>
        </is>
      </c>
      <c r="B370" t="inlineStr">
        <is>
          <t>BHA</t>
        </is>
      </c>
      <c r="C370" t="inlineStr">
        <is>
          <t>BHA</t>
        </is>
      </c>
      <c r="D370" t="b">
        <v>0</v>
      </c>
      <c r="E370" t="inlineStr">
        <is>
          <t>MID</t>
        </is>
      </c>
      <c r="F370" t="inlineStr">
        <is>
          <t>MID</t>
        </is>
      </c>
      <c r="G370" t="b">
        <v>1</v>
      </c>
      <c r="H370" s="2" t="n">
        <v>5</v>
      </c>
      <c r="I370" t="inlineStr">
        <is>
          <t>u</t>
        </is>
      </c>
      <c r="J370" t="inlineStr">
        <is>
          <t>Has joined Leicester City on loan for the rest of the season</t>
        </is>
      </c>
      <c r="K370" s="2" t="n">
        <v>57</v>
      </c>
      <c r="L370" t="n">
        <v>5</v>
      </c>
      <c r="M370" s="3" t="n"/>
      <c r="N370" s="4" t="n">
        <v>0</v>
      </c>
      <c r="O370" s="4" t="n">
        <v>-57</v>
      </c>
      <c r="P370" s="5" t="inlineStr">
        <is>
          <t>high</t>
        </is>
      </c>
      <c r="R370" s="6" t="n">
        <v>0</v>
      </c>
      <c r="S370" t="inlineStr">
        <is>
          <t>research</t>
        </is>
      </c>
      <c r="T370" s="5" t="inlineStr">
        <is>
          <t>Joined Leicester City on loan for the rest of the season on 1 Aug 2026 (FPL status 'u', news added 2026-08-03). Leicester are not in the Premier League, so no Premier League minutes are possible.</t>
        </is>
      </c>
      <c r="U370" s="6" t="n">
        <v>80.09999999999999</v>
      </c>
      <c r="V370" s="2" t="n">
        <v>0</v>
      </c>
      <c r="W370" s="7">
        <f>IF(N(U370)&lt;=0,0,MIN(Assumptions!$B$15,N(R370)/N(U370)))</f>
        <v/>
      </c>
      <c r="X370" s="6" t="n">
        <v>0.252</v>
      </c>
      <c r="Y370" s="3" t="n">
        <v>0.06469999999999999</v>
      </c>
      <c r="Z370" t="inlineStr">
        <is>
          <t>adjusted xGOT</t>
        </is>
      </c>
      <c r="AA370" s="3" t="n">
        <v>1</v>
      </c>
      <c r="AB370" s="3" t="n">
        <v>1.02</v>
      </c>
      <c r="AC370" s="3" t="n">
        <v>0</v>
      </c>
      <c r="AD370" s="3" t="n">
        <v>0.0237</v>
      </c>
      <c r="AE370" s="3" t="n">
        <v>8.526999999999999</v>
      </c>
      <c r="AF370" s="3" t="n">
        <v>0.08455977540337023</v>
      </c>
      <c r="AG370" s="3" t="n">
        <v>0</v>
      </c>
      <c r="AH370" s="3" t="n">
        <v>6</v>
      </c>
      <c r="AI370" s="3" t="n">
        <v>2.8404</v>
      </c>
      <c r="AJ370" s="3" t="n">
        <v>1.439</v>
      </c>
      <c r="AK370" s="3" t="n">
        <v>-0.2685709411675041</v>
      </c>
      <c r="AL370" s="6" t="n">
        <v>0</v>
      </c>
      <c r="AM370" s="3" t="n">
        <v>0</v>
      </c>
      <c r="AN370" s="3" t="n">
        <v>0.3235</v>
      </c>
      <c r="AO370" s="3" t="n">
        <v>0.093852</v>
      </c>
      <c r="AP370" s="3">
        <f>N(X370)*N(BI370)</f>
        <v/>
      </c>
      <c r="AQ370" s="3" t="n">
        <v>0</v>
      </c>
      <c r="AR370" s="3" t="n">
        <v>0</v>
      </c>
      <c r="AS370" s="3" t="n">
        <v>-0</v>
      </c>
      <c r="AT370" s="3" t="n">
        <v>-0.2685709411675041</v>
      </c>
      <c r="AU370" s="3">
        <f>SUM(AN370:AT370)</f>
        <v/>
      </c>
      <c r="AV370" s="7">
        <f>IF(OR(N(W370)&lt;=0,N(BG370)=0),0,N(W370)*IF(N(R370)/N(W370)&gt;=60,N(BG370),1))</f>
        <v/>
      </c>
      <c r="AW370" s="7">
        <f>N(W370)*N(AF370)*N(BH370)</f>
        <v/>
      </c>
      <c r="AX370" s="7">
        <f>N(AL370)*(Assumptions!$B$13*N(BJ370)-(1-Assumptions!$B$13)*Assumptions!$B$14)+N(AM370)</f>
        <v/>
      </c>
      <c r="AY370" s="7">
        <f>N(AU370)*N(R370)/90+N(AV370)+N(AW370)+N(AX370)</f>
        <v/>
      </c>
      <c r="AZ370" s="3">
        <f>IF(N(R370)&lt;=0,0,(N(AY370)-N(AX370))*90/N(R370))</f>
        <v/>
      </c>
      <c r="BA370" s="7">
        <f>IFERROR(AY370-VLOOKUP($E370,Assumptions!$A$40:$C$43,3,FALSE),"")</f>
        <v/>
      </c>
      <c r="BB370" s="3">
        <f>IFERROR(BA370/H370,"")</f>
        <v/>
      </c>
      <c r="BC370">
        <f>IF(AND($G370=TRUE,$E370="GKP"),AY370,"")</f>
        <v/>
      </c>
      <c r="BD370">
        <f>IF(AND($G370=TRUE,$E370="DEF"),AY370,"")</f>
        <v/>
      </c>
      <c r="BE370">
        <f>IF(AND($G370=TRUE,$E370="MID"),AY370,"")</f>
        <v/>
      </c>
      <c r="BF370">
        <f>IF(AND($G370=TRUE,$E370="FWD"),AY370,"")</f>
        <v/>
      </c>
      <c r="BG370" t="n">
        <v>2</v>
      </c>
      <c r="BH370" t="n">
        <v>2</v>
      </c>
      <c r="BI370" t="n">
        <v>1</v>
      </c>
      <c r="BJ370" t="n">
        <v>5</v>
      </c>
    </row>
    <row r="371">
      <c r="A371" t="inlineStr">
        <is>
          <t>Harry Howell</t>
        </is>
      </c>
      <c r="B371" t="inlineStr">
        <is>
          <t>BHA</t>
        </is>
      </c>
      <c r="C371" t="inlineStr">
        <is>
          <t>BHA</t>
        </is>
      </c>
      <c r="D371" t="b">
        <v>0</v>
      </c>
      <c r="E371" t="inlineStr">
        <is>
          <t>MID</t>
        </is>
      </c>
      <c r="F371" t="inlineStr">
        <is>
          <t>MID</t>
        </is>
      </c>
      <c r="G371" t="b">
        <v>1</v>
      </c>
      <c r="H371" s="2" t="n">
        <v>4.5</v>
      </c>
      <c r="I371" t="inlineStr">
        <is>
          <t>a</t>
        </is>
      </c>
      <c r="K371" s="2" t="n">
        <v>92</v>
      </c>
      <c r="L371" t="n">
        <v>4</v>
      </c>
      <c r="M371" s="3" t="n">
        <v>0</v>
      </c>
      <c r="N371" s="8" t="n">
        <v>0</v>
      </c>
      <c r="O371" s="8" t="n">
        <v>0</v>
      </c>
      <c r="Q371" t="inlineStr">
        <is>
          <t>flat</t>
        </is>
      </c>
      <c r="R371" s="6" t="n">
        <v>0</v>
      </c>
      <c r="S371" t="inlineStr">
        <is>
          <t>Solio</t>
        </is>
      </c>
      <c r="U371" s="6" t="n">
        <v>79.2</v>
      </c>
      <c r="V371" s="2" t="n">
        <v>1</v>
      </c>
      <c r="W371" s="7">
        <f>IF(N(U371)&lt;=0,0,MIN(Assumptions!$B$15,N(R371)/N(U371)))</f>
        <v/>
      </c>
      <c r="X371" s="6" t="n">
        <v>0.252</v>
      </c>
      <c r="Y371" s="3" t="n">
        <v>0</v>
      </c>
      <c r="Z371" t="inlineStr">
        <is>
          <t>blended xG</t>
        </is>
      </c>
      <c r="AA371" s="3" t="n">
        <v>1</v>
      </c>
      <c r="AB371" s="3" t="n">
        <v>1</v>
      </c>
      <c r="AC371" s="3" t="n">
        <v>0</v>
      </c>
      <c r="AD371" s="3" t="n">
        <v>0.0147</v>
      </c>
      <c r="AE371" s="3" t="n">
        <v>8.381</v>
      </c>
      <c r="AF371" s="3" t="n">
        <v>0.07215451784412352</v>
      </c>
      <c r="AG371" s="3" t="n">
        <v>0</v>
      </c>
      <c r="AH371" s="3" t="n">
        <v>4</v>
      </c>
      <c r="AI371" s="3" t="n">
        <v>2.8404</v>
      </c>
      <c r="AJ371" s="3" t="n">
        <v>1.439</v>
      </c>
      <c r="AK371" s="3" t="n">
        <v>-0.2036290694789447</v>
      </c>
      <c r="AL371" s="6" t="n">
        <v>0</v>
      </c>
      <c r="AM371" s="3" t="n">
        <v>0</v>
      </c>
      <c r="AN371" s="3" t="n">
        <v>0</v>
      </c>
      <c r="AO371" s="3" t="n">
        <v>0.058212</v>
      </c>
      <c r="AP371" s="3">
        <f>N(X371)*N(BI371)</f>
        <v/>
      </c>
      <c r="AQ371" s="3" t="n">
        <v>0</v>
      </c>
      <c r="AR371" s="3" t="n">
        <v>0</v>
      </c>
      <c r="AS371" s="3" t="n">
        <v>-0</v>
      </c>
      <c r="AT371" s="3" t="n">
        <v>-0.2036290694789447</v>
      </c>
      <c r="AU371" s="3">
        <f>SUM(AN371:AT371)</f>
        <v/>
      </c>
      <c r="AV371" s="7">
        <f>IF(OR(N(W371)&lt;=0,N(BG371)=0),0,N(W371)*IF(N(R371)/N(W371)&gt;=60,N(BG371),1))</f>
        <v/>
      </c>
      <c r="AW371" s="7">
        <f>N(W371)*N(AF371)*N(BH371)</f>
        <v/>
      </c>
      <c r="AX371" s="7">
        <f>N(AL371)*(Assumptions!$B$13*N(BJ371)-(1-Assumptions!$B$13)*Assumptions!$B$14)+N(AM371)</f>
        <v/>
      </c>
      <c r="AY371" s="7">
        <f>N(AU371)*N(R371)/90+N(AV371)+N(AW371)+N(AX371)</f>
        <v/>
      </c>
      <c r="AZ371" s="3">
        <f>IF(N(R371)&lt;=0,0,(N(AY371)-N(AX371))*90/N(R371))</f>
        <v/>
      </c>
      <c r="BA371" s="7">
        <f>IFERROR(AY371-VLOOKUP($E371,Assumptions!$A$40:$C$43,3,FALSE),"")</f>
        <v/>
      </c>
      <c r="BB371" s="3">
        <f>IFERROR(BA371/H371,"")</f>
        <v/>
      </c>
      <c r="BC371">
        <f>IF(AND($G371=TRUE,$E371="GKP"),AY371,"")</f>
        <v/>
      </c>
      <c r="BD371">
        <f>IF(AND($G371=TRUE,$E371="DEF"),AY371,"")</f>
        <v/>
      </c>
      <c r="BE371">
        <f>IF(AND($G371=TRUE,$E371="MID"),AY371,"")</f>
        <v/>
      </c>
      <c r="BF371">
        <f>IF(AND($G371=TRUE,$E371="FWD"),AY371,"")</f>
        <v/>
      </c>
      <c r="BG371" t="n">
        <v>2</v>
      </c>
      <c r="BH371" t="n">
        <v>2</v>
      </c>
      <c r="BI371" t="n">
        <v>1</v>
      </c>
      <c r="BJ371" t="n">
        <v>5</v>
      </c>
    </row>
    <row r="372">
      <c r="A372" t="inlineStr">
        <is>
          <t>Romain Esse</t>
        </is>
      </c>
      <c r="B372" t="inlineStr">
        <is>
          <t>CRY</t>
        </is>
      </c>
      <c r="C372" t="inlineStr">
        <is>
          <t>CRY</t>
        </is>
      </c>
      <c r="D372" t="b">
        <v>0</v>
      </c>
      <c r="E372" t="inlineStr">
        <is>
          <t>MID</t>
        </is>
      </c>
      <c r="F372" t="inlineStr">
        <is>
          <t>MID</t>
        </is>
      </c>
      <c r="G372" t="b">
        <v>1</v>
      </c>
      <c r="H372" s="2" t="n">
        <v>5</v>
      </c>
      <c r="I372" t="inlineStr">
        <is>
          <t>a</t>
        </is>
      </c>
      <c r="K372" s="2" t="n">
        <v>40</v>
      </c>
      <c r="L372" t="n">
        <v>4</v>
      </c>
      <c r="M372" s="3" t="n">
        <v>0</v>
      </c>
      <c r="N372" s="8" t="n">
        <v>0</v>
      </c>
      <c r="O372" s="8" t="n">
        <v>0</v>
      </c>
      <c r="Q372" t="inlineStr">
        <is>
          <t>flat</t>
        </is>
      </c>
      <c r="R372" s="6" t="n">
        <v>0</v>
      </c>
      <c r="S372" t="inlineStr">
        <is>
          <t>Solio</t>
        </is>
      </c>
      <c r="U372" s="6" t="n">
        <v>80.09999999999999</v>
      </c>
      <c r="V372" s="2" t="n">
        <v>0</v>
      </c>
      <c r="W372" s="7">
        <f>IF(N(U372)&lt;=0,0,MIN(Assumptions!$B$15,N(R372)/N(U372)))</f>
        <v/>
      </c>
      <c r="X372" s="6" t="n">
        <v>0.216</v>
      </c>
      <c r="Y372" s="3" t="n">
        <v>0</v>
      </c>
      <c r="Z372" t="inlineStr">
        <is>
          <t>adjusted xGOT</t>
        </is>
      </c>
      <c r="AA372" s="3" t="n">
        <v>1</v>
      </c>
      <c r="AB372" s="3" t="n">
        <v>1.082</v>
      </c>
      <c r="AC372" s="3" t="n">
        <v>0.3</v>
      </c>
      <c r="AD372" s="3" t="n">
        <v>0.045</v>
      </c>
      <c r="AE372" s="3" t="n">
        <v>8.718</v>
      </c>
      <c r="AF372" s="3" t="n">
        <v>0.09531790573670784</v>
      </c>
      <c r="AG372" s="3" t="n">
        <v>0</v>
      </c>
      <c r="AH372" s="3" t="n">
        <v>4</v>
      </c>
      <c r="AI372" s="3" t="n">
        <v>3.2035</v>
      </c>
      <c r="AJ372" s="3" t="n">
        <v>1.5923</v>
      </c>
      <c r="AK372" s="3" t="n">
        <v>-0.2003744967086109</v>
      </c>
      <c r="AL372" s="6" t="n">
        <v>0</v>
      </c>
      <c r="AM372" s="3" t="n">
        <v>0</v>
      </c>
      <c r="AN372" s="3" t="n">
        <v>0</v>
      </c>
      <c r="AO372" s="3" t="n">
        <v>0.1782</v>
      </c>
      <c r="AP372" s="3">
        <f>N(X372)*N(BI372)</f>
        <v/>
      </c>
      <c r="AQ372" s="3" t="n">
        <v>0</v>
      </c>
      <c r="AR372" s="3" t="n">
        <v>0</v>
      </c>
      <c r="AS372" s="3" t="n">
        <v>-0</v>
      </c>
      <c r="AT372" s="3" t="n">
        <v>-0.2003744967086109</v>
      </c>
      <c r="AU372" s="3">
        <f>SUM(AN372:AT372)</f>
        <v/>
      </c>
      <c r="AV372" s="7">
        <f>IF(OR(N(W372)&lt;=0,N(BG372)=0),0,N(W372)*IF(N(R372)/N(W372)&gt;=60,N(BG372),1))</f>
        <v/>
      </c>
      <c r="AW372" s="7">
        <f>N(W372)*N(AF372)*N(BH372)</f>
        <v/>
      </c>
      <c r="AX372" s="7">
        <f>N(AL372)*(Assumptions!$B$13*N(BJ372)-(1-Assumptions!$B$13)*Assumptions!$B$14)+N(AM372)</f>
        <v/>
      </c>
      <c r="AY372" s="7">
        <f>N(AU372)*N(R372)/90+N(AV372)+N(AW372)+N(AX372)</f>
        <v/>
      </c>
      <c r="AZ372" s="3">
        <f>IF(N(R372)&lt;=0,0,(N(AY372)-N(AX372))*90/N(R372))</f>
        <v/>
      </c>
      <c r="BA372" s="7">
        <f>IFERROR(AY372-VLOOKUP($E372,Assumptions!$A$40:$C$43,3,FALSE),"")</f>
        <v/>
      </c>
      <c r="BB372" s="3">
        <f>IFERROR(BA372/H372,"")</f>
        <v/>
      </c>
      <c r="BC372">
        <f>IF(AND($G372=TRUE,$E372="GKP"),AY372,"")</f>
        <v/>
      </c>
      <c r="BD372">
        <f>IF(AND($G372=TRUE,$E372="DEF"),AY372,"")</f>
        <v/>
      </c>
      <c r="BE372">
        <f>IF(AND($G372=TRUE,$E372="MID"),AY372,"")</f>
        <v/>
      </c>
      <c r="BF372">
        <f>IF(AND($G372=TRUE,$E372="FWD"),AY372,"")</f>
        <v/>
      </c>
      <c r="BG372" t="n">
        <v>2</v>
      </c>
      <c r="BH372" t="n">
        <v>2</v>
      </c>
      <c r="BI372" t="n">
        <v>1</v>
      </c>
      <c r="BJ372" t="n">
        <v>5</v>
      </c>
    </row>
    <row r="373">
      <c r="A373" t="inlineStr">
        <is>
          <t>Alysson Edward</t>
        </is>
      </c>
      <c r="B373" t="inlineStr">
        <is>
          <t>AVL</t>
        </is>
      </c>
      <c r="C373" t="inlineStr">
        <is>
          <t>AVL</t>
        </is>
      </c>
      <c r="D373" t="b">
        <v>0</v>
      </c>
      <c r="E373" t="inlineStr">
        <is>
          <t>MID</t>
        </is>
      </c>
      <c r="F373" t="inlineStr">
        <is>
          <t>MID</t>
        </is>
      </c>
      <c r="G373" t="b">
        <v>1</v>
      </c>
      <c r="H373" s="2" t="n">
        <v>5</v>
      </c>
      <c r="I373" t="inlineStr">
        <is>
          <t>a</t>
        </is>
      </c>
      <c r="K373" s="2" t="n">
        <v>47</v>
      </c>
      <c r="L373" t="n">
        <v>3</v>
      </c>
      <c r="M373" s="3" t="n">
        <v>116</v>
      </c>
      <c r="N373" s="8" t="n">
        <v>116</v>
      </c>
      <c r="O373" s="8" t="n">
        <v>0</v>
      </c>
      <c r="Q373" t="inlineStr">
        <is>
          <t>flat</t>
        </is>
      </c>
      <c r="R373" s="6" t="n">
        <v>116</v>
      </c>
      <c r="S373" t="inlineStr">
        <is>
          <t>Solio</t>
        </is>
      </c>
      <c r="U373" s="6" t="n">
        <v>80.09999999999999</v>
      </c>
      <c r="V373" s="2" t="n">
        <v>0</v>
      </c>
      <c r="W373" s="7">
        <f>IF(N(U373)&lt;=0,0,MIN(Assumptions!$B$15,N(R373)/N(U373)))</f>
        <v/>
      </c>
      <c r="X373" s="6" t="n">
        <v>0.273</v>
      </c>
      <c r="Y373" s="3" t="n">
        <v>0.09569999999999999</v>
      </c>
      <c r="Z373" t="inlineStr">
        <is>
          <t>adjusted xGOT</t>
        </is>
      </c>
      <c r="AA373" s="3" t="n">
        <v>1</v>
      </c>
      <c r="AB373" s="3" t="n">
        <v>0.994</v>
      </c>
      <c r="AC373" s="3" t="n">
        <v>0</v>
      </c>
      <c r="AD373" s="3" t="n">
        <v>0.0479</v>
      </c>
      <c r="AE373" s="3" t="n">
        <v>8.521000000000001</v>
      </c>
      <c r="AF373" s="3" t="n">
        <v>0.08423465877406877</v>
      </c>
      <c r="AG373" s="3" t="n">
        <v>0</v>
      </c>
      <c r="AH373" s="3" t="n">
        <v>3</v>
      </c>
      <c r="AI373" s="3" t="n">
        <v>2.7451</v>
      </c>
      <c r="AJ373" s="3" t="n">
        <v>1.3575</v>
      </c>
      <c r="AK373" s="3" t="n">
        <v>-0.2097406534868716</v>
      </c>
      <c r="AL373" s="6" t="n">
        <v>0</v>
      </c>
      <c r="AM373" s="3" t="n">
        <v>0</v>
      </c>
      <c r="AN373" s="3" t="n">
        <v>0.4785</v>
      </c>
      <c r="AO373" s="3" t="n">
        <v>0.189684</v>
      </c>
      <c r="AP373" s="3">
        <f>N(X373)*N(BI373)</f>
        <v/>
      </c>
      <c r="AQ373" s="3" t="n">
        <v>0</v>
      </c>
      <c r="AR373" s="3" t="n">
        <v>0</v>
      </c>
      <c r="AS373" s="3" t="n">
        <v>-0</v>
      </c>
      <c r="AT373" s="3" t="n">
        <v>-0.2097406534868716</v>
      </c>
      <c r="AU373" s="3">
        <f>SUM(AN373:AT373)</f>
        <v/>
      </c>
      <c r="AV373" s="7">
        <f>IF(OR(N(W373)&lt;=0,N(BG373)=0),0,N(W373)*IF(N(R373)/N(W373)&gt;=60,N(BG373),1))</f>
        <v/>
      </c>
      <c r="AW373" s="7">
        <f>N(W373)*N(AF373)*N(BH373)</f>
        <v/>
      </c>
      <c r="AX373" s="7">
        <f>N(AL373)*(Assumptions!$B$13*N(BJ373)-(1-Assumptions!$B$13)*Assumptions!$B$14)+N(AM373)</f>
        <v/>
      </c>
      <c r="AY373" s="7">
        <f>N(AU373)*N(R373)/90+N(AV373)+N(AW373)+N(AX373)</f>
        <v/>
      </c>
      <c r="AZ373" s="3">
        <f>IF(N(R373)&lt;=0,0,(N(AY373)-N(AX373))*90/N(R373))</f>
        <v/>
      </c>
      <c r="BA373" s="7">
        <f>IFERROR(AY373-VLOOKUP($E373,Assumptions!$A$40:$C$43,3,FALSE),"")</f>
        <v/>
      </c>
      <c r="BB373" s="3">
        <f>IFERROR(BA373/H373,"")</f>
        <v/>
      </c>
      <c r="BC373">
        <f>IF(AND($G373=TRUE,$E373="GKP"),AY373,"")</f>
        <v/>
      </c>
      <c r="BD373">
        <f>IF(AND($G373=TRUE,$E373="DEF"),AY373,"")</f>
        <v/>
      </c>
      <c r="BE373">
        <f>IF(AND($G373=TRUE,$E373="MID"),AY373,"")</f>
        <v/>
      </c>
      <c r="BF373">
        <f>IF(AND($G373=TRUE,$E373="FWD"),AY373,"")</f>
        <v/>
      </c>
      <c r="BG373" t="n">
        <v>2</v>
      </c>
      <c r="BH373" t="n">
        <v>2</v>
      </c>
      <c r="BI373" t="n">
        <v>1</v>
      </c>
      <c r="BJ373" t="n">
        <v>5</v>
      </c>
    </row>
    <row r="374">
      <c r="A374" t="inlineStr">
        <is>
          <t>Souza</t>
        </is>
      </c>
      <c r="B374" t="inlineStr">
        <is>
          <t>TOT</t>
        </is>
      </c>
      <c r="C374" t="inlineStr">
        <is>
          <t>TOT</t>
        </is>
      </c>
      <c r="D374" t="b">
        <v>0</v>
      </c>
      <c r="E374" t="inlineStr">
        <is>
          <t>DEF</t>
        </is>
      </c>
      <c r="F374" t="inlineStr">
        <is>
          <t>DEF</t>
        </is>
      </c>
      <c r="G374" t="b">
        <v>1</v>
      </c>
      <c r="H374" s="2" t="n">
        <v>4</v>
      </c>
      <c r="I374" t="inlineStr">
        <is>
          <t>a</t>
        </is>
      </c>
      <c r="K374" s="2" t="n">
        <v>142</v>
      </c>
      <c r="L374" t="n">
        <v>3</v>
      </c>
      <c r="M374" s="3" t="n">
        <v>112</v>
      </c>
      <c r="N374" s="8" t="n">
        <v>112</v>
      </c>
      <c r="O374" s="8" t="n">
        <v>0</v>
      </c>
      <c r="Q374" t="inlineStr">
        <is>
          <t>flat</t>
        </is>
      </c>
      <c r="R374" s="6" t="n">
        <v>112</v>
      </c>
      <c r="S374" t="inlineStr">
        <is>
          <t>Solio</t>
        </is>
      </c>
      <c r="U374" s="6" t="n">
        <v>79.3</v>
      </c>
      <c r="V374" s="2" t="n">
        <v>2</v>
      </c>
      <c r="W374" s="7">
        <f>IF(N(U374)&lt;=0,0,MIN(Assumptions!$B$15,N(R374)/N(U374)))</f>
        <v/>
      </c>
      <c r="X374" s="6" t="n">
        <v>0.286</v>
      </c>
      <c r="Y374" s="3" t="n">
        <v>0.0127</v>
      </c>
      <c r="Z374" t="inlineStr">
        <is>
          <t>adjusted xGOT</t>
        </is>
      </c>
      <c r="AA374" s="3" t="n">
        <v>1</v>
      </c>
      <c r="AB374" s="3" t="n">
        <v>1.022</v>
      </c>
      <c r="AC374" s="3" t="n">
        <v>0</v>
      </c>
      <c r="AD374" s="3" t="n">
        <v>0.0736</v>
      </c>
      <c r="AE374" s="3" t="n">
        <v>7.045</v>
      </c>
      <c r="AF374" s="3" t="n">
        <v>0.09894261372644819</v>
      </c>
      <c r="AG374" s="3" t="n">
        <v>0</v>
      </c>
      <c r="AH374" s="3" t="n">
        <v>4</v>
      </c>
      <c r="AI374" s="3" t="n">
        <v>2.5739</v>
      </c>
      <c r="AJ374" s="3" t="n">
        <v>1.3096</v>
      </c>
      <c r="AK374" s="3" t="n">
        <v>-0.2449575661966502</v>
      </c>
      <c r="AL374" s="6" t="n">
        <v>0</v>
      </c>
      <c r="AM374" s="3" t="n">
        <v>0</v>
      </c>
      <c r="AN374" s="3" t="n">
        <v>0.07619999999999999</v>
      </c>
      <c r="AO374" s="3" t="n">
        <v>0.291456</v>
      </c>
      <c r="AP374" s="3">
        <f>N(X374)*N(BI374)</f>
        <v/>
      </c>
      <c r="AQ374" s="3" t="n">
        <v>0</v>
      </c>
      <c r="AR374" s="3" t="n">
        <v>0</v>
      </c>
      <c r="AS374" s="3" t="n">
        <v>-0.4230152821052008</v>
      </c>
      <c r="AT374" s="3" t="n">
        <v>-0.2449575661966502</v>
      </c>
      <c r="AU374" s="3">
        <f>SUM(AN374:AT374)</f>
        <v/>
      </c>
      <c r="AV374" s="7">
        <f>IF(OR(N(W374)&lt;=0,N(BG374)=0),0,N(W374)*IF(N(R374)/N(W374)&gt;=60,N(BG374),1))</f>
        <v/>
      </c>
      <c r="AW374" s="7">
        <f>N(W374)*N(AF374)*N(BH374)</f>
        <v/>
      </c>
      <c r="AX374" s="7">
        <f>N(AL374)*(Assumptions!$B$13*N(BJ374)-(1-Assumptions!$B$13)*Assumptions!$B$14)+N(AM374)</f>
        <v/>
      </c>
      <c r="AY374" s="7">
        <f>N(AU374)*N(R374)/90+N(AV374)+N(AW374)+N(AX374)</f>
        <v/>
      </c>
      <c r="AZ374" s="3">
        <f>IF(N(R374)&lt;=0,0,(N(AY374)-N(AX374))*90/N(R374))</f>
        <v/>
      </c>
      <c r="BA374" s="7">
        <f>IFERROR(AY374-VLOOKUP($E374,Assumptions!$A$40:$C$43,3,FALSE),"")</f>
        <v/>
      </c>
      <c r="BB374" s="3">
        <f>IFERROR(BA374/H374,"")</f>
        <v/>
      </c>
      <c r="BC374">
        <f>IF(AND($G374=TRUE,$E374="GKP"),AY374,"")</f>
        <v/>
      </c>
      <c r="BD374">
        <f>IF(AND($G374=TRUE,$E374="DEF"),AY374,"")</f>
        <v/>
      </c>
      <c r="BE374">
        <f>IF(AND($G374=TRUE,$E374="MID"),AY374,"")</f>
        <v/>
      </c>
      <c r="BF374">
        <f>IF(AND($G374=TRUE,$E374="FWD"),AY374,"")</f>
        <v/>
      </c>
      <c r="BG374" t="n">
        <v>2</v>
      </c>
      <c r="BH374" t="n">
        <v>2</v>
      </c>
      <c r="BI374" t="n">
        <v>4</v>
      </c>
      <c r="BJ374" t="n">
        <v>6</v>
      </c>
    </row>
    <row r="375">
      <c r="A375" s="9" t="inlineStr">
        <is>
          <t>Facundo Buonanotte</t>
        </is>
      </c>
      <c r="B375" t="inlineStr">
        <is>
          <t>BHA</t>
        </is>
      </c>
      <c r="C375" s="9" t="inlineStr">
        <is>
          <t>LEE</t>
        </is>
      </c>
      <c r="D375" t="b">
        <v>1</v>
      </c>
      <c r="E375" t="inlineStr">
        <is>
          <t>MID</t>
        </is>
      </c>
      <c r="F375" t="inlineStr">
        <is>
          <t>MID</t>
        </is>
      </c>
      <c r="G375" t="b">
        <v>1</v>
      </c>
      <c r="H375" s="2" t="n">
        <v>5</v>
      </c>
      <c r="I375" t="inlineStr">
        <is>
          <t>u</t>
        </is>
      </c>
      <c r="J375" t="inlineStr">
        <is>
          <t>Has joined Elche on loan for the rest of the season</t>
        </is>
      </c>
      <c r="K375" s="2" t="n">
        <v>81</v>
      </c>
      <c r="L375" t="n">
        <v>3</v>
      </c>
      <c r="M375" s="3" t="n"/>
      <c r="N375" s="4" t="n">
        <v>0</v>
      </c>
      <c r="O375" s="4" t="n">
        <v>-81</v>
      </c>
      <c r="P375" s="5" t="inlineStr">
        <is>
          <t>high</t>
        </is>
      </c>
      <c r="R375" s="6" t="n">
        <v>0</v>
      </c>
      <c r="S375" t="inlineStr">
        <is>
          <t>research</t>
        </is>
      </c>
      <c r="T375" s="5" t="inlineStr">
        <is>
          <t>Joined Elche on loan for the rest of the season on 7 Aug 2026 (FPL status 'u', news added 2026-08-10). No Premier League minutes possible.</t>
        </is>
      </c>
      <c r="U375" s="6" t="n">
        <v>76.90000000000001</v>
      </c>
      <c r="V375" s="2" t="n">
        <v>1</v>
      </c>
      <c r="W375" s="7">
        <f>IF(N(U375)&lt;=0,0,MIN(Assumptions!$B$15,N(R375)/N(U375)))</f>
        <v/>
      </c>
      <c r="X375" s="6" t="n">
        <v>0.252</v>
      </c>
      <c r="Y375" s="10" t="n">
        <v>0.0678</v>
      </c>
      <c r="Z375" t="inlineStr">
        <is>
          <t>adjusted xGOT</t>
        </is>
      </c>
      <c r="AA375" s="3" t="n">
        <v>1</v>
      </c>
      <c r="AB375" s="3" t="n">
        <v>1.012</v>
      </c>
      <c r="AC375" s="3" t="n">
        <v>7.7</v>
      </c>
      <c r="AD375" s="10" t="n">
        <v>0.3226</v>
      </c>
      <c r="AE375" s="3" t="n">
        <v>8.384</v>
      </c>
      <c r="AF375" s="3" t="n">
        <v>0.06109131394463152</v>
      </c>
      <c r="AG375" s="3" t="n">
        <v>0</v>
      </c>
      <c r="AH375" s="3" t="n">
        <v>4</v>
      </c>
      <c r="AI375" s="3" t="n">
        <v>2.8404</v>
      </c>
      <c r="AJ375" s="3" t="n">
        <v>1.439</v>
      </c>
      <c r="AK375" s="3" t="n">
        <v>-0.3741404547971498</v>
      </c>
      <c r="AL375" s="6" t="n">
        <v>0</v>
      </c>
      <c r="AM375" s="3" t="n">
        <v>0</v>
      </c>
      <c r="AN375" s="10" t="n">
        <v>0.339</v>
      </c>
      <c r="AO375" s="10" t="n">
        <v>1.277496</v>
      </c>
      <c r="AP375" s="3">
        <f>N(X375)*N(BI375)</f>
        <v/>
      </c>
      <c r="AQ375" s="3" t="n">
        <v>0</v>
      </c>
      <c r="AR375" s="3" t="n">
        <v>0</v>
      </c>
      <c r="AS375" s="3" t="n">
        <v>-0</v>
      </c>
      <c r="AT375" s="3" t="n">
        <v>-0.3741404547971498</v>
      </c>
      <c r="AU375" s="3">
        <f>SUM(AN375:AT375)</f>
        <v/>
      </c>
      <c r="AV375" s="7">
        <f>IF(OR(N(W375)&lt;=0,N(BG375)=0),0,N(W375)*IF(N(R375)/N(W375)&gt;=60,N(BG375),1))</f>
        <v/>
      </c>
      <c r="AW375" s="7">
        <f>N(W375)*N(AF375)*N(BH375)</f>
        <v/>
      </c>
      <c r="AX375" s="7">
        <f>N(AL375)*(Assumptions!$B$13*N(BJ375)-(1-Assumptions!$B$13)*Assumptions!$B$14)+N(AM375)</f>
        <v/>
      </c>
      <c r="AY375" s="7">
        <f>N(AU375)*N(R375)/90+N(AV375)+N(AW375)+N(AX375)</f>
        <v/>
      </c>
      <c r="AZ375" s="3">
        <f>IF(N(R375)&lt;=0,0,(N(AY375)-N(AX375))*90/N(R375))</f>
        <v/>
      </c>
      <c r="BA375" s="7">
        <f>IFERROR(AY375-VLOOKUP($E375,Assumptions!$A$40:$C$43,3,FALSE),"")</f>
        <v/>
      </c>
      <c r="BB375" s="3">
        <f>IFERROR(BA375/H375,"")</f>
        <v/>
      </c>
      <c r="BC375">
        <f>IF(AND($G375=TRUE,$E375="GKP"),AY375,"")</f>
        <v/>
      </c>
      <c r="BD375">
        <f>IF(AND($G375=TRUE,$E375="DEF"),AY375,"")</f>
        <v/>
      </c>
      <c r="BE375">
        <f>IF(AND($G375=TRUE,$E375="MID"),AY375,"")</f>
        <v/>
      </c>
      <c r="BF375">
        <f>IF(AND($G375=TRUE,$E375="FWD"),AY375,"")</f>
        <v/>
      </c>
      <c r="BG375" t="n">
        <v>2</v>
      </c>
      <c r="BH375" t="n">
        <v>2</v>
      </c>
      <c r="BI375" t="n">
        <v>1</v>
      </c>
      <c r="BJ375" t="n">
        <v>5</v>
      </c>
    </row>
    <row r="376">
      <c r="A376" t="inlineStr">
        <is>
          <t>James Maddison</t>
        </is>
      </c>
      <c r="B376" t="inlineStr">
        <is>
          <t>TOT</t>
        </is>
      </c>
      <c r="C376" t="inlineStr">
        <is>
          <t>TOT</t>
        </is>
      </c>
      <c r="D376" t="b">
        <v>0</v>
      </c>
      <c r="E376" t="inlineStr">
        <is>
          <t>MID</t>
        </is>
      </c>
      <c r="F376" t="inlineStr">
        <is>
          <t>MID</t>
        </is>
      </c>
      <c r="G376" t="b">
        <v>1</v>
      </c>
      <c r="H376" s="2" t="n">
        <v>6.5</v>
      </c>
      <c r="I376" t="inlineStr">
        <is>
          <t>a</t>
        </is>
      </c>
      <c r="K376" s="2" t="n">
        <v>34</v>
      </c>
      <c r="L376" t="n">
        <v>3</v>
      </c>
      <c r="M376" s="3" t="n">
        <v>1060</v>
      </c>
      <c r="N376" s="8" t="n">
        <v>1060</v>
      </c>
      <c r="O376" s="8" t="n">
        <v>0</v>
      </c>
      <c r="Q376" t="inlineStr">
        <is>
          <t>flat</t>
        </is>
      </c>
      <c r="R376" s="6" t="n">
        <v>1060</v>
      </c>
      <c r="S376" t="inlineStr">
        <is>
          <t>Solio</t>
        </is>
      </c>
      <c r="U376" s="6" t="n">
        <v>80.09999999999999</v>
      </c>
      <c r="V376" s="2" t="n">
        <v>0</v>
      </c>
      <c r="W376" s="7">
        <f>IF(N(U376)&lt;=0,0,MIN(Assumptions!$B$15,N(R376)/N(U376)))</f>
        <v/>
      </c>
      <c r="X376" s="6" t="n">
        <v>0.286</v>
      </c>
      <c r="Y376" s="3" t="n">
        <v>0.5903</v>
      </c>
      <c r="Z376" t="inlineStr">
        <is>
          <t>adjusted xGOT</t>
        </is>
      </c>
      <c r="AA376" s="3" t="n">
        <v>1</v>
      </c>
      <c r="AB376" s="3" t="n">
        <v>1.06</v>
      </c>
      <c r="AC376" s="3" t="n">
        <v>20.8</v>
      </c>
      <c r="AD376" s="3" t="n">
        <v>0.0794</v>
      </c>
      <c r="AE376" s="3" t="n">
        <v>8.787000000000001</v>
      </c>
      <c r="AF376" s="3" t="n">
        <v>0.0993991388585016</v>
      </c>
      <c r="AG376" s="3" t="n">
        <v>0</v>
      </c>
      <c r="AH376" s="3" t="n">
        <v>3</v>
      </c>
      <c r="AI376" s="3" t="n">
        <v>2.5739</v>
      </c>
      <c r="AJ376" s="3" t="n">
        <v>1.3096</v>
      </c>
      <c r="AK376" s="3" t="n">
        <v>-0.2487656165750328</v>
      </c>
      <c r="AL376" s="6" t="n">
        <v>0</v>
      </c>
      <c r="AM376" s="3" t="n">
        <v>0</v>
      </c>
      <c r="AN376" s="3" t="n">
        <v>2.9515</v>
      </c>
      <c r="AO376" s="3" t="n">
        <v>0.314424</v>
      </c>
      <c r="AP376" s="3">
        <f>N(X376)*N(BI376)</f>
        <v/>
      </c>
      <c r="AQ376" s="3" t="n">
        <v>0</v>
      </c>
      <c r="AR376" s="3" t="n">
        <v>0</v>
      </c>
      <c r="AS376" s="3" t="n">
        <v>-0</v>
      </c>
      <c r="AT376" s="3" t="n">
        <v>-0.2487656165750328</v>
      </c>
      <c r="AU376" s="3">
        <f>SUM(AN376:AT376)</f>
        <v/>
      </c>
      <c r="AV376" s="7">
        <f>IF(OR(N(W376)&lt;=0,N(BG376)=0),0,N(W376)*IF(N(R376)/N(W376)&gt;=60,N(BG376),1))</f>
        <v/>
      </c>
      <c r="AW376" s="7">
        <f>N(W376)*N(AF376)*N(BH376)</f>
        <v/>
      </c>
      <c r="AX376" s="7">
        <f>N(AL376)*(Assumptions!$B$13*N(BJ376)-(1-Assumptions!$B$13)*Assumptions!$B$14)+N(AM376)</f>
        <v/>
      </c>
      <c r="AY376" s="7">
        <f>N(AU376)*N(R376)/90+N(AV376)+N(AW376)+N(AX376)</f>
        <v/>
      </c>
      <c r="AZ376" s="3">
        <f>IF(N(R376)&lt;=0,0,(N(AY376)-N(AX376))*90/N(R376))</f>
        <v/>
      </c>
      <c r="BA376" s="7">
        <f>IFERROR(AY376-VLOOKUP($E376,Assumptions!$A$40:$C$43,3,FALSE),"")</f>
        <v/>
      </c>
      <c r="BB376" s="3">
        <f>IFERROR(BA376/H376,"")</f>
        <v/>
      </c>
      <c r="BC376">
        <f>IF(AND($G376=TRUE,$E376="GKP"),AY376,"")</f>
        <v/>
      </c>
      <c r="BD376">
        <f>IF(AND($G376=TRUE,$E376="DEF"),AY376,"")</f>
        <v/>
      </c>
      <c r="BE376">
        <f>IF(AND($G376=TRUE,$E376="MID"),AY376,"")</f>
        <v/>
      </c>
      <c r="BF376">
        <f>IF(AND($G376=TRUE,$E376="FWD"),AY376,"")</f>
        <v/>
      </c>
      <c r="BG376" t="n">
        <v>2</v>
      </c>
      <c r="BH376" t="n">
        <v>2</v>
      </c>
      <c r="BI376" t="n">
        <v>1</v>
      </c>
      <c r="BJ376" t="n">
        <v>5</v>
      </c>
    </row>
    <row r="377">
      <c r="A377" t="inlineStr">
        <is>
          <t>Shea Lacey</t>
        </is>
      </c>
      <c r="B377" t="inlineStr">
        <is>
          <t>MUN</t>
        </is>
      </c>
      <c r="C377" t="inlineStr">
        <is>
          <t>MUN</t>
        </is>
      </c>
      <c r="D377" t="b">
        <v>0</v>
      </c>
      <c r="E377" t="inlineStr">
        <is>
          <t>MID</t>
        </is>
      </c>
      <c r="F377" t="inlineStr">
        <is>
          <t>MID</t>
        </is>
      </c>
      <c r="G377" t="b">
        <v>1</v>
      </c>
      <c r="H377" s="2" t="n">
        <v>5</v>
      </c>
      <c r="I377" t="inlineStr">
        <is>
          <t>a</t>
        </is>
      </c>
      <c r="K377" s="2" t="n">
        <v>40</v>
      </c>
      <c r="L377" t="n">
        <v>3</v>
      </c>
      <c r="M377" s="3" t="n">
        <v>14</v>
      </c>
      <c r="N377" s="8" t="n">
        <v>14</v>
      </c>
      <c r="O377" s="8" t="n">
        <v>0</v>
      </c>
      <c r="Q377" t="inlineStr">
        <is>
          <t>flat</t>
        </is>
      </c>
      <c r="R377" s="6" t="n">
        <v>14</v>
      </c>
      <c r="S377" t="inlineStr">
        <is>
          <t>Solio</t>
        </is>
      </c>
      <c r="U377" s="6" t="n">
        <v>80.09999999999999</v>
      </c>
      <c r="V377" s="2" t="n">
        <v>0</v>
      </c>
      <c r="W377" s="7">
        <f>IF(N(U377)&lt;=0,0,MIN(Assumptions!$B$15,N(R377)/N(U377)))</f>
        <v/>
      </c>
      <c r="X377" s="6" t="n">
        <v>0.334</v>
      </c>
      <c r="Y377" s="3" t="n">
        <v>0.2228</v>
      </c>
      <c r="Z377" t="inlineStr">
        <is>
          <t>adjusted xGOT</t>
        </is>
      </c>
      <c r="AA377" s="3" t="n">
        <v>1</v>
      </c>
      <c r="AB377" s="3" t="n">
        <v>0.988</v>
      </c>
      <c r="AC377" s="3" t="n">
        <v>0.1</v>
      </c>
      <c r="AD377" s="3" t="n">
        <v>0.0112</v>
      </c>
      <c r="AE377" s="3" t="n">
        <v>8.481</v>
      </c>
      <c r="AF377" s="3" t="n">
        <v>0.08208717163773016</v>
      </c>
      <c r="AG377" s="3" t="n">
        <v>0</v>
      </c>
      <c r="AH377" s="3" t="n">
        <v>3</v>
      </c>
      <c r="AI377" s="3" t="n">
        <v>2.2165</v>
      </c>
      <c r="AJ377" s="3" t="n">
        <v>1.1467</v>
      </c>
      <c r="AK377" s="3" t="n">
        <v>-0.2106539923648886</v>
      </c>
      <c r="AL377" s="6" t="n">
        <v>0</v>
      </c>
      <c r="AM377" s="3" t="n">
        <v>0</v>
      </c>
      <c r="AN377" s="3" t="n">
        <v>1.114</v>
      </c>
      <c r="AO377" s="3" t="n">
        <v>0.044352</v>
      </c>
      <c r="AP377" s="3">
        <f>N(X377)*N(BI377)</f>
        <v/>
      </c>
      <c r="AQ377" s="3" t="n">
        <v>0</v>
      </c>
      <c r="AR377" s="3" t="n">
        <v>0</v>
      </c>
      <c r="AS377" s="3" t="n">
        <v>-0</v>
      </c>
      <c r="AT377" s="3" t="n">
        <v>-0.2106539923648886</v>
      </c>
      <c r="AU377" s="3">
        <f>SUM(AN377:AT377)</f>
        <v/>
      </c>
      <c r="AV377" s="7">
        <f>IF(OR(N(W377)&lt;=0,N(BG377)=0),0,N(W377)*IF(N(R377)/N(W377)&gt;=60,N(BG377),1))</f>
        <v/>
      </c>
      <c r="AW377" s="7">
        <f>N(W377)*N(AF377)*N(BH377)</f>
        <v/>
      </c>
      <c r="AX377" s="7">
        <f>N(AL377)*(Assumptions!$B$13*N(BJ377)-(1-Assumptions!$B$13)*Assumptions!$B$14)+N(AM377)</f>
        <v/>
      </c>
      <c r="AY377" s="7">
        <f>N(AU377)*N(R377)/90+N(AV377)+N(AW377)+N(AX377)</f>
        <v/>
      </c>
      <c r="AZ377" s="3">
        <f>IF(N(R377)&lt;=0,0,(N(AY377)-N(AX377))*90/N(R377))</f>
        <v/>
      </c>
      <c r="BA377" s="7">
        <f>IFERROR(AY377-VLOOKUP($E377,Assumptions!$A$40:$C$43,3,FALSE),"")</f>
        <v/>
      </c>
      <c r="BB377" s="3">
        <f>IFERROR(BA377/H377,"")</f>
        <v/>
      </c>
      <c r="BC377">
        <f>IF(AND($G377=TRUE,$E377="GKP"),AY377,"")</f>
        <v/>
      </c>
      <c r="BD377">
        <f>IF(AND($G377=TRUE,$E377="DEF"),AY377,"")</f>
        <v/>
      </c>
      <c r="BE377">
        <f>IF(AND($G377=TRUE,$E377="MID"),AY377,"")</f>
        <v/>
      </c>
      <c r="BF377">
        <f>IF(AND($G377=TRUE,$E377="FWD"),AY377,"")</f>
        <v/>
      </c>
      <c r="BG377" t="n">
        <v>2</v>
      </c>
      <c r="BH377" t="n">
        <v>2</v>
      </c>
      <c r="BI377" t="n">
        <v>1</v>
      </c>
      <c r="BJ377" t="n">
        <v>5</v>
      </c>
    </row>
    <row r="378">
      <c r="A378" t="inlineStr">
        <is>
          <t>Jack Fletcher</t>
        </is>
      </c>
      <c r="B378" t="inlineStr">
        <is>
          <t>MUN</t>
        </is>
      </c>
      <c r="C378" t="inlineStr">
        <is>
          <t>MUN</t>
        </is>
      </c>
      <c r="D378" t="b">
        <v>0</v>
      </c>
      <c r="E378" t="inlineStr">
        <is>
          <t>MID</t>
        </is>
      </c>
      <c r="F378" t="inlineStr">
        <is>
          <t>MID</t>
        </is>
      </c>
      <c r="G378" t="b">
        <v>1</v>
      </c>
      <c r="H378" s="2" t="n">
        <v>5</v>
      </c>
      <c r="I378" t="inlineStr">
        <is>
          <t>a</t>
        </is>
      </c>
      <c r="K378" s="2" t="n">
        <v>107</v>
      </c>
      <c r="L378" t="n">
        <v>3</v>
      </c>
      <c r="M378" s="3" t="n">
        <v>0</v>
      </c>
      <c r="N378" s="8" t="n">
        <v>0</v>
      </c>
      <c r="O378" s="8" t="n">
        <v>0</v>
      </c>
      <c r="Q378" t="inlineStr">
        <is>
          <t>flat</t>
        </is>
      </c>
      <c r="R378" s="6" t="n">
        <v>0</v>
      </c>
      <c r="S378" t="inlineStr">
        <is>
          <t>Solio</t>
        </is>
      </c>
      <c r="U378" s="6" t="n">
        <v>80.09999999999999</v>
      </c>
      <c r="V378" s="2" t="n">
        <v>0</v>
      </c>
      <c r="W378" s="7">
        <f>IF(N(U378)&lt;=0,0,MIN(Assumptions!$B$15,N(R378)/N(U378)))</f>
        <v/>
      </c>
      <c r="X378" s="6" t="n">
        <v>0.334</v>
      </c>
      <c r="Y378" s="3" t="n">
        <v>0.0252</v>
      </c>
      <c r="Z378" t="inlineStr">
        <is>
          <t>adjusted xGOT</t>
        </is>
      </c>
      <c r="AA378" s="3" t="n">
        <v>1</v>
      </c>
      <c r="AB378" s="3" t="n">
        <v>0.996</v>
      </c>
      <c r="AC378" s="3" t="n">
        <v>0</v>
      </c>
      <c r="AD378" s="3" t="n">
        <v>0.0567</v>
      </c>
      <c r="AE378" s="3" t="n">
        <v>8.664</v>
      </c>
      <c r="AF378" s="3" t="n">
        <v>0.0921959865358728</v>
      </c>
      <c r="AG378" s="3" t="n">
        <v>0</v>
      </c>
      <c r="AH378" s="3" t="n">
        <v>3</v>
      </c>
      <c r="AI378" s="3" t="n">
        <v>2.2165</v>
      </c>
      <c r="AJ378" s="3" t="n">
        <v>1.1467</v>
      </c>
      <c r="AK378" s="3" t="n">
        <v>-0.2022510891348621</v>
      </c>
      <c r="AL378" s="6" t="n">
        <v>0</v>
      </c>
      <c r="AM378" s="3" t="n">
        <v>0</v>
      </c>
      <c r="AN378" s="3" t="n">
        <v>0.126</v>
      </c>
      <c r="AO378" s="3" t="n">
        <v>0.224532</v>
      </c>
      <c r="AP378" s="3">
        <f>N(X378)*N(BI378)</f>
        <v/>
      </c>
      <c r="AQ378" s="3" t="n">
        <v>0</v>
      </c>
      <c r="AR378" s="3" t="n">
        <v>0</v>
      </c>
      <c r="AS378" s="3" t="n">
        <v>-0</v>
      </c>
      <c r="AT378" s="3" t="n">
        <v>-0.2022510891348621</v>
      </c>
      <c r="AU378" s="3">
        <f>SUM(AN378:AT378)</f>
        <v/>
      </c>
      <c r="AV378" s="7">
        <f>IF(OR(N(W378)&lt;=0,N(BG378)=0),0,N(W378)*IF(N(R378)/N(W378)&gt;=60,N(BG378),1))</f>
        <v/>
      </c>
      <c r="AW378" s="7">
        <f>N(W378)*N(AF378)*N(BH378)</f>
        <v/>
      </c>
      <c r="AX378" s="7">
        <f>N(AL378)*(Assumptions!$B$13*N(BJ378)-(1-Assumptions!$B$13)*Assumptions!$B$14)+N(AM378)</f>
        <v/>
      </c>
      <c r="AY378" s="7">
        <f>N(AU378)*N(R378)/90+N(AV378)+N(AW378)+N(AX378)</f>
        <v/>
      </c>
      <c r="AZ378" s="3">
        <f>IF(N(R378)&lt;=0,0,(N(AY378)-N(AX378))*90/N(R378))</f>
        <v/>
      </c>
      <c r="BA378" s="7">
        <f>IFERROR(AY378-VLOOKUP($E378,Assumptions!$A$40:$C$43,3,FALSE),"")</f>
        <v/>
      </c>
      <c r="BB378" s="3">
        <f>IFERROR(BA378/H378,"")</f>
        <v/>
      </c>
      <c r="BC378">
        <f>IF(AND($G378=TRUE,$E378="GKP"),AY378,"")</f>
        <v/>
      </c>
      <c r="BD378">
        <f>IF(AND($G378=TRUE,$E378="DEF"),AY378,"")</f>
        <v/>
      </c>
      <c r="BE378">
        <f>IF(AND($G378=TRUE,$E378="MID"),AY378,"")</f>
        <v/>
      </c>
      <c r="BF378">
        <f>IF(AND($G378=TRUE,$E378="FWD"),AY378,"")</f>
        <v/>
      </c>
      <c r="BG378" t="n">
        <v>2</v>
      </c>
      <c r="BH378" t="n">
        <v>2</v>
      </c>
      <c r="BI378" t="n">
        <v>1</v>
      </c>
      <c r="BJ378" t="n">
        <v>5</v>
      </c>
    </row>
    <row r="379">
      <c r="A379" t="inlineStr">
        <is>
          <t>Julio Soler</t>
        </is>
      </c>
      <c r="B379" t="inlineStr">
        <is>
          <t>BOU</t>
        </is>
      </c>
      <c r="C379" t="inlineStr">
        <is>
          <t>BOU</t>
        </is>
      </c>
      <c r="D379" t="b">
        <v>0</v>
      </c>
      <c r="E379" t="inlineStr">
        <is>
          <t>DEF</t>
        </is>
      </c>
      <c r="F379" t="inlineStr">
        <is>
          <t>DEF</t>
        </is>
      </c>
      <c r="G379" t="b">
        <v>1</v>
      </c>
      <c r="H379" s="2" t="n">
        <v>4</v>
      </c>
      <c r="I379" t="inlineStr">
        <is>
          <t>a</t>
        </is>
      </c>
      <c r="K379" s="2" t="n">
        <v>34</v>
      </c>
      <c r="L379" t="n">
        <v>3</v>
      </c>
      <c r="M379" s="3" t="n">
        <v>0</v>
      </c>
      <c r="N379" s="4" t="n">
        <v>150</v>
      </c>
      <c r="O379" s="4" t="n">
        <v>150</v>
      </c>
      <c r="P379" s="5" t="inlineStr">
        <is>
          <t>low</t>
        </is>
      </c>
      <c r="Q379" t="inlineStr">
        <is>
          <t>flat</t>
        </is>
      </c>
      <c r="R379" s="6" t="n">
        <v>150</v>
      </c>
      <c r="S379" t="inlineStr">
        <is>
          <t>research</t>
        </is>
      </c>
      <c r="T379" s="5" t="inlineStr">
        <is>
          <t>Solio gives the only backup left-back at the club exactly zero minutes. Archie Harris left for Wigan on 6 Aug and Alfie Merritt was loaned to Newport on 7 Aug, leaving Soler as the sole cover for Truffert; he was in the matchday squad for the Betis friendly. He is a hamstring doubt (75%), so this stays token rather than substantial - but zero is not a realistic figure for a fit-again squad left-back over 38 games plus European football.</t>
        </is>
      </c>
      <c r="U379" s="6" t="n">
        <v>85.5</v>
      </c>
      <c r="V379" s="2" t="n">
        <v>0</v>
      </c>
      <c r="W379" s="7">
        <f>IF(N(U379)&lt;=0,0,MIN(Assumptions!$B$15,N(R379)/N(U379)))</f>
        <v/>
      </c>
      <c r="X379" s="6" t="n">
        <v>0.23</v>
      </c>
      <c r="Y379" s="3" t="n">
        <v>0</v>
      </c>
      <c r="Z379" t="inlineStr">
        <is>
          <t>blended xG</t>
        </is>
      </c>
      <c r="AA379" s="3" t="n">
        <v>1</v>
      </c>
      <c r="AB379" s="3" t="n">
        <v>1</v>
      </c>
      <c r="AC379" s="3" t="n">
        <v>0</v>
      </c>
      <c r="AD379" s="3" t="n">
        <v>0</v>
      </c>
      <c r="AE379" s="3" t="n">
        <v>7.458</v>
      </c>
      <c r="AF379" s="3" t="n">
        <v>0.1782374299319515</v>
      </c>
      <c r="AG379" s="3" t="n">
        <v>0</v>
      </c>
      <c r="AH379" s="3" t="n">
        <v>3</v>
      </c>
      <c r="AI379" s="3" t="n">
        <v>3.0957</v>
      </c>
      <c r="AJ379" s="3" t="n">
        <v>1.53</v>
      </c>
      <c r="AK379" s="3" t="n">
        <v>-0.1996402915412851</v>
      </c>
      <c r="AL379" s="6" t="n">
        <v>0</v>
      </c>
      <c r="AM379" s="3" t="n">
        <v>0</v>
      </c>
      <c r="AN379" s="3" t="n">
        <v>0</v>
      </c>
      <c r="AO379" s="3" t="n">
        <v>0</v>
      </c>
      <c r="AP379" s="3">
        <f>N(X379)*N(BI379)</f>
        <v/>
      </c>
      <c r="AQ379" s="3" t="n">
        <v>0</v>
      </c>
      <c r="AR379" s="3" t="n">
        <v>0</v>
      </c>
      <c r="AS379" s="3" t="n">
        <v>-0.5267219238049191</v>
      </c>
      <c r="AT379" s="3" t="n">
        <v>-0.1996402915412851</v>
      </c>
      <c r="AU379" s="3">
        <f>SUM(AN379:AT379)</f>
        <v/>
      </c>
      <c r="AV379" s="7">
        <f>IF(OR(N(W379)&lt;=0,N(BG379)=0),0,N(W379)*IF(N(R379)/N(W379)&gt;=60,N(BG379),1))</f>
        <v/>
      </c>
      <c r="AW379" s="7">
        <f>N(W379)*N(AF379)*N(BH379)</f>
        <v/>
      </c>
      <c r="AX379" s="7">
        <f>N(AL379)*(Assumptions!$B$13*N(BJ379)-(1-Assumptions!$B$13)*Assumptions!$B$14)+N(AM379)</f>
        <v/>
      </c>
      <c r="AY379" s="7">
        <f>N(AU379)*N(R379)/90+N(AV379)+N(AW379)+N(AX379)</f>
        <v/>
      </c>
      <c r="AZ379" s="3">
        <f>IF(N(R379)&lt;=0,0,(N(AY379)-N(AX379))*90/N(R379))</f>
        <v/>
      </c>
      <c r="BA379" s="7">
        <f>IFERROR(AY379-VLOOKUP($E379,Assumptions!$A$40:$C$43,3,FALSE),"")</f>
        <v/>
      </c>
      <c r="BB379" s="3">
        <f>IFERROR(BA379/H379,"")</f>
        <v/>
      </c>
      <c r="BC379">
        <f>IF(AND($G379=TRUE,$E379="GKP"),AY379,"")</f>
        <v/>
      </c>
      <c r="BD379">
        <f>IF(AND($G379=TRUE,$E379="DEF"),AY379,"")</f>
        <v/>
      </c>
      <c r="BE379">
        <f>IF(AND($G379=TRUE,$E379="MID"),AY379,"")</f>
        <v/>
      </c>
      <c r="BF379">
        <f>IF(AND($G379=TRUE,$E379="FWD"),AY379,"")</f>
        <v/>
      </c>
      <c r="BG379" t="n">
        <v>2</v>
      </c>
      <c r="BH379" t="n">
        <v>2</v>
      </c>
      <c r="BI379" t="n">
        <v>4</v>
      </c>
      <c r="BJ379" t="n">
        <v>6</v>
      </c>
    </row>
    <row r="380">
      <c r="A380" t="inlineStr">
        <is>
          <t>Mamadou Sarr</t>
        </is>
      </c>
      <c r="B380" t="inlineStr">
        <is>
          <t>CHE</t>
        </is>
      </c>
      <c r="C380" t="inlineStr">
        <is>
          <t>CHE</t>
        </is>
      </c>
      <c r="D380" t="b">
        <v>0</v>
      </c>
      <c r="E380" t="inlineStr">
        <is>
          <t>DEF</t>
        </is>
      </c>
      <c r="F380" t="inlineStr">
        <is>
          <t>DEF</t>
        </is>
      </c>
      <c r="G380" t="b">
        <v>1</v>
      </c>
      <c r="H380" s="2" t="n">
        <v>4.5</v>
      </c>
      <c r="I380" t="inlineStr">
        <is>
          <t>a</t>
        </is>
      </c>
      <c r="K380" s="2" t="n">
        <v>100</v>
      </c>
      <c r="L380" t="n">
        <v>3</v>
      </c>
      <c r="M380" s="3" t="n">
        <v>0</v>
      </c>
      <c r="N380" s="8" t="n">
        <v>0</v>
      </c>
      <c r="O380" s="8" t="n">
        <v>0</v>
      </c>
      <c r="Q380" t="inlineStr">
        <is>
          <t>flat</t>
        </is>
      </c>
      <c r="R380" s="6" t="n">
        <v>0</v>
      </c>
      <c r="S380" t="inlineStr">
        <is>
          <t>Solio</t>
        </is>
      </c>
      <c r="U380" s="6" t="n">
        <v>85.8</v>
      </c>
      <c r="V380" s="2" t="n">
        <v>1</v>
      </c>
      <c r="W380" s="7">
        <f>IF(N(U380)&lt;=0,0,MIN(Assumptions!$B$15,N(R380)/N(U380)))</f>
        <v/>
      </c>
      <c r="X380" s="6" t="n">
        <v>0.322</v>
      </c>
      <c r="Y380" s="3" t="n">
        <v>0.3015</v>
      </c>
      <c r="Z380" t="inlineStr">
        <is>
          <t>adjusted xGOT</t>
        </is>
      </c>
      <c r="AA380" s="3" t="n">
        <v>1</v>
      </c>
      <c r="AB380" s="3" t="n">
        <v>0.958</v>
      </c>
      <c r="AC380" s="3" t="n">
        <v>0.4</v>
      </c>
      <c r="AD380" s="3" t="n">
        <v>0</v>
      </c>
      <c r="AE380" s="3" t="n">
        <v>7.626</v>
      </c>
      <c r="AF380" s="3" t="n">
        <v>0.1979167308553776</v>
      </c>
      <c r="AG380" s="3" t="n">
        <v>0</v>
      </c>
      <c r="AH380" s="3" t="n">
        <v>4</v>
      </c>
      <c r="AI380" s="3" t="n">
        <v>2.4232</v>
      </c>
      <c r="AJ380" s="3" t="n">
        <v>1.1851</v>
      </c>
      <c r="AK380" s="3" t="n">
        <v>-0.1926185127723307</v>
      </c>
      <c r="AL380" s="6" t="n">
        <v>0</v>
      </c>
      <c r="AM380" s="3" t="n">
        <v>0</v>
      </c>
      <c r="AN380" s="3" t="n">
        <v>1.809</v>
      </c>
      <c r="AO380" s="3" t="n">
        <v>0</v>
      </c>
      <c r="AP380" s="3">
        <f>N(X380)*N(BI380)</f>
        <v/>
      </c>
      <c r="AQ380" s="3" t="n">
        <v>0</v>
      </c>
      <c r="AR380" s="3" t="n">
        <v>0</v>
      </c>
      <c r="AS380" s="3" t="n">
        <v>-0.365915508000572</v>
      </c>
      <c r="AT380" s="3" t="n">
        <v>-0.1926185127723307</v>
      </c>
      <c r="AU380" s="3">
        <f>SUM(AN380:AT380)</f>
        <v/>
      </c>
      <c r="AV380" s="7">
        <f>IF(OR(N(W380)&lt;=0,N(BG380)=0),0,N(W380)*IF(N(R380)/N(W380)&gt;=60,N(BG380),1))</f>
        <v/>
      </c>
      <c r="AW380" s="7">
        <f>N(W380)*N(AF380)*N(BH380)</f>
        <v/>
      </c>
      <c r="AX380" s="7">
        <f>N(AL380)*(Assumptions!$B$13*N(BJ380)-(1-Assumptions!$B$13)*Assumptions!$B$14)+N(AM380)</f>
        <v/>
      </c>
      <c r="AY380" s="7">
        <f>N(AU380)*N(R380)/90+N(AV380)+N(AW380)+N(AX380)</f>
        <v/>
      </c>
      <c r="AZ380" s="3">
        <f>IF(N(R380)&lt;=0,0,(N(AY380)-N(AX380))*90/N(R380))</f>
        <v/>
      </c>
      <c r="BA380" s="7">
        <f>IFERROR(AY380-VLOOKUP($E380,Assumptions!$A$40:$C$43,3,FALSE),"")</f>
        <v/>
      </c>
      <c r="BB380" s="3">
        <f>IFERROR(BA380/H380,"")</f>
        <v/>
      </c>
      <c r="BC380">
        <f>IF(AND($G380=TRUE,$E380="GKP"),AY380,"")</f>
        <v/>
      </c>
      <c r="BD380">
        <f>IF(AND($G380=TRUE,$E380="DEF"),AY380,"")</f>
        <v/>
      </c>
      <c r="BE380">
        <f>IF(AND($G380=TRUE,$E380="MID"),AY380,"")</f>
        <v/>
      </c>
      <c r="BF380">
        <f>IF(AND($G380=TRUE,$E380="FWD"),AY380,"")</f>
        <v/>
      </c>
      <c r="BG380" t="n">
        <v>2</v>
      </c>
      <c r="BH380" t="n">
        <v>2</v>
      </c>
      <c r="BI380" t="n">
        <v>4</v>
      </c>
      <c r="BJ380" t="n">
        <v>6</v>
      </c>
    </row>
    <row r="381">
      <c r="A381" t="inlineStr">
        <is>
          <t>Zach Abbott</t>
        </is>
      </c>
      <c r="B381" t="inlineStr">
        <is>
          <t>NFO</t>
        </is>
      </c>
      <c r="C381" t="inlineStr">
        <is>
          <t>NFO</t>
        </is>
      </c>
      <c r="D381" t="b">
        <v>0</v>
      </c>
      <c r="E381" t="inlineStr">
        <is>
          <t>DEF</t>
        </is>
      </c>
      <c r="F381" t="inlineStr">
        <is>
          <t>DEF</t>
        </is>
      </c>
      <c r="G381" t="b">
        <v>1</v>
      </c>
      <c r="H381" s="2" t="n">
        <v>4</v>
      </c>
      <c r="I381" t="inlineStr">
        <is>
          <t>a</t>
        </is>
      </c>
      <c r="K381" s="2" t="n">
        <v>165</v>
      </c>
      <c r="L381" t="n">
        <v>3</v>
      </c>
      <c r="M381" s="3" t="n">
        <v>0</v>
      </c>
      <c r="N381" s="8" t="n">
        <v>0</v>
      </c>
      <c r="O381" s="8" t="n">
        <v>0</v>
      </c>
      <c r="Q381" t="inlineStr">
        <is>
          <t>flat</t>
        </is>
      </c>
      <c r="R381" s="6" t="n">
        <v>0</v>
      </c>
      <c r="S381" t="inlineStr">
        <is>
          <t>Solio</t>
        </is>
      </c>
      <c r="U381" s="6" t="n">
        <v>81.2</v>
      </c>
      <c r="V381" s="2" t="n">
        <v>2</v>
      </c>
      <c r="W381" s="7">
        <f>IF(N(U381)&lt;=0,0,MIN(Assumptions!$B$15,N(R381)/N(U381)))</f>
        <v/>
      </c>
      <c r="X381" s="6" t="n">
        <v>0.224</v>
      </c>
      <c r="Y381" s="3" t="n">
        <v>0</v>
      </c>
      <c r="Z381" t="inlineStr">
        <is>
          <t>blended xG</t>
        </is>
      </c>
      <c r="AA381" s="3" t="n">
        <v>1</v>
      </c>
      <c r="AB381" s="3" t="n">
        <v>1</v>
      </c>
      <c r="AC381" s="3" t="n">
        <v>0</v>
      </c>
      <c r="AD381" s="3" t="n">
        <v>0.0027</v>
      </c>
      <c r="AE381" s="3" t="n">
        <v>7.574</v>
      </c>
      <c r="AF381" s="3" t="n">
        <v>0.1530228257604118</v>
      </c>
      <c r="AG381" s="3" t="n">
        <v>0</v>
      </c>
      <c r="AH381" s="3" t="n">
        <v>4</v>
      </c>
      <c r="AI381" s="3" t="n">
        <v>3.1134</v>
      </c>
      <c r="AJ381" s="3" t="n">
        <v>1.5588</v>
      </c>
      <c r="AK381" s="3" t="n">
        <v>-0.1856762914939266</v>
      </c>
      <c r="AL381" s="6" t="n">
        <v>0</v>
      </c>
      <c r="AM381" s="3" t="n">
        <v>0</v>
      </c>
      <c r="AN381" s="3" t="n">
        <v>0</v>
      </c>
      <c r="AO381" s="3" t="n">
        <v>0.010692</v>
      </c>
      <c r="AP381" s="3">
        <f>N(X381)*N(BI381)</f>
        <v/>
      </c>
      <c r="AQ381" s="3" t="n">
        <v>0</v>
      </c>
      <c r="AR381" s="3" t="n">
        <v>0</v>
      </c>
      <c r="AS381" s="3" t="n">
        <v>-0.5404658182244797</v>
      </c>
      <c r="AT381" s="3" t="n">
        <v>-0.1856762914939266</v>
      </c>
      <c r="AU381" s="3">
        <f>SUM(AN381:AT381)</f>
        <v/>
      </c>
      <c r="AV381" s="7">
        <f>IF(OR(N(W381)&lt;=0,N(BG381)=0),0,N(W381)*IF(N(R381)/N(W381)&gt;=60,N(BG381),1))</f>
        <v/>
      </c>
      <c r="AW381" s="7">
        <f>N(W381)*N(AF381)*N(BH381)</f>
        <v/>
      </c>
      <c r="AX381" s="7">
        <f>N(AL381)*(Assumptions!$B$13*N(BJ381)-(1-Assumptions!$B$13)*Assumptions!$B$14)+N(AM381)</f>
        <v/>
      </c>
      <c r="AY381" s="7">
        <f>N(AU381)*N(R381)/90+N(AV381)+N(AW381)+N(AX381)</f>
        <v/>
      </c>
      <c r="AZ381" s="3">
        <f>IF(N(R381)&lt;=0,0,(N(AY381)-N(AX381))*90/N(R381))</f>
        <v/>
      </c>
      <c r="BA381" s="7">
        <f>IFERROR(AY381-VLOOKUP($E381,Assumptions!$A$40:$C$43,3,FALSE),"")</f>
        <v/>
      </c>
      <c r="BB381" s="3">
        <f>IFERROR(BA381/H381,"")</f>
        <v/>
      </c>
      <c r="BC381">
        <f>IF(AND($G381=TRUE,$E381="GKP"),AY381,"")</f>
        <v/>
      </c>
      <c r="BD381">
        <f>IF(AND($G381=TRUE,$E381="DEF"),AY381,"")</f>
        <v/>
      </c>
      <c r="BE381">
        <f>IF(AND($G381=TRUE,$E381="MID"),AY381,"")</f>
        <v/>
      </c>
      <c r="BF381">
        <f>IF(AND($G381=TRUE,$E381="FWD"),AY381,"")</f>
        <v/>
      </c>
      <c r="BG381" t="n">
        <v>2</v>
      </c>
      <c r="BH381" t="n">
        <v>2</v>
      </c>
      <c r="BI381" t="n">
        <v>4</v>
      </c>
      <c r="BJ381" t="n">
        <v>6</v>
      </c>
    </row>
    <row r="382">
      <c r="A382" t="inlineStr">
        <is>
          <t>Alex Murphy</t>
        </is>
      </c>
      <c r="B382" t="inlineStr">
        <is>
          <t>NEW</t>
        </is>
      </c>
      <c r="C382" t="inlineStr">
        <is>
          <t>NEW</t>
        </is>
      </c>
      <c r="D382" t="b">
        <v>0</v>
      </c>
      <c r="E382" t="inlineStr">
        <is>
          <t>DEF</t>
        </is>
      </c>
      <c r="F382" t="inlineStr">
        <is>
          <t>DEF</t>
        </is>
      </c>
      <c r="G382" t="b">
        <v>1</v>
      </c>
      <c r="H382" s="2" t="n">
        <v>4</v>
      </c>
      <c r="I382" t="inlineStr">
        <is>
          <t>u</t>
        </is>
      </c>
      <c r="J382" t="inlineStr">
        <is>
          <t>Has joined FC Kaiserslautern on loan for the rest of the season</t>
        </is>
      </c>
      <c r="K382" s="2" t="n">
        <v>7</v>
      </c>
      <c r="L382" t="n">
        <v>2</v>
      </c>
      <c r="M382" s="3" t="n"/>
      <c r="N382" s="8" t="n">
        <v>7</v>
      </c>
      <c r="O382" s="8" t="n">
        <v>0</v>
      </c>
      <c r="R382" s="6" t="n">
        <v>7</v>
      </c>
      <c r="S382" t="inlineStr">
        <is>
          <t>25/26 actual</t>
        </is>
      </c>
      <c r="U382" s="6" t="n">
        <v>85.5</v>
      </c>
      <c r="V382" s="2" t="n">
        <v>0</v>
      </c>
      <c r="W382" s="7">
        <f>IF(N(U382)&lt;=0,0,MIN(Assumptions!$B$15,N(R382)/N(U382)))</f>
        <v/>
      </c>
      <c r="X382" s="6" t="n">
        <v>0.248</v>
      </c>
      <c r="Y382" s="3" t="n">
        <v>0</v>
      </c>
      <c r="Z382" t="inlineStr">
        <is>
          <t>blended xG</t>
        </is>
      </c>
      <c r="AA382" s="3" t="n">
        <v>1</v>
      </c>
      <c r="AB382" s="3" t="n">
        <v>1</v>
      </c>
      <c r="AC382" s="3" t="n">
        <v>0</v>
      </c>
      <c r="AD382" s="3" t="n">
        <v>0</v>
      </c>
      <c r="AE382" s="3" t="n">
        <v>8.106</v>
      </c>
      <c r="AF382" s="3" t="n">
        <v>0.2470027296375091</v>
      </c>
      <c r="AG382" s="3" t="n">
        <v>0</v>
      </c>
      <c r="AH382" s="3" t="n">
        <v>2</v>
      </c>
      <c r="AI382" s="3" t="n">
        <v>3.0912</v>
      </c>
      <c r="AJ382" s="3" t="n">
        <v>1.4534</v>
      </c>
      <c r="AK382" s="3" t="n">
        <v>-0.2030827297347638</v>
      </c>
      <c r="AL382" s="6" t="n">
        <v>0</v>
      </c>
      <c r="AM382" s="3" t="n">
        <v>0</v>
      </c>
      <c r="AN382" s="3" t="n">
        <v>0</v>
      </c>
      <c r="AO382" s="3" t="n">
        <v>0</v>
      </c>
      <c r="AP382" s="3">
        <f>N(X382)*N(BI382)</f>
        <v/>
      </c>
      <c r="AQ382" s="3" t="n">
        <v>0</v>
      </c>
      <c r="AR382" s="3" t="n">
        <v>0</v>
      </c>
      <c r="AS382" s="3" t="n">
        <v>-0.4903625828545308</v>
      </c>
      <c r="AT382" s="3" t="n">
        <v>-0.2030827297347638</v>
      </c>
      <c r="AU382" s="3">
        <f>SUM(AN382:AT382)</f>
        <v/>
      </c>
      <c r="AV382" s="7">
        <f>IF(OR(N(W382)&lt;=0,N(BG382)=0),0,N(W382)*IF(N(R382)/N(W382)&gt;=60,N(BG382),1))</f>
        <v/>
      </c>
      <c r="AW382" s="7">
        <f>N(W382)*N(AF382)*N(BH382)</f>
        <v/>
      </c>
      <c r="AX382" s="7">
        <f>N(AL382)*(Assumptions!$B$13*N(BJ382)-(1-Assumptions!$B$13)*Assumptions!$B$14)+N(AM382)</f>
        <v/>
      </c>
      <c r="AY382" s="7">
        <f>N(AU382)*N(R382)/90+N(AV382)+N(AW382)+N(AX382)</f>
        <v/>
      </c>
      <c r="AZ382" s="3">
        <f>IF(N(R382)&lt;=0,0,(N(AY382)-N(AX382))*90/N(R382))</f>
        <v/>
      </c>
      <c r="BA382" s="7">
        <f>IFERROR(AY382-VLOOKUP($E382,Assumptions!$A$40:$C$43,3,FALSE),"")</f>
        <v/>
      </c>
      <c r="BB382" s="3">
        <f>IFERROR(BA382/H382,"")</f>
        <v/>
      </c>
      <c r="BC382">
        <f>IF(AND($G382=TRUE,$E382="GKP"),AY382,"")</f>
        <v/>
      </c>
      <c r="BD382">
        <f>IF(AND($G382=TRUE,$E382="DEF"),AY382,"")</f>
        <v/>
      </c>
      <c r="BE382">
        <f>IF(AND($G382=TRUE,$E382="MID"),AY382,"")</f>
        <v/>
      </c>
      <c r="BF382">
        <f>IF(AND($G382=TRUE,$E382="FWD"),AY382,"")</f>
        <v/>
      </c>
      <c r="BG382" t="n">
        <v>2</v>
      </c>
      <c r="BH382" t="n">
        <v>2</v>
      </c>
      <c r="BI382" t="n">
        <v>4</v>
      </c>
      <c r="BJ382" t="n">
        <v>6</v>
      </c>
    </row>
    <row r="383">
      <c r="A383" t="inlineStr">
        <is>
          <t>Joél Drakes-Thomas</t>
        </is>
      </c>
      <c r="B383" t="inlineStr">
        <is>
          <t>CRY</t>
        </is>
      </c>
      <c r="C383" t="inlineStr">
        <is>
          <t>CRY</t>
        </is>
      </c>
      <c r="D383" t="b">
        <v>0</v>
      </c>
      <c r="E383" t="inlineStr">
        <is>
          <t>MID</t>
        </is>
      </c>
      <c r="F383" t="inlineStr">
        <is>
          <t>MID</t>
        </is>
      </c>
      <c r="G383" t="b">
        <v>1</v>
      </c>
      <c r="H383" s="2" t="n">
        <v>4.5</v>
      </c>
      <c r="I383" t="inlineStr">
        <is>
          <t>a</t>
        </is>
      </c>
      <c r="K383" s="2" t="n">
        <v>7</v>
      </c>
      <c r="L383" t="n">
        <v>2</v>
      </c>
      <c r="M383" s="3" t="n">
        <v>0</v>
      </c>
      <c r="N383" s="8" t="n">
        <v>0</v>
      </c>
      <c r="O383" s="8" t="n">
        <v>0</v>
      </c>
      <c r="Q383" t="inlineStr">
        <is>
          <t>flat</t>
        </is>
      </c>
      <c r="R383" s="6" t="n">
        <v>0</v>
      </c>
      <c r="S383" t="inlineStr">
        <is>
          <t>Solio</t>
        </is>
      </c>
      <c r="U383" s="6" t="n">
        <v>80.09999999999999</v>
      </c>
      <c r="V383" s="2" t="n">
        <v>0</v>
      </c>
      <c r="W383" s="7">
        <f>IF(N(U383)&lt;=0,0,MIN(Assumptions!$B$15,N(R383)/N(U383)))</f>
        <v/>
      </c>
      <c r="X383" s="6" t="n">
        <v>0.216</v>
      </c>
      <c r="Y383" s="3" t="n">
        <v>0</v>
      </c>
      <c r="Z383" t="inlineStr">
        <is>
          <t>blended xG</t>
        </is>
      </c>
      <c r="AA383" s="3" t="n">
        <v>1</v>
      </c>
      <c r="AB383" s="3" t="n">
        <v>1</v>
      </c>
      <c r="AC383" s="3" t="n">
        <v>0</v>
      </c>
      <c r="AD383" s="3" t="n">
        <v>0</v>
      </c>
      <c r="AE383" s="3" t="n">
        <v>8.866</v>
      </c>
      <c r="AF383" s="3" t="n">
        <v>0.1041985328502864</v>
      </c>
      <c r="AG383" s="3" t="n">
        <v>0</v>
      </c>
      <c r="AH383" s="3" t="n">
        <v>2</v>
      </c>
      <c r="AI383" s="3" t="n">
        <v>3.2035</v>
      </c>
      <c r="AJ383" s="3" t="n">
        <v>1.5923</v>
      </c>
      <c r="AK383" s="3" t="n">
        <v>-0.2150787580952838</v>
      </c>
      <c r="AL383" s="6" t="n">
        <v>0</v>
      </c>
      <c r="AM383" s="3" t="n">
        <v>0</v>
      </c>
      <c r="AN383" s="3" t="n">
        <v>0</v>
      </c>
      <c r="AO383" s="3" t="n">
        <v>0</v>
      </c>
      <c r="AP383" s="3">
        <f>N(X383)*N(BI383)</f>
        <v/>
      </c>
      <c r="AQ383" s="3" t="n">
        <v>0</v>
      </c>
      <c r="AR383" s="3" t="n">
        <v>0</v>
      </c>
      <c r="AS383" s="3" t="n">
        <v>-0</v>
      </c>
      <c r="AT383" s="3" t="n">
        <v>-0.2150787580952838</v>
      </c>
      <c r="AU383" s="3">
        <f>SUM(AN383:AT383)</f>
        <v/>
      </c>
      <c r="AV383" s="7">
        <f>IF(OR(N(W383)&lt;=0,N(BG383)=0),0,N(W383)*IF(N(R383)/N(W383)&gt;=60,N(BG383),1))</f>
        <v/>
      </c>
      <c r="AW383" s="7">
        <f>N(W383)*N(AF383)*N(BH383)</f>
        <v/>
      </c>
      <c r="AX383" s="7">
        <f>N(AL383)*(Assumptions!$B$13*N(BJ383)-(1-Assumptions!$B$13)*Assumptions!$B$14)+N(AM383)</f>
        <v/>
      </c>
      <c r="AY383" s="7">
        <f>N(AU383)*N(R383)/90+N(AV383)+N(AW383)+N(AX383)</f>
        <v/>
      </c>
      <c r="AZ383" s="3">
        <f>IF(N(R383)&lt;=0,0,(N(AY383)-N(AX383))*90/N(R383))</f>
        <v/>
      </c>
      <c r="BA383" s="7">
        <f>IFERROR(AY383-VLOOKUP($E383,Assumptions!$A$40:$C$43,3,FALSE),"")</f>
        <v/>
      </c>
      <c r="BB383" s="3">
        <f>IFERROR(BA383/H383,"")</f>
        <v/>
      </c>
      <c r="BC383">
        <f>IF(AND($G383=TRUE,$E383="GKP"),AY383,"")</f>
        <v/>
      </c>
      <c r="BD383">
        <f>IF(AND($G383=TRUE,$E383="DEF"),AY383,"")</f>
        <v/>
      </c>
      <c r="BE383">
        <f>IF(AND($G383=TRUE,$E383="MID"),AY383,"")</f>
        <v/>
      </c>
      <c r="BF383">
        <f>IF(AND($G383=TRUE,$E383="FWD"),AY383,"")</f>
        <v/>
      </c>
      <c r="BG383" t="n">
        <v>2</v>
      </c>
      <c r="BH383" t="n">
        <v>2</v>
      </c>
      <c r="BI383" t="n">
        <v>1</v>
      </c>
      <c r="BJ383" t="n">
        <v>5</v>
      </c>
    </row>
    <row r="384">
      <c r="A384" t="inlineStr">
        <is>
          <t>Kepa Arrizabalaga</t>
        </is>
      </c>
      <c r="B384" t="inlineStr">
        <is>
          <t>ARS</t>
        </is>
      </c>
      <c r="C384" t="inlineStr">
        <is>
          <t>ARS</t>
        </is>
      </c>
      <c r="D384" t="b">
        <v>0</v>
      </c>
      <c r="E384" t="inlineStr">
        <is>
          <t>GKP</t>
        </is>
      </c>
      <c r="F384" t="inlineStr">
        <is>
          <t>GKP</t>
        </is>
      </c>
      <c r="G384" t="b">
        <v>1</v>
      </c>
      <c r="H384" s="2" t="n">
        <v>5</v>
      </c>
      <c r="I384" t="inlineStr">
        <is>
          <t>a</t>
        </is>
      </c>
      <c r="K384" s="2" t="n">
        <v>90</v>
      </c>
      <c r="L384" t="n">
        <v>2</v>
      </c>
      <c r="M384" s="3" t="n">
        <v>35</v>
      </c>
      <c r="N384" s="4" t="n">
        <v>15</v>
      </c>
      <c r="O384" s="4" t="n">
        <v>-20</v>
      </c>
      <c r="P384" s="5" t="inlineStr">
        <is>
          <t>low</t>
        </is>
      </c>
      <c r="Q384" t="inlineStr">
        <is>
          <t>flat</t>
        </is>
      </c>
      <c r="R384" s="6" t="n">
        <v>15</v>
      </c>
      <c r="S384" t="inlineStr">
        <is>
          <t>research</t>
        </is>
      </c>
      <c r="T384" s="5" t="inlineStr">
        <is>
          <t>Arsenal signed Illan Meslier as a free agent on 9 July specifically as back-up goalkeeper, and Kepa has been reported as wanting to leave for regular football. Arseblog's post-Dortmund note says he is now more comfortable with Meslier between the sticks than Kepa. This is a token split of an already tiny back-up allocation, not a claim about who starts cup games - the league minutes at stake are trivial either way.</t>
        </is>
      </c>
      <c r="U384" s="6" t="n">
        <v>89.8</v>
      </c>
      <c r="V384" s="2" t="n">
        <v>1</v>
      </c>
      <c r="W384" s="7">
        <f>IF(N(U384)&lt;=0,0,MIN(Assumptions!$B$15,N(R384)/N(U384)))</f>
        <v/>
      </c>
      <c r="X384" s="6" t="n">
        <v>0.391</v>
      </c>
      <c r="Y384" s="3" t="n">
        <v>0</v>
      </c>
      <c r="Z384" t="inlineStr">
        <is>
          <t>adjusted xGOT</t>
        </is>
      </c>
      <c r="AA384" s="3" t="n">
        <v>1</v>
      </c>
      <c r="AB384" s="3" t="n">
        <v>0.993</v>
      </c>
      <c r="AC384" s="3" t="n">
        <v>0.1</v>
      </c>
      <c r="AD384" s="3" t="n">
        <v>0</v>
      </c>
      <c r="AE384" s="3" t="n">
        <v>0</v>
      </c>
      <c r="AF384" s="3" t="n">
        <v>0</v>
      </c>
      <c r="AG384" s="3" t="n">
        <v>0</v>
      </c>
      <c r="AH384" s="3" t="n">
        <v>2</v>
      </c>
      <c r="AI384" s="3" t="n">
        <v>2.067</v>
      </c>
      <c r="AJ384" s="3" t="n">
        <v>0.9838</v>
      </c>
      <c r="AK384" s="3" t="n">
        <v>-0.0864937396017854</v>
      </c>
      <c r="AL384" s="6" t="n">
        <v>0</v>
      </c>
      <c r="AM384" s="3" t="n">
        <v>0.0214943771917284</v>
      </c>
      <c r="AN384" s="3" t="n">
        <v>0</v>
      </c>
      <c r="AO384" s="3" t="n">
        <v>0</v>
      </c>
      <c r="AP384" s="3">
        <f>N(X384)*N(BI384)</f>
        <v/>
      </c>
      <c r="AQ384" s="3" t="n">
        <v>0</v>
      </c>
      <c r="AR384" s="3" t="n">
        <v>0.3608597487600056</v>
      </c>
      <c r="AS384" s="3" t="n">
        <v>-0.2768479886568037</v>
      </c>
      <c r="AT384" s="3" t="n">
        <v>-0.0864937396017854</v>
      </c>
      <c r="AU384" s="3">
        <f>SUM(AN384:AT384)</f>
        <v/>
      </c>
      <c r="AV384" s="7">
        <f>IF(OR(N(W384)&lt;=0,N(BG384)=0),0,N(W384)*IF(N(R384)/N(W384)&gt;=60,N(BG384),1))</f>
        <v/>
      </c>
      <c r="AW384" s="7">
        <f>N(W384)*N(AF384)*N(BH384)</f>
        <v/>
      </c>
      <c r="AX384" s="7">
        <f>N(AL384)*(Assumptions!$B$13*N(BJ384)-(1-Assumptions!$B$13)*Assumptions!$B$14)+N(AM384)</f>
        <v/>
      </c>
      <c r="AY384" s="7">
        <f>N(AU384)*N(R384)/90+N(AV384)+N(AW384)+N(AX384)</f>
        <v/>
      </c>
      <c r="AZ384" s="3">
        <f>IF(N(R384)&lt;=0,0,(N(AY384)-N(AX384))*90/N(R384))</f>
        <v/>
      </c>
      <c r="BA384" s="7">
        <f>IFERROR(AY384-VLOOKUP($E384,Assumptions!$A$40:$C$43,3,FALSE),"")</f>
        <v/>
      </c>
      <c r="BB384" s="3">
        <f>IFERROR(BA384/H384,"")</f>
        <v/>
      </c>
      <c r="BC384">
        <f>IF(AND($G384=TRUE,$E384="GKP"),AY384,"")</f>
        <v/>
      </c>
      <c r="BD384">
        <f>IF(AND($G384=TRUE,$E384="DEF"),AY384,"")</f>
        <v/>
      </c>
      <c r="BE384">
        <f>IF(AND($G384=TRUE,$E384="MID"),AY384,"")</f>
        <v/>
      </c>
      <c r="BF384">
        <f>IF(AND($G384=TRUE,$E384="FWD"),AY384,"")</f>
        <v/>
      </c>
      <c r="BG384" t="n">
        <v>2</v>
      </c>
      <c r="BH384" t="n">
        <v>0</v>
      </c>
      <c r="BI384" t="n">
        <v>4</v>
      </c>
      <c r="BJ384" t="n">
        <v>10</v>
      </c>
    </row>
    <row r="385">
      <c r="A385" t="inlineStr">
        <is>
          <t>Divine Mukasa</t>
        </is>
      </c>
      <c r="B385" t="inlineStr">
        <is>
          <t>MCI</t>
        </is>
      </c>
      <c r="C385" t="inlineStr">
        <is>
          <t>MCI</t>
        </is>
      </c>
      <c r="D385" t="b">
        <v>0</v>
      </c>
      <c r="E385" t="inlineStr">
        <is>
          <t>MID</t>
        </is>
      </c>
      <c r="F385" t="inlineStr">
        <is>
          <t>MID</t>
        </is>
      </c>
      <c r="G385" t="b">
        <v>1</v>
      </c>
      <c r="H385" s="2" t="n">
        <v>4.5</v>
      </c>
      <c r="I385" t="inlineStr">
        <is>
          <t>a</t>
        </is>
      </c>
      <c r="K385" s="2" t="n">
        <v>25</v>
      </c>
      <c r="L385" t="n">
        <v>2</v>
      </c>
      <c r="M385" s="3" t="n">
        <v>0</v>
      </c>
      <c r="N385" s="8" t="n">
        <v>0</v>
      </c>
      <c r="O385" s="8" t="n">
        <v>0</v>
      </c>
      <c r="Q385" t="inlineStr">
        <is>
          <t>flat</t>
        </is>
      </c>
      <c r="R385" s="6" t="n">
        <v>0</v>
      </c>
      <c r="S385" t="inlineStr">
        <is>
          <t>Solio</t>
        </is>
      </c>
      <c r="U385" s="6" t="n">
        <v>80.09999999999999</v>
      </c>
      <c r="V385" s="2" t="n">
        <v>0</v>
      </c>
      <c r="W385" s="7">
        <f>IF(N(U385)&lt;=0,0,MIN(Assumptions!$B$15,N(R385)/N(U385)))</f>
        <v/>
      </c>
      <c r="X385" s="6" t="n">
        <v>0.371</v>
      </c>
      <c r="Y385" s="3" t="n">
        <v>0</v>
      </c>
      <c r="Z385" t="inlineStr">
        <is>
          <t>blended xG</t>
        </is>
      </c>
      <c r="AA385" s="3" t="n">
        <v>1</v>
      </c>
      <c r="AB385" s="3" t="n">
        <v>1</v>
      </c>
      <c r="AC385" s="3" t="n">
        <v>0</v>
      </c>
      <c r="AD385" s="3" t="n">
        <v>0.7591</v>
      </c>
      <c r="AE385" s="3" t="n">
        <v>8.41</v>
      </c>
      <c r="AF385" s="3" t="n">
        <v>0.07836075947435073</v>
      </c>
      <c r="AG385" s="3" t="n">
        <v>0</v>
      </c>
      <c r="AH385" s="3" t="n">
        <v>2</v>
      </c>
      <c r="AI385" s="3" t="n">
        <v>1.9737</v>
      </c>
      <c r="AJ385" s="3" t="n">
        <v>1.0365</v>
      </c>
      <c r="AK385" s="3" t="n">
        <v>-0.2126405378231206</v>
      </c>
      <c r="AL385" s="6" t="n">
        <v>0</v>
      </c>
      <c r="AM385" s="3" t="n">
        <v>0</v>
      </c>
      <c r="AN385" s="3" t="n">
        <v>0</v>
      </c>
      <c r="AO385" s="3" t="n">
        <v>3.006036</v>
      </c>
      <c r="AP385" s="3">
        <f>N(X385)*N(BI385)</f>
        <v/>
      </c>
      <c r="AQ385" s="3" t="n">
        <v>0</v>
      </c>
      <c r="AR385" s="3" t="n">
        <v>0</v>
      </c>
      <c r="AS385" s="3" t="n">
        <v>-0</v>
      </c>
      <c r="AT385" s="3" t="n">
        <v>-0.2126405378231206</v>
      </c>
      <c r="AU385" s="3">
        <f>SUM(AN385:AT385)</f>
        <v/>
      </c>
      <c r="AV385" s="7">
        <f>IF(OR(N(W385)&lt;=0,N(BG385)=0),0,N(W385)*IF(N(R385)/N(W385)&gt;=60,N(BG385),1))</f>
        <v/>
      </c>
      <c r="AW385" s="7">
        <f>N(W385)*N(AF385)*N(BH385)</f>
        <v/>
      </c>
      <c r="AX385" s="7">
        <f>N(AL385)*(Assumptions!$B$13*N(BJ385)-(1-Assumptions!$B$13)*Assumptions!$B$14)+N(AM385)</f>
        <v/>
      </c>
      <c r="AY385" s="7">
        <f>N(AU385)*N(R385)/90+N(AV385)+N(AW385)+N(AX385)</f>
        <v/>
      </c>
      <c r="AZ385" s="3">
        <f>IF(N(R385)&lt;=0,0,(N(AY385)-N(AX385))*90/N(R385))</f>
        <v/>
      </c>
      <c r="BA385" s="7">
        <f>IFERROR(AY385-VLOOKUP($E385,Assumptions!$A$40:$C$43,3,FALSE),"")</f>
        <v/>
      </c>
      <c r="BB385" s="3">
        <f>IFERROR(BA385/H385,"")</f>
        <v/>
      </c>
      <c r="BC385">
        <f>IF(AND($G385=TRUE,$E385="GKP"),AY385,"")</f>
        <v/>
      </c>
      <c r="BD385">
        <f>IF(AND($G385=TRUE,$E385="DEF"),AY385,"")</f>
        <v/>
      </c>
      <c r="BE385">
        <f>IF(AND($G385=TRUE,$E385="MID"),AY385,"")</f>
        <v/>
      </c>
      <c r="BF385">
        <f>IF(AND($G385=TRUE,$E385="FWD"),AY385,"")</f>
        <v/>
      </c>
      <c r="BG385" t="n">
        <v>2</v>
      </c>
      <c r="BH385" t="n">
        <v>2</v>
      </c>
      <c r="BI385" t="n">
        <v>1</v>
      </c>
      <c r="BJ385" t="n">
        <v>5</v>
      </c>
    </row>
    <row r="386">
      <c r="A386" t="inlineStr">
        <is>
          <t>Josh Dasilva</t>
        </is>
      </c>
      <c r="B386" t="inlineStr">
        <is>
          <t>BRE</t>
        </is>
      </c>
      <c r="C386" t="inlineStr">
        <is>
          <t>BRE</t>
        </is>
      </c>
      <c r="D386" t="b">
        <v>0</v>
      </c>
      <c r="E386" t="inlineStr">
        <is>
          <t>MID</t>
        </is>
      </c>
      <c r="F386" t="inlineStr">
        <is>
          <t>MID</t>
        </is>
      </c>
      <c r="G386" t="b">
        <v>1</v>
      </c>
      <c r="H386" s="2" t="n">
        <v>5</v>
      </c>
      <c r="I386" t="inlineStr">
        <is>
          <t>a</t>
        </is>
      </c>
      <c r="K386" s="2" t="n">
        <v>2</v>
      </c>
      <c r="L386" t="n">
        <v>2</v>
      </c>
      <c r="M386" s="3" t="n">
        <v>0</v>
      </c>
      <c r="N386" s="8" t="n">
        <v>0</v>
      </c>
      <c r="O386" s="8" t="n">
        <v>0</v>
      </c>
      <c r="Q386" t="inlineStr">
        <is>
          <t>flat</t>
        </is>
      </c>
      <c r="R386" s="6" t="n">
        <v>0</v>
      </c>
      <c r="S386" t="inlineStr">
        <is>
          <t>Solio</t>
        </is>
      </c>
      <c r="U386" s="6" t="n">
        <v>80.09999999999999</v>
      </c>
      <c r="V386" s="2" t="n">
        <v>0</v>
      </c>
      <c r="W386" s="7">
        <f>IF(N(U386)&lt;=0,0,MIN(Assumptions!$B$15,N(R386)/N(U386)))</f>
        <v/>
      </c>
      <c r="X386" s="6" t="n">
        <v>0.228</v>
      </c>
      <c r="Y386" s="3" t="n">
        <v>3.87</v>
      </c>
      <c r="Z386" t="inlineStr">
        <is>
          <t>adjusted xGOT</t>
        </is>
      </c>
      <c r="AA386" s="3" t="n">
        <v>1</v>
      </c>
      <c r="AB386" s="3" t="n">
        <v>1.077</v>
      </c>
      <c r="AC386" s="3" t="n">
        <v>1.7</v>
      </c>
      <c r="AD386" s="3" t="n">
        <v>0</v>
      </c>
      <c r="AE386" s="3" t="n">
        <v>8.678000000000001</v>
      </c>
      <c r="AF386" s="3" t="n">
        <v>0.09299929141077656</v>
      </c>
      <c r="AG386" s="3" t="n">
        <v>0</v>
      </c>
      <c r="AH386" s="3" t="n">
        <v>2</v>
      </c>
      <c r="AI386" s="3" t="n">
        <v>3.2371</v>
      </c>
      <c r="AJ386" s="3" t="n">
        <v>1.5396</v>
      </c>
      <c r="AK386" s="3" t="n">
        <v>-0.2145589846271921</v>
      </c>
      <c r="AL386" s="6" t="n">
        <v>0</v>
      </c>
      <c r="AM386" s="3" t="n">
        <v>0</v>
      </c>
      <c r="AN386" s="3" t="n">
        <v>19.35</v>
      </c>
      <c r="AO386" s="3" t="n">
        <v>0</v>
      </c>
      <c r="AP386" s="3">
        <f>N(X386)*N(BI386)</f>
        <v/>
      </c>
      <c r="AQ386" s="3" t="n">
        <v>0</v>
      </c>
      <c r="AR386" s="3" t="n">
        <v>0</v>
      </c>
      <c r="AS386" s="3" t="n">
        <v>-0</v>
      </c>
      <c r="AT386" s="3" t="n">
        <v>-0.2145589846271921</v>
      </c>
      <c r="AU386" s="3">
        <f>SUM(AN386:AT386)</f>
        <v/>
      </c>
      <c r="AV386" s="7">
        <f>IF(OR(N(W386)&lt;=0,N(BG386)=0),0,N(W386)*IF(N(R386)/N(W386)&gt;=60,N(BG386),1))</f>
        <v/>
      </c>
      <c r="AW386" s="7">
        <f>N(W386)*N(AF386)*N(BH386)</f>
        <v/>
      </c>
      <c r="AX386" s="7">
        <f>N(AL386)*(Assumptions!$B$13*N(BJ386)-(1-Assumptions!$B$13)*Assumptions!$B$14)+N(AM386)</f>
        <v/>
      </c>
      <c r="AY386" s="7">
        <f>N(AU386)*N(R386)/90+N(AV386)+N(AW386)+N(AX386)</f>
        <v/>
      </c>
      <c r="AZ386" s="3">
        <f>IF(N(R386)&lt;=0,0,(N(AY386)-N(AX386))*90/N(R386))</f>
        <v/>
      </c>
      <c r="BA386" s="7">
        <f>IFERROR(AY386-VLOOKUP($E386,Assumptions!$A$40:$C$43,3,FALSE),"")</f>
        <v/>
      </c>
      <c r="BB386" s="3">
        <f>IFERROR(BA386/H386,"")</f>
        <v/>
      </c>
      <c r="BC386">
        <f>IF(AND($G386=TRUE,$E386="GKP"),AY386,"")</f>
        <v/>
      </c>
      <c r="BD386">
        <f>IF(AND($G386=TRUE,$E386="DEF"),AY386,"")</f>
        <v/>
      </c>
      <c r="BE386">
        <f>IF(AND($G386=TRUE,$E386="MID"),AY386,"")</f>
        <v/>
      </c>
      <c r="BF386">
        <f>IF(AND($G386=TRUE,$E386="FWD"),AY386,"")</f>
        <v/>
      </c>
      <c r="BG386" t="n">
        <v>2</v>
      </c>
      <c r="BH386" t="n">
        <v>2</v>
      </c>
      <c r="BI386" t="n">
        <v>1</v>
      </c>
      <c r="BJ386" t="n">
        <v>5</v>
      </c>
    </row>
    <row r="387">
      <c r="A387" t="inlineStr">
        <is>
          <t>Tyler Fletcher</t>
        </is>
      </c>
      <c r="B387" t="inlineStr">
        <is>
          <t>MUN</t>
        </is>
      </c>
      <c r="C387" t="inlineStr">
        <is>
          <t>MUN</t>
        </is>
      </c>
      <c r="D387" t="b">
        <v>0</v>
      </c>
      <c r="E387" t="inlineStr">
        <is>
          <t>MID</t>
        </is>
      </c>
      <c r="F387" t="inlineStr">
        <is>
          <t>MID</t>
        </is>
      </c>
      <c r="G387" t="b">
        <v>1</v>
      </c>
      <c r="H387" s="2" t="n">
        <v>4.5</v>
      </c>
      <c r="I387" t="inlineStr">
        <is>
          <t>a</t>
        </is>
      </c>
      <c r="K387" s="2" t="n">
        <v>17</v>
      </c>
      <c r="L387" t="n">
        <v>2</v>
      </c>
      <c r="M387" s="3" t="n">
        <v>52</v>
      </c>
      <c r="N387" s="8" t="n">
        <v>52</v>
      </c>
      <c r="O387" s="8" t="n">
        <v>0</v>
      </c>
      <c r="Q387" t="inlineStr">
        <is>
          <t>flat</t>
        </is>
      </c>
      <c r="R387" s="6" t="n">
        <v>52</v>
      </c>
      <c r="S387" t="inlineStr">
        <is>
          <t>Solio</t>
        </is>
      </c>
      <c r="U387" s="6" t="n">
        <v>80.09999999999999</v>
      </c>
      <c r="V387" s="2" t="n">
        <v>0</v>
      </c>
      <c r="W387" s="7">
        <f>IF(N(U387)&lt;=0,0,MIN(Assumptions!$B$15,N(R387)/N(U387)))</f>
        <v/>
      </c>
      <c r="X387" s="6" t="n">
        <v>0.334</v>
      </c>
      <c r="Y387" s="3" t="n">
        <v>0</v>
      </c>
      <c r="Z387" t="inlineStr">
        <is>
          <t>blended xG</t>
        </is>
      </c>
      <c r="AA387" s="3" t="n">
        <v>1</v>
      </c>
      <c r="AB387" s="3" t="n">
        <v>1</v>
      </c>
      <c r="AC387" s="3" t="n">
        <v>0</v>
      </c>
      <c r="AD387" s="3" t="n">
        <v>0.0265</v>
      </c>
      <c r="AE387" s="3" t="n">
        <v>8.622999999999999</v>
      </c>
      <c r="AF387" s="3" t="n">
        <v>0.08986794610963023</v>
      </c>
      <c r="AG387" s="3" t="n">
        <v>0</v>
      </c>
      <c r="AH387" s="3" t="n">
        <v>2</v>
      </c>
      <c r="AI387" s="3" t="n">
        <v>2.2165</v>
      </c>
      <c r="AJ387" s="3" t="n">
        <v>1.1467</v>
      </c>
      <c r="AK387" s="3" t="n">
        <v>-0.2137167537108107</v>
      </c>
      <c r="AL387" s="6" t="n">
        <v>0</v>
      </c>
      <c r="AM387" s="3" t="n">
        <v>0</v>
      </c>
      <c r="AN387" s="3" t="n">
        <v>0</v>
      </c>
      <c r="AO387" s="3" t="n">
        <v>0.10494</v>
      </c>
      <c r="AP387" s="3">
        <f>N(X387)*N(BI387)</f>
        <v/>
      </c>
      <c r="AQ387" s="3" t="n">
        <v>0</v>
      </c>
      <c r="AR387" s="3" t="n">
        <v>0</v>
      </c>
      <c r="AS387" s="3" t="n">
        <v>-0</v>
      </c>
      <c r="AT387" s="3" t="n">
        <v>-0.2137167537108107</v>
      </c>
      <c r="AU387" s="3">
        <f>SUM(AN387:AT387)</f>
        <v/>
      </c>
      <c r="AV387" s="7">
        <f>IF(OR(N(W387)&lt;=0,N(BG387)=0),0,N(W387)*IF(N(R387)/N(W387)&gt;=60,N(BG387),1))</f>
        <v/>
      </c>
      <c r="AW387" s="7">
        <f>N(W387)*N(AF387)*N(BH387)</f>
        <v/>
      </c>
      <c r="AX387" s="7">
        <f>N(AL387)*(Assumptions!$B$13*N(BJ387)-(1-Assumptions!$B$13)*Assumptions!$B$14)+N(AM387)</f>
        <v/>
      </c>
      <c r="AY387" s="7">
        <f>N(AU387)*N(R387)/90+N(AV387)+N(AW387)+N(AX387)</f>
        <v/>
      </c>
      <c r="AZ387" s="3">
        <f>IF(N(R387)&lt;=0,0,(N(AY387)-N(AX387))*90/N(R387))</f>
        <v/>
      </c>
      <c r="BA387" s="7">
        <f>IFERROR(AY387-VLOOKUP($E387,Assumptions!$A$40:$C$43,3,FALSE),"")</f>
        <v/>
      </c>
      <c r="BB387" s="3">
        <f>IFERROR(BA387/H387,"")</f>
        <v/>
      </c>
      <c r="BC387">
        <f>IF(AND($G387=TRUE,$E387="GKP"),AY387,"")</f>
        <v/>
      </c>
      <c r="BD387">
        <f>IF(AND($G387=TRUE,$E387="DEF"),AY387,"")</f>
        <v/>
      </c>
      <c r="BE387">
        <f>IF(AND($G387=TRUE,$E387="MID"),AY387,"")</f>
        <v/>
      </c>
      <c r="BF387">
        <f>IF(AND($G387=TRUE,$E387="FWD"),AY387,"")</f>
        <v/>
      </c>
      <c r="BG387" t="n">
        <v>2</v>
      </c>
      <c r="BH387" t="n">
        <v>2</v>
      </c>
      <c r="BI387" t="n">
        <v>1</v>
      </c>
      <c r="BJ387" t="n">
        <v>5</v>
      </c>
    </row>
    <row r="388">
      <c r="A388" t="inlineStr">
        <is>
          <t>Jenson Seelt</t>
        </is>
      </c>
      <c r="B388" t="inlineStr">
        <is>
          <t>SUN</t>
        </is>
      </c>
      <c r="C388" t="inlineStr">
        <is>
          <t>SUN</t>
        </is>
      </c>
      <c r="D388" t="b">
        <v>0</v>
      </c>
      <c r="E388" t="inlineStr">
        <is>
          <t>DEF</t>
        </is>
      </c>
      <c r="F388" t="inlineStr">
        <is>
          <t>DEF</t>
        </is>
      </c>
      <c r="G388" t="b">
        <v>1</v>
      </c>
      <c r="H388" s="2" t="n">
        <v>4.5</v>
      </c>
      <c r="I388" t="inlineStr">
        <is>
          <t>a</t>
        </is>
      </c>
      <c r="K388" s="2" t="n">
        <v>133</v>
      </c>
      <c r="L388" t="n">
        <v>2</v>
      </c>
      <c r="M388" s="3" t="n">
        <v>147</v>
      </c>
      <c r="N388" s="8" t="n">
        <v>147</v>
      </c>
      <c r="O388" s="8" t="n">
        <v>0</v>
      </c>
      <c r="Q388" t="inlineStr">
        <is>
          <t>flat</t>
        </is>
      </c>
      <c r="R388" s="6" t="n">
        <v>147</v>
      </c>
      <c r="S388" t="inlineStr">
        <is>
          <t>Solio</t>
        </is>
      </c>
      <c r="U388" s="6" t="n">
        <v>82.5</v>
      </c>
      <c r="V388" s="2" t="n">
        <v>1</v>
      </c>
      <c r="W388" s="7">
        <f>IF(N(U388)&lt;=0,0,MIN(Assumptions!$B$15,N(R388)/N(U388)))</f>
        <v/>
      </c>
      <c r="X388" s="6" t="n">
        <v>0.204</v>
      </c>
      <c r="Y388" s="3" t="n">
        <v>0</v>
      </c>
      <c r="Z388" t="inlineStr">
        <is>
          <t>blended xG</t>
        </is>
      </c>
      <c r="AA388" s="3" t="n">
        <v>1</v>
      </c>
      <c r="AB388" s="3" t="n">
        <v>1</v>
      </c>
      <c r="AC388" s="3" t="n">
        <v>0</v>
      </c>
      <c r="AD388" s="3" t="n">
        <v>0.0034</v>
      </c>
      <c r="AE388" s="3" t="n">
        <v>7.753</v>
      </c>
      <c r="AF388" s="3" t="n">
        <v>0.1805093561997273</v>
      </c>
      <c r="AG388" s="3" t="n">
        <v>0</v>
      </c>
      <c r="AH388" s="3" t="n">
        <v>3</v>
      </c>
      <c r="AI388" s="3" t="n">
        <v>3.3348</v>
      </c>
      <c r="AJ388" s="3" t="n">
        <v>1.6498</v>
      </c>
      <c r="AK388" s="3" t="n">
        <v>-0.1890223002434963</v>
      </c>
      <c r="AL388" s="6" t="n">
        <v>0</v>
      </c>
      <c r="AM388" s="3" t="n">
        <v>0</v>
      </c>
      <c r="AN388" s="3" t="n">
        <v>0</v>
      </c>
      <c r="AO388" s="3" t="n">
        <v>0.013464</v>
      </c>
      <c r="AP388" s="3">
        <f>N(X388)*N(BI388)</f>
        <v/>
      </c>
      <c r="AQ388" s="3" t="n">
        <v>0</v>
      </c>
      <c r="AR388" s="3" t="n">
        <v>0</v>
      </c>
      <c r="AS388" s="3" t="n">
        <v>-0.5841244809045405</v>
      </c>
      <c r="AT388" s="3" t="n">
        <v>-0.1890223002434963</v>
      </c>
      <c r="AU388" s="3">
        <f>SUM(AN388:AT388)</f>
        <v/>
      </c>
      <c r="AV388" s="7">
        <f>IF(OR(N(W388)&lt;=0,N(BG388)=0),0,N(W388)*IF(N(R388)/N(W388)&gt;=60,N(BG388),1))</f>
        <v/>
      </c>
      <c r="AW388" s="7">
        <f>N(W388)*N(AF388)*N(BH388)</f>
        <v/>
      </c>
      <c r="AX388" s="7">
        <f>N(AL388)*(Assumptions!$B$13*N(BJ388)-(1-Assumptions!$B$13)*Assumptions!$B$14)+N(AM388)</f>
        <v/>
      </c>
      <c r="AY388" s="7">
        <f>N(AU388)*N(R388)/90+N(AV388)+N(AW388)+N(AX388)</f>
        <v/>
      </c>
      <c r="AZ388" s="3">
        <f>IF(N(R388)&lt;=0,0,(N(AY388)-N(AX388))*90/N(R388))</f>
        <v/>
      </c>
      <c r="BA388" s="7">
        <f>IFERROR(AY388-VLOOKUP($E388,Assumptions!$A$40:$C$43,3,FALSE),"")</f>
        <v/>
      </c>
      <c r="BB388" s="3">
        <f>IFERROR(BA388/H388,"")</f>
        <v/>
      </c>
      <c r="BC388">
        <f>IF(AND($G388=TRUE,$E388="GKP"),AY388,"")</f>
        <v/>
      </c>
      <c r="BD388">
        <f>IF(AND($G388=TRUE,$E388="DEF"),AY388,"")</f>
        <v/>
      </c>
      <c r="BE388">
        <f>IF(AND($G388=TRUE,$E388="MID"),AY388,"")</f>
        <v/>
      </c>
      <c r="BF388">
        <f>IF(AND($G388=TRUE,$E388="FWD"),AY388,"")</f>
        <v/>
      </c>
      <c r="BG388" t="n">
        <v>2</v>
      </c>
      <c r="BH388" t="n">
        <v>2</v>
      </c>
      <c r="BI388" t="n">
        <v>4</v>
      </c>
      <c r="BJ388" t="n">
        <v>6</v>
      </c>
    </row>
    <row r="389">
      <c r="A389" t="inlineStr">
        <is>
          <t>George Hemmings</t>
        </is>
      </c>
      <c r="B389" t="inlineStr">
        <is>
          <t>AVL</t>
        </is>
      </c>
      <c r="C389" t="inlineStr">
        <is>
          <t>AVL</t>
        </is>
      </c>
      <c r="D389" t="b">
        <v>0</v>
      </c>
      <c r="E389" t="inlineStr">
        <is>
          <t>MID</t>
        </is>
      </c>
      <c r="F389" t="inlineStr">
        <is>
          <t>MID</t>
        </is>
      </c>
      <c r="G389" t="b">
        <v>1</v>
      </c>
      <c r="H389" s="2" t="n">
        <v>4.5</v>
      </c>
      <c r="I389" t="inlineStr">
        <is>
          <t>a</t>
        </is>
      </c>
      <c r="K389" s="2" t="n">
        <v>25</v>
      </c>
      <c r="L389" t="n">
        <v>2</v>
      </c>
      <c r="M389" s="3" t="n">
        <v>19</v>
      </c>
      <c r="N389" s="4" t="n">
        <v>180</v>
      </c>
      <c r="O389" s="4" t="n">
        <v>161</v>
      </c>
      <c r="P389" s="5" t="inlineStr">
        <is>
          <t>low</t>
        </is>
      </c>
      <c r="Q389" t="inlineStr">
        <is>
          <t>flat</t>
        </is>
      </c>
      <c r="R389" s="6" t="n">
        <v>180</v>
      </c>
      <c r="S389" t="inlineStr">
        <is>
          <t>research</t>
        </is>
      </c>
      <c r="T389" s="5" t="inlineStr">
        <is>
          <t>Started the UEFA Super Cup final at 19 and went close to an equaliser, then started against Monchengladbach. Emery discussed him at length post-match as a number ten being deliberately developed. Kept small: a showpiece start with the senior attackers absent is not a Premier League role, and he drops out once Garnacho and Manzambi are fit.</t>
        </is>
      </c>
      <c r="U389" s="6" t="n">
        <v>80.09999999999999</v>
      </c>
      <c r="V389" s="2" t="n">
        <v>0</v>
      </c>
      <c r="W389" s="7">
        <f>IF(N(U389)&lt;=0,0,MIN(Assumptions!$B$15,N(R389)/N(U389)))</f>
        <v/>
      </c>
      <c r="X389" s="6" t="n">
        <v>0.273</v>
      </c>
      <c r="Y389" s="3" t="n">
        <v>0.144</v>
      </c>
      <c r="Z389" t="inlineStr">
        <is>
          <t>adjusted xGOT</t>
        </is>
      </c>
      <c r="AA389" s="3" t="n">
        <v>1</v>
      </c>
      <c r="AB389" s="3" t="n">
        <v>0.995</v>
      </c>
      <c r="AC389" s="3" t="n">
        <v>0</v>
      </c>
      <c r="AD389" s="3" t="n">
        <v>0.018</v>
      </c>
      <c r="AE389" s="3" t="n">
        <v>8.41</v>
      </c>
      <c r="AF389" s="3" t="n">
        <v>0.07836075947435073</v>
      </c>
      <c r="AG389" s="3" t="n">
        <v>0</v>
      </c>
      <c r="AH389" s="3" t="n">
        <v>2</v>
      </c>
      <c r="AI389" s="3" t="n">
        <v>2.7451</v>
      </c>
      <c r="AJ389" s="3" t="n">
        <v>1.3575</v>
      </c>
      <c r="AK389" s="3" t="n">
        <v>-0.2126405378231206</v>
      </c>
      <c r="AL389" s="6" t="n">
        <v>0</v>
      </c>
      <c r="AM389" s="3" t="n">
        <v>0</v>
      </c>
      <c r="AN389" s="3" t="n">
        <v>0.72</v>
      </c>
      <c r="AO389" s="3" t="n">
        <v>0.07128</v>
      </c>
      <c r="AP389" s="3">
        <f>N(X389)*N(BI389)</f>
        <v/>
      </c>
      <c r="AQ389" s="3" t="n">
        <v>0</v>
      </c>
      <c r="AR389" s="3" t="n">
        <v>0</v>
      </c>
      <c r="AS389" s="3" t="n">
        <v>-0</v>
      </c>
      <c r="AT389" s="3" t="n">
        <v>-0.2126405378231206</v>
      </c>
      <c r="AU389" s="3">
        <f>SUM(AN389:AT389)</f>
        <v/>
      </c>
      <c r="AV389" s="7">
        <f>IF(OR(N(W389)&lt;=0,N(BG389)=0),0,N(W389)*IF(N(R389)/N(W389)&gt;=60,N(BG389),1))</f>
        <v/>
      </c>
      <c r="AW389" s="7">
        <f>N(W389)*N(AF389)*N(BH389)</f>
        <v/>
      </c>
      <c r="AX389" s="7">
        <f>N(AL389)*(Assumptions!$B$13*N(BJ389)-(1-Assumptions!$B$13)*Assumptions!$B$14)+N(AM389)</f>
        <v/>
      </c>
      <c r="AY389" s="7">
        <f>N(AU389)*N(R389)/90+N(AV389)+N(AW389)+N(AX389)</f>
        <v/>
      </c>
      <c r="AZ389" s="3">
        <f>IF(N(R389)&lt;=0,0,(N(AY389)-N(AX389))*90/N(R389))</f>
        <v/>
      </c>
      <c r="BA389" s="7">
        <f>IFERROR(AY389-VLOOKUP($E389,Assumptions!$A$40:$C$43,3,FALSE),"")</f>
        <v/>
      </c>
      <c r="BB389" s="3">
        <f>IFERROR(BA389/H389,"")</f>
        <v/>
      </c>
      <c r="BC389">
        <f>IF(AND($G389=TRUE,$E389="GKP"),AY389,"")</f>
        <v/>
      </c>
      <c r="BD389">
        <f>IF(AND($G389=TRUE,$E389="DEF"),AY389,"")</f>
        <v/>
      </c>
      <c r="BE389">
        <f>IF(AND($G389=TRUE,$E389="MID"),AY389,"")</f>
        <v/>
      </c>
      <c r="BF389">
        <f>IF(AND($G389=TRUE,$E389="FWD"),AY389,"")</f>
        <v/>
      </c>
      <c r="BG389" t="n">
        <v>2</v>
      </c>
      <c r="BH389" t="n">
        <v>2</v>
      </c>
      <c r="BI389" t="n">
        <v>1</v>
      </c>
      <c r="BJ389" t="n">
        <v>5</v>
      </c>
    </row>
    <row r="390">
      <c r="A390" t="inlineStr">
        <is>
          <t>Dane Scarlett</t>
        </is>
      </c>
      <c r="B390" t="inlineStr">
        <is>
          <t>TOT</t>
        </is>
      </c>
      <c r="C390" t="inlineStr">
        <is>
          <t>TOT</t>
        </is>
      </c>
      <c r="D390" t="b">
        <v>0</v>
      </c>
      <c r="E390" t="inlineStr">
        <is>
          <t>FWD</t>
        </is>
      </c>
      <c r="F390" t="inlineStr">
        <is>
          <t>FWD</t>
        </is>
      </c>
      <c r="G390" t="b">
        <v>1</v>
      </c>
      <c r="H390" s="2" t="n">
        <v>4.5</v>
      </c>
      <c r="I390" t="inlineStr">
        <is>
          <t>a</t>
        </is>
      </c>
      <c r="K390" s="2" t="n">
        <v>7</v>
      </c>
      <c r="L390" t="n">
        <v>2</v>
      </c>
      <c r="M390" s="3" t="n">
        <v>0</v>
      </c>
      <c r="N390" s="8" t="n">
        <v>0</v>
      </c>
      <c r="O390" s="8" t="n">
        <v>0</v>
      </c>
      <c r="Q390" t="inlineStr">
        <is>
          <t>flat</t>
        </is>
      </c>
      <c r="R390" s="6" t="n">
        <v>0</v>
      </c>
      <c r="S390" t="inlineStr">
        <is>
          <t>Solio</t>
        </is>
      </c>
      <c r="U390" s="6" t="n">
        <v>78.5</v>
      </c>
      <c r="V390" s="2" t="n">
        <v>0</v>
      </c>
      <c r="W390" s="7">
        <f>IF(N(U390)&lt;=0,0,MIN(Assumptions!$B$15,N(R390)/N(U390)))</f>
        <v/>
      </c>
      <c r="X390" s="6" t="n">
        <v>0.286</v>
      </c>
      <c r="Y390" s="3" t="n">
        <v>0</v>
      </c>
      <c r="Z390" t="inlineStr">
        <is>
          <t>adjusted xGOT</t>
        </is>
      </c>
      <c r="AA390" s="3" t="n">
        <v>1</v>
      </c>
      <c r="AB390" s="3" t="n">
        <v>0.995</v>
      </c>
      <c r="AC390" s="3" t="n">
        <v>0</v>
      </c>
      <c r="AD390" s="3" t="n">
        <v>0.0643</v>
      </c>
      <c r="AE390" s="3" t="n">
        <v>4.871</v>
      </c>
      <c r="AF390" s="3" t="n">
        <v>0.001510074530455929</v>
      </c>
      <c r="AG390" s="3" t="n">
        <v>0</v>
      </c>
      <c r="AH390" s="3" t="n">
        <v>2</v>
      </c>
      <c r="AI390" s="3" t="n">
        <v>2.5739</v>
      </c>
      <c r="AJ390" s="3" t="n">
        <v>1.3096</v>
      </c>
      <c r="AK390" s="3" t="n">
        <v>-0.1710164618431031</v>
      </c>
      <c r="AL390" s="6" t="n">
        <v>0</v>
      </c>
      <c r="AM390" s="3" t="n">
        <v>0</v>
      </c>
      <c r="AN390" s="3" t="n">
        <v>0</v>
      </c>
      <c r="AO390" s="3" t="n">
        <v>0.254628</v>
      </c>
      <c r="AP390" s="3">
        <f>N(X390)*N(BI390)</f>
        <v/>
      </c>
      <c r="AQ390" s="3" t="n">
        <v>0</v>
      </c>
      <c r="AR390" s="3" t="n">
        <v>0</v>
      </c>
      <c r="AS390" s="3" t="n">
        <v>-0</v>
      </c>
      <c r="AT390" s="3" t="n">
        <v>-0.1710164618431031</v>
      </c>
      <c r="AU390" s="3">
        <f>SUM(AN390:AT390)</f>
        <v/>
      </c>
      <c r="AV390" s="7">
        <f>IF(OR(N(W390)&lt;=0,N(BG390)=0),0,N(W390)*IF(N(R390)/N(W390)&gt;=60,N(BG390),1))</f>
        <v/>
      </c>
      <c r="AW390" s="7">
        <f>N(W390)*N(AF390)*N(BH390)</f>
        <v/>
      </c>
      <c r="AX390" s="7">
        <f>N(AL390)*(Assumptions!$B$13*N(BJ390)-(1-Assumptions!$B$13)*Assumptions!$B$14)+N(AM390)</f>
        <v/>
      </c>
      <c r="AY390" s="7">
        <f>N(AU390)*N(R390)/90+N(AV390)+N(AW390)+N(AX390)</f>
        <v/>
      </c>
      <c r="AZ390" s="3">
        <f>IF(N(R390)&lt;=0,0,(N(AY390)-N(AX390))*90/N(R390))</f>
        <v/>
      </c>
      <c r="BA390" s="7">
        <f>IFERROR(AY390-VLOOKUP($E390,Assumptions!$A$40:$C$43,3,FALSE),"")</f>
        <v/>
      </c>
      <c r="BB390" s="3">
        <f>IFERROR(BA390/H390,"")</f>
        <v/>
      </c>
      <c r="BC390">
        <f>IF(AND($G390=TRUE,$E390="GKP"),AY390,"")</f>
        <v/>
      </c>
      <c r="BD390">
        <f>IF(AND($G390=TRUE,$E390="DEF"),AY390,"")</f>
        <v/>
      </c>
      <c r="BE390">
        <f>IF(AND($G390=TRUE,$E390="MID"),AY390,"")</f>
        <v/>
      </c>
      <c r="BF390">
        <f>IF(AND($G390=TRUE,$E390="FWD"),AY390,"")</f>
        <v/>
      </c>
      <c r="BG390" t="n">
        <v>2</v>
      </c>
      <c r="BH390" t="n">
        <v>2</v>
      </c>
      <c r="BI390" t="n">
        <v>0</v>
      </c>
      <c r="BJ390" t="n">
        <v>4</v>
      </c>
    </row>
    <row r="391">
      <c r="A391" t="inlineStr">
        <is>
          <t>Rio Cardines</t>
        </is>
      </c>
      <c r="B391" t="inlineStr">
        <is>
          <t>CRY</t>
        </is>
      </c>
      <c r="C391" t="inlineStr">
        <is>
          <t>CRY</t>
        </is>
      </c>
      <c r="D391" t="b">
        <v>0</v>
      </c>
      <c r="E391" t="inlineStr">
        <is>
          <t>DEF</t>
        </is>
      </c>
      <c r="F391" t="inlineStr">
        <is>
          <t>MID</t>
        </is>
      </c>
      <c r="G391" t="b">
        <v>1</v>
      </c>
      <c r="H391" s="2" t="n">
        <v>4.5</v>
      </c>
      <c r="I391" t="inlineStr">
        <is>
          <t>u</t>
        </is>
      </c>
      <c r="J391" t="inlineStr">
        <is>
          <t>Has joined Bristol City on loan for the rest of the season</t>
        </is>
      </c>
      <c r="K391" s="2" t="n">
        <v>90</v>
      </c>
      <c r="L391" t="n">
        <v>2</v>
      </c>
      <c r="M391" s="3" t="n"/>
      <c r="N391" s="4" t="n">
        <v>0</v>
      </c>
      <c r="O391" s="4" t="n">
        <v>-90</v>
      </c>
      <c r="P391" s="5" t="inlineStr">
        <is>
          <t>high</t>
        </is>
      </c>
      <c r="R391" s="6" t="n">
        <v>0</v>
      </c>
      <c r="S391" t="inlineStr">
        <is>
          <t>research</t>
        </is>
      </c>
      <c r="T391" s="5" t="inlineStr">
        <is>
          <t>Joined Bristol City on loan for the rest of the season on 11 August. FPL status 'u', chance_of_playing 0, news dated 2026-08-12. Cannot record Premier League minutes.</t>
        </is>
      </c>
      <c r="U391" s="6" t="n">
        <v>81</v>
      </c>
      <c r="V391" s="2" t="n">
        <v>1</v>
      </c>
      <c r="W391" s="7">
        <f>IF(N(U391)&lt;=0,0,MIN(Assumptions!$B$15,N(R391)/N(U391)))</f>
        <v/>
      </c>
      <c r="X391" s="6" t="n">
        <v>0.216</v>
      </c>
      <c r="Y391" s="3" t="n">
        <v>0.02</v>
      </c>
      <c r="Z391" t="inlineStr">
        <is>
          <t>adjusted xGOT</t>
        </is>
      </c>
      <c r="AA391" s="3" t="n">
        <v>1</v>
      </c>
      <c r="AB391" s="3" t="n">
        <v>0.998</v>
      </c>
      <c r="AC391" s="3" t="n">
        <v>0</v>
      </c>
      <c r="AD391" s="3" t="n">
        <v>0.229</v>
      </c>
      <c r="AE391" s="3" t="n">
        <v>8.401999999999999</v>
      </c>
      <c r="AF391" s="3" t="n">
        <v>0.2307079737435496</v>
      </c>
      <c r="AG391" s="3" t="n">
        <v>0</v>
      </c>
      <c r="AH391" s="3" t="n">
        <v>2</v>
      </c>
      <c r="AI391" s="3" t="n">
        <v>3.2035</v>
      </c>
      <c r="AJ391" s="3" t="n">
        <v>1.5923</v>
      </c>
      <c r="AK391" s="3" t="n">
        <v>-0.1937389014251048</v>
      </c>
      <c r="AL391" s="6" t="n">
        <v>0</v>
      </c>
      <c r="AM391" s="3" t="n">
        <v>0</v>
      </c>
      <c r="AN391" s="3" t="n">
        <v>0.12</v>
      </c>
      <c r="AO391" s="3" t="n">
        <v>0.9068400000000001</v>
      </c>
      <c r="AP391" s="3">
        <f>N(X391)*N(BI391)</f>
        <v/>
      </c>
      <c r="AQ391" s="3" t="n">
        <v>0</v>
      </c>
      <c r="AR391" s="3" t="n">
        <v>0</v>
      </c>
      <c r="AS391" s="3" t="n">
        <v>-0.5564987001023466</v>
      </c>
      <c r="AT391" s="3" t="n">
        <v>-0.1937389014251048</v>
      </c>
      <c r="AU391" s="3">
        <f>SUM(AN391:AT391)</f>
        <v/>
      </c>
      <c r="AV391" s="7">
        <f>IF(OR(N(W391)&lt;=0,N(BG391)=0),0,N(W391)*IF(N(R391)/N(W391)&gt;=60,N(BG391),1))</f>
        <v/>
      </c>
      <c r="AW391" s="7">
        <f>N(W391)*N(AF391)*N(BH391)</f>
        <v/>
      </c>
      <c r="AX391" s="7">
        <f>N(AL391)*(Assumptions!$B$13*N(BJ391)-(1-Assumptions!$B$13)*Assumptions!$B$14)+N(AM391)</f>
        <v/>
      </c>
      <c r="AY391" s="7">
        <f>N(AU391)*N(R391)/90+N(AV391)+N(AW391)+N(AX391)</f>
        <v/>
      </c>
      <c r="AZ391" s="3">
        <f>IF(N(R391)&lt;=0,0,(N(AY391)-N(AX391))*90/N(R391))</f>
        <v/>
      </c>
      <c r="BA391" s="7">
        <f>IFERROR(AY391-VLOOKUP($E391,Assumptions!$A$40:$C$43,3,FALSE),"")</f>
        <v/>
      </c>
      <c r="BB391" s="3">
        <f>IFERROR(BA391/H391,"")</f>
        <v/>
      </c>
      <c r="BC391">
        <f>IF(AND($G391=TRUE,$E391="GKP"),AY391,"")</f>
        <v/>
      </c>
      <c r="BD391">
        <f>IF(AND($G391=TRUE,$E391="DEF"),AY391,"")</f>
        <v/>
      </c>
      <c r="BE391">
        <f>IF(AND($G391=TRUE,$E391="MID"),AY391,"")</f>
        <v/>
      </c>
      <c r="BF391">
        <f>IF(AND($G391=TRUE,$E391="FWD"),AY391,"")</f>
        <v/>
      </c>
      <c r="BG391" t="n">
        <v>2</v>
      </c>
      <c r="BH391" t="n">
        <v>2</v>
      </c>
      <c r="BI391" t="n">
        <v>4</v>
      </c>
      <c r="BJ391" t="n">
        <v>6</v>
      </c>
    </row>
    <row r="392">
      <c r="A392" t="inlineStr">
        <is>
          <t>Jun'ai Byfield</t>
        </is>
      </c>
      <c r="B392" t="inlineStr">
        <is>
          <t>TOT</t>
        </is>
      </c>
      <c r="C392" t="inlineStr">
        <is>
          <t>TOT</t>
        </is>
      </c>
      <c r="D392" t="b">
        <v>0</v>
      </c>
      <c r="E392" t="inlineStr">
        <is>
          <t>DEF</t>
        </is>
      </c>
      <c r="F392" t="inlineStr">
        <is>
          <t>DEF</t>
        </is>
      </c>
      <c r="G392" t="b">
        <v>1</v>
      </c>
      <c r="H392" s="2" t="n">
        <v>4</v>
      </c>
      <c r="I392" t="inlineStr">
        <is>
          <t>a</t>
        </is>
      </c>
      <c r="K392" s="2" t="n">
        <v>1</v>
      </c>
      <c r="L392" t="n">
        <v>1</v>
      </c>
      <c r="M392" s="3" t="n">
        <v>0</v>
      </c>
      <c r="N392" s="8" t="n">
        <v>0</v>
      </c>
      <c r="O392" s="8" t="n">
        <v>0</v>
      </c>
      <c r="Q392" t="inlineStr">
        <is>
          <t>flat</t>
        </is>
      </c>
      <c r="R392" s="6" t="n">
        <v>0</v>
      </c>
      <c r="S392" t="inlineStr">
        <is>
          <t>Solio</t>
        </is>
      </c>
      <c r="U392" s="6" t="n">
        <v>85.5</v>
      </c>
      <c r="V392" s="2" t="n">
        <v>0</v>
      </c>
      <c r="W392" s="7">
        <f>IF(N(U392)&lt;=0,0,MIN(Assumptions!$B$15,N(R392)/N(U392)))</f>
        <v/>
      </c>
      <c r="X392" s="6" t="n">
        <v>0.286</v>
      </c>
      <c r="Y392" s="3" t="n">
        <v>0</v>
      </c>
      <c r="Z392" t="inlineStr">
        <is>
          <t>blended xG</t>
        </is>
      </c>
      <c r="AA392" s="3" t="n">
        <v>1</v>
      </c>
      <c r="AB392" s="3" t="n">
        <v>1</v>
      </c>
      <c r="AC392" s="3" t="n">
        <v>0</v>
      </c>
      <c r="AD392" s="3" t="n">
        <v>0</v>
      </c>
      <c r="AE392" s="3" t="n">
        <v>7.674</v>
      </c>
      <c r="AF392" s="3" t="n">
        <v>0.2001181230412002</v>
      </c>
      <c r="AG392" s="3" t="n">
        <v>0</v>
      </c>
      <c r="AH392" s="3" t="n">
        <v>1</v>
      </c>
      <c r="AI392" s="3" t="n">
        <v>2.5739</v>
      </c>
      <c r="AJ392" s="3" t="n">
        <v>1.3096</v>
      </c>
      <c r="AK392" s="3" t="n">
        <v>-0.2043954225041625</v>
      </c>
      <c r="AL392" s="6" t="n">
        <v>0</v>
      </c>
      <c r="AM392" s="3" t="n">
        <v>0</v>
      </c>
      <c r="AN392" s="3" t="n">
        <v>0</v>
      </c>
      <c r="AO392" s="3" t="n">
        <v>0</v>
      </c>
      <c r="AP392" s="3">
        <f>N(X392)*N(BI392)</f>
        <v/>
      </c>
      <c r="AQ392" s="3" t="n">
        <v>0</v>
      </c>
      <c r="AR392" s="3" t="n">
        <v>0</v>
      </c>
      <c r="AS392" s="3" t="n">
        <v>-0.4230152821052008</v>
      </c>
      <c r="AT392" s="3" t="n">
        <v>-0.2043954225041625</v>
      </c>
      <c r="AU392" s="3">
        <f>SUM(AN392:AT392)</f>
        <v/>
      </c>
      <c r="AV392" s="7">
        <f>IF(OR(N(W392)&lt;=0,N(BG392)=0),0,N(W392)*IF(N(R392)/N(W392)&gt;=60,N(BG392),1))</f>
        <v/>
      </c>
      <c r="AW392" s="7">
        <f>N(W392)*N(AF392)*N(BH392)</f>
        <v/>
      </c>
      <c r="AX392" s="7">
        <f>N(AL392)*(Assumptions!$B$13*N(BJ392)-(1-Assumptions!$B$13)*Assumptions!$B$14)+N(AM392)</f>
        <v/>
      </c>
      <c r="AY392" s="7">
        <f>N(AU392)*N(R392)/90+N(AV392)+N(AW392)+N(AX392)</f>
        <v/>
      </c>
      <c r="AZ392" s="3">
        <f>IF(N(R392)&lt;=0,0,(N(AY392)-N(AX392))*90/N(R392))</f>
        <v/>
      </c>
      <c r="BA392" s="7">
        <f>IFERROR(AY392-VLOOKUP($E392,Assumptions!$A$40:$C$43,3,FALSE),"")</f>
        <v/>
      </c>
      <c r="BB392" s="3">
        <f>IFERROR(BA392/H392,"")</f>
        <v/>
      </c>
      <c r="BC392">
        <f>IF(AND($G392=TRUE,$E392="GKP"),AY392,"")</f>
        <v/>
      </c>
      <c r="BD392">
        <f>IF(AND($G392=TRUE,$E392="DEF"),AY392,"")</f>
        <v/>
      </c>
      <c r="BE392">
        <f>IF(AND($G392=TRUE,$E392="MID"),AY392,"")</f>
        <v/>
      </c>
      <c r="BF392">
        <f>IF(AND($G392=TRUE,$E392="FWD"),AY392,"")</f>
        <v/>
      </c>
      <c r="BG392" t="n">
        <v>2</v>
      </c>
      <c r="BH392" t="n">
        <v>2</v>
      </c>
      <c r="BI392" t="n">
        <v>4</v>
      </c>
      <c r="BJ392" t="n">
        <v>6</v>
      </c>
    </row>
    <row r="393">
      <c r="A393" t="inlineStr">
        <is>
          <t>Nehemiah Oriola</t>
        </is>
      </c>
      <c r="B393" t="inlineStr">
        <is>
          <t>BHA</t>
        </is>
      </c>
      <c r="C393" t="inlineStr">
        <is>
          <t>BHA</t>
        </is>
      </c>
      <c r="D393" t="b">
        <v>0</v>
      </c>
      <c r="E393" t="inlineStr">
        <is>
          <t>MID</t>
        </is>
      </c>
      <c r="F393" t="inlineStr">
        <is>
          <t>MID</t>
        </is>
      </c>
      <c r="G393" t="b">
        <v>1</v>
      </c>
      <c r="H393" s="2" t="n">
        <v>4.5</v>
      </c>
      <c r="I393" t="inlineStr">
        <is>
          <t>a</t>
        </is>
      </c>
      <c r="K393" s="2" t="n">
        <v>1</v>
      </c>
      <c r="L393" t="n">
        <v>1</v>
      </c>
      <c r="M393" s="3" t="n">
        <v>0</v>
      </c>
      <c r="N393" s="8" t="n">
        <v>0</v>
      </c>
      <c r="O393" s="8" t="n">
        <v>0</v>
      </c>
      <c r="Q393" t="inlineStr">
        <is>
          <t>flat</t>
        </is>
      </c>
      <c r="R393" s="6" t="n">
        <v>0</v>
      </c>
      <c r="S393" t="inlineStr">
        <is>
          <t>Solio</t>
        </is>
      </c>
      <c r="U393" s="6" t="n">
        <v>80.09999999999999</v>
      </c>
      <c r="V393" s="2" t="n">
        <v>0</v>
      </c>
      <c r="W393" s="7">
        <f>IF(N(U393)&lt;=0,0,MIN(Assumptions!$B$15,N(R393)/N(U393)))</f>
        <v/>
      </c>
      <c r="X393" s="6" t="n">
        <v>0.252</v>
      </c>
      <c r="Y393" s="3" t="n">
        <v>0</v>
      </c>
      <c r="Z393" t="inlineStr">
        <is>
          <t>blended xG</t>
        </is>
      </c>
      <c r="AA393" s="3" t="n">
        <v>1</v>
      </c>
      <c r="AB393" s="3" t="n">
        <v>1</v>
      </c>
      <c r="AC393" s="3" t="n">
        <v>0</v>
      </c>
      <c r="AD393" s="3" t="n">
        <v>0</v>
      </c>
      <c r="AE393" s="3" t="n">
        <v>8.565</v>
      </c>
      <c r="AF393" s="3" t="n">
        <v>0.08663699373124534</v>
      </c>
      <c r="AG393" s="3" t="n">
        <v>0</v>
      </c>
      <c r="AH393" s="3" t="n">
        <v>1</v>
      </c>
      <c r="AI393" s="3" t="n">
        <v>2.8404</v>
      </c>
      <c r="AJ393" s="3" t="n">
        <v>1.439</v>
      </c>
      <c r="AK393" s="3" t="n">
        <v>-0.2159050344539974</v>
      </c>
      <c r="AL393" s="6" t="n">
        <v>0</v>
      </c>
      <c r="AM393" s="3" t="n">
        <v>0</v>
      </c>
      <c r="AN393" s="3" t="n">
        <v>0</v>
      </c>
      <c r="AO393" s="3" t="n">
        <v>0</v>
      </c>
      <c r="AP393" s="3">
        <f>N(X393)*N(BI393)</f>
        <v/>
      </c>
      <c r="AQ393" s="3" t="n">
        <v>0</v>
      </c>
      <c r="AR393" s="3" t="n">
        <v>0</v>
      </c>
      <c r="AS393" s="3" t="n">
        <v>-0</v>
      </c>
      <c r="AT393" s="3" t="n">
        <v>-0.2159050344539974</v>
      </c>
      <c r="AU393" s="3">
        <f>SUM(AN393:AT393)</f>
        <v/>
      </c>
      <c r="AV393" s="7">
        <f>IF(OR(N(W393)&lt;=0,N(BG393)=0),0,N(W393)*IF(N(R393)/N(W393)&gt;=60,N(BG393),1))</f>
        <v/>
      </c>
      <c r="AW393" s="7">
        <f>N(W393)*N(AF393)*N(BH393)</f>
        <v/>
      </c>
      <c r="AX393" s="7">
        <f>N(AL393)*(Assumptions!$B$13*N(BJ393)-(1-Assumptions!$B$13)*Assumptions!$B$14)+N(AM393)</f>
        <v/>
      </c>
      <c r="AY393" s="7">
        <f>N(AU393)*N(R393)/90+N(AV393)+N(AW393)+N(AX393)</f>
        <v/>
      </c>
      <c r="AZ393" s="3">
        <f>IF(N(R393)&lt;=0,0,(N(AY393)-N(AX393))*90/N(R393))</f>
        <v/>
      </c>
      <c r="BA393" s="7">
        <f>IFERROR(AY393-VLOOKUP($E393,Assumptions!$A$40:$C$43,3,FALSE),"")</f>
        <v/>
      </c>
      <c r="BB393" s="3">
        <f>IFERROR(BA393/H393,"")</f>
        <v/>
      </c>
      <c r="BC393">
        <f>IF(AND($G393=TRUE,$E393="GKP"),AY393,"")</f>
        <v/>
      </c>
      <c r="BD393">
        <f>IF(AND($G393=TRUE,$E393="DEF"),AY393,"")</f>
        <v/>
      </c>
      <c r="BE393">
        <f>IF(AND($G393=TRUE,$E393="MID"),AY393,"")</f>
        <v/>
      </c>
      <c r="BF393">
        <f>IF(AND($G393=TRUE,$E393="FWD"),AY393,"")</f>
        <v/>
      </c>
      <c r="BG393" t="n">
        <v>2</v>
      </c>
      <c r="BH393" t="n">
        <v>2</v>
      </c>
      <c r="BI393" t="n">
        <v>1</v>
      </c>
      <c r="BJ393" t="n">
        <v>5</v>
      </c>
    </row>
    <row r="394">
      <c r="A394" t="inlineStr">
        <is>
          <t>Bradley Burrowes</t>
        </is>
      </c>
      <c r="B394" t="inlineStr">
        <is>
          <t>AVL</t>
        </is>
      </c>
      <c r="C394" t="inlineStr">
        <is>
          <t>AVL</t>
        </is>
      </c>
      <c r="D394" t="b">
        <v>0</v>
      </c>
      <c r="E394" t="inlineStr">
        <is>
          <t>MID</t>
        </is>
      </c>
      <c r="F394" t="inlineStr">
        <is>
          <t>MID</t>
        </is>
      </c>
      <c r="G394" t="b">
        <v>1</v>
      </c>
      <c r="H394" s="2" t="n">
        <v>4.5</v>
      </c>
      <c r="I394" t="inlineStr">
        <is>
          <t>a</t>
        </is>
      </c>
      <c r="K394" s="2" t="n">
        <v>16</v>
      </c>
      <c r="L394" t="n">
        <v>1</v>
      </c>
      <c r="M394" s="3" t="n">
        <v>0</v>
      </c>
      <c r="N394" s="8" t="n">
        <v>0</v>
      </c>
      <c r="O394" s="8" t="n">
        <v>0</v>
      </c>
      <c r="Q394" t="inlineStr">
        <is>
          <t>flat</t>
        </is>
      </c>
      <c r="R394" s="6" t="n">
        <v>0</v>
      </c>
      <c r="S394" t="inlineStr">
        <is>
          <t>Solio</t>
        </is>
      </c>
      <c r="U394" s="6" t="n">
        <v>80.09999999999999</v>
      </c>
      <c r="V394" s="2" t="n">
        <v>0</v>
      </c>
      <c r="W394" s="7">
        <f>IF(N(U394)&lt;=0,0,MIN(Assumptions!$B$15,N(R394)/N(U394)))</f>
        <v/>
      </c>
      <c r="X394" s="6" t="n">
        <v>0.273</v>
      </c>
      <c r="Y394" s="3" t="n">
        <v>0</v>
      </c>
      <c r="Z394" t="inlineStr">
        <is>
          <t>blended xG</t>
        </is>
      </c>
      <c r="AA394" s="3" t="n">
        <v>1</v>
      </c>
      <c r="AB394" s="3" t="n">
        <v>1</v>
      </c>
      <c r="AC394" s="3" t="n">
        <v>0</v>
      </c>
      <c r="AD394" s="3" t="n">
        <v>0</v>
      </c>
      <c r="AE394" s="3" t="n">
        <v>8.513</v>
      </c>
      <c r="AF394" s="3" t="n">
        <v>0.0838023850392311</v>
      </c>
      <c r="AG394" s="3" t="n">
        <v>0</v>
      </c>
      <c r="AH394" s="3" t="n">
        <v>1</v>
      </c>
      <c r="AI394" s="3" t="n">
        <v>2.7451</v>
      </c>
      <c r="AJ394" s="3" t="n">
        <v>1.3575</v>
      </c>
      <c r="AK394" s="3" t="n">
        <v>-0.2138521122509435</v>
      </c>
      <c r="AL394" s="6" t="n">
        <v>0</v>
      </c>
      <c r="AM394" s="3" t="n">
        <v>0</v>
      </c>
      <c r="AN394" s="3" t="n">
        <v>0</v>
      </c>
      <c r="AO394" s="3" t="n">
        <v>0</v>
      </c>
      <c r="AP394" s="3">
        <f>N(X394)*N(BI394)</f>
        <v/>
      </c>
      <c r="AQ394" s="3" t="n">
        <v>0</v>
      </c>
      <c r="AR394" s="3" t="n">
        <v>0</v>
      </c>
      <c r="AS394" s="3" t="n">
        <v>-0</v>
      </c>
      <c r="AT394" s="3" t="n">
        <v>-0.2138521122509435</v>
      </c>
      <c r="AU394" s="3">
        <f>SUM(AN394:AT394)</f>
        <v/>
      </c>
      <c r="AV394" s="7">
        <f>IF(OR(N(W394)&lt;=0,N(BG394)=0),0,N(W394)*IF(N(R394)/N(W394)&gt;=60,N(BG394),1))</f>
        <v/>
      </c>
      <c r="AW394" s="7">
        <f>N(W394)*N(AF394)*N(BH394)</f>
        <v/>
      </c>
      <c r="AX394" s="7">
        <f>N(AL394)*(Assumptions!$B$13*N(BJ394)-(1-Assumptions!$B$13)*Assumptions!$B$14)+N(AM394)</f>
        <v/>
      </c>
      <c r="AY394" s="7">
        <f>N(AU394)*N(R394)/90+N(AV394)+N(AW394)+N(AX394)</f>
        <v/>
      </c>
      <c r="AZ394" s="3">
        <f>IF(N(R394)&lt;=0,0,(N(AY394)-N(AX394))*90/N(R394))</f>
        <v/>
      </c>
      <c r="BA394" s="7">
        <f>IFERROR(AY394-VLOOKUP($E394,Assumptions!$A$40:$C$43,3,FALSE),"")</f>
        <v/>
      </c>
      <c r="BB394" s="3">
        <f>IFERROR(BA394/H394,"")</f>
        <v/>
      </c>
      <c r="BC394">
        <f>IF(AND($G394=TRUE,$E394="GKP"),AY394,"")</f>
        <v/>
      </c>
      <c r="BD394">
        <f>IF(AND($G394=TRUE,$E394="DEF"),AY394,"")</f>
        <v/>
      </c>
      <c r="BE394">
        <f>IF(AND($G394=TRUE,$E394="MID"),AY394,"")</f>
        <v/>
      </c>
      <c r="BF394">
        <f>IF(AND($G394=TRUE,$E394="FWD"),AY394,"")</f>
        <v/>
      </c>
      <c r="BG394" t="n">
        <v>2</v>
      </c>
      <c r="BH394" t="n">
        <v>2</v>
      </c>
      <c r="BI394" t="n">
        <v>1</v>
      </c>
      <c r="BJ394" t="n">
        <v>5</v>
      </c>
    </row>
    <row r="395">
      <c r="A395" t="inlineStr">
        <is>
          <t>Sean Neave</t>
        </is>
      </c>
      <c r="B395" t="inlineStr">
        <is>
          <t>NEW</t>
        </is>
      </c>
      <c r="C395" t="inlineStr">
        <is>
          <t>NEW</t>
        </is>
      </c>
      <c r="D395" t="b">
        <v>0</v>
      </c>
      <c r="E395" t="inlineStr">
        <is>
          <t>FWD</t>
        </is>
      </c>
      <c r="F395" t="inlineStr">
        <is>
          <t>FWD</t>
        </is>
      </c>
      <c r="G395" t="b">
        <v>1</v>
      </c>
      <c r="H395" s="2" t="n">
        <v>4.5</v>
      </c>
      <c r="I395" t="inlineStr">
        <is>
          <t>a</t>
        </is>
      </c>
      <c r="K395" s="2" t="n">
        <v>13</v>
      </c>
      <c r="L395" t="n">
        <v>1</v>
      </c>
      <c r="M395" s="3" t="n">
        <v>0</v>
      </c>
      <c r="N395" s="8" t="n">
        <v>0</v>
      </c>
      <c r="O395" s="8" t="n">
        <v>0</v>
      </c>
      <c r="Q395" t="inlineStr">
        <is>
          <t>flat</t>
        </is>
      </c>
      <c r="R395" s="6" t="n">
        <v>0</v>
      </c>
      <c r="S395" t="inlineStr">
        <is>
          <t>Solio</t>
        </is>
      </c>
      <c r="U395" s="6" t="n">
        <v>78.5</v>
      </c>
      <c r="V395" s="2" t="n">
        <v>0</v>
      </c>
      <c r="W395" s="7">
        <f>IF(N(U395)&lt;=0,0,MIN(Assumptions!$B$15,N(R395)/N(U395)))</f>
        <v/>
      </c>
      <c r="X395" s="6" t="n">
        <v>0.248</v>
      </c>
      <c r="Y395" s="3" t="n">
        <v>0.2077</v>
      </c>
      <c r="Z395" t="inlineStr">
        <is>
          <t>adjusted xGOT</t>
        </is>
      </c>
      <c r="AA395" s="3" t="n">
        <v>1</v>
      </c>
      <c r="AB395" s="3" t="n">
        <v>0.996</v>
      </c>
      <c r="AC395" s="3" t="n">
        <v>0</v>
      </c>
      <c r="AD395" s="3" t="n">
        <v>0</v>
      </c>
      <c r="AE395" s="3" t="n">
        <v>4.708</v>
      </c>
      <c r="AF395" s="3" t="n">
        <v>0.001140054561917014</v>
      </c>
      <c r="AG395" s="3" t="n">
        <v>0</v>
      </c>
      <c r="AH395" s="3" t="n">
        <v>1</v>
      </c>
      <c r="AI395" s="3" t="n">
        <v>3.0912</v>
      </c>
      <c r="AJ395" s="3" t="n">
        <v>1.4534</v>
      </c>
      <c r="AK395" s="3" t="n">
        <v>-0.1732323483129252</v>
      </c>
      <c r="AL395" s="6" t="n">
        <v>0</v>
      </c>
      <c r="AM395" s="3" t="n">
        <v>0</v>
      </c>
      <c r="AN395" s="3" t="n">
        <v>0.8308</v>
      </c>
      <c r="AO395" s="3" t="n">
        <v>0</v>
      </c>
      <c r="AP395" s="3">
        <f>N(X395)*N(BI395)</f>
        <v/>
      </c>
      <c r="AQ395" s="3" t="n">
        <v>0</v>
      </c>
      <c r="AR395" s="3" t="n">
        <v>0</v>
      </c>
      <c r="AS395" s="3" t="n">
        <v>-0</v>
      </c>
      <c r="AT395" s="3" t="n">
        <v>-0.1732323483129252</v>
      </c>
      <c r="AU395" s="3">
        <f>SUM(AN395:AT395)</f>
        <v/>
      </c>
      <c r="AV395" s="7">
        <f>IF(OR(N(W395)&lt;=0,N(BG395)=0),0,N(W395)*IF(N(R395)/N(W395)&gt;=60,N(BG395),1))</f>
        <v/>
      </c>
      <c r="AW395" s="7">
        <f>N(W395)*N(AF395)*N(BH395)</f>
        <v/>
      </c>
      <c r="AX395" s="7">
        <f>N(AL395)*(Assumptions!$B$13*N(BJ395)-(1-Assumptions!$B$13)*Assumptions!$B$14)+N(AM395)</f>
        <v/>
      </c>
      <c r="AY395" s="7">
        <f>N(AU395)*N(R395)/90+N(AV395)+N(AW395)+N(AX395)</f>
        <v/>
      </c>
      <c r="AZ395" s="3">
        <f>IF(N(R395)&lt;=0,0,(N(AY395)-N(AX395))*90/N(R395))</f>
        <v/>
      </c>
      <c r="BA395" s="7">
        <f>IFERROR(AY395-VLOOKUP($E395,Assumptions!$A$40:$C$43,3,FALSE),"")</f>
        <v/>
      </c>
      <c r="BB395" s="3">
        <f>IFERROR(BA395/H395,"")</f>
        <v/>
      </c>
      <c r="BC395">
        <f>IF(AND($G395=TRUE,$E395="GKP"),AY395,"")</f>
        <v/>
      </c>
      <c r="BD395">
        <f>IF(AND($G395=TRUE,$E395="DEF"),AY395,"")</f>
        <v/>
      </c>
      <c r="BE395">
        <f>IF(AND($G395=TRUE,$E395="MID"),AY395,"")</f>
        <v/>
      </c>
      <c r="BF395">
        <f>IF(AND($G395=TRUE,$E395="FWD"),AY395,"")</f>
        <v/>
      </c>
      <c r="BG395" t="n">
        <v>2</v>
      </c>
      <c r="BH395" t="n">
        <v>2</v>
      </c>
      <c r="BI395" t="n">
        <v>0</v>
      </c>
      <c r="BJ395" t="n">
        <v>4</v>
      </c>
    </row>
    <row r="396">
      <c r="A396" t="inlineStr">
        <is>
          <t>Kaye Furo</t>
        </is>
      </c>
      <c r="B396" t="inlineStr">
        <is>
          <t>BRE</t>
        </is>
      </c>
      <c r="C396" t="inlineStr">
        <is>
          <t>BRE</t>
        </is>
      </c>
      <c r="D396" t="b">
        <v>0</v>
      </c>
      <c r="E396" t="inlineStr">
        <is>
          <t>FWD</t>
        </is>
      </c>
      <c r="F396" t="inlineStr">
        <is>
          <t>FWD</t>
        </is>
      </c>
      <c r="G396" t="b">
        <v>1</v>
      </c>
      <c r="H396" s="2" t="n">
        <v>4.5</v>
      </c>
      <c r="I396" t="inlineStr">
        <is>
          <t>a</t>
        </is>
      </c>
      <c r="K396" s="2" t="n">
        <v>1</v>
      </c>
      <c r="L396" t="n">
        <v>1</v>
      </c>
      <c r="M396" s="3" t="n">
        <v>0</v>
      </c>
      <c r="N396" s="8" t="n">
        <v>0</v>
      </c>
      <c r="O396" s="8" t="n">
        <v>0</v>
      </c>
      <c r="Q396" t="inlineStr">
        <is>
          <t>flat</t>
        </is>
      </c>
      <c r="R396" s="6" t="n">
        <v>0</v>
      </c>
      <c r="S396" t="inlineStr">
        <is>
          <t>Solio</t>
        </is>
      </c>
      <c r="U396" s="6" t="n">
        <v>78.5</v>
      </c>
      <c r="V396" s="2" t="n">
        <v>0</v>
      </c>
      <c r="W396" s="7">
        <f>IF(N(U396)&lt;=0,0,MIN(Assumptions!$B$15,N(R396)/N(U396)))</f>
        <v/>
      </c>
      <c r="X396" s="6" t="n">
        <v>0.228</v>
      </c>
      <c r="Y396" s="3" t="n">
        <v>0</v>
      </c>
      <c r="Z396" t="inlineStr">
        <is>
          <t>blended xG</t>
        </is>
      </c>
      <c r="AA396" s="3" t="n">
        <v>1</v>
      </c>
      <c r="AB396" s="3" t="n">
        <v>1</v>
      </c>
      <c r="AC396" s="3" t="n">
        <v>0</v>
      </c>
      <c r="AD396" s="3" t="n">
        <v>0</v>
      </c>
      <c r="AE396" s="3" t="n">
        <v>4.786</v>
      </c>
      <c r="AF396" s="3" t="n">
        <v>0.001306427447581471</v>
      </c>
      <c r="AG396" s="3" t="n">
        <v>0</v>
      </c>
      <c r="AH396" s="3" t="n">
        <v>1</v>
      </c>
      <c r="AI396" s="3" t="n">
        <v>3.2371</v>
      </c>
      <c r="AJ396" s="3" t="n">
        <v>1.5396</v>
      </c>
      <c r="AK396" s="3" t="n">
        <v>-0.1745781315412974</v>
      </c>
      <c r="AL396" s="6" t="n">
        <v>0</v>
      </c>
      <c r="AM396" s="3" t="n">
        <v>0</v>
      </c>
      <c r="AN396" s="3" t="n">
        <v>0</v>
      </c>
      <c r="AO396" s="3" t="n">
        <v>0</v>
      </c>
      <c r="AP396" s="3">
        <f>N(X396)*N(BI396)</f>
        <v/>
      </c>
      <c r="AQ396" s="3" t="n">
        <v>0</v>
      </c>
      <c r="AR396" s="3" t="n">
        <v>0</v>
      </c>
      <c r="AS396" s="3" t="n">
        <v>-0</v>
      </c>
      <c r="AT396" s="3" t="n">
        <v>-0.1745781315412974</v>
      </c>
      <c r="AU396" s="3">
        <f>SUM(AN396:AT396)</f>
        <v/>
      </c>
      <c r="AV396" s="7">
        <f>IF(OR(N(W396)&lt;=0,N(BG396)=0),0,N(W396)*IF(N(R396)/N(W396)&gt;=60,N(BG396),1))</f>
        <v/>
      </c>
      <c r="AW396" s="7">
        <f>N(W396)*N(AF396)*N(BH396)</f>
        <v/>
      </c>
      <c r="AX396" s="7">
        <f>N(AL396)*(Assumptions!$B$13*N(BJ396)-(1-Assumptions!$B$13)*Assumptions!$B$14)+N(AM396)</f>
        <v/>
      </c>
      <c r="AY396" s="7">
        <f>N(AU396)*N(R396)/90+N(AV396)+N(AW396)+N(AX396)</f>
        <v/>
      </c>
      <c r="AZ396" s="3">
        <f>IF(N(R396)&lt;=0,0,(N(AY396)-N(AX396))*90/N(R396))</f>
        <v/>
      </c>
      <c r="BA396" s="7">
        <f>IFERROR(AY396-VLOOKUP($E396,Assumptions!$A$40:$C$43,3,FALSE),"")</f>
        <v/>
      </c>
      <c r="BB396" s="3">
        <f>IFERROR(BA396/H396,"")</f>
        <v/>
      </c>
      <c r="BC396">
        <f>IF(AND($G396=TRUE,$E396="GKP"),AY396,"")</f>
        <v/>
      </c>
      <c r="BD396">
        <f>IF(AND($G396=TRUE,$E396="DEF"),AY396,"")</f>
        <v/>
      </c>
      <c r="BE396">
        <f>IF(AND($G396=TRUE,$E396="MID"),AY396,"")</f>
        <v/>
      </c>
      <c r="BF396">
        <f>IF(AND($G396=TRUE,$E396="FWD"),AY396,"")</f>
        <v/>
      </c>
      <c r="BG396" t="n">
        <v>2</v>
      </c>
      <c r="BH396" t="n">
        <v>2</v>
      </c>
      <c r="BI396" t="n">
        <v>0</v>
      </c>
      <c r="BJ396" t="n">
        <v>4</v>
      </c>
    </row>
    <row r="397">
      <c r="A397" t="inlineStr">
        <is>
          <t>Shumaira Mheuka</t>
        </is>
      </c>
      <c r="B397" t="inlineStr">
        <is>
          <t>CHE</t>
        </is>
      </c>
      <c r="C397" t="inlineStr">
        <is>
          <t>CHE</t>
        </is>
      </c>
      <c r="D397" t="b">
        <v>0</v>
      </c>
      <c r="E397" t="inlineStr">
        <is>
          <t>FWD</t>
        </is>
      </c>
      <c r="F397" t="inlineStr">
        <is>
          <t>FWD</t>
        </is>
      </c>
      <c r="G397" t="b">
        <v>1</v>
      </c>
      <c r="H397" s="2" t="n">
        <v>4.5</v>
      </c>
      <c r="I397" t="inlineStr">
        <is>
          <t>a</t>
        </is>
      </c>
      <c r="K397" s="2" t="n">
        <v>1</v>
      </c>
      <c r="L397" t="n">
        <v>1</v>
      </c>
      <c r="M397" s="3" t="n">
        <v>0</v>
      </c>
      <c r="N397" s="8" t="n">
        <v>0</v>
      </c>
      <c r="O397" s="8" t="n">
        <v>0</v>
      </c>
      <c r="Q397" t="inlineStr">
        <is>
          <t>flat</t>
        </is>
      </c>
      <c r="R397" s="6" t="n">
        <v>0</v>
      </c>
      <c r="S397" t="inlineStr">
        <is>
          <t>Solio</t>
        </is>
      </c>
      <c r="U397" s="6" t="n">
        <v>78.5</v>
      </c>
      <c r="V397" s="2" t="n">
        <v>0</v>
      </c>
      <c r="W397" s="7">
        <f>IF(N(U397)&lt;=0,0,MIN(Assumptions!$B$15,N(R397)/N(U397)))</f>
        <v/>
      </c>
      <c r="X397" s="6" t="n">
        <v>0.322</v>
      </c>
      <c r="Y397" s="3" t="n">
        <v>0</v>
      </c>
      <c r="Z397" t="inlineStr">
        <is>
          <t>adjusted xGOT</t>
        </is>
      </c>
      <c r="AA397" s="3" t="n">
        <v>1</v>
      </c>
      <c r="AB397" s="3" t="n">
        <v>1.017</v>
      </c>
      <c r="AC397" s="3" t="n">
        <v>0.1</v>
      </c>
      <c r="AD397" s="3" t="n">
        <v>0</v>
      </c>
      <c r="AE397" s="3" t="n">
        <v>4.911</v>
      </c>
      <c r="AF397" s="3" t="n">
        <v>0.001614577528669114</v>
      </c>
      <c r="AG397" s="3" t="n">
        <v>0</v>
      </c>
      <c r="AH397" s="3" t="n">
        <v>1</v>
      </c>
      <c r="AI397" s="3" t="n">
        <v>2.4232</v>
      </c>
      <c r="AJ397" s="3" t="n">
        <v>1.1851</v>
      </c>
      <c r="AK397" s="3" t="n">
        <v>-0.174510310265256</v>
      </c>
      <c r="AL397" s="6" t="n">
        <v>0</v>
      </c>
      <c r="AM397" s="3" t="n">
        <v>0</v>
      </c>
      <c r="AN397" s="3" t="n">
        <v>0</v>
      </c>
      <c r="AO397" s="3" t="n">
        <v>0</v>
      </c>
      <c r="AP397" s="3">
        <f>N(X397)*N(BI397)</f>
        <v/>
      </c>
      <c r="AQ397" s="3" t="n">
        <v>0</v>
      </c>
      <c r="AR397" s="3" t="n">
        <v>0</v>
      </c>
      <c r="AS397" s="3" t="n">
        <v>-0</v>
      </c>
      <c r="AT397" s="3" t="n">
        <v>-0.174510310265256</v>
      </c>
      <c r="AU397" s="3">
        <f>SUM(AN397:AT397)</f>
        <v/>
      </c>
      <c r="AV397" s="7">
        <f>IF(OR(N(W397)&lt;=0,N(BG397)=0),0,N(W397)*IF(N(R397)/N(W397)&gt;=60,N(BG397),1))</f>
        <v/>
      </c>
      <c r="AW397" s="7">
        <f>N(W397)*N(AF397)*N(BH397)</f>
        <v/>
      </c>
      <c r="AX397" s="7">
        <f>N(AL397)*(Assumptions!$B$13*N(BJ397)-(1-Assumptions!$B$13)*Assumptions!$B$14)+N(AM397)</f>
        <v/>
      </c>
      <c r="AY397" s="7">
        <f>N(AU397)*N(R397)/90+N(AV397)+N(AW397)+N(AX397)</f>
        <v/>
      </c>
      <c r="AZ397" s="3">
        <f>IF(N(R397)&lt;=0,0,(N(AY397)-N(AX397))*90/N(R397))</f>
        <v/>
      </c>
      <c r="BA397" s="7">
        <f>IFERROR(AY397-VLOOKUP($E397,Assumptions!$A$40:$C$43,3,FALSE),"")</f>
        <v/>
      </c>
      <c r="BB397" s="3">
        <f>IFERROR(BA397/H397,"")</f>
        <v/>
      </c>
      <c r="BC397">
        <f>IF(AND($G397=TRUE,$E397="GKP"),AY397,"")</f>
        <v/>
      </c>
      <c r="BD397">
        <f>IF(AND($G397=TRUE,$E397="DEF"),AY397,"")</f>
        <v/>
      </c>
      <c r="BE397">
        <f>IF(AND($G397=TRUE,$E397="MID"),AY397,"")</f>
        <v/>
      </c>
      <c r="BF397">
        <f>IF(AND($G397=TRUE,$E397="FWD"),AY397,"")</f>
        <v/>
      </c>
      <c r="BG397" t="n">
        <v>2</v>
      </c>
      <c r="BH397" t="n">
        <v>2</v>
      </c>
      <c r="BI397" t="n">
        <v>0</v>
      </c>
      <c r="BJ397" t="n">
        <v>4</v>
      </c>
    </row>
    <row r="398">
      <c r="A398" t="inlineStr">
        <is>
          <t>Bendito Mantato</t>
        </is>
      </c>
      <c r="B398" t="inlineStr">
        <is>
          <t>MUN</t>
        </is>
      </c>
      <c r="C398" t="inlineStr">
        <is>
          <t>MUN</t>
        </is>
      </c>
      <c r="D398" t="b">
        <v>0</v>
      </c>
      <c r="E398" t="inlineStr">
        <is>
          <t>MID</t>
        </is>
      </c>
      <c r="F398" t="inlineStr">
        <is>
          <t>MID</t>
        </is>
      </c>
      <c r="G398" t="b">
        <v>1</v>
      </c>
      <c r="H398" s="2" t="n">
        <v>4.5</v>
      </c>
      <c r="I398" t="inlineStr">
        <is>
          <t>a</t>
        </is>
      </c>
      <c r="K398" s="2" t="n">
        <v>15</v>
      </c>
      <c r="L398" t="n">
        <v>1</v>
      </c>
      <c r="M398" s="3" t="n">
        <v>0</v>
      </c>
      <c r="N398" s="8" t="n">
        <v>0</v>
      </c>
      <c r="O398" s="8" t="n">
        <v>0</v>
      </c>
      <c r="Q398" t="inlineStr">
        <is>
          <t>flat</t>
        </is>
      </c>
      <c r="R398" s="6" t="n">
        <v>0</v>
      </c>
      <c r="S398" t="inlineStr">
        <is>
          <t>Solio</t>
        </is>
      </c>
      <c r="U398" s="6" t="n">
        <v>80.09999999999999</v>
      </c>
      <c r="V398" s="2" t="n">
        <v>0</v>
      </c>
      <c r="W398" s="7">
        <f>IF(N(U398)&lt;=0,0,MIN(Assumptions!$B$15,N(R398)/N(U398)))</f>
        <v/>
      </c>
      <c r="X398" s="6" t="n">
        <v>0.334</v>
      </c>
      <c r="Y398" s="3" t="n">
        <v>0</v>
      </c>
      <c r="Z398" t="inlineStr">
        <is>
          <t>blended xG</t>
        </is>
      </c>
      <c r="AA398" s="3" t="n">
        <v>1</v>
      </c>
      <c r="AB398" s="3" t="n">
        <v>1</v>
      </c>
      <c r="AC398" s="3" t="n">
        <v>0</v>
      </c>
      <c r="AD398" s="3" t="n">
        <v>0.1394</v>
      </c>
      <c r="AE398" s="3" t="n">
        <v>8.401999999999999</v>
      </c>
      <c r="AF398" s="3" t="n">
        <v>0.07794771869218686</v>
      </c>
      <c r="AG398" s="3" t="n">
        <v>0</v>
      </c>
      <c r="AH398" s="3" t="n">
        <v>1</v>
      </c>
      <c r="AI398" s="3" t="n">
        <v>2.2165</v>
      </c>
      <c r="AJ398" s="3" t="n">
        <v>1.1467</v>
      </c>
      <c r="AK398" s="3" t="n">
        <v>-0.2139876568509252</v>
      </c>
      <c r="AL398" s="6" t="n">
        <v>0</v>
      </c>
      <c r="AM398" s="3" t="n">
        <v>0</v>
      </c>
      <c r="AN398" s="3" t="n">
        <v>0</v>
      </c>
      <c r="AO398" s="3" t="n">
        <v>0.5520240000000001</v>
      </c>
      <c r="AP398" s="3">
        <f>N(X398)*N(BI398)</f>
        <v/>
      </c>
      <c r="AQ398" s="3" t="n">
        <v>0</v>
      </c>
      <c r="AR398" s="3" t="n">
        <v>0</v>
      </c>
      <c r="AS398" s="3" t="n">
        <v>-0</v>
      </c>
      <c r="AT398" s="3" t="n">
        <v>-0.2139876568509252</v>
      </c>
      <c r="AU398" s="3">
        <f>SUM(AN398:AT398)</f>
        <v/>
      </c>
      <c r="AV398" s="7">
        <f>IF(OR(N(W398)&lt;=0,N(BG398)=0),0,N(W398)*IF(N(R398)/N(W398)&gt;=60,N(BG398),1))</f>
        <v/>
      </c>
      <c r="AW398" s="7">
        <f>N(W398)*N(AF398)*N(BH398)</f>
        <v/>
      </c>
      <c r="AX398" s="7">
        <f>N(AL398)*(Assumptions!$B$13*N(BJ398)-(1-Assumptions!$B$13)*Assumptions!$B$14)+N(AM398)</f>
        <v/>
      </c>
      <c r="AY398" s="7">
        <f>N(AU398)*N(R398)/90+N(AV398)+N(AW398)+N(AX398)</f>
        <v/>
      </c>
      <c r="AZ398" s="3">
        <f>IF(N(R398)&lt;=0,0,(N(AY398)-N(AX398))*90/N(R398))</f>
        <v/>
      </c>
      <c r="BA398" s="7">
        <f>IFERROR(AY398-VLOOKUP($E398,Assumptions!$A$40:$C$43,3,FALSE),"")</f>
        <v/>
      </c>
      <c r="BB398" s="3">
        <f>IFERROR(BA398/H398,"")</f>
        <v/>
      </c>
      <c r="BC398">
        <f>IF(AND($G398=TRUE,$E398="GKP"),AY398,"")</f>
        <v/>
      </c>
      <c r="BD398">
        <f>IF(AND($G398=TRUE,$E398="DEF"),AY398,"")</f>
        <v/>
      </c>
      <c r="BE398">
        <f>IF(AND($G398=TRUE,$E398="MID"),AY398,"")</f>
        <v/>
      </c>
      <c r="BF398">
        <f>IF(AND($G398=TRUE,$E398="FWD"),AY398,"")</f>
        <v/>
      </c>
      <c r="BG398" t="n">
        <v>2</v>
      </c>
      <c r="BH398" t="n">
        <v>2</v>
      </c>
      <c r="BI398" t="n">
        <v>1</v>
      </c>
      <c r="BJ398" t="n">
        <v>5</v>
      </c>
    </row>
    <row r="399">
      <c r="A399" t="inlineStr">
        <is>
          <t>Djiamgone Jocelin Ta Bi</t>
        </is>
      </c>
      <c r="B399" t="inlineStr">
        <is>
          <t>SUN</t>
        </is>
      </c>
      <c r="C399" t="inlineStr">
        <is>
          <t>SUN</t>
        </is>
      </c>
      <c r="D399" t="b">
        <v>0</v>
      </c>
      <c r="E399" t="inlineStr">
        <is>
          <t>MID</t>
        </is>
      </c>
      <c r="F399" t="inlineStr">
        <is>
          <t>MID</t>
        </is>
      </c>
      <c r="G399" t="b">
        <v>1</v>
      </c>
      <c r="H399" s="2" t="n">
        <v>5</v>
      </c>
      <c r="I399" t="inlineStr">
        <is>
          <t>a</t>
        </is>
      </c>
      <c r="K399" s="2" t="n">
        <v>38</v>
      </c>
      <c r="L399" t="n">
        <v>1</v>
      </c>
      <c r="M399" s="3" t="n">
        <v>125</v>
      </c>
      <c r="N399" s="8" t="n">
        <v>125</v>
      </c>
      <c r="O399" s="8" t="n">
        <v>0</v>
      </c>
      <c r="Q399" t="inlineStr">
        <is>
          <t>flat</t>
        </is>
      </c>
      <c r="R399" s="6" t="n">
        <v>125</v>
      </c>
      <c r="S399" t="inlineStr">
        <is>
          <t>Solio</t>
        </is>
      </c>
      <c r="U399" s="6" t="n">
        <v>76.3</v>
      </c>
      <c r="V399" s="2" t="n">
        <v>1</v>
      </c>
      <c r="W399" s="7">
        <f>IF(N(U399)&lt;=0,0,MIN(Assumptions!$B$15,N(R399)/N(U399)))</f>
        <v/>
      </c>
      <c r="X399" s="6" t="n">
        <v>0.204</v>
      </c>
      <c r="Y399" s="3" t="n">
        <v>0</v>
      </c>
      <c r="Z399" t="inlineStr">
        <is>
          <t>blended xG</t>
        </is>
      </c>
      <c r="AA399" s="3" t="n">
        <v>1</v>
      </c>
      <c r="AB399" s="3" t="n">
        <v>1</v>
      </c>
      <c r="AC399" s="3" t="n">
        <v>0</v>
      </c>
      <c r="AD399" s="3" t="n">
        <v>0.0474</v>
      </c>
      <c r="AE399" s="3" t="n">
        <v>8.503</v>
      </c>
      <c r="AF399" s="3" t="n">
        <v>0.06334316639578086</v>
      </c>
      <c r="AG399" s="3" t="n">
        <v>0</v>
      </c>
      <c r="AH399" s="3" t="n">
        <v>1</v>
      </c>
      <c r="AI399" s="3" t="n">
        <v>3.3348</v>
      </c>
      <c r="AJ399" s="3" t="n">
        <v>1.6498</v>
      </c>
      <c r="AK399" s="3" t="n">
        <v>-0.2109165353595941</v>
      </c>
      <c r="AL399" s="6" t="n">
        <v>0</v>
      </c>
      <c r="AM399" s="3" t="n">
        <v>0</v>
      </c>
      <c r="AN399" s="3" t="n">
        <v>0</v>
      </c>
      <c r="AO399" s="3" t="n">
        <v>0.187704</v>
      </c>
      <c r="AP399" s="3">
        <f>N(X399)*N(BI399)</f>
        <v/>
      </c>
      <c r="AQ399" s="3" t="n">
        <v>0</v>
      </c>
      <c r="AR399" s="3" t="n">
        <v>0</v>
      </c>
      <c r="AS399" s="3" t="n">
        <v>-0</v>
      </c>
      <c r="AT399" s="3" t="n">
        <v>-0.2109165353595941</v>
      </c>
      <c r="AU399" s="3">
        <f>SUM(AN399:AT399)</f>
        <v/>
      </c>
      <c r="AV399" s="7">
        <f>IF(OR(N(W399)&lt;=0,N(BG399)=0),0,N(W399)*IF(N(R399)/N(W399)&gt;=60,N(BG399),1))</f>
        <v/>
      </c>
      <c r="AW399" s="7">
        <f>N(W399)*N(AF399)*N(BH399)</f>
        <v/>
      </c>
      <c r="AX399" s="7">
        <f>N(AL399)*(Assumptions!$B$13*N(BJ399)-(1-Assumptions!$B$13)*Assumptions!$B$14)+N(AM399)</f>
        <v/>
      </c>
      <c r="AY399" s="7">
        <f>N(AU399)*N(R399)/90+N(AV399)+N(AW399)+N(AX399)</f>
        <v/>
      </c>
      <c r="AZ399" s="3">
        <f>IF(N(R399)&lt;=0,0,(N(AY399)-N(AX399))*90/N(R399))</f>
        <v/>
      </c>
      <c r="BA399" s="7">
        <f>IFERROR(AY399-VLOOKUP($E399,Assumptions!$A$40:$C$43,3,FALSE),"")</f>
        <v/>
      </c>
      <c r="BB399" s="3">
        <f>IFERROR(BA399/H399,"")</f>
        <v/>
      </c>
      <c r="BC399">
        <f>IF(AND($G399=TRUE,$E399="GKP"),AY399,"")</f>
        <v/>
      </c>
      <c r="BD399">
        <f>IF(AND($G399=TRUE,$E399="DEF"),AY399,"")</f>
        <v/>
      </c>
      <c r="BE399">
        <f>IF(AND($G399=TRUE,$E399="MID"),AY399,"")</f>
        <v/>
      </c>
      <c r="BF399">
        <f>IF(AND($G399=TRUE,$E399="FWD"),AY399,"")</f>
        <v/>
      </c>
      <c r="BG399" t="n">
        <v>2</v>
      </c>
      <c r="BH399" t="n">
        <v>2</v>
      </c>
      <c r="BI399" t="n">
        <v>1</v>
      </c>
      <c r="BJ399" t="n">
        <v>5</v>
      </c>
    </row>
    <row r="400">
      <c r="A400" t="inlineStr">
        <is>
          <t>James Rowswell</t>
        </is>
      </c>
      <c r="B400" t="inlineStr">
        <is>
          <t>TOT</t>
        </is>
      </c>
      <c r="C400" t="inlineStr">
        <is>
          <t>TOT</t>
        </is>
      </c>
      <c r="D400" t="b">
        <v>0</v>
      </c>
      <c r="E400" t="inlineStr">
        <is>
          <t>DEF</t>
        </is>
      </c>
      <c r="F400" t="inlineStr">
        <is>
          <t>DEF</t>
        </is>
      </c>
      <c r="G400" t="b">
        <v>1</v>
      </c>
      <c r="H400" s="2" t="n">
        <v>4</v>
      </c>
      <c r="I400" t="inlineStr">
        <is>
          <t>a</t>
        </is>
      </c>
      <c r="K400" s="2" t="n">
        <v>1</v>
      </c>
      <c r="L400" t="n">
        <v>1</v>
      </c>
      <c r="M400" s="3" t="n">
        <v>0</v>
      </c>
      <c r="N400" s="8" t="n">
        <v>0</v>
      </c>
      <c r="O400" s="8" t="n">
        <v>0</v>
      </c>
      <c r="Q400" t="inlineStr">
        <is>
          <t>flat</t>
        </is>
      </c>
      <c r="R400" s="6" t="n">
        <v>0</v>
      </c>
      <c r="S400" t="inlineStr">
        <is>
          <t>Solio</t>
        </is>
      </c>
      <c r="U400" s="6" t="n">
        <v>85.5</v>
      </c>
      <c r="V400" s="2" t="n">
        <v>0</v>
      </c>
      <c r="W400" s="7">
        <f>IF(N(U400)&lt;=0,0,MIN(Assumptions!$B$15,N(R400)/N(U400)))</f>
        <v/>
      </c>
      <c r="X400" s="6" t="n">
        <v>0.286</v>
      </c>
      <c r="Y400" s="3" t="n">
        <v>0</v>
      </c>
      <c r="Z400" t="inlineStr">
        <is>
          <t>blended xG</t>
        </is>
      </c>
      <c r="AA400" s="3" t="n">
        <v>1</v>
      </c>
      <c r="AB400" s="3" t="n">
        <v>1</v>
      </c>
      <c r="AC400" s="3" t="n">
        <v>0</v>
      </c>
      <c r="AD400" s="3" t="n">
        <v>0</v>
      </c>
      <c r="AE400" s="3" t="n">
        <v>7.674</v>
      </c>
      <c r="AF400" s="3" t="n">
        <v>0.2001181230412002</v>
      </c>
      <c r="AG400" s="3" t="n">
        <v>0</v>
      </c>
      <c r="AH400" s="3" t="n">
        <v>1</v>
      </c>
      <c r="AI400" s="3" t="n">
        <v>2.5739</v>
      </c>
      <c r="AJ400" s="3" t="n">
        <v>1.3096</v>
      </c>
      <c r="AK400" s="3" t="n">
        <v>-0.2043954225041625</v>
      </c>
      <c r="AL400" s="6" t="n">
        <v>0</v>
      </c>
      <c r="AM400" s="3" t="n">
        <v>0</v>
      </c>
      <c r="AN400" s="3" t="n">
        <v>0</v>
      </c>
      <c r="AO400" s="3" t="n">
        <v>0</v>
      </c>
      <c r="AP400" s="3">
        <f>N(X400)*N(BI400)</f>
        <v/>
      </c>
      <c r="AQ400" s="3" t="n">
        <v>0</v>
      </c>
      <c r="AR400" s="3" t="n">
        <v>0</v>
      </c>
      <c r="AS400" s="3" t="n">
        <v>-0.4230152821052008</v>
      </c>
      <c r="AT400" s="3" t="n">
        <v>-0.2043954225041625</v>
      </c>
      <c r="AU400" s="3">
        <f>SUM(AN400:AT400)</f>
        <v/>
      </c>
      <c r="AV400" s="7">
        <f>IF(OR(N(W400)&lt;=0,N(BG400)=0),0,N(W400)*IF(N(R400)/N(W400)&gt;=60,N(BG400),1))</f>
        <v/>
      </c>
      <c r="AW400" s="7">
        <f>N(W400)*N(AF400)*N(BH400)</f>
        <v/>
      </c>
      <c r="AX400" s="7">
        <f>N(AL400)*(Assumptions!$B$13*N(BJ400)-(1-Assumptions!$B$13)*Assumptions!$B$14)+N(AM400)</f>
        <v/>
      </c>
      <c r="AY400" s="7">
        <f>N(AU400)*N(R400)/90+N(AV400)+N(AW400)+N(AX400)</f>
        <v/>
      </c>
      <c r="AZ400" s="3">
        <f>IF(N(R400)&lt;=0,0,(N(AY400)-N(AX400))*90/N(R400))</f>
        <v/>
      </c>
      <c r="BA400" s="7">
        <f>IFERROR(AY400-VLOOKUP($E400,Assumptions!$A$40:$C$43,3,FALSE),"")</f>
        <v/>
      </c>
      <c r="BB400" s="3">
        <f>IFERROR(BA400/H400,"")</f>
        <v/>
      </c>
      <c r="BC400">
        <f>IF(AND($G400=TRUE,$E400="GKP"),AY400,"")</f>
        <v/>
      </c>
      <c r="BD400">
        <f>IF(AND($G400=TRUE,$E400="DEF"),AY400,"")</f>
        <v/>
      </c>
      <c r="BE400">
        <f>IF(AND($G400=TRUE,$E400="MID"),AY400,"")</f>
        <v/>
      </c>
      <c r="BF400">
        <f>IF(AND($G400=TRUE,$E400="FWD"),AY400,"")</f>
        <v/>
      </c>
      <c r="BG400" t="n">
        <v>2</v>
      </c>
      <c r="BH400" t="n">
        <v>2</v>
      </c>
      <c r="BI400" t="n">
        <v>4</v>
      </c>
      <c r="BJ400" t="n">
        <v>6</v>
      </c>
    </row>
    <row r="401">
      <c r="A401" t="inlineStr">
        <is>
          <t>Arthur Masuaku</t>
        </is>
      </c>
      <c r="B401" t="inlineStr">
        <is>
          <t>SUN</t>
        </is>
      </c>
      <c r="C401" t="inlineStr">
        <is>
          <t>SUN</t>
        </is>
      </c>
      <c r="D401" t="b">
        <v>0</v>
      </c>
      <c r="E401" t="inlineStr">
        <is>
          <t>DEF</t>
        </is>
      </c>
      <c r="F401" t="inlineStr">
        <is>
          <t>DEF</t>
        </is>
      </c>
      <c r="G401" t="b">
        <v>1</v>
      </c>
      <c r="H401" s="2" t="n">
        <v>4</v>
      </c>
      <c r="I401" t="inlineStr">
        <is>
          <t>u</t>
        </is>
      </c>
      <c r="J401" t="inlineStr">
        <is>
          <t>Has joined Konyaspor permanently</t>
        </is>
      </c>
      <c r="K401" s="2" t="n">
        <v>125</v>
      </c>
      <c r="L401" t="n">
        <v>1</v>
      </c>
      <c r="M401" s="3" t="n"/>
      <c r="N401" s="4" t="n">
        <v>0</v>
      </c>
      <c r="O401" s="4" t="n">
        <v>-125</v>
      </c>
      <c r="P401" s="5" t="inlineStr">
        <is>
          <t>high</t>
        </is>
      </c>
      <c r="R401" s="6" t="n">
        <v>0</v>
      </c>
      <c r="S401" t="inlineStr">
        <is>
          <t>research</t>
        </is>
      </c>
      <c r="T401" s="5" t="inlineStr">
        <is>
          <t>Dead minutes. Masuaku joined Konyaspor permanently on 10 Aug 2026; FPL set his status to 'u' with news 'Has joined Konyaspor permanently' on 12 Aug. He cannot play a Premier League minute. Small in size but it is a certainty rather than a judgement. Note that Solio has already zeroed the other two departures, Anthony Patterson (Wrexham, GBP8m, 11 Aug) and Leo Fuhr Hjelde (KV Mechelen loan, 11 Aug), so Masuaku is the only stale departure left in the file.</t>
        </is>
      </c>
      <c r="U401" s="6" t="n">
        <v>80.8</v>
      </c>
      <c r="V401" s="2" t="n">
        <v>2</v>
      </c>
      <c r="W401" s="7">
        <f>IF(N(U401)&lt;=0,0,MIN(Assumptions!$B$15,N(R401)/N(U401)))</f>
        <v/>
      </c>
      <c r="X401" s="6" t="n">
        <v>0.204</v>
      </c>
      <c r="Y401" s="3" t="n">
        <v>0.0497</v>
      </c>
      <c r="Z401" t="inlineStr">
        <is>
          <t>adjusted xGOT</t>
        </is>
      </c>
      <c r="AA401" s="3" t="n">
        <v>1</v>
      </c>
      <c r="AB401" s="3" t="n">
        <v>0.991</v>
      </c>
      <c r="AC401" s="3" t="n">
        <v>0.1</v>
      </c>
      <c r="AD401" s="3" t="n">
        <v>0.0497</v>
      </c>
      <c r="AE401" s="3" t="n">
        <v>7.613</v>
      </c>
      <c r="AF401" s="3" t="n">
        <v>0.1531531571399777</v>
      </c>
      <c r="AG401" s="3" t="n">
        <v>0</v>
      </c>
      <c r="AH401" s="3" t="n">
        <v>3</v>
      </c>
      <c r="AI401" s="3" t="n">
        <v>3.3348</v>
      </c>
      <c r="AJ401" s="3" t="n">
        <v>1.6498</v>
      </c>
      <c r="AK401" s="3" t="n">
        <v>-0.2473881698989371</v>
      </c>
      <c r="AL401" s="6" t="n">
        <v>0</v>
      </c>
      <c r="AM401" s="3" t="n">
        <v>0</v>
      </c>
      <c r="AN401" s="3" t="n">
        <v>0.2982</v>
      </c>
      <c r="AO401" s="3" t="n">
        <v>0.196812</v>
      </c>
      <c r="AP401" s="3">
        <f>N(X401)*N(BI401)</f>
        <v/>
      </c>
      <c r="AQ401" s="3" t="n">
        <v>0</v>
      </c>
      <c r="AR401" s="3" t="n">
        <v>0</v>
      </c>
      <c r="AS401" s="3" t="n">
        <v>-0.5841244809045405</v>
      </c>
      <c r="AT401" s="3" t="n">
        <v>-0.2473881698989371</v>
      </c>
      <c r="AU401" s="3">
        <f>SUM(AN401:AT401)</f>
        <v/>
      </c>
      <c r="AV401" s="7">
        <f>IF(OR(N(W401)&lt;=0,N(BG401)=0),0,N(W401)*IF(N(R401)/N(W401)&gt;=60,N(BG401),1))</f>
        <v/>
      </c>
      <c r="AW401" s="7">
        <f>N(W401)*N(AF401)*N(BH401)</f>
        <v/>
      </c>
      <c r="AX401" s="7">
        <f>N(AL401)*(Assumptions!$B$13*N(BJ401)-(1-Assumptions!$B$13)*Assumptions!$B$14)+N(AM401)</f>
        <v/>
      </c>
      <c r="AY401" s="7">
        <f>N(AU401)*N(R401)/90+N(AV401)+N(AW401)+N(AX401)</f>
        <v/>
      </c>
      <c r="AZ401" s="3">
        <f>IF(N(R401)&lt;=0,0,(N(AY401)-N(AX401))*90/N(R401))</f>
        <v/>
      </c>
      <c r="BA401" s="7">
        <f>IFERROR(AY401-VLOOKUP($E401,Assumptions!$A$40:$C$43,3,FALSE),"")</f>
        <v/>
      </c>
      <c r="BB401" s="3">
        <f>IFERROR(BA401/H401,"")</f>
        <v/>
      </c>
      <c r="BC401">
        <f>IF(AND($G401=TRUE,$E401="GKP"),AY401,"")</f>
        <v/>
      </c>
      <c r="BD401">
        <f>IF(AND($G401=TRUE,$E401="DEF"),AY401,"")</f>
        <v/>
      </c>
      <c r="BE401">
        <f>IF(AND($G401=TRUE,$E401="MID"),AY401,"")</f>
        <v/>
      </c>
      <c r="BF401">
        <f>IF(AND($G401=TRUE,$E401="FWD"),AY401,"")</f>
        <v/>
      </c>
      <c r="BG401" t="n">
        <v>2</v>
      </c>
      <c r="BH401" t="n">
        <v>2</v>
      </c>
      <c r="BI401" t="n">
        <v>4</v>
      </c>
      <c r="BJ401" t="n">
        <v>6</v>
      </c>
    </row>
    <row r="402">
      <c r="A402" t="inlineStr">
        <is>
          <t>Callum Olusesi</t>
        </is>
      </c>
      <c r="B402" t="inlineStr">
        <is>
          <t>TOT</t>
        </is>
      </c>
      <c r="C402" t="inlineStr">
        <is>
          <t>TOT</t>
        </is>
      </c>
      <c r="D402" t="b">
        <v>0</v>
      </c>
      <c r="E402" t="inlineStr">
        <is>
          <t>MID</t>
        </is>
      </c>
      <c r="F402" t="inlineStr">
        <is>
          <t>MID</t>
        </is>
      </c>
      <c r="G402" t="b">
        <v>1</v>
      </c>
      <c r="H402" s="2" t="n">
        <v>4.5</v>
      </c>
      <c r="I402" t="inlineStr">
        <is>
          <t>a</t>
        </is>
      </c>
      <c r="K402" s="2" t="n">
        <v>14</v>
      </c>
      <c r="L402" t="n">
        <v>1</v>
      </c>
      <c r="M402" s="3" t="n">
        <v>0</v>
      </c>
      <c r="N402" s="8" t="n">
        <v>0</v>
      </c>
      <c r="O402" s="8" t="n">
        <v>0</v>
      </c>
      <c r="Q402" t="inlineStr">
        <is>
          <t>flat</t>
        </is>
      </c>
      <c r="R402" s="6" t="n">
        <v>0</v>
      </c>
      <c r="S402" t="inlineStr">
        <is>
          <t>Solio</t>
        </is>
      </c>
      <c r="U402" s="6" t="n">
        <v>80.09999999999999</v>
      </c>
      <c r="V402" s="2" t="n">
        <v>0</v>
      </c>
      <c r="W402" s="7">
        <f>IF(N(U402)&lt;=0,0,MIN(Assumptions!$B$15,N(R402)/N(U402)))</f>
        <v/>
      </c>
      <c r="X402" s="6" t="n">
        <v>0.286</v>
      </c>
      <c r="Y402" s="3" t="n">
        <v>0</v>
      </c>
      <c r="Z402" t="inlineStr">
        <is>
          <t>blended xG</t>
        </is>
      </c>
      <c r="AA402" s="3" t="n">
        <v>1</v>
      </c>
      <c r="AB402" s="3" t="n">
        <v>1</v>
      </c>
      <c r="AC402" s="3" t="n">
        <v>0</v>
      </c>
      <c r="AD402" s="3" t="n">
        <v>0.0321</v>
      </c>
      <c r="AE402" s="3" t="n">
        <v>8.659000000000001</v>
      </c>
      <c r="AF402" s="3" t="n">
        <v>0.09191012383083308</v>
      </c>
      <c r="AG402" s="3" t="n">
        <v>0</v>
      </c>
      <c r="AH402" s="3" t="n">
        <v>1</v>
      </c>
      <c r="AI402" s="3" t="n">
        <v>2.5739</v>
      </c>
      <c r="AJ402" s="3" t="n">
        <v>1.3096</v>
      </c>
      <c r="AK402" s="3" t="n">
        <v>-0.2141233878946482</v>
      </c>
      <c r="AL402" s="6" t="n">
        <v>0</v>
      </c>
      <c r="AM402" s="3" t="n">
        <v>0</v>
      </c>
      <c r="AN402" s="3" t="n">
        <v>0</v>
      </c>
      <c r="AO402" s="3" t="n">
        <v>0.127116</v>
      </c>
      <c r="AP402" s="3">
        <f>N(X402)*N(BI402)</f>
        <v/>
      </c>
      <c r="AQ402" s="3" t="n">
        <v>0</v>
      </c>
      <c r="AR402" s="3" t="n">
        <v>0</v>
      </c>
      <c r="AS402" s="3" t="n">
        <v>-0</v>
      </c>
      <c r="AT402" s="3" t="n">
        <v>-0.2141233878946482</v>
      </c>
      <c r="AU402" s="3">
        <f>SUM(AN402:AT402)</f>
        <v/>
      </c>
      <c r="AV402" s="7">
        <f>IF(OR(N(W402)&lt;=0,N(BG402)=0),0,N(W402)*IF(N(R402)/N(W402)&gt;=60,N(BG402),1))</f>
        <v/>
      </c>
      <c r="AW402" s="7">
        <f>N(W402)*N(AF402)*N(BH402)</f>
        <v/>
      </c>
      <c r="AX402" s="7">
        <f>N(AL402)*(Assumptions!$B$13*N(BJ402)-(1-Assumptions!$B$13)*Assumptions!$B$14)+N(AM402)</f>
        <v/>
      </c>
      <c r="AY402" s="7">
        <f>N(AU402)*N(R402)/90+N(AV402)+N(AW402)+N(AX402)</f>
        <v/>
      </c>
      <c r="AZ402" s="3">
        <f>IF(N(R402)&lt;=0,0,(N(AY402)-N(AX402))*90/N(R402))</f>
        <v/>
      </c>
      <c r="BA402" s="7">
        <f>IFERROR(AY402-VLOOKUP($E402,Assumptions!$A$40:$C$43,3,FALSE),"")</f>
        <v/>
      </c>
      <c r="BB402" s="3">
        <f>IFERROR(BA402/H402,"")</f>
        <v/>
      </c>
      <c r="BC402">
        <f>IF(AND($G402=TRUE,$E402="GKP"),AY402,"")</f>
        <v/>
      </c>
      <c r="BD402">
        <f>IF(AND($G402=TRUE,$E402="DEF"),AY402,"")</f>
        <v/>
      </c>
      <c r="BE402">
        <f>IF(AND($G402=TRUE,$E402="MID"),AY402,"")</f>
        <v/>
      </c>
      <c r="BF402">
        <f>IF(AND($G402=TRUE,$E402="FWD"),AY402,"")</f>
        <v/>
      </c>
      <c r="BG402" t="n">
        <v>2</v>
      </c>
      <c r="BH402" t="n">
        <v>2</v>
      </c>
      <c r="BI402" t="n">
        <v>1</v>
      </c>
      <c r="BJ402" t="n">
        <v>5</v>
      </c>
    </row>
    <row r="403">
      <c r="A403" t="inlineStr">
        <is>
          <t>Dário Essugo</t>
        </is>
      </c>
      <c r="B403" t="inlineStr">
        <is>
          <t>CHE</t>
        </is>
      </c>
      <c r="C403" t="inlineStr">
        <is>
          <t>CHE</t>
        </is>
      </c>
      <c r="D403" t="b">
        <v>0</v>
      </c>
      <c r="E403" t="inlineStr">
        <is>
          <t>MID</t>
        </is>
      </c>
      <c r="F403" t="inlineStr">
        <is>
          <t>MID</t>
        </is>
      </c>
      <c r="G403" t="b">
        <v>1</v>
      </c>
      <c r="H403" s="2" t="n">
        <v>4.5</v>
      </c>
      <c r="I403" t="inlineStr">
        <is>
          <t>a</t>
        </is>
      </c>
      <c r="K403" s="2" t="n">
        <v>26</v>
      </c>
      <c r="L403" t="n">
        <v>1</v>
      </c>
      <c r="M403" s="3" t="n">
        <v>12</v>
      </c>
      <c r="N403" s="8" t="n">
        <v>12</v>
      </c>
      <c r="O403" s="8" t="n">
        <v>0</v>
      </c>
      <c r="Q403" t="inlineStr">
        <is>
          <t>flat</t>
        </is>
      </c>
      <c r="R403" s="6" t="n">
        <v>12</v>
      </c>
      <c r="S403" t="inlineStr">
        <is>
          <t>Solio</t>
        </is>
      </c>
      <c r="U403" s="6" t="n">
        <v>80.09999999999999</v>
      </c>
      <c r="V403" s="2" t="n">
        <v>0</v>
      </c>
      <c r="W403" s="7">
        <f>IF(N(U403)&lt;=0,0,MIN(Assumptions!$B$15,N(R403)/N(U403)))</f>
        <v/>
      </c>
      <c r="X403" s="6" t="n">
        <v>0.322</v>
      </c>
      <c r="Y403" s="3" t="n">
        <v>0</v>
      </c>
      <c r="Z403" t="inlineStr">
        <is>
          <t>blended xG</t>
        </is>
      </c>
      <c r="AA403" s="3" t="n">
        <v>1</v>
      </c>
      <c r="AB403" s="3" t="n">
        <v>1</v>
      </c>
      <c r="AC403" s="3" t="n">
        <v>0</v>
      </c>
      <c r="AD403" s="3" t="n">
        <v>0.0173</v>
      </c>
      <c r="AE403" s="3" t="n">
        <v>9.243</v>
      </c>
      <c r="AF403" s="3" t="n">
        <v>0.1289463586019335</v>
      </c>
      <c r="AG403" s="3" t="n">
        <v>0</v>
      </c>
      <c r="AH403" s="3" t="n">
        <v>3</v>
      </c>
      <c r="AI403" s="3" t="n">
        <v>2.4232</v>
      </c>
      <c r="AJ403" s="3" t="n">
        <v>1.1851</v>
      </c>
      <c r="AK403" s="3" t="n">
        <v>-0.3352899199387102</v>
      </c>
      <c r="AL403" s="6" t="n">
        <v>0</v>
      </c>
      <c r="AM403" s="3" t="n">
        <v>0</v>
      </c>
      <c r="AN403" s="3" t="n">
        <v>0</v>
      </c>
      <c r="AO403" s="3" t="n">
        <v>0.068508</v>
      </c>
      <c r="AP403" s="3">
        <f>N(X403)*N(BI403)</f>
        <v/>
      </c>
      <c r="AQ403" s="3" t="n">
        <v>0</v>
      </c>
      <c r="AR403" s="3" t="n">
        <v>0</v>
      </c>
      <c r="AS403" s="3" t="n">
        <v>-0</v>
      </c>
      <c r="AT403" s="3" t="n">
        <v>-0.3352899199387102</v>
      </c>
      <c r="AU403" s="3">
        <f>SUM(AN403:AT403)</f>
        <v/>
      </c>
      <c r="AV403" s="7">
        <f>IF(OR(N(W403)&lt;=0,N(BG403)=0),0,N(W403)*IF(N(R403)/N(W403)&gt;=60,N(BG403),1))</f>
        <v/>
      </c>
      <c r="AW403" s="7">
        <f>N(W403)*N(AF403)*N(BH403)</f>
        <v/>
      </c>
      <c r="AX403" s="7">
        <f>N(AL403)*(Assumptions!$B$13*N(BJ403)-(1-Assumptions!$B$13)*Assumptions!$B$14)+N(AM403)</f>
        <v/>
      </c>
      <c r="AY403" s="7">
        <f>N(AU403)*N(R403)/90+N(AV403)+N(AW403)+N(AX403)</f>
        <v/>
      </c>
      <c r="AZ403" s="3">
        <f>IF(N(R403)&lt;=0,0,(N(AY403)-N(AX403))*90/N(R403))</f>
        <v/>
      </c>
      <c r="BA403" s="7">
        <f>IFERROR(AY403-VLOOKUP($E403,Assumptions!$A$40:$C$43,3,FALSE),"")</f>
        <v/>
      </c>
      <c r="BB403" s="3">
        <f>IFERROR(BA403/H403,"")</f>
        <v/>
      </c>
      <c r="BC403">
        <f>IF(AND($G403=TRUE,$E403="GKP"),AY403,"")</f>
        <v/>
      </c>
      <c r="BD403">
        <f>IF(AND($G403=TRUE,$E403="DEF"),AY403,"")</f>
        <v/>
      </c>
      <c r="BE403">
        <f>IF(AND($G403=TRUE,$E403="MID"),AY403,"")</f>
        <v/>
      </c>
      <c r="BF403">
        <f>IF(AND($G403=TRUE,$E403="FWD"),AY403,"")</f>
        <v/>
      </c>
      <c r="BG403" t="n">
        <v>2</v>
      </c>
      <c r="BH403" t="n">
        <v>2</v>
      </c>
      <c r="BI403" t="n">
        <v>1</v>
      </c>
      <c r="BJ403" t="n">
        <v>5</v>
      </c>
    </row>
    <row r="404">
      <c r="A404" t="inlineStr">
        <is>
          <t>Hákon Valdimarsson</t>
        </is>
      </c>
      <c r="B404" t="inlineStr">
        <is>
          <t>BRE</t>
        </is>
      </c>
      <c r="C404" t="inlineStr">
        <is>
          <t>BRE</t>
        </is>
      </c>
      <c r="D404" t="b">
        <v>0</v>
      </c>
      <c r="E404" t="inlineStr">
        <is>
          <t>GKP</t>
        </is>
      </c>
      <c r="F404" t="inlineStr">
        <is>
          <t>GKP</t>
        </is>
      </c>
      <c r="G404" t="b">
        <v>1</v>
      </c>
      <c r="H404" s="2" t="n">
        <v>4.5</v>
      </c>
      <c r="I404" t="inlineStr">
        <is>
          <t>a</t>
        </is>
      </c>
      <c r="K404" s="2" t="n">
        <v>90</v>
      </c>
      <c r="L404" t="n">
        <v>1</v>
      </c>
      <c r="M404" s="3" t="n">
        <v>35</v>
      </c>
      <c r="N404" s="8" t="n">
        <v>35</v>
      </c>
      <c r="O404" s="8" t="n">
        <v>0</v>
      </c>
      <c r="Q404" t="inlineStr">
        <is>
          <t>flat</t>
        </is>
      </c>
      <c r="R404" s="6" t="n">
        <v>35</v>
      </c>
      <c r="S404" t="inlineStr">
        <is>
          <t>Solio</t>
        </is>
      </c>
      <c r="U404" s="6" t="n">
        <v>89.8</v>
      </c>
      <c r="V404" s="2" t="n">
        <v>1</v>
      </c>
      <c r="W404" s="7">
        <f>IF(N(U404)&lt;=0,0,MIN(Assumptions!$B$15,N(R404)/N(U404)))</f>
        <v/>
      </c>
      <c r="X404" s="6" t="n">
        <v>0.228</v>
      </c>
      <c r="Y404" s="3" t="n">
        <v>0</v>
      </c>
      <c r="Z404" t="inlineStr">
        <is>
          <t>blended xG</t>
        </is>
      </c>
      <c r="AA404" s="3" t="n">
        <v>1</v>
      </c>
      <c r="AB404" s="3" t="n">
        <v>1</v>
      </c>
      <c r="AC404" s="3" t="n">
        <v>0</v>
      </c>
      <c r="AD404" s="3" t="n">
        <v>0</v>
      </c>
      <c r="AE404" s="3" t="n">
        <v>0</v>
      </c>
      <c r="AF404" s="3" t="n">
        <v>0</v>
      </c>
      <c r="AG404" s="3" t="n">
        <v>0</v>
      </c>
      <c r="AH404" s="3" t="n">
        <v>2</v>
      </c>
      <c r="AI404" s="3" t="n">
        <v>3.2371</v>
      </c>
      <c r="AJ404" s="3" t="n">
        <v>1.5396</v>
      </c>
      <c r="AK404" s="3" t="n">
        <v>-0.0683156702064885</v>
      </c>
      <c r="AL404" s="6" t="n">
        <v>0</v>
      </c>
      <c r="AM404" s="3" t="n">
        <v>0.0336372485649878</v>
      </c>
      <c r="AN404" s="3" t="n">
        <v>0</v>
      </c>
      <c r="AO404" s="3" t="n">
        <v>0</v>
      </c>
      <c r="AP404" s="3">
        <f>N(X404)*N(BI404)</f>
        <v/>
      </c>
      <c r="AQ404" s="3" t="n">
        <v>0</v>
      </c>
      <c r="AR404" s="3" t="n">
        <v>0.7437492341118994</v>
      </c>
      <c r="AS404" s="3" t="n">
        <v>-0.5312990096912251</v>
      </c>
      <c r="AT404" s="3" t="n">
        <v>-0.0683156702064885</v>
      </c>
      <c r="AU404" s="3">
        <f>SUM(AN404:AT404)</f>
        <v/>
      </c>
      <c r="AV404" s="7">
        <f>IF(OR(N(W404)&lt;=0,N(BG404)=0),0,N(W404)*IF(N(R404)/N(W404)&gt;=60,N(BG404),1))</f>
        <v/>
      </c>
      <c r="AW404" s="7">
        <f>N(W404)*N(AF404)*N(BH404)</f>
        <v/>
      </c>
      <c r="AX404" s="7">
        <f>N(AL404)*(Assumptions!$B$13*N(BJ404)-(1-Assumptions!$B$13)*Assumptions!$B$14)+N(AM404)</f>
        <v/>
      </c>
      <c r="AY404" s="7">
        <f>N(AU404)*N(R404)/90+N(AV404)+N(AW404)+N(AX404)</f>
        <v/>
      </c>
      <c r="AZ404" s="3">
        <f>IF(N(R404)&lt;=0,0,(N(AY404)-N(AX404))*90/N(R404))</f>
        <v/>
      </c>
      <c r="BA404" s="7">
        <f>IFERROR(AY404-VLOOKUP($E404,Assumptions!$A$40:$C$43,3,FALSE),"")</f>
        <v/>
      </c>
      <c r="BB404" s="3">
        <f>IFERROR(BA404/H404,"")</f>
        <v/>
      </c>
      <c r="BC404">
        <f>IF(AND($G404=TRUE,$E404="GKP"),AY404,"")</f>
        <v/>
      </c>
      <c r="BD404">
        <f>IF(AND($G404=TRUE,$E404="DEF"),AY404,"")</f>
        <v/>
      </c>
      <c r="BE404">
        <f>IF(AND($G404=TRUE,$E404="MID"),AY404,"")</f>
        <v/>
      </c>
      <c r="BF404">
        <f>IF(AND($G404=TRUE,$E404="FWD"),AY404,"")</f>
        <v/>
      </c>
      <c r="BG404" t="n">
        <v>2</v>
      </c>
      <c r="BH404" t="n">
        <v>0</v>
      </c>
      <c r="BI404" t="n">
        <v>4</v>
      </c>
      <c r="BJ404" t="n">
        <v>10</v>
      </c>
    </row>
    <row r="405">
      <c r="A405" t="inlineStr">
        <is>
          <t>Antoni Milambo</t>
        </is>
      </c>
      <c r="B405" t="inlineStr">
        <is>
          <t>BRE</t>
        </is>
      </c>
      <c r="C405" t="inlineStr">
        <is>
          <t>BRE</t>
        </is>
      </c>
      <c r="D405" t="b">
        <v>0</v>
      </c>
      <c r="E405" t="inlineStr">
        <is>
          <t>MID</t>
        </is>
      </c>
      <c r="F405" t="inlineStr">
        <is>
          <t>MID</t>
        </is>
      </c>
      <c r="G405" t="b">
        <v>1</v>
      </c>
      <c r="H405" s="2" t="n">
        <v>5</v>
      </c>
      <c r="I405" t="inlineStr">
        <is>
          <t>d</t>
        </is>
      </c>
      <c r="J405" t="inlineStr">
        <is>
          <t>Knee injury - 75% chance of playing</t>
        </is>
      </c>
      <c r="K405" s="2" t="n">
        <v>45</v>
      </c>
      <c r="L405" t="n">
        <v>1</v>
      </c>
      <c r="M405" s="3" t="n">
        <v>0</v>
      </c>
      <c r="N405" s="8" t="n">
        <v>0</v>
      </c>
      <c r="O405" s="8" t="n">
        <v>0</v>
      </c>
      <c r="Q405" t="inlineStr">
        <is>
          <t>flat</t>
        </is>
      </c>
      <c r="R405" s="6" t="n">
        <v>0</v>
      </c>
      <c r="S405" t="inlineStr">
        <is>
          <t>Solio</t>
        </is>
      </c>
      <c r="U405" s="6" t="n">
        <v>76.90000000000001</v>
      </c>
      <c r="V405" s="2" t="n">
        <v>1</v>
      </c>
      <c r="W405" s="7">
        <f>IF(N(U405)&lt;=0,0,MIN(Assumptions!$B$15,N(R405)/N(U405)))</f>
        <v/>
      </c>
      <c r="X405" s="6" t="n">
        <v>0.228</v>
      </c>
      <c r="Y405" s="3" t="n">
        <v>0</v>
      </c>
      <c r="Z405" t="inlineStr">
        <is>
          <t>blended xG</t>
        </is>
      </c>
      <c r="AA405" s="3" t="n">
        <v>1</v>
      </c>
      <c r="AB405" s="3" t="n">
        <v>1</v>
      </c>
      <c r="AC405" s="3" t="n">
        <v>0</v>
      </c>
      <c r="AD405" s="3" t="n">
        <v>0.01</v>
      </c>
      <c r="AE405" s="3" t="n">
        <v>8.542999999999999</v>
      </c>
      <c r="AF405" s="3" t="n">
        <v>0.06805562115055974</v>
      </c>
      <c r="AG405" s="3" t="n">
        <v>0</v>
      </c>
      <c r="AH405" s="3" t="n">
        <v>1</v>
      </c>
      <c r="AI405" s="3" t="n">
        <v>3.2371</v>
      </c>
      <c r="AJ405" s="3" t="n">
        <v>1.5396</v>
      </c>
      <c r="AK405" s="3" t="n">
        <v>-0.21000072881914</v>
      </c>
      <c r="AL405" s="6" t="n">
        <v>0</v>
      </c>
      <c r="AM405" s="3" t="n">
        <v>0</v>
      </c>
      <c r="AN405" s="3" t="n">
        <v>0</v>
      </c>
      <c r="AO405" s="3" t="n">
        <v>0.0396</v>
      </c>
      <c r="AP405" s="3">
        <f>N(X405)*N(BI405)</f>
        <v/>
      </c>
      <c r="AQ405" s="3" t="n">
        <v>0</v>
      </c>
      <c r="AR405" s="3" t="n">
        <v>0</v>
      </c>
      <c r="AS405" s="3" t="n">
        <v>-0</v>
      </c>
      <c r="AT405" s="3" t="n">
        <v>-0.21000072881914</v>
      </c>
      <c r="AU405" s="3">
        <f>SUM(AN405:AT405)</f>
        <v/>
      </c>
      <c r="AV405" s="7">
        <f>IF(OR(N(W405)&lt;=0,N(BG405)=0),0,N(W405)*IF(N(R405)/N(W405)&gt;=60,N(BG405),1))</f>
        <v/>
      </c>
      <c r="AW405" s="7">
        <f>N(W405)*N(AF405)*N(BH405)</f>
        <v/>
      </c>
      <c r="AX405" s="7">
        <f>N(AL405)*(Assumptions!$B$13*N(BJ405)-(1-Assumptions!$B$13)*Assumptions!$B$14)+N(AM405)</f>
        <v/>
      </c>
      <c r="AY405" s="7">
        <f>N(AU405)*N(R405)/90+N(AV405)+N(AW405)+N(AX405)</f>
        <v/>
      </c>
      <c r="AZ405" s="3">
        <f>IF(N(R405)&lt;=0,0,(N(AY405)-N(AX405))*90/N(R405))</f>
        <v/>
      </c>
      <c r="BA405" s="7">
        <f>IFERROR(AY405-VLOOKUP($E405,Assumptions!$A$40:$C$43,3,FALSE),"")</f>
        <v/>
      </c>
      <c r="BB405" s="3">
        <f>IFERROR(BA405/H405,"")</f>
        <v/>
      </c>
      <c r="BC405">
        <f>IF(AND($G405=TRUE,$E405="GKP"),AY405,"")</f>
        <v/>
      </c>
      <c r="BD405">
        <f>IF(AND($G405=TRUE,$E405="DEF"),AY405,"")</f>
        <v/>
      </c>
      <c r="BE405">
        <f>IF(AND($G405=TRUE,$E405="MID"),AY405,"")</f>
        <v/>
      </c>
      <c r="BF405">
        <f>IF(AND($G405=TRUE,$E405="FWD"),AY405,"")</f>
        <v/>
      </c>
      <c r="BG405" t="n">
        <v>2</v>
      </c>
      <c r="BH405" t="n">
        <v>2</v>
      </c>
      <c r="BI405" t="n">
        <v>1</v>
      </c>
      <c r="BJ405" t="n">
        <v>5</v>
      </c>
    </row>
    <row r="406">
      <c r="A406" t="inlineStr">
        <is>
          <t>Tyler Fredricson</t>
        </is>
      </c>
      <c r="B406" t="inlineStr">
        <is>
          <t>MUN</t>
        </is>
      </c>
      <c r="C406" t="inlineStr">
        <is>
          <t>MUN</t>
        </is>
      </c>
      <c r="D406" t="b">
        <v>0</v>
      </c>
      <c r="E406" t="inlineStr">
        <is>
          <t>DEF</t>
        </is>
      </c>
      <c r="F406" t="inlineStr">
        <is>
          <t>DEF</t>
        </is>
      </c>
      <c r="G406" t="b">
        <v>1</v>
      </c>
      <c r="H406" s="2" t="n">
        <v>4</v>
      </c>
      <c r="I406" t="inlineStr">
        <is>
          <t>a</t>
        </is>
      </c>
      <c r="K406" s="2" t="n">
        <v>2</v>
      </c>
      <c r="L406" t="n">
        <v>1</v>
      </c>
      <c r="M406" s="3" t="n">
        <v>0</v>
      </c>
      <c r="N406" s="8" t="n">
        <v>0</v>
      </c>
      <c r="O406" s="8" t="n">
        <v>0</v>
      </c>
      <c r="Q406" t="inlineStr">
        <is>
          <t>flat</t>
        </is>
      </c>
      <c r="R406" s="6" t="n">
        <v>0</v>
      </c>
      <c r="S406" t="inlineStr">
        <is>
          <t>Solio</t>
        </is>
      </c>
      <c r="U406" s="6" t="n">
        <v>85.5</v>
      </c>
      <c r="V406" s="2" t="n">
        <v>0</v>
      </c>
      <c r="W406" s="7">
        <f>IF(N(U406)&lt;=0,0,MIN(Assumptions!$B$15,N(R406)/N(U406)))</f>
        <v/>
      </c>
      <c r="X406" s="6" t="n">
        <v>0.334</v>
      </c>
      <c r="Y406" s="3" t="n">
        <v>0</v>
      </c>
      <c r="Z406" t="inlineStr">
        <is>
          <t>blended xG</t>
        </is>
      </c>
      <c r="AA406" s="3" t="n">
        <v>1</v>
      </c>
      <c r="AB406" s="3" t="n">
        <v>1</v>
      </c>
      <c r="AC406" s="3" t="n">
        <v>0</v>
      </c>
      <c r="AD406" s="3" t="n">
        <v>0</v>
      </c>
      <c r="AE406" s="3" t="n">
        <v>7.913</v>
      </c>
      <c r="AF406" s="3" t="n">
        <v>0.2255813624920678</v>
      </c>
      <c r="AG406" s="3" t="n">
        <v>0</v>
      </c>
      <c r="AH406" s="3" t="n">
        <v>1</v>
      </c>
      <c r="AI406" s="3" t="n">
        <v>2.2165</v>
      </c>
      <c r="AJ406" s="3" t="n">
        <v>1.1467</v>
      </c>
      <c r="AK406" s="3" t="n">
        <v>-0.1924405994730319</v>
      </c>
      <c r="AL406" s="6" t="n">
        <v>0</v>
      </c>
      <c r="AM406" s="3" t="n">
        <v>0</v>
      </c>
      <c r="AN406" s="3" t="n">
        <v>0</v>
      </c>
      <c r="AO406" s="3" t="n">
        <v>0</v>
      </c>
      <c r="AP406" s="3">
        <f>N(X406)*N(BI406)</f>
        <v/>
      </c>
      <c r="AQ406" s="3" t="n">
        <v>0</v>
      </c>
      <c r="AR406" s="3" t="n">
        <v>0</v>
      </c>
      <c r="AS406" s="3" t="n">
        <v>-0.348580685135232</v>
      </c>
      <c r="AT406" s="3" t="n">
        <v>-0.1924405994730319</v>
      </c>
      <c r="AU406" s="3">
        <f>SUM(AN406:AT406)</f>
        <v/>
      </c>
      <c r="AV406" s="7">
        <f>IF(OR(N(W406)&lt;=0,N(BG406)=0),0,N(W406)*IF(N(R406)/N(W406)&gt;=60,N(BG406),1))</f>
        <v/>
      </c>
      <c r="AW406" s="7">
        <f>N(W406)*N(AF406)*N(BH406)</f>
        <v/>
      </c>
      <c r="AX406" s="7">
        <f>N(AL406)*(Assumptions!$B$13*N(BJ406)-(1-Assumptions!$B$13)*Assumptions!$B$14)+N(AM406)</f>
        <v/>
      </c>
      <c r="AY406" s="7">
        <f>N(AU406)*N(R406)/90+N(AV406)+N(AW406)+N(AX406)</f>
        <v/>
      </c>
      <c r="AZ406" s="3">
        <f>IF(N(R406)&lt;=0,0,(N(AY406)-N(AX406))*90/N(R406))</f>
        <v/>
      </c>
      <c r="BA406" s="7">
        <f>IFERROR(AY406-VLOOKUP($E406,Assumptions!$A$40:$C$43,3,FALSE),"")</f>
        <v/>
      </c>
      <c r="BB406" s="3">
        <f>IFERROR(BA406/H406,"")</f>
        <v/>
      </c>
      <c r="BC406">
        <f>IF(AND($G406=TRUE,$E406="GKP"),AY406,"")</f>
        <v/>
      </c>
      <c r="BD406">
        <f>IF(AND($G406=TRUE,$E406="DEF"),AY406,"")</f>
        <v/>
      </c>
      <c r="BE406">
        <f>IF(AND($G406=TRUE,$E406="MID"),AY406,"")</f>
        <v/>
      </c>
      <c r="BF406">
        <f>IF(AND($G406=TRUE,$E406="FWD"),AY406,"")</f>
        <v/>
      </c>
      <c r="BG406" t="n">
        <v>2</v>
      </c>
      <c r="BH406" t="n">
        <v>2</v>
      </c>
      <c r="BI406" t="n">
        <v>4</v>
      </c>
      <c r="BJ406" t="n">
        <v>6</v>
      </c>
    </row>
    <row r="407">
      <c r="A407" s="9" t="inlineStr">
        <is>
          <t>Illan Meslier</t>
        </is>
      </c>
      <c r="B407" t="inlineStr">
        <is>
          <t>ARS</t>
        </is>
      </c>
      <c r="C407" s="9" t="inlineStr">
        <is>
          <t>LEE</t>
        </is>
      </c>
      <c r="D407" t="b">
        <v>1</v>
      </c>
      <c r="E407" t="inlineStr">
        <is>
          <t>GKP</t>
        </is>
      </c>
      <c r="F407" t="inlineStr">
        <is>
          <t>GKP</t>
        </is>
      </c>
      <c r="G407" t="b">
        <v>1</v>
      </c>
      <c r="H407" s="2" t="n">
        <v>5</v>
      </c>
      <c r="I407" t="inlineStr">
        <is>
          <t>a</t>
        </is>
      </c>
      <c r="K407" s="2" t="n">
        <v>0</v>
      </c>
      <c r="L407" t="n">
        <v>0</v>
      </c>
      <c r="M407" s="3" t="n">
        <v>0</v>
      </c>
      <c r="N407" s="4" t="n">
        <v>20</v>
      </c>
      <c r="O407" s="4" t="n">
        <v>20</v>
      </c>
      <c r="P407" s="5" t="inlineStr">
        <is>
          <t>low</t>
        </is>
      </c>
      <c r="Q407" t="inlineStr">
        <is>
          <t>flat</t>
        </is>
      </c>
      <c r="R407" s="6" t="n">
        <v>20</v>
      </c>
      <c r="S407" t="inlineStr">
        <is>
          <t>research</t>
        </is>
      </c>
      <c r="T407" s="5" t="inlineStr">
        <is>
          <t>Solio has Meslier at zero and still attached to Leeds. He joined Arsenal as a free agent on 9 July as the back-up goalkeeper, so he should carry a non-zero share of the small back-up allocation behind Raya. Counterpart to the Kepa entry; net effect on the club total is zero.</t>
        </is>
      </c>
      <c r="U407" s="6" t="n">
        <v>85</v>
      </c>
      <c r="V407" s="2" t="n"/>
      <c r="W407" s="7">
        <f>IF(N(U407)&lt;=0,0,MIN(Assumptions!$B$15,N(R407)/N(U407)))</f>
        <v/>
      </c>
      <c r="X407" s="6" t="n">
        <v>0.391</v>
      </c>
      <c r="Y407" s="10" t="n"/>
      <c r="Z407" t="inlineStr"/>
      <c r="AA407" s="3" t="n">
        <v>1</v>
      </c>
      <c r="AB407" s="3" t="n"/>
      <c r="AC407" s="3" t="n"/>
      <c r="AD407" s="10" t="n"/>
      <c r="AE407" s="3" t="n">
        <v>0</v>
      </c>
      <c r="AF407" s="3" t="n">
        <v>0</v>
      </c>
      <c r="AG407" s="3" t="n"/>
      <c r="AH407" s="3" t="n">
        <v>0</v>
      </c>
      <c r="AI407" s="3" t="n">
        <v>2.067</v>
      </c>
      <c r="AJ407" s="3" t="n">
        <v>0.9838</v>
      </c>
      <c r="AK407" s="3" t="n">
        <v>-0.0763216474948735</v>
      </c>
      <c r="AL407" s="6" t="n">
        <v>0</v>
      </c>
      <c r="AM407" s="3" t="n">
        <v>0</v>
      </c>
      <c r="AN407" s="10" t="n">
        <v>0</v>
      </c>
      <c r="AO407" s="10" t="n">
        <v>0</v>
      </c>
      <c r="AP407" s="3">
        <f>N(X407)*N(BI407)</f>
        <v/>
      </c>
      <c r="AQ407" s="3" t="n">
        <v>0</v>
      </c>
      <c r="AR407" s="3" t="n">
        <v>0.3608597487600056</v>
      </c>
      <c r="AS407" s="3" t="n">
        <v>-0.2768479886568037</v>
      </c>
      <c r="AT407" s="3" t="n">
        <v>-0.0763216474948735</v>
      </c>
      <c r="AU407" s="3">
        <f>SUM(AN407:AT407)</f>
        <v/>
      </c>
      <c r="AV407" s="7">
        <f>IF(OR(N(W407)&lt;=0,N(BG407)=0),0,N(W407)*IF(N(R407)/N(W407)&gt;=60,N(BG407),1))</f>
        <v/>
      </c>
      <c r="AW407" s="7">
        <f>N(W407)*N(AF407)*N(BH407)</f>
        <v/>
      </c>
      <c r="AX407" s="7">
        <f>N(AL407)*(Assumptions!$B$13*N(BJ407)-(1-Assumptions!$B$13)*Assumptions!$B$14)+N(AM407)</f>
        <v/>
      </c>
      <c r="AY407" s="7">
        <f>N(AU407)*N(R407)/90+N(AV407)+N(AW407)+N(AX407)</f>
        <v/>
      </c>
      <c r="AZ407" s="3">
        <f>IF(N(R407)&lt;=0,0,(N(AY407)-N(AX407))*90/N(R407))</f>
        <v/>
      </c>
      <c r="BA407" s="7">
        <f>IFERROR(AY407-VLOOKUP($E407,Assumptions!$A$40:$C$43,3,FALSE),"")</f>
        <v/>
      </c>
      <c r="BB407" s="3">
        <f>IFERROR(BA407/H407,"")</f>
        <v/>
      </c>
      <c r="BC407">
        <f>IF(AND($G407=TRUE,$E407="GKP"),AY407,"")</f>
        <v/>
      </c>
      <c r="BD407">
        <f>IF(AND($G407=TRUE,$E407="DEF"),AY407,"")</f>
        <v/>
      </c>
      <c r="BE407">
        <f>IF(AND($G407=TRUE,$E407="MID"),AY407,"")</f>
        <v/>
      </c>
      <c r="BF407">
        <f>IF(AND($G407=TRUE,$E407="FWD"),AY407,"")</f>
        <v/>
      </c>
      <c r="BG407" t="n">
        <v>2</v>
      </c>
      <c r="BH407" t="n">
        <v>0</v>
      </c>
      <c r="BI407" t="n">
        <v>4</v>
      </c>
      <c r="BJ407" t="n">
        <v>10</v>
      </c>
    </row>
    <row r="408">
      <c r="A408" t="inlineStr">
        <is>
          <t>Julián Araujo Zúñiga</t>
        </is>
      </c>
      <c r="B408" t="inlineStr">
        <is>
          <t>BOU</t>
        </is>
      </c>
      <c r="C408" t="inlineStr">
        <is>
          <t>BOU</t>
        </is>
      </c>
      <c r="D408" t="b">
        <v>0</v>
      </c>
      <c r="E408" t="inlineStr">
        <is>
          <t>DEF</t>
        </is>
      </c>
      <c r="F408" t="inlineStr">
        <is>
          <t>DEF</t>
        </is>
      </c>
      <c r="G408" t="b">
        <v>1</v>
      </c>
      <c r="H408" s="2" t="n">
        <v>4.5</v>
      </c>
      <c r="I408" t="inlineStr">
        <is>
          <t>i</t>
        </is>
      </c>
      <c r="J408" t="inlineStr">
        <is>
          <t>Thigh injury - Unknown return date</t>
        </is>
      </c>
      <c r="K408" s="2" t="n">
        <v>0</v>
      </c>
      <c r="L408" t="n">
        <v>0</v>
      </c>
      <c r="M408" s="3" t="n">
        <v>0</v>
      </c>
      <c r="N408" s="8" t="n">
        <v>0</v>
      </c>
      <c r="O408" s="8" t="n">
        <v>0</v>
      </c>
      <c r="Q408" t="inlineStr">
        <is>
          <t>flat</t>
        </is>
      </c>
      <c r="R408" s="6" t="n">
        <v>0</v>
      </c>
      <c r="S408" t="inlineStr">
        <is>
          <t>Solio</t>
        </is>
      </c>
      <c r="U408" s="6" t="n">
        <v>85</v>
      </c>
      <c r="V408" s="2" t="n"/>
      <c r="W408" s="7">
        <f>IF(N(U408)&lt;=0,0,MIN(Assumptions!$B$15,N(R408)/N(U408)))</f>
        <v/>
      </c>
      <c r="X408" s="6" t="n">
        <v>0.23</v>
      </c>
      <c r="Y408" s="3" t="n"/>
      <c r="Z408" t="inlineStr"/>
      <c r="AA408" s="3" t="n">
        <v>1</v>
      </c>
      <c r="AB408" s="3" t="n"/>
      <c r="AC408" s="3" t="n"/>
      <c r="AD408" s="3" t="n"/>
      <c r="AE408" s="3" t="n"/>
      <c r="AF408" s="3" t="n">
        <v>0</v>
      </c>
      <c r="AG408" s="3" t="n"/>
      <c r="AH408" s="3" t="n">
        <v>0</v>
      </c>
      <c r="AI408" s="3" t="n">
        <v>3.0957</v>
      </c>
      <c r="AJ408" s="3" t="n">
        <v>1.53</v>
      </c>
      <c r="AK408" s="3" t="n">
        <v>-0.2355754748814301</v>
      </c>
      <c r="AL408" s="6" t="n">
        <v>0</v>
      </c>
      <c r="AM408" s="3" t="n">
        <v>0</v>
      </c>
      <c r="AN408" s="3" t="n">
        <v>0</v>
      </c>
      <c r="AO408" s="3" t="n">
        <v>0</v>
      </c>
      <c r="AP408" s="3">
        <f>N(X408)*N(BI408)</f>
        <v/>
      </c>
      <c r="AQ408" s="3" t="n">
        <v>0</v>
      </c>
      <c r="AR408" s="3" t="n">
        <v>0</v>
      </c>
      <c r="AS408" s="3" t="n">
        <v>-0.5267219238049191</v>
      </c>
      <c r="AT408" s="3" t="n">
        <v>-0.2355754748814301</v>
      </c>
      <c r="AU408" s="3">
        <f>SUM(AN408:AT408)</f>
        <v/>
      </c>
      <c r="AV408" s="7">
        <f>IF(OR(N(W408)&lt;=0,N(BG408)=0),0,N(W408)*IF(N(R408)/N(W408)&gt;=60,N(BG408),1))</f>
        <v/>
      </c>
      <c r="AW408" s="7">
        <f>N(W408)*N(AF408)*N(BH408)</f>
        <v/>
      </c>
      <c r="AX408" s="7">
        <f>N(AL408)*(Assumptions!$B$13*N(BJ408)-(1-Assumptions!$B$13)*Assumptions!$B$14)+N(AM408)</f>
        <v/>
      </c>
      <c r="AY408" s="7">
        <f>N(AU408)*N(R408)/90+N(AV408)+N(AW408)+N(AX408)</f>
        <v/>
      </c>
      <c r="AZ408" s="3">
        <f>IF(N(R408)&lt;=0,0,(N(AY408)-N(AX408))*90/N(R408))</f>
        <v/>
      </c>
      <c r="BA408" s="7">
        <f>IFERROR(AY408-VLOOKUP($E408,Assumptions!$A$40:$C$43,3,FALSE),"")</f>
        <v/>
      </c>
      <c r="BB408" s="3">
        <f>IFERROR(BA408/H408,"")</f>
        <v/>
      </c>
      <c r="BC408">
        <f>IF(AND($G408=TRUE,$E408="GKP"),AY408,"")</f>
        <v/>
      </c>
      <c r="BD408">
        <f>IF(AND($G408=TRUE,$E408="DEF"),AY408,"")</f>
        <v/>
      </c>
      <c r="BE408">
        <f>IF(AND($G408=TRUE,$E408="MID"),AY408,"")</f>
        <v/>
      </c>
      <c r="BF408">
        <f>IF(AND($G408=TRUE,$E408="FWD"),AY408,"")</f>
        <v/>
      </c>
      <c r="BG408" t="n">
        <v>2</v>
      </c>
      <c r="BH408" t="n">
        <v>2</v>
      </c>
      <c r="BI408" t="n">
        <v>4</v>
      </c>
      <c r="BJ408" t="n">
        <v>6</v>
      </c>
    </row>
    <row r="409">
      <c r="A409" s="9" t="inlineStr">
        <is>
          <t>Kjell Scherpen</t>
        </is>
      </c>
      <c r="B409" t="inlineStr">
        <is>
          <t>IPS</t>
        </is>
      </c>
      <c r="C409" s="9" t="inlineStr">
        <is>
          <t>BHA</t>
        </is>
      </c>
      <c r="D409" t="b">
        <v>1</v>
      </c>
      <c r="E409" t="inlineStr">
        <is>
          <t>GKP</t>
        </is>
      </c>
      <c r="F409" t="inlineStr">
        <is>
          <t>GKP</t>
        </is>
      </c>
      <c r="G409" t="b">
        <v>1</v>
      </c>
      <c r="H409" s="2" t="n">
        <v>4.5</v>
      </c>
      <c r="I409" t="inlineStr">
        <is>
          <t>a</t>
        </is>
      </c>
      <c r="K409" s="2" t="n">
        <v>0</v>
      </c>
      <c r="L409" t="n">
        <v>0</v>
      </c>
      <c r="M409" s="3" t="n">
        <v>3317</v>
      </c>
      <c r="N409" s="8" t="n">
        <v>3317</v>
      </c>
      <c r="O409" s="8" t="n">
        <v>0</v>
      </c>
      <c r="Q409" t="inlineStr">
        <is>
          <t>flat</t>
        </is>
      </c>
      <c r="R409" s="6" t="n">
        <v>3317</v>
      </c>
      <c r="S409" t="inlineStr">
        <is>
          <t>Solio</t>
        </is>
      </c>
      <c r="U409" s="6" t="n">
        <v>85</v>
      </c>
      <c r="V409" s="2" t="n"/>
      <c r="W409" s="7">
        <f>IF(N(U409)&lt;=0,0,MIN(Assumptions!$B$15,N(R409)/N(U409)))</f>
        <v/>
      </c>
      <c r="X409" s="6" t="n">
        <v>0.17</v>
      </c>
      <c r="Y409" s="10" t="n"/>
      <c r="Z409" t="inlineStr"/>
      <c r="AA409" s="3" t="n">
        <v>1</v>
      </c>
      <c r="AB409" s="3" t="n"/>
      <c r="AC409" s="3" t="n"/>
      <c r="AD409" s="10" t="n"/>
      <c r="AE409" s="3" t="n">
        <v>0</v>
      </c>
      <c r="AF409" s="3" t="n">
        <v>0</v>
      </c>
      <c r="AG409" s="3" t="n"/>
      <c r="AH409" s="3" t="n">
        <v>0</v>
      </c>
      <c r="AI409" s="3" t="n">
        <v>3.5741</v>
      </c>
      <c r="AJ409" s="3" t="n">
        <v>1.8319</v>
      </c>
      <c r="AK409" s="3" t="n">
        <v>-0.0763216474948735</v>
      </c>
      <c r="AL409" s="6" t="n">
        <v>0</v>
      </c>
      <c r="AM409" s="3" t="n">
        <v>3.792999458017947</v>
      </c>
      <c r="AN409" s="10" t="n">
        <v>0</v>
      </c>
      <c r="AO409" s="10" t="n">
        <v>0</v>
      </c>
      <c r="AP409" s="3">
        <f>N(X409)*N(BI409)</f>
        <v/>
      </c>
      <c r="AQ409" s="3" t="n">
        <v>0</v>
      </c>
      <c r="AR409" s="3" t="n">
        <v>0.8565116974562608</v>
      </c>
      <c r="AS409" s="3" t="n">
        <v>-0.6723587286814016</v>
      </c>
      <c r="AT409" s="3" t="n">
        <v>-0.0763216474948735</v>
      </c>
      <c r="AU409" s="3">
        <f>SUM(AN409:AT409)</f>
        <v/>
      </c>
      <c r="AV409" s="7">
        <f>IF(OR(N(W409)&lt;=0,N(BG409)=0),0,N(W409)*IF(N(R409)/N(W409)&gt;=60,N(BG409),1))</f>
        <v/>
      </c>
      <c r="AW409" s="7">
        <f>N(W409)*N(AF409)*N(BH409)</f>
        <v/>
      </c>
      <c r="AX409" s="7">
        <f>N(AL409)*(Assumptions!$B$13*N(BJ409)-(1-Assumptions!$B$13)*Assumptions!$B$14)+N(AM409)</f>
        <v/>
      </c>
      <c r="AY409" s="7">
        <f>N(AU409)*N(R409)/90+N(AV409)+N(AW409)+N(AX409)</f>
        <v/>
      </c>
      <c r="AZ409" s="3">
        <f>IF(N(R409)&lt;=0,0,(N(AY409)-N(AX409))*90/N(R409))</f>
        <v/>
      </c>
      <c r="BA409" s="7">
        <f>IFERROR(AY409-VLOOKUP($E409,Assumptions!$A$40:$C$43,3,FALSE),"")</f>
        <v/>
      </c>
      <c r="BB409" s="3">
        <f>IFERROR(BA409/H409,"")</f>
        <v/>
      </c>
      <c r="BC409">
        <f>IF(AND($G409=TRUE,$E409="GKP"),AY409,"")</f>
        <v/>
      </c>
      <c r="BD409">
        <f>IF(AND($G409=TRUE,$E409="DEF"),AY409,"")</f>
        <v/>
      </c>
      <c r="BE409">
        <f>IF(AND($G409=TRUE,$E409="MID"),AY409,"")</f>
        <v/>
      </c>
      <c r="BF409">
        <f>IF(AND($G409=TRUE,$E409="FWD"),AY409,"")</f>
        <v/>
      </c>
      <c r="BG409" t="n">
        <v>2</v>
      </c>
      <c r="BH409" t="n">
        <v>0</v>
      </c>
      <c r="BI409" t="n">
        <v>4</v>
      </c>
      <c r="BJ409" t="n">
        <v>10</v>
      </c>
    </row>
    <row r="410">
      <c r="A410" t="inlineStr">
        <is>
          <t>Tom Heaton</t>
        </is>
      </c>
      <c r="B410" t="inlineStr">
        <is>
          <t>MUN</t>
        </is>
      </c>
      <c r="C410" t="inlineStr">
        <is>
          <t>MUN</t>
        </is>
      </c>
      <c r="D410" t="b">
        <v>0</v>
      </c>
      <c r="E410" t="inlineStr">
        <is>
          <t>GKP</t>
        </is>
      </c>
      <c r="F410" t="inlineStr">
        <is>
          <t>GKP</t>
        </is>
      </c>
      <c r="G410" t="b">
        <v>1</v>
      </c>
      <c r="H410" s="2" t="n">
        <v>4</v>
      </c>
      <c r="I410" t="inlineStr">
        <is>
          <t>a</t>
        </is>
      </c>
      <c r="K410" s="2" t="n">
        <v>0</v>
      </c>
      <c r="L410" t="n">
        <v>0</v>
      </c>
      <c r="M410" s="3" t="n">
        <v>0</v>
      </c>
      <c r="N410" s="8" t="n">
        <v>0</v>
      </c>
      <c r="O410" s="8" t="n">
        <v>0</v>
      </c>
      <c r="Q410" t="inlineStr">
        <is>
          <t>flat</t>
        </is>
      </c>
      <c r="R410" s="6" t="n">
        <v>0</v>
      </c>
      <c r="S410" t="inlineStr">
        <is>
          <t>Solio</t>
        </is>
      </c>
      <c r="U410" s="6" t="n">
        <v>85</v>
      </c>
      <c r="V410" s="2" t="n"/>
      <c r="W410" s="7">
        <f>IF(N(U410)&lt;=0,0,MIN(Assumptions!$B$15,N(R410)/N(U410)))</f>
        <v/>
      </c>
      <c r="X410" s="6" t="n">
        <v>0.334</v>
      </c>
      <c r="Y410" s="3" t="n"/>
      <c r="Z410" t="inlineStr"/>
      <c r="AA410" s="3" t="n">
        <v>1</v>
      </c>
      <c r="AB410" s="3" t="n"/>
      <c r="AC410" s="3" t="n"/>
      <c r="AD410" s="3" t="n"/>
      <c r="AE410" s="3" t="n">
        <v>0</v>
      </c>
      <c r="AF410" s="3" t="n">
        <v>0</v>
      </c>
      <c r="AG410" s="3" t="n"/>
      <c r="AH410" s="3" t="n">
        <v>0</v>
      </c>
      <c r="AI410" s="3" t="n">
        <v>2.2165</v>
      </c>
      <c r="AJ410" s="3" t="n">
        <v>1.1467</v>
      </c>
      <c r="AK410" s="3" t="n">
        <v>-0.0763216474948735</v>
      </c>
      <c r="AL410" s="6" t="n">
        <v>0</v>
      </c>
      <c r="AM410" s="3" t="n">
        <v>0</v>
      </c>
      <c r="AN410" s="3" t="n">
        <v>0</v>
      </c>
      <c r="AO410" s="3" t="n">
        <v>0</v>
      </c>
      <c r="AP410" s="3">
        <f>N(X410)*N(BI410)</f>
        <v/>
      </c>
      <c r="AQ410" s="3" t="n">
        <v>0</v>
      </c>
      <c r="AR410" s="3" t="n">
        <v>0.407909225741714</v>
      </c>
      <c r="AS410" s="3" t="n">
        <v>-0.348580685135232</v>
      </c>
      <c r="AT410" s="3" t="n">
        <v>-0.0763216474948735</v>
      </c>
      <c r="AU410" s="3">
        <f>SUM(AN410:AT410)</f>
        <v/>
      </c>
      <c r="AV410" s="7">
        <f>IF(OR(N(W410)&lt;=0,N(BG410)=0),0,N(W410)*IF(N(R410)/N(W410)&gt;=60,N(BG410),1))</f>
        <v/>
      </c>
      <c r="AW410" s="7">
        <f>N(W410)*N(AF410)*N(BH410)</f>
        <v/>
      </c>
      <c r="AX410" s="7">
        <f>N(AL410)*(Assumptions!$B$13*N(BJ410)-(1-Assumptions!$B$13)*Assumptions!$B$14)+N(AM410)</f>
        <v/>
      </c>
      <c r="AY410" s="7">
        <f>N(AU410)*N(R410)/90+N(AV410)+N(AW410)+N(AX410)</f>
        <v/>
      </c>
      <c r="AZ410" s="3">
        <f>IF(N(R410)&lt;=0,0,(N(AY410)-N(AX410))*90/N(R410))</f>
        <v/>
      </c>
      <c r="BA410" s="7">
        <f>IFERROR(AY410-VLOOKUP($E410,Assumptions!$A$40:$C$43,3,FALSE),"")</f>
        <v/>
      </c>
      <c r="BB410" s="3">
        <f>IFERROR(BA410/H410,"")</f>
        <v/>
      </c>
      <c r="BC410">
        <f>IF(AND($G410=TRUE,$E410="GKP"),AY410,"")</f>
        <v/>
      </c>
      <c r="BD410">
        <f>IF(AND($G410=TRUE,$E410="DEF"),AY410,"")</f>
        <v/>
      </c>
      <c r="BE410">
        <f>IF(AND($G410=TRUE,$E410="MID"),AY410,"")</f>
        <v/>
      </c>
      <c r="BF410">
        <f>IF(AND($G410=TRUE,$E410="FWD"),AY410,"")</f>
        <v/>
      </c>
      <c r="BG410" t="n">
        <v>2</v>
      </c>
      <c r="BH410" t="n">
        <v>0</v>
      </c>
      <c r="BI410" t="n">
        <v>4</v>
      </c>
      <c r="BJ410" t="n">
        <v>10</v>
      </c>
    </row>
    <row r="411">
      <c r="A411" t="inlineStr">
        <is>
          <t>Anthony Patterson</t>
        </is>
      </c>
      <c r="B411" t="inlineStr">
        <is>
          <t>SUN</t>
        </is>
      </c>
      <c r="C411" t="inlineStr">
        <is>
          <t>SUN</t>
        </is>
      </c>
      <c r="D411" t="b">
        <v>0</v>
      </c>
      <c r="E411" t="inlineStr">
        <is>
          <t>GKP</t>
        </is>
      </c>
      <c r="F411" t="inlineStr">
        <is>
          <t>GKP</t>
        </is>
      </c>
      <c r="G411" t="b">
        <v>1</v>
      </c>
      <c r="H411" s="2" t="n">
        <v>4</v>
      </c>
      <c r="I411" t="inlineStr">
        <is>
          <t>u</t>
        </is>
      </c>
      <c r="J411" t="inlineStr">
        <is>
          <t>Has joined Wrexham permanently</t>
        </is>
      </c>
      <c r="K411" s="2" t="n">
        <v>0</v>
      </c>
      <c r="L411" t="n">
        <v>0</v>
      </c>
      <c r="M411" s="3" t="n"/>
      <c r="N411" s="8" t="n">
        <v>0</v>
      </c>
      <c r="O411" s="8" t="n">
        <v>0</v>
      </c>
      <c r="R411" s="6" t="n">
        <v>0</v>
      </c>
      <c r="S411" t="inlineStr">
        <is>
          <t>25/26 actual</t>
        </is>
      </c>
      <c r="U411" s="6" t="n">
        <v>85</v>
      </c>
      <c r="V411" s="2" t="n"/>
      <c r="W411" s="7">
        <f>IF(N(U411)&lt;=0,0,MIN(Assumptions!$B$15,N(R411)/N(U411)))</f>
        <v/>
      </c>
      <c r="X411" s="6" t="n">
        <v>0.204</v>
      </c>
      <c r="Y411" s="3" t="n"/>
      <c r="Z411" t="inlineStr"/>
      <c r="AA411" s="3" t="n">
        <v>1</v>
      </c>
      <c r="AB411" s="3" t="n"/>
      <c r="AC411" s="3" t="n"/>
      <c r="AD411" s="3" t="n"/>
      <c r="AE411" s="3" t="n">
        <v>0</v>
      </c>
      <c r="AF411" s="3" t="n">
        <v>0</v>
      </c>
      <c r="AG411" s="3" t="n"/>
      <c r="AH411" s="3" t="n">
        <v>0</v>
      </c>
      <c r="AI411" s="3" t="n">
        <v>3.3348</v>
      </c>
      <c r="AJ411" s="3" t="n">
        <v>1.6498</v>
      </c>
      <c r="AK411" s="3" t="n">
        <v>-0.0763216474948735</v>
      </c>
      <c r="AL411" s="6" t="n">
        <v>0</v>
      </c>
      <c r="AM411" s="3" t="n">
        <v>0</v>
      </c>
      <c r="AN411" s="3" t="n">
        <v>0</v>
      </c>
      <c r="AO411" s="3" t="n">
        <v>0</v>
      </c>
      <c r="AP411" s="3">
        <f>N(X411)*N(BI411)</f>
        <v/>
      </c>
      <c r="AQ411" s="3" t="n">
        <v>0</v>
      </c>
      <c r="AR411" s="3" t="n">
        <v>0.7764218657798218</v>
      </c>
      <c r="AS411" s="3" t="n">
        <v>-0.5841244809045405</v>
      </c>
      <c r="AT411" s="3" t="n">
        <v>-0.0763216474948735</v>
      </c>
      <c r="AU411" s="3">
        <f>SUM(AN411:AT411)</f>
        <v/>
      </c>
      <c r="AV411" s="7">
        <f>IF(OR(N(W411)&lt;=0,N(BG411)=0),0,N(W411)*IF(N(R411)/N(W411)&gt;=60,N(BG411),1))</f>
        <v/>
      </c>
      <c r="AW411" s="7">
        <f>N(W411)*N(AF411)*N(BH411)</f>
        <v/>
      </c>
      <c r="AX411" s="7">
        <f>N(AL411)*(Assumptions!$B$13*N(BJ411)-(1-Assumptions!$B$13)*Assumptions!$B$14)+N(AM411)</f>
        <v/>
      </c>
      <c r="AY411" s="7">
        <f>N(AU411)*N(R411)/90+N(AV411)+N(AW411)+N(AX411)</f>
        <v/>
      </c>
      <c r="AZ411" s="3">
        <f>IF(N(R411)&lt;=0,0,(N(AY411)-N(AX411))*90/N(R411))</f>
        <v/>
      </c>
      <c r="BA411" s="7">
        <f>IFERROR(AY411-VLOOKUP($E411,Assumptions!$A$40:$C$43,3,FALSE),"")</f>
        <v/>
      </c>
      <c r="BB411" s="3">
        <f>IFERROR(BA411/H411,"")</f>
        <v/>
      </c>
      <c r="BC411">
        <f>IF(AND($G411=TRUE,$E411="GKP"),AY411,"")</f>
        <v/>
      </c>
      <c r="BD411">
        <f>IF(AND($G411=TRUE,$E411="DEF"),AY411,"")</f>
        <v/>
      </c>
      <c r="BE411">
        <f>IF(AND($G411=TRUE,$E411="MID"),AY411,"")</f>
        <v/>
      </c>
      <c r="BF411">
        <f>IF(AND($G411=TRUE,$E411="FWD"),AY411,"")</f>
        <v/>
      </c>
      <c r="BG411" t="n">
        <v>2</v>
      </c>
      <c r="BH411" t="n">
        <v>0</v>
      </c>
      <c r="BI411" t="n">
        <v>4</v>
      </c>
      <c r="BJ411" t="n">
        <v>10</v>
      </c>
    </row>
    <row r="412">
      <c r="A412" t="inlineStr">
        <is>
          <t>Mark Travers</t>
        </is>
      </c>
      <c r="B412" t="inlineStr">
        <is>
          <t>EVE</t>
        </is>
      </c>
      <c r="C412" t="inlineStr">
        <is>
          <t>EVE</t>
        </is>
      </c>
      <c r="D412" t="b">
        <v>0</v>
      </c>
      <c r="E412" t="inlineStr">
        <is>
          <t>GKP</t>
        </is>
      </c>
      <c r="F412" t="inlineStr">
        <is>
          <t>GKP</t>
        </is>
      </c>
      <c r="G412" t="b">
        <v>1</v>
      </c>
      <c r="H412" s="2" t="n">
        <v>5</v>
      </c>
      <c r="I412" t="inlineStr">
        <is>
          <t>a</t>
        </is>
      </c>
      <c r="K412" s="2" t="n">
        <v>0</v>
      </c>
      <c r="L412" t="n">
        <v>0</v>
      </c>
      <c r="M412" s="3" t="n">
        <v>35</v>
      </c>
      <c r="N412" s="8" t="n">
        <v>35</v>
      </c>
      <c r="O412" s="8" t="n">
        <v>0</v>
      </c>
      <c r="Q412" t="inlineStr">
        <is>
          <t>flat</t>
        </is>
      </c>
      <c r="R412" s="6" t="n">
        <v>35</v>
      </c>
      <c r="S412" t="inlineStr">
        <is>
          <t>Solio</t>
        </is>
      </c>
      <c r="U412" s="6" t="n">
        <v>85</v>
      </c>
      <c r="V412" s="2" t="n"/>
      <c r="W412" s="7">
        <f>IF(N(U412)&lt;=0,0,MIN(Assumptions!$B$15,N(R412)/N(U412)))</f>
        <v/>
      </c>
      <c r="X412" s="6" t="n">
        <v>0.231</v>
      </c>
      <c r="Y412" s="3" t="n"/>
      <c r="Z412" t="inlineStr"/>
      <c r="AA412" s="3" t="n">
        <v>1</v>
      </c>
      <c r="AB412" s="3" t="n"/>
      <c r="AC412" s="3" t="n"/>
      <c r="AD412" s="3" t="n"/>
      <c r="AE412" s="3" t="n">
        <v>0</v>
      </c>
      <c r="AF412" s="3" t="n">
        <v>0</v>
      </c>
      <c r="AG412" s="3" t="n"/>
      <c r="AH412" s="3" t="n">
        <v>0</v>
      </c>
      <c r="AI412" s="3" t="n">
        <v>3.0311</v>
      </c>
      <c r="AJ412" s="3" t="n">
        <v>1.5252</v>
      </c>
      <c r="AK412" s="3" t="n">
        <v>-0.0599400886565237</v>
      </c>
      <c r="AL412" s="6" t="n">
        <v>0</v>
      </c>
      <c r="AM412" s="3" t="n">
        <v>0.0333233277425541</v>
      </c>
      <c r="AN412" s="3" t="n">
        <v>0</v>
      </c>
      <c r="AO412" s="3" t="n">
        <v>0</v>
      </c>
      <c r="AP412" s="3">
        <f>N(X412)*N(BI412)</f>
        <v/>
      </c>
      <c r="AQ412" s="3" t="n">
        <v>0</v>
      </c>
      <c r="AR412" s="3" t="n">
        <v>0.67496810501903</v>
      </c>
      <c r="AS412" s="3" t="n">
        <v>-0.524434996152324</v>
      </c>
      <c r="AT412" s="3" t="n">
        <v>-0.0599400886565237</v>
      </c>
      <c r="AU412" s="3">
        <f>SUM(AN412:AT412)</f>
        <v/>
      </c>
      <c r="AV412" s="7">
        <f>IF(OR(N(W412)&lt;=0,N(BG412)=0),0,N(W412)*IF(N(R412)/N(W412)&gt;=60,N(BG412),1))</f>
        <v/>
      </c>
      <c r="AW412" s="7">
        <f>N(W412)*N(AF412)*N(BH412)</f>
        <v/>
      </c>
      <c r="AX412" s="7">
        <f>N(AL412)*(Assumptions!$B$13*N(BJ412)-(1-Assumptions!$B$13)*Assumptions!$B$14)+N(AM412)</f>
        <v/>
      </c>
      <c r="AY412" s="7">
        <f>N(AU412)*N(R412)/90+N(AV412)+N(AW412)+N(AX412)</f>
        <v/>
      </c>
      <c r="AZ412" s="3">
        <f>IF(N(R412)&lt;=0,0,(N(AY412)-N(AX412))*90/N(R412))</f>
        <v/>
      </c>
      <c r="BA412" s="7">
        <f>IFERROR(AY412-VLOOKUP($E412,Assumptions!$A$40:$C$43,3,FALSE),"")</f>
        <v/>
      </c>
      <c r="BB412" s="3">
        <f>IFERROR(BA412/H412,"")</f>
        <v/>
      </c>
      <c r="BC412">
        <f>IF(AND($G412=TRUE,$E412="GKP"),AY412,"")</f>
        <v/>
      </c>
      <c r="BD412">
        <f>IF(AND($G412=TRUE,$E412="DEF"),AY412,"")</f>
        <v/>
      </c>
      <c r="BE412">
        <f>IF(AND($G412=TRUE,$E412="MID"),AY412,"")</f>
        <v/>
      </c>
      <c r="BF412">
        <f>IF(AND($G412=TRUE,$E412="FWD"),AY412,"")</f>
        <v/>
      </c>
      <c r="BG412" t="n">
        <v>2</v>
      </c>
      <c r="BH412" t="n">
        <v>0</v>
      </c>
      <c r="BI412" t="n">
        <v>4</v>
      </c>
      <c r="BJ412" t="n">
        <v>10</v>
      </c>
    </row>
    <row r="413">
      <c r="A413" s="9" t="inlineStr">
        <is>
          <t>Luka Vušković</t>
        </is>
      </c>
      <c r="B413" t="inlineStr">
        <is>
          <t>BHA</t>
        </is>
      </c>
      <c r="C413" s="9" t="inlineStr">
        <is>
          <t>TOT</t>
        </is>
      </c>
      <c r="D413" t="b">
        <v>1</v>
      </c>
      <c r="E413" t="inlineStr">
        <is>
          <t>DEF</t>
        </is>
      </c>
      <c r="F413" t="inlineStr">
        <is>
          <t>DEF</t>
        </is>
      </c>
      <c r="G413" t="b">
        <v>1</v>
      </c>
      <c r="H413" s="2" t="n">
        <v>5</v>
      </c>
      <c r="I413" t="inlineStr">
        <is>
          <t>a</t>
        </is>
      </c>
      <c r="K413" s="2" t="n">
        <v>0</v>
      </c>
      <c r="L413" t="n">
        <v>0</v>
      </c>
      <c r="M413" s="3" t="n">
        <v>1708</v>
      </c>
      <c r="N413" s="4" t="n">
        <v>2450</v>
      </c>
      <c r="O413" s="4" t="n">
        <v>742</v>
      </c>
      <c r="P413" s="5" t="inlineStr">
        <is>
          <t>high</t>
        </is>
      </c>
      <c r="Q413" t="inlineStr">
        <is>
          <t>flat</t>
        </is>
      </c>
      <c r="R413" s="6" t="n">
        <v>2450</v>
      </c>
      <c r="S413" t="inlineStr">
        <is>
          <t>research</t>
        </is>
      </c>
      <c r="T413" s="5" t="inlineStr">
        <is>
          <t>Brighton's record signing (GBP 46m guaranteed, rising to GBP 50m) from Tottenham on 14 Jul 2026, reported as primed for an immediate first-team role having made 28 Bundesliga appearances on loan at Hamburg. He started both August friendlies at centre-back. Solio's 1708 (about 20 starts) reads like a squad-player allocation for a club-record buy. Not pushed to a full 3000+ because he is 19, has four competitions to be managed across, and has four senior centre-backs behind him.</t>
        </is>
      </c>
      <c r="U413" s="6" t="n">
        <v>85</v>
      </c>
      <c r="V413" s="2" t="n"/>
      <c r="W413" s="7">
        <f>IF(N(U413)&lt;=0,0,MIN(Assumptions!$B$15,N(R413)/N(U413)))</f>
        <v/>
      </c>
      <c r="X413" s="6" t="n">
        <v>0.252</v>
      </c>
      <c r="Y413" s="10" t="n"/>
      <c r="Z413" t="inlineStr"/>
      <c r="AA413" s="3" t="n">
        <v>1</v>
      </c>
      <c r="AB413" s="3" t="n"/>
      <c r="AC413" s="3" t="n"/>
      <c r="AD413" s="10" t="n"/>
      <c r="AE413" s="3" t="n"/>
      <c r="AF413" s="3" t="n">
        <v>0</v>
      </c>
      <c r="AG413" s="3" t="n"/>
      <c r="AH413" s="3" t="n">
        <v>0</v>
      </c>
      <c r="AI413" s="3" t="n">
        <v>2.8404</v>
      </c>
      <c r="AJ413" s="3" t="n">
        <v>1.439</v>
      </c>
      <c r="AK413" s="3" t="n">
        <v>-0.2045226422080557</v>
      </c>
      <c r="AL413" s="6" t="n">
        <v>0</v>
      </c>
      <c r="AM413" s="3" t="n">
        <v>0</v>
      </c>
      <c r="AN413" s="10" t="n">
        <v>0</v>
      </c>
      <c r="AO413" s="10" t="n">
        <v>0</v>
      </c>
      <c r="AP413" s="3">
        <f>N(X413)*N(BI413)</f>
        <v/>
      </c>
      <c r="AQ413" s="3" t="n">
        <v>0</v>
      </c>
      <c r="AR413" s="3" t="n">
        <v>0</v>
      </c>
      <c r="AS413" s="3" t="n">
        <v>-0.4835617861760246</v>
      </c>
      <c r="AT413" s="3" t="n">
        <v>-0.2045226422080557</v>
      </c>
      <c r="AU413" s="3">
        <f>SUM(AN413:AT413)</f>
        <v/>
      </c>
      <c r="AV413" s="7">
        <f>IF(OR(N(W413)&lt;=0,N(BG413)=0),0,N(W413)*IF(N(R413)/N(W413)&gt;=60,N(BG413),1))</f>
        <v/>
      </c>
      <c r="AW413" s="7">
        <f>N(W413)*N(AF413)*N(BH413)</f>
        <v/>
      </c>
      <c r="AX413" s="7">
        <f>N(AL413)*(Assumptions!$B$13*N(BJ413)-(1-Assumptions!$B$13)*Assumptions!$B$14)+N(AM413)</f>
        <v/>
      </c>
      <c r="AY413" s="7">
        <f>N(AU413)*N(R413)/90+N(AV413)+N(AW413)+N(AX413)</f>
        <v/>
      </c>
      <c r="AZ413" s="3">
        <f>IF(N(R413)&lt;=0,0,(N(AY413)-N(AX413))*90/N(R413))</f>
        <v/>
      </c>
      <c r="BA413" s="7">
        <f>IFERROR(AY413-VLOOKUP($E413,Assumptions!$A$40:$C$43,3,FALSE),"")</f>
        <v/>
      </c>
      <c r="BB413" s="3">
        <f>IFERROR(BA413/H413,"")</f>
        <v/>
      </c>
      <c r="BC413">
        <f>IF(AND($G413=TRUE,$E413="GKP"),AY413,"")</f>
        <v/>
      </c>
      <c r="BD413">
        <f>IF(AND($G413=TRUE,$E413="DEF"),AY413,"")</f>
        <v/>
      </c>
      <c r="BE413">
        <f>IF(AND($G413=TRUE,$E413="MID"),AY413,"")</f>
        <v/>
      </c>
      <c r="BF413">
        <f>IF(AND($G413=TRUE,$E413="FWD"),AY413,"")</f>
        <v/>
      </c>
      <c r="BG413" t="n">
        <v>2</v>
      </c>
      <c r="BH413" t="n">
        <v>2</v>
      </c>
      <c r="BI413" t="n">
        <v>4</v>
      </c>
      <c r="BJ413" t="n">
        <v>6</v>
      </c>
    </row>
    <row r="414">
      <c r="A414" t="inlineStr">
        <is>
          <t>Brandon Austin</t>
        </is>
      </c>
      <c r="B414" t="inlineStr">
        <is>
          <t>TOT</t>
        </is>
      </c>
      <c r="C414" t="inlineStr">
        <is>
          <t>TOT</t>
        </is>
      </c>
      <c r="D414" t="b">
        <v>0</v>
      </c>
      <c r="E414" t="inlineStr">
        <is>
          <t>GKP</t>
        </is>
      </c>
      <c r="F414" t="inlineStr">
        <is>
          <t>GKP</t>
        </is>
      </c>
      <c r="G414" t="b">
        <v>1</v>
      </c>
      <c r="H414" s="2" t="n">
        <v>4</v>
      </c>
      <c r="I414" t="inlineStr">
        <is>
          <t>a</t>
        </is>
      </c>
      <c r="K414" s="2" t="n">
        <v>0</v>
      </c>
      <c r="L414" t="n">
        <v>0</v>
      </c>
      <c r="M414" s="3" t="n">
        <v>0</v>
      </c>
      <c r="N414" s="8" t="n">
        <v>0</v>
      </c>
      <c r="O414" s="8" t="n">
        <v>0</v>
      </c>
      <c r="Q414" t="inlineStr">
        <is>
          <t>flat</t>
        </is>
      </c>
      <c r="R414" s="6" t="n">
        <v>0</v>
      </c>
      <c r="S414" t="inlineStr">
        <is>
          <t>Solio</t>
        </is>
      </c>
      <c r="U414" s="6" t="n">
        <v>85</v>
      </c>
      <c r="V414" s="2" t="n"/>
      <c r="W414" s="7">
        <f>IF(N(U414)&lt;=0,0,MIN(Assumptions!$B$15,N(R414)/N(U414)))</f>
        <v/>
      </c>
      <c r="X414" s="6" t="n">
        <v>0.286</v>
      </c>
      <c r="Y414" s="3" t="n"/>
      <c r="Z414" t="inlineStr"/>
      <c r="AA414" s="3" t="n">
        <v>1</v>
      </c>
      <c r="AB414" s="3" t="n"/>
      <c r="AC414" s="3" t="n"/>
      <c r="AD414" s="3" t="n"/>
      <c r="AE414" s="3" t="n">
        <v>0</v>
      </c>
      <c r="AF414" s="3" t="n">
        <v>0</v>
      </c>
      <c r="AG414" s="3" t="n"/>
      <c r="AH414" s="3" t="n">
        <v>0</v>
      </c>
      <c r="AI414" s="3" t="n">
        <v>2.5739</v>
      </c>
      <c r="AJ414" s="3" t="n">
        <v>1.3096</v>
      </c>
      <c r="AK414" s="3" t="n">
        <v>-0.0736700489191532</v>
      </c>
      <c r="AL414" s="6" t="n">
        <v>0</v>
      </c>
      <c r="AM414" s="3" t="n">
        <v>0</v>
      </c>
      <c r="AN414" s="3" t="n">
        <v>0</v>
      </c>
      <c r="AO414" s="3" t="n">
        <v>0</v>
      </c>
      <c r="AP414" s="3">
        <f>N(X414)*N(BI414)</f>
        <v/>
      </c>
      <c r="AQ414" s="3" t="n">
        <v>0</v>
      </c>
      <c r="AR414" s="3" t="n">
        <v>0.5235455255089686</v>
      </c>
      <c r="AS414" s="3" t="n">
        <v>-0.4230152821052008</v>
      </c>
      <c r="AT414" s="3" t="n">
        <v>-0.0736700489191532</v>
      </c>
      <c r="AU414" s="3">
        <f>SUM(AN414:AT414)</f>
        <v/>
      </c>
      <c r="AV414" s="7">
        <f>IF(OR(N(W414)&lt;=0,N(BG414)=0),0,N(W414)*IF(N(R414)/N(W414)&gt;=60,N(BG414),1))</f>
        <v/>
      </c>
      <c r="AW414" s="7">
        <f>N(W414)*N(AF414)*N(BH414)</f>
        <v/>
      </c>
      <c r="AX414" s="7">
        <f>N(AL414)*(Assumptions!$B$13*N(BJ414)-(1-Assumptions!$B$13)*Assumptions!$B$14)+N(AM414)</f>
        <v/>
      </c>
      <c r="AY414" s="7">
        <f>N(AU414)*N(R414)/90+N(AV414)+N(AW414)+N(AX414)</f>
        <v/>
      </c>
      <c r="AZ414" s="3">
        <f>IF(N(R414)&lt;=0,0,(N(AY414)-N(AX414))*90/N(R414))</f>
        <v/>
      </c>
      <c r="BA414" s="7">
        <f>IFERROR(AY414-VLOOKUP($E414,Assumptions!$A$40:$C$43,3,FALSE),"")</f>
        <v/>
      </c>
      <c r="BB414" s="3">
        <f>IFERROR(BA414/H414,"")</f>
        <v/>
      </c>
      <c r="BC414">
        <f>IF(AND($G414=TRUE,$E414="GKP"),AY414,"")</f>
        <v/>
      </c>
      <c r="BD414">
        <f>IF(AND($G414=TRUE,$E414="DEF"),AY414,"")</f>
        <v/>
      </c>
      <c r="BE414">
        <f>IF(AND($G414=TRUE,$E414="MID"),AY414,"")</f>
        <v/>
      </c>
      <c r="BF414">
        <f>IF(AND($G414=TRUE,$E414="FWD"),AY414,"")</f>
        <v/>
      </c>
      <c r="BG414" t="n">
        <v>2</v>
      </c>
      <c r="BH414" t="n">
        <v>0</v>
      </c>
      <c r="BI414" t="n">
        <v>4</v>
      </c>
      <c r="BJ414" t="n">
        <v>10</v>
      </c>
    </row>
    <row r="415">
      <c r="A415" t="inlineStr">
        <is>
          <t>Kostas Tsimikas</t>
        </is>
      </c>
      <c r="B415" t="inlineStr">
        <is>
          <t>LIV</t>
        </is>
      </c>
      <c r="C415" t="inlineStr">
        <is>
          <t>LIV</t>
        </is>
      </c>
      <c r="D415" t="b">
        <v>0</v>
      </c>
      <c r="E415" t="inlineStr">
        <is>
          <t>DEF</t>
        </is>
      </c>
      <c r="F415" t="inlineStr">
        <is>
          <t>DEF</t>
        </is>
      </c>
      <c r="G415" t="b">
        <v>1</v>
      </c>
      <c r="H415" s="2" t="n">
        <v>5</v>
      </c>
      <c r="I415" t="inlineStr">
        <is>
          <t>a</t>
        </is>
      </c>
      <c r="K415" s="2" t="n">
        <v>0</v>
      </c>
      <c r="L415" t="n">
        <v>0</v>
      </c>
      <c r="M415" s="3" t="n">
        <v>256</v>
      </c>
      <c r="N415" s="8" t="n">
        <v>256</v>
      </c>
      <c r="O415" s="8" t="n">
        <v>0</v>
      </c>
      <c r="Q415" t="inlineStr">
        <is>
          <t>flat</t>
        </is>
      </c>
      <c r="R415" s="6" t="n">
        <v>256</v>
      </c>
      <c r="S415" t="inlineStr">
        <is>
          <t>Solio</t>
        </is>
      </c>
      <c r="U415" s="6" t="n">
        <v>85</v>
      </c>
      <c r="V415" s="2" t="n"/>
      <c r="W415" s="7">
        <f>IF(N(U415)&lt;=0,0,MIN(Assumptions!$B$15,N(R415)/N(U415)))</f>
        <v/>
      </c>
      <c r="X415" s="6" t="n">
        <v>0.342</v>
      </c>
      <c r="Y415" s="3" t="n"/>
      <c r="Z415" t="inlineStr"/>
      <c r="AA415" s="3" t="n">
        <v>1</v>
      </c>
      <c r="AB415" s="3" t="n"/>
      <c r="AC415" s="3" t="n"/>
      <c r="AD415" s="3" t="n"/>
      <c r="AE415" s="3" t="n"/>
      <c r="AF415" s="3" t="n">
        <v>0</v>
      </c>
      <c r="AG415" s="3" t="n"/>
      <c r="AH415" s="3" t="n">
        <v>0</v>
      </c>
      <c r="AI415" s="3" t="n">
        <v>2.409</v>
      </c>
      <c r="AJ415" s="3" t="n">
        <v>1.1228</v>
      </c>
      <c r="AK415" s="3" t="n">
        <v>-0.1897167504321107</v>
      </c>
      <c r="AL415" s="6" t="n">
        <v>0</v>
      </c>
      <c r="AM415" s="3" t="n">
        <v>0</v>
      </c>
      <c r="AN415" s="3" t="n">
        <v>0</v>
      </c>
      <c r="AO415" s="3" t="n">
        <v>0</v>
      </c>
      <c r="AP415" s="3">
        <f>N(X415)*N(BI415)</f>
        <v/>
      </c>
      <c r="AQ415" s="3" t="n">
        <v>0</v>
      </c>
      <c r="AR415" s="3" t="n">
        <v>0</v>
      </c>
      <c r="AS415" s="3" t="n">
        <v>-0.3378660007281162</v>
      </c>
      <c r="AT415" s="3" t="n">
        <v>-0.1897167504321107</v>
      </c>
      <c r="AU415" s="3">
        <f>SUM(AN415:AT415)</f>
        <v/>
      </c>
      <c r="AV415" s="7">
        <f>IF(OR(N(W415)&lt;=0,N(BG415)=0),0,N(W415)*IF(N(R415)/N(W415)&gt;=60,N(BG415),1))</f>
        <v/>
      </c>
      <c r="AW415" s="7">
        <f>N(W415)*N(AF415)*N(BH415)</f>
        <v/>
      </c>
      <c r="AX415" s="7">
        <f>N(AL415)*(Assumptions!$B$13*N(BJ415)-(1-Assumptions!$B$13)*Assumptions!$B$14)+N(AM415)</f>
        <v/>
      </c>
      <c r="AY415" s="7">
        <f>N(AU415)*N(R415)/90+N(AV415)+N(AW415)+N(AX415)</f>
        <v/>
      </c>
      <c r="AZ415" s="3">
        <f>IF(N(R415)&lt;=0,0,(N(AY415)-N(AX415))*90/N(R415))</f>
        <v/>
      </c>
      <c r="BA415" s="7">
        <f>IFERROR(AY415-VLOOKUP($E415,Assumptions!$A$40:$C$43,3,FALSE),"")</f>
        <v/>
      </c>
      <c r="BB415" s="3">
        <f>IFERROR(BA415/H415,"")</f>
        <v/>
      </c>
      <c r="BC415">
        <f>IF(AND($G415=TRUE,$E415="GKP"),AY415,"")</f>
        <v/>
      </c>
      <c r="BD415">
        <f>IF(AND($G415=TRUE,$E415="DEF"),AY415,"")</f>
        <v/>
      </c>
      <c r="BE415">
        <f>IF(AND($G415=TRUE,$E415="MID"),AY415,"")</f>
        <v/>
      </c>
      <c r="BF415">
        <f>IF(AND($G415=TRUE,$E415="FWD"),AY415,"")</f>
        <v/>
      </c>
      <c r="BG415" t="n">
        <v>2</v>
      </c>
      <c r="BH415" t="n">
        <v>2</v>
      </c>
      <c r="BI415" t="n">
        <v>4</v>
      </c>
      <c r="BJ415" t="n">
        <v>6</v>
      </c>
    </row>
    <row r="416">
      <c r="A416" t="inlineStr">
        <is>
          <t>Omar Richards</t>
        </is>
      </c>
      <c r="B416" t="inlineStr">
        <is>
          <t>NFO</t>
        </is>
      </c>
      <c r="C416" t="inlineStr">
        <is>
          <t>NFO</t>
        </is>
      </c>
      <c r="D416" t="b">
        <v>0</v>
      </c>
      <c r="E416" t="inlineStr">
        <is>
          <t>DEF</t>
        </is>
      </c>
      <c r="F416" t="inlineStr">
        <is>
          <t>DEF</t>
        </is>
      </c>
      <c r="G416" t="b">
        <v>1</v>
      </c>
      <c r="H416" s="2" t="n">
        <v>4</v>
      </c>
      <c r="I416" t="inlineStr">
        <is>
          <t>a</t>
        </is>
      </c>
      <c r="K416" s="2" t="n">
        <v>0</v>
      </c>
      <c r="L416" t="n">
        <v>0</v>
      </c>
      <c r="M416" s="3" t="n">
        <v>0</v>
      </c>
      <c r="N416" s="8" t="n">
        <v>0</v>
      </c>
      <c r="O416" s="8" t="n">
        <v>0</v>
      </c>
      <c r="Q416" t="inlineStr">
        <is>
          <t>flat</t>
        </is>
      </c>
      <c r="R416" s="6" t="n">
        <v>0</v>
      </c>
      <c r="S416" t="inlineStr">
        <is>
          <t>Solio</t>
        </is>
      </c>
      <c r="U416" s="6" t="n">
        <v>85</v>
      </c>
      <c r="V416" s="2" t="n"/>
      <c r="W416" s="7">
        <f>IF(N(U416)&lt;=0,0,MIN(Assumptions!$B$15,N(R416)/N(U416)))</f>
        <v/>
      </c>
      <c r="X416" s="6" t="n">
        <v>0.224</v>
      </c>
      <c r="Y416" s="3" t="n"/>
      <c r="Z416" t="inlineStr"/>
      <c r="AA416" s="3" t="n">
        <v>1</v>
      </c>
      <c r="AB416" s="3" t="n"/>
      <c r="AC416" s="3" t="n"/>
      <c r="AD416" s="3" t="n"/>
      <c r="AE416" s="3" t="n"/>
      <c r="AF416" s="3" t="n">
        <v>0</v>
      </c>
      <c r="AG416" s="3" t="n"/>
      <c r="AH416" s="3" t="n">
        <v>0</v>
      </c>
      <c r="AI416" s="3" t="n">
        <v>3.1134</v>
      </c>
      <c r="AJ416" s="3" t="n">
        <v>1.5588</v>
      </c>
      <c r="AK416" s="3" t="n">
        <v>-0.2045226422080557</v>
      </c>
      <c r="AL416" s="6" t="n">
        <v>0</v>
      </c>
      <c r="AM416" s="3" t="n">
        <v>0</v>
      </c>
      <c r="AN416" s="3" t="n">
        <v>0</v>
      </c>
      <c r="AO416" s="3" t="n">
        <v>0</v>
      </c>
      <c r="AP416" s="3">
        <f>N(X416)*N(BI416)</f>
        <v/>
      </c>
      <c r="AQ416" s="3" t="n">
        <v>0</v>
      </c>
      <c r="AR416" s="3" t="n">
        <v>0</v>
      </c>
      <c r="AS416" s="3" t="n">
        <v>-0.5404658182244797</v>
      </c>
      <c r="AT416" s="3" t="n">
        <v>-0.2045226422080557</v>
      </c>
      <c r="AU416" s="3">
        <f>SUM(AN416:AT416)</f>
        <v/>
      </c>
      <c r="AV416" s="7">
        <f>IF(OR(N(W416)&lt;=0,N(BG416)=0),0,N(W416)*IF(N(R416)/N(W416)&gt;=60,N(BG416),1))</f>
        <v/>
      </c>
      <c r="AW416" s="7">
        <f>N(W416)*N(AF416)*N(BH416)</f>
        <v/>
      </c>
      <c r="AX416" s="7">
        <f>N(AL416)*(Assumptions!$B$13*N(BJ416)-(1-Assumptions!$B$13)*Assumptions!$B$14)+N(AM416)</f>
        <v/>
      </c>
      <c r="AY416" s="7">
        <f>N(AU416)*N(R416)/90+N(AV416)+N(AW416)+N(AX416)</f>
        <v/>
      </c>
      <c r="AZ416" s="3">
        <f>IF(N(R416)&lt;=0,0,(N(AY416)-N(AX416))*90/N(R416))</f>
        <v/>
      </c>
      <c r="BA416" s="7">
        <f>IFERROR(AY416-VLOOKUP($E416,Assumptions!$A$40:$C$43,3,FALSE),"")</f>
        <v/>
      </c>
      <c r="BB416" s="3">
        <f>IFERROR(BA416/H416,"")</f>
        <v/>
      </c>
      <c r="BC416">
        <f>IF(AND($G416=TRUE,$E416="GKP"),AY416,"")</f>
        <v/>
      </c>
      <c r="BD416">
        <f>IF(AND($G416=TRUE,$E416="DEF"),AY416,"")</f>
        <v/>
      </c>
      <c r="BE416">
        <f>IF(AND($G416=TRUE,$E416="MID"),AY416,"")</f>
        <v/>
      </c>
      <c r="BF416">
        <f>IF(AND($G416=TRUE,$E416="FWD"),AY416,"")</f>
        <v/>
      </c>
      <c r="BG416" t="n">
        <v>2</v>
      </c>
      <c r="BH416" t="n">
        <v>2</v>
      </c>
      <c r="BI416" t="n">
        <v>4</v>
      </c>
      <c r="BJ416" t="n">
        <v>6</v>
      </c>
    </row>
    <row r="417">
      <c r="A417" t="inlineStr">
        <is>
          <t>Marcus Rashford</t>
        </is>
      </c>
      <c r="B417" t="inlineStr">
        <is>
          <t>MUN</t>
        </is>
      </c>
      <c r="C417" t="inlineStr">
        <is>
          <t>MUN</t>
        </is>
      </c>
      <c r="D417" t="b">
        <v>0</v>
      </c>
      <c r="E417" t="inlineStr">
        <is>
          <t>MID</t>
        </is>
      </c>
      <c r="F417" t="inlineStr">
        <is>
          <t>MID</t>
        </is>
      </c>
      <c r="G417" t="b">
        <v>1</v>
      </c>
      <c r="H417" s="2" t="n">
        <v>7</v>
      </c>
      <c r="I417" t="inlineStr">
        <is>
          <t>a</t>
        </is>
      </c>
      <c r="K417" s="2" t="n">
        <v>0</v>
      </c>
      <c r="L417" t="n">
        <v>0</v>
      </c>
      <c r="M417" s="3" t="n">
        <v>176</v>
      </c>
      <c r="N417" s="4" t="n">
        <v>550</v>
      </c>
      <c r="O417" s="4" t="n">
        <v>374</v>
      </c>
      <c r="P417" s="5" t="inlineStr">
        <is>
          <t>medium</t>
        </is>
      </c>
      <c r="Q417" t="inlineStr">
        <is>
          <t>flat</t>
        </is>
      </c>
      <c r="R417" s="6" t="n">
        <v>550</v>
      </c>
      <c r="S417" t="inlineStr">
        <is>
          <t>research</t>
        </is>
      </c>
      <c r="T417" s="5" t="inlineStr">
        <is>
          <t>Solio's 176 minutes treats him as gone. He is not: Barcelona declined the EUR30m purchase option, no other club has made a concrete offer, his GBP325,000-a-week wage blocks a move, and ESPN reports he is set to be part of Carrick's squad. He came off the bench against Milan on 15 August for his first United appearance in 20 months. He is on 550 rather than higher because Cunha, Mbeumo, Amad, Dorgu and Sesko are all ahead of or level with him, and ESPN notes United now consider a forward signing unlikely precisely because Rashford covers that need as depth.</t>
        </is>
      </c>
      <c r="U417" s="6" t="n">
        <v>85</v>
      </c>
      <c r="V417" s="2" t="n"/>
      <c r="W417" s="7">
        <f>IF(N(U417)&lt;=0,0,MIN(Assumptions!$B$15,N(R417)/N(U417)))</f>
        <v/>
      </c>
      <c r="X417" s="6" t="n">
        <v>0.334</v>
      </c>
      <c r="Y417" s="3" t="n"/>
      <c r="Z417" t="inlineStr"/>
      <c r="AA417" s="3" t="n">
        <v>1</v>
      </c>
      <c r="AB417" s="3" t="n"/>
      <c r="AC417" s="3" t="n"/>
      <c r="AD417" s="3" t="n"/>
      <c r="AE417" s="3" t="n"/>
      <c r="AF417" s="3" t="n">
        <v>0</v>
      </c>
      <c r="AG417" s="3" t="n"/>
      <c r="AH417" s="3" t="n">
        <v>0</v>
      </c>
      <c r="AI417" s="3" t="n">
        <v>2.2165</v>
      </c>
      <c r="AJ417" s="3" t="n">
        <v>1.1467</v>
      </c>
      <c r="AK417" s="3" t="n">
        <v>-0.162892867107631</v>
      </c>
      <c r="AL417" s="6" t="n">
        <v>0</v>
      </c>
      <c r="AM417" s="3" t="n">
        <v>0</v>
      </c>
      <c r="AN417" s="3" t="n">
        <v>0</v>
      </c>
      <c r="AO417" s="3" t="n">
        <v>0</v>
      </c>
      <c r="AP417" s="3">
        <f>N(X417)*N(BI417)</f>
        <v/>
      </c>
      <c r="AQ417" s="3" t="n">
        <v>0</v>
      </c>
      <c r="AR417" s="3" t="n">
        <v>0</v>
      </c>
      <c r="AS417" s="3" t="n">
        <v>-0</v>
      </c>
      <c r="AT417" s="3" t="n">
        <v>-0.162892867107631</v>
      </c>
      <c r="AU417" s="3">
        <f>SUM(AN417:AT417)</f>
        <v/>
      </c>
      <c r="AV417" s="7">
        <f>IF(OR(N(W417)&lt;=0,N(BG417)=0),0,N(W417)*IF(N(R417)/N(W417)&gt;=60,N(BG417),1))</f>
        <v/>
      </c>
      <c r="AW417" s="7">
        <f>N(W417)*N(AF417)*N(BH417)</f>
        <v/>
      </c>
      <c r="AX417" s="7">
        <f>N(AL417)*(Assumptions!$B$13*N(BJ417)-(1-Assumptions!$B$13)*Assumptions!$B$14)+N(AM417)</f>
        <v/>
      </c>
      <c r="AY417" s="7">
        <f>N(AU417)*N(R417)/90+N(AV417)+N(AW417)+N(AX417)</f>
        <v/>
      </c>
      <c r="AZ417" s="3">
        <f>IF(N(R417)&lt;=0,0,(N(AY417)-N(AX417))*90/N(R417))</f>
        <v/>
      </c>
      <c r="BA417" s="7">
        <f>IFERROR(AY417-VLOOKUP($E417,Assumptions!$A$40:$C$43,3,FALSE),"")</f>
        <v/>
      </c>
      <c r="BB417" s="3">
        <f>IFERROR(BA417/H417,"")</f>
        <v/>
      </c>
      <c r="BC417">
        <f>IF(AND($G417=TRUE,$E417="GKP"),AY417,"")</f>
        <v/>
      </c>
      <c r="BD417">
        <f>IF(AND($G417=TRUE,$E417="DEF"),AY417,"")</f>
        <v/>
      </c>
      <c r="BE417">
        <f>IF(AND($G417=TRUE,$E417="MID"),AY417,"")</f>
        <v/>
      </c>
      <c r="BF417">
        <f>IF(AND($G417=TRUE,$E417="FWD"),AY417,"")</f>
        <v/>
      </c>
      <c r="BG417" t="n">
        <v>2</v>
      </c>
      <c r="BH417" t="n">
        <v>2</v>
      </c>
      <c r="BI417" t="n">
        <v>1</v>
      </c>
      <c r="BJ417" t="n">
        <v>5</v>
      </c>
    </row>
    <row r="418">
      <c r="A418" t="inlineStr">
        <is>
          <t>Vitor de Oliveira Nunes dos Reis</t>
        </is>
      </c>
      <c r="B418" t="inlineStr">
        <is>
          <t>MCI</t>
        </is>
      </c>
      <c r="C418" t="inlineStr">
        <is>
          <t>MCI</t>
        </is>
      </c>
      <c r="D418" t="b">
        <v>0</v>
      </c>
      <c r="E418" t="inlineStr">
        <is>
          <t>DEF</t>
        </is>
      </c>
      <c r="F418" t="inlineStr">
        <is>
          <t>DEF</t>
        </is>
      </c>
      <c r="G418" t="b">
        <v>1</v>
      </c>
      <c r="H418" s="2" t="n">
        <v>4.5</v>
      </c>
      <c r="I418" t="inlineStr">
        <is>
          <t>a</t>
        </is>
      </c>
      <c r="K418" s="2" t="n">
        <v>0</v>
      </c>
      <c r="L418" t="n">
        <v>0</v>
      </c>
      <c r="M418" s="3" t="n">
        <v>0</v>
      </c>
      <c r="N418" s="4" t="n">
        <v>250</v>
      </c>
      <c r="O418" s="4" t="n">
        <v>250</v>
      </c>
      <c r="P418" s="5" t="inlineStr">
        <is>
          <t>low</t>
        </is>
      </c>
      <c r="Q418" t="inlineStr">
        <is>
          <t>flat</t>
        </is>
      </c>
      <c r="R418" s="6" t="n">
        <v>250</v>
      </c>
      <c r="S418" t="inlineStr">
        <is>
          <t>research</t>
        </is>
      </c>
      <c r="T418" s="5" t="inlineStr">
        <is>
          <t>Zero is too absolute. He is back from a full season at Girona (30-plus La Liga appearances, first Brazil call-up), holds squad number 22 on a contract to 2029, is named among the centre-back options in the City-specific previews, and Maresca had signalled an intention to re-integrate him. Set low rather than absent because a second loan is still openly on the table and Maresca has stayed coy.</t>
        </is>
      </c>
      <c r="U418" s="6" t="n">
        <v>85</v>
      </c>
      <c r="V418" s="2" t="n"/>
      <c r="W418" s="7">
        <f>IF(N(U418)&lt;=0,0,MIN(Assumptions!$B$15,N(R418)/N(U418)))</f>
        <v/>
      </c>
      <c r="X418" s="6" t="n">
        <v>0.371</v>
      </c>
      <c r="Y418" s="3" t="n"/>
      <c r="Z418" t="inlineStr"/>
      <c r="AA418" s="3" t="n">
        <v>1</v>
      </c>
      <c r="AB418" s="3" t="n"/>
      <c r="AC418" s="3" t="n"/>
      <c r="AD418" s="3" t="n"/>
      <c r="AE418" s="3" t="n"/>
      <c r="AF418" s="3" t="n">
        <v>0</v>
      </c>
      <c r="AG418" s="3" t="n"/>
      <c r="AH418" s="3" t="n">
        <v>0</v>
      </c>
      <c r="AI418" s="3" t="n">
        <v>1.9737</v>
      </c>
      <c r="AJ418" s="3" t="n">
        <v>1.0365</v>
      </c>
      <c r="AK418" s="3" t="n">
        <v>-0.2044462891912668</v>
      </c>
      <c r="AL418" s="6" t="n">
        <v>0</v>
      </c>
      <c r="AM418" s="3" t="n">
        <v>0</v>
      </c>
      <c r="AN418" s="3" t="n">
        <v>0</v>
      </c>
      <c r="AO418" s="3" t="n">
        <v>0</v>
      </c>
      <c r="AP418" s="3">
        <f>N(X418)*N(BI418)</f>
        <v/>
      </c>
      <c r="AQ418" s="3" t="n">
        <v>0</v>
      </c>
      <c r="AR418" s="3" t="n">
        <v>0</v>
      </c>
      <c r="AS418" s="3" t="n">
        <v>-0.2997019479071323</v>
      </c>
      <c r="AT418" s="3" t="n">
        <v>-0.2044462891912668</v>
      </c>
      <c r="AU418" s="3">
        <f>SUM(AN418:AT418)</f>
        <v/>
      </c>
      <c r="AV418" s="7">
        <f>IF(OR(N(W418)&lt;=0,N(BG418)=0),0,N(W418)*IF(N(R418)/N(W418)&gt;=60,N(BG418),1))</f>
        <v/>
      </c>
      <c r="AW418" s="7">
        <f>N(W418)*N(AF418)*N(BH418)</f>
        <v/>
      </c>
      <c r="AX418" s="7">
        <f>N(AL418)*(Assumptions!$B$13*N(BJ418)-(1-Assumptions!$B$13)*Assumptions!$B$14)+N(AM418)</f>
        <v/>
      </c>
      <c r="AY418" s="7">
        <f>N(AU418)*N(R418)/90+N(AV418)+N(AW418)+N(AX418)</f>
        <v/>
      </c>
      <c r="AZ418" s="3">
        <f>IF(N(R418)&lt;=0,0,(N(AY418)-N(AX418))*90/N(R418))</f>
        <v/>
      </c>
      <c r="BA418" s="7">
        <f>IFERROR(AY418-VLOOKUP($E418,Assumptions!$A$40:$C$43,3,FALSE),"")</f>
        <v/>
      </c>
      <c r="BB418" s="3">
        <f>IFERROR(BA418/H418,"")</f>
        <v/>
      </c>
      <c r="BC418">
        <f>IF(AND($G418=TRUE,$E418="GKP"),AY418,"")</f>
        <v/>
      </c>
      <c r="BD418">
        <f>IF(AND($G418=TRUE,$E418="DEF"),AY418,"")</f>
        <v/>
      </c>
      <c r="BE418">
        <f>IF(AND($G418=TRUE,$E418="MID"),AY418,"")</f>
        <v/>
      </c>
      <c r="BF418">
        <f>IF(AND($G418=TRUE,$E418="FWD"),AY418,"")</f>
        <v/>
      </c>
      <c r="BG418" t="n">
        <v>2</v>
      </c>
      <c r="BH418" t="n">
        <v>2</v>
      </c>
      <c r="BI418" t="n">
        <v>4</v>
      </c>
      <c r="BJ418" t="n">
        <v>6</v>
      </c>
    </row>
    <row r="419">
      <c r="A419" t="inlineStr">
        <is>
          <t>Mike Penders</t>
        </is>
      </c>
      <c r="B419" t="inlineStr">
        <is>
          <t>CHE</t>
        </is>
      </c>
      <c r="C419" t="inlineStr">
        <is>
          <t>CHE</t>
        </is>
      </c>
      <c r="D419" t="b">
        <v>0</v>
      </c>
      <c r="E419" t="inlineStr">
        <is>
          <t>GKP</t>
        </is>
      </c>
      <c r="F419" t="inlineStr">
        <is>
          <t>GKP</t>
        </is>
      </c>
      <c r="G419" t="b">
        <v>1</v>
      </c>
      <c r="H419" s="2" t="n">
        <v>4.5</v>
      </c>
      <c r="I419" t="inlineStr">
        <is>
          <t>a</t>
        </is>
      </c>
      <c r="K419" s="2" t="n">
        <v>0</v>
      </c>
      <c r="L419" t="n">
        <v>0</v>
      </c>
      <c r="M419" s="3" t="n">
        <v>274</v>
      </c>
      <c r="N419" s="8" t="n">
        <v>274</v>
      </c>
      <c r="O419" s="8" t="n">
        <v>0</v>
      </c>
      <c r="Q419" t="inlineStr">
        <is>
          <t>flat</t>
        </is>
      </c>
      <c r="R419" s="6" t="n">
        <v>274</v>
      </c>
      <c r="S419" t="inlineStr">
        <is>
          <t>Solio</t>
        </is>
      </c>
      <c r="U419" s="6" t="n">
        <v>85</v>
      </c>
      <c r="V419" s="2" t="n"/>
      <c r="W419" s="7">
        <f>IF(N(U419)&lt;=0,0,MIN(Assumptions!$B$15,N(R419)/N(U419)))</f>
        <v/>
      </c>
      <c r="X419" s="6" t="n">
        <v>0.322</v>
      </c>
      <c r="Y419" s="3" t="n"/>
      <c r="Z419" t="inlineStr"/>
      <c r="AA419" s="3" t="n">
        <v>1</v>
      </c>
      <c r="AB419" s="3" t="n"/>
      <c r="AC419" s="3" t="n"/>
      <c r="AD419" s="3" t="n"/>
      <c r="AE419" s="3" t="n">
        <v>0</v>
      </c>
      <c r="AF419" s="3" t="n">
        <v>0</v>
      </c>
      <c r="AG419" s="3" t="n"/>
      <c r="AH419" s="3" t="n">
        <v>0</v>
      </c>
      <c r="AI419" s="3" t="n">
        <v>2.4232</v>
      </c>
      <c r="AJ419" s="3" t="n">
        <v>1.1851</v>
      </c>
      <c r="AK419" s="3" t="n">
        <v>-0.0763216474948735</v>
      </c>
      <c r="AL419" s="6" t="n">
        <v>0</v>
      </c>
      <c r="AM419" s="3" t="n">
        <v>0.2026894923275023</v>
      </c>
      <c r="AN419" s="3" t="n">
        <v>0</v>
      </c>
      <c r="AO419" s="3" t="n">
        <v>0</v>
      </c>
      <c r="AP419" s="3">
        <f>N(X419)*N(BI419)</f>
        <v/>
      </c>
      <c r="AQ419" s="3" t="n">
        <v>0</v>
      </c>
      <c r="AR419" s="3" t="n">
        <v>0.474357769926339</v>
      </c>
      <c r="AS419" s="3" t="n">
        <v>-0.365915508000572</v>
      </c>
      <c r="AT419" s="3" t="n">
        <v>-0.0763216474948735</v>
      </c>
      <c r="AU419" s="3">
        <f>SUM(AN419:AT419)</f>
        <v/>
      </c>
      <c r="AV419" s="7">
        <f>IF(OR(N(W419)&lt;=0,N(BG419)=0),0,N(W419)*IF(N(R419)/N(W419)&gt;=60,N(BG419),1))</f>
        <v/>
      </c>
      <c r="AW419" s="7">
        <f>N(W419)*N(AF419)*N(BH419)</f>
        <v/>
      </c>
      <c r="AX419" s="7">
        <f>N(AL419)*(Assumptions!$B$13*N(BJ419)-(1-Assumptions!$B$13)*Assumptions!$B$14)+N(AM419)</f>
        <v/>
      </c>
      <c r="AY419" s="7">
        <f>N(AU419)*N(R419)/90+N(AV419)+N(AW419)+N(AX419)</f>
        <v/>
      </c>
      <c r="AZ419" s="3">
        <f>IF(N(R419)&lt;=0,0,(N(AY419)-N(AX419))*90/N(R419))</f>
        <v/>
      </c>
      <c r="BA419" s="7">
        <f>IFERROR(AY419-VLOOKUP($E419,Assumptions!$A$40:$C$43,3,FALSE),"")</f>
        <v/>
      </c>
      <c r="BB419" s="3">
        <f>IFERROR(BA419/H419,"")</f>
        <v/>
      </c>
      <c r="BC419">
        <f>IF(AND($G419=TRUE,$E419="GKP"),AY419,"")</f>
        <v/>
      </c>
      <c r="BD419">
        <f>IF(AND($G419=TRUE,$E419="DEF"),AY419,"")</f>
        <v/>
      </c>
      <c r="BE419">
        <f>IF(AND($G419=TRUE,$E419="MID"),AY419,"")</f>
        <v/>
      </c>
      <c r="BF419">
        <f>IF(AND($G419=TRUE,$E419="FWD"),AY419,"")</f>
        <v/>
      </c>
      <c r="BG419" t="n">
        <v>2</v>
      </c>
      <c r="BH419" t="n">
        <v>0</v>
      </c>
      <c r="BI419" t="n">
        <v>4</v>
      </c>
      <c r="BJ419" t="n">
        <v>10</v>
      </c>
    </row>
    <row r="420">
      <c r="A420" t="inlineStr">
        <is>
          <t>Remi Matthews</t>
        </is>
      </c>
      <c r="B420" t="inlineStr">
        <is>
          <t>CRY</t>
        </is>
      </c>
      <c r="C420" t="inlineStr">
        <is>
          <t>CRY</t>
        </is>
      </c>
      <c r="D420" t="b">
        <v>0</v>
      </c>
      <c r="E420" t="inlineStr">
        <is>
          <t>GKP</t>
        </is>
      </c>
      <c r="F420" t="inlineStr">
        <is>
          <t>GKP</t>
        </is>
      </c>
      <c r="G420" t="b">
        <v>1</v>
      </c>
      <c r="H420" s="2" t="n">
        <v>4</v>
      </c>
      <c r="I420" t="inlineStr">
        <is>
          <t>a</t>
        </is>
      </c>
      <c r="K420" s="2" t="n">
        <v>0</v>
      </c>
      <c r="L420" t="n">
        <v>0</v>
      </c>
      <c r="M420" s="3" t="n">
        <v>0</v>
      </c>
      <c r="N420" s="8" t="n">
        <v>0</v>
      </c>
      <c r="O420" s="8" t="n">
        <v>0</v>
      </c>
      <c r="Q420" t="inlineStr">
        <is>
          <t>flat</t>
        </is>
      </c>
      <c r="R420" s="6" t="n">
        <v>0</v>
      </c>
      <c r="S420" t="inlineStr">
        <is>
          <t>Solio</t>
        </is>
      </c>
      <c r="U420" s="6" t="n">
        <v>85</v>
      </c>
      <c r="V420" s="2" t="n"/>
      <c r="W420" s="7">
        <f>IF(N(U420)&lt;=0,0,MIN(Assumptions!$B$15,N(R420)/N(U420)))</f>
        <v/>
      </c>
      <c r="X420" s="6" t="n">
        <v>0.216</v>
      </c>
      <c r="Y420" s="3" t="n"/>
      <c r="Z420" t="inlineStr"/>
      <c r="AA420" s="3" t="n">
        <v>1</v>
      </c>
      <c r="AB420" s="3" t="n"/>
      <c r="AC420" s="3" t="n"/>
      <c r="AD420" s="3" t="n"/>
      <c r="AE420" s="3" t="n">
        <v>0</v>
      </c>
      <c r="AF420" s="3" t="n">
        <v>0</v>
      </c>
      <c r="AG420" s="3" t="n"/>
      <c r="AH420" s="3" t="n">
        <v>0</v>
      </c>
      <c r="AI420" s="3" t="n">
        <v>3.2035</v>
      </c>
      <c r="AJ420" s="3" t="n">
        <v>1.5923</v>
      </c>
      <c r="AK420" s="3" t="n">
        <v>-0.0762605643192463</v>
      </c>
      <c r="AL420" s="6" t="n">
        <v>0</v>
      </c>
      <c r="AM420" s="3" t="n">
        <v>0</v>
      </c>
      <c r="AN420" s="3" t="n">
        <v>0</v>
      </c>
      <c r="AO420" s="3" t="n">
        <v>0</v>
      </c>
      <c r="AP420" s="3">
        <f>N(X420)*N(BI420)</f>
        <v/>
      </c>
      <c r="AQ420" s="3" t="n">
        <v>0</v>
      </c>
      <c r="AR420" s="3" t="n">
        <v>0.7325188478059661</v>
      </c>
      <c r="AS420" s="3" t="n">
        <v>-0.5564987001023466</v>
      </c>
      <c r="AT420" s="3" t="n">
        <v>-0.0762605643192463</v>
      </c>
      <c r="AU420" s="3">
        <f>SUM(AN420:AT420)</f>
        <v/>
      </c>
      <c r="AV420" s="7">
        <f>IF(OR(N(W420)&lt;=0,N(BG420)=0),0,N(W420)*IF(N(R420)/N(W420)&gt;=60,N(BG420),1))</f>
        <v/>
      </c>
      <c r="AW420" s="7">
        <f>N(W420)*N(AF420)*N(BH420)</f>
        <v/>
      </c>
      <c r="AX420" s="7">
        <f>N(AL420)*(Assumptions!$B$13*N(BJ420)-(1-Assumptions!$B$13)*Assumptions!$B$14)+N(AM420)</f>
        <v/>
      </c>
      <c r="AY420" s="7">
        <f>N(AU420)*N(R420)/90+N(AV420)+N(AW420)+N(AX420)</f>
        <v/>
      </c>
      <c r="AZ420" s="3">
        <f>IF(N(R420)&lt;=0,0,(N(AY420)-N(AX420))*90/N(R420))</f>
        <v/>
      </c>
      <c r="BA420" s="7">
        <f>IFERROR(AY420-VLOOKUP($E420,Assumptions!$A$40:$C$43,3,FALSE),"")</f>
        <v/>
      </c>
      <c r="BB420" s="3">
        <f>IFERROR(BA420/H420,"")</f>
        <v/>
      </c>
      <c r="BC420">
        <f>IF(AND($G420=TRUE,$E420="GKP"),AY420,"")</f>
        <v/>
      </c>
      <c r="BD420">
        <f>IF(AND($G420=TRUE,$E420="DEF"),AY420,"")</f>
        <v/>
      </c>
      <c r="BE420">
        <f>IF(AND($G420=TRUE,$E420="MID"),AY420,"")</f>
        <v/>
      </c>
      <c r="BF420">
        <f>IF(AND($G420=TRUE,$E420="FWD"),AY420,"")</f>
        <v/>
      </c>
      <c r="BG420" t="n">
        <v>2</v>
      </c>
      <c r="BH420" t="n">
        <v>0</v>
      </c>
      <c r="BI420" t="n">
        <v>4</v>
      </c>
      <c r="BJ420" t="n">
        <v>10</v>
      </c>
    </row>
    <row r="421">
      <c r="A421" t="inlineStr">
        <is>
          <t>Aaron Anselmino</t>
        </is>
      </c>
      <c r="B421" t="inlineStr">
        <is>
          <t>CHE</t>
        </is>
      </c>
      <c r="C421" t="inlineStr">
        <is>
          <t>CHE</t>
        </is>
      </c>
      <c r="D421" t="b">
        <v>0</v>
      </c>
      <c r="E421" t="inlineStr">
        <is>
          <t>DEF</t>
        </is>
      </c>
      <c r="F421" t="inlineStr">
        <is>
          <t>DEF</t>
        </is>
      </c>
      <c r="G421" t="b">
        <v>1</v>
      </c>
      <c r="H421" s="2" t="n">
        <v>4.5</v>
      </c>
      <c r="I421" t="inlineStr">
        <is>
          <t>a</t>
        </is>
      </c>
      <c r="K421" s="2" t="n">
        <v>0</v>
      </c>
      <c r="L421" t="n">
        <v>0</v>
      </c>
      <c r="M421" s="3" t="n">
        <v>0</v>
      </c>
      <c r="N421" s="8" t="n">
        <v>0</v>
      </c>
      <c r="O421" s="8" t="n">
        <v>0</v>
      </c>
      <c r="Q421" t="inlineStr">
        <is>
          <t>flat</t>
        </is>
      </c>
      <c r="R421" s="6" t="n">
        <v>0</v>
      </c>
      <c r="S421" t="inlineStr">
        <is>
          <t>Solio</t>
        </is>
      </c>
      <c r="U421" s="6" t="n">
        <v>85</v>
      </c>
      <c r="V421" s="2" t="n"/>
      <c r="W421" s="7">
        <f>IF(N(U421)&lt;=0,0,MIN(Assumptions!$B$15,N(R421)/N(U421)))</f>
        <v/>
      </c>
      <c r="X421" s="6" t="n">
        <v>0.322</v>
      </c>
      <c r="Y421" s="3" t="n"/>
      <c r="Z421" t="inlineStr"/>
      <c r="AA421" s="3" t="n">
        <v>1</v>
      </c>
      <c r="AB421" s="3" t="n"/>
      <c r="AC421" s="3" t="n"/>
      <c r="AD421" s="3" t="n"/>
      <c r="AE421" s="3" t="n"/>
      <c r="AF421" s="3" t="n">
        <v>0</v>
      </c>
      <c r="AG421" s="3" t="n"/>
      <c r="AH421" s="3" t="n">
        <v>0</v>
      </c>
      <c r="AI421" s="3" t="n">
        <v>2.4232</v>
      </c>
      <c r="AJ421" s="3" t="n">
        <v>1.1851</v>
      </c>
      <c r="AK421" s="3" t="n">
        <v>-0.2045226422080557</v>
      </c>
      <c r="AL421" s="6" t="n">
        <v>0</v>
      </c>
      <c r="AM421" s="3" t="n">
        <v>0</v>
      </c>
      <c r="AN421" s="3" t="n">
        <v>0</v>
      </c>
      <c r="AO421" s="3" t="n">
        <v>0</v>
      </c>
      <c r="AP421" s="3">
        <f>N(X421)*N(BI421)</f>
        <v/>
      </c>
      <c r="AQ421" s="3" t="n">
        <v>0</v>
      </c>
      <c r="AR421" s="3" t="n">
        <v>0</v>
      </c>
      <c r="AS421" s="3" t="n">
        <v>-0.365915508000572</v>
      </c>
      <c r="AT421" s="3" t="n">
        <v>-0.2045226422080557</v>
      </c>
      <c r="AU421" s="3">
        <f>SUM(AN421:AT421)</f>
        <v/>
      </c>
      <c r="AV421" s="7">
        <f>IF(OR(N(W421)&lt;=0,N(BG421)=0),0,N(W421)*IF(N(R421)/N(W421)&gt;=60,N(BG421),1))</f>
        <v/>
      </c>
      <c r="AW421" s="7">
        <f>N(W421)*N(AF421)*N(BH421)</f>
        <v/>
      </c>
      <c r="AX421" s="7">
        <f>N(AL421)*(Assumptions!$B$13*N(BJ421)-(1-Assumptions!$B$13)*Assumptions!$B$14)+N(AM421)</f>
        <v/>
      </c>
      <c r="AY421" s="7">
        <f>N(AU421)*N(R421)/90+N(AV421)+N(AW421)+N(AX421)</f>
        <v/>
      </c>
      <c r="AZ421" s="3">
        <f>IF(N(R421)&lt;=0,0,(N(AY421)-N(AX421))*90/N(R421))</f>
        <v/>
      </c>
      <c r="BA421" s="7">
        <f>IFERROR(AY421-VLOOKUP($E421,Assumptions!$A$40:$C$43,3,FALSE),"")</f>
        <v/>
      </c>
      <c r="BB421" s="3">
        <f>IFERROR(BA421/H421,"")</f>
        <v/>
      </c>
      <c r="BC421">
        <f>IF(AND($G421=TRUE,$E421="GKP"),AY421,"")</f>
        <v/>
      </c>
      <c r="BD421">
        <f>IF(AND($G421=TRUE,$E421="DEF"),AY421,"")</f>
        <v/>
      </c>
      <c r="BE421">
        <f>IF(AND($G421=TRUE,$E421="MID"),AY421,"")</f>
        <v/>
      </c>
      <c r="BF421">
        <f>IF(AND($G421=TRUE,$E421="FWD"),AY421,"")</f>
        <v/>
      </c>
      <c r="BG421" t="n">
        <v>2</v>
      </c>
      <c r="BH421" t="n">
        <v>2</v>
      </c>
      <c r="BI421" t="n">
        <v>4</v>
      </c>
      <c r="BJ421" t="n">
        <v>6</v>
      </c>
    </row>
    <row r="422">
      <c r="A422" t="inlineStr">
        <is>
          <t>Will Dennis</t>
        </is>
      </c>
      <c r="B422" t="inlineStr">
        <is>
          <t>BOU</t>
        </is>
      </c>
      <c r="C422" t="inlineStr">
        <is>
          <t>BOU</t>
        </is>
      </c>
      <c r="D422" t="b">
        <v>0</v>
      </c>
      <c r="E422" t="inlineStr">
        <is>
          <t>GKP</t>
        </is>
      </c>
      <c r="F422" t="inlineStr">
        <is>
          <t>GKP</t>
        </is>
      </c>
      <c r="G422" t="b">
        <v>1</v>
      </c>
      <c r="H422" s="2" t="n">
        <v>4</v>
      </c>
      <c r="I422" t="inlineStr">
        <is>
          <t>a</t>
        </is>
      </c>
      <c r="K422" s="2" t="n">
        <v>0</v>
      </c>
      <c r="L422" t="n">
        <v>0</v>
      </c>
      <c r="M422" s="3" t="n">
        <v>35</v>
      </c>
      <c r="N422" s="8" t="n">
        <v>35</v>
      </c>
      <c r="O422" s="8" t="n">
        <v>0</v>
      </c>
      <c r="Q422" t="inlineStr">
        <is>
          <t>flat</t>
        </is>
      </c>
      <c r="R422" s="6" t="n">
        <v>35</v>
      </c>
      <c r="S422" t="inlineStr">
        <is>
          <t>Solio</t>
        </is>
      </c>
      <c r="U422" s="6" t="n">
        <v>85</v>
      </c>
      <c r="V422" s="2" t="n"/>
      <c r="W422" s="7">
        <f>IF(N(U422)&lt;=0,0,MIN(Assumptions!$B$15,N(R422)/N(U422)))</f>
        <v/>
      </c>
      <c r="X422" s="6" t="n">
        <v>0.23</v>
      </c>
      <c r="Y422" s="3" t="n"/>
      <c r="Z422" t="inlineStr"/>
      <c r="AA422" s="3" t="n">
        <v>1</v>
      </c>
      <c r="AB422" s="3" t="n"/>
      <c r="AC422" s="3" t="n"/>
      <c r="AD422" s="3" t="n"/>
      <c r="AE422" s="3" t="n">
        <v>0</v>
      </c>
      <c r="AF422" s="3" t="n">
        <v>0</v>
      </c>
      <c r="AG422" s="3" t="n"/>
      <c r="AH422" s="3" t="n">
        <v>0</v>
      </c>
      <c r="AI422" s="3" t="n">
        <v>3.0957</v>
      </c>
      <c r="AJ422" s="3" t="n">
        <v>1.53</v>
      </c>
      <c r="AK422" s="3" t="n">
        <v>-0.0763216474948735</v>
      </c>
      <c r="AL422" s="6" t="n">
        <v>0</v>
      </c>
      <c r="AM422" s="3" t="n">
        <v>0.0334279680166987</v>
      </c>
      <c r="AN422" s="3" t="n">
        <v>0</v>
      </c>
      <c r="AO422" s="3" t="n">
        <v>0</v>
      </c>
      <c r="AP422" s="3">
        <f>N(X422)*N(BI422)</f>
        <v/>
      </c>
      <c r="AQ422" s="3" t="n">
        <v>0</v>
      </c>
      <c r="AR422" s="3" t="n">
        <v>0.6965164635997099</v>
      </c>
      <c r="AS422" s="3" t="n">
        <v>-0.5267219238049191</v>
      </c>
      <c r="AT422" s="3" t="n">
        <v>-0.0763216474948735</v>
      </c>
      <c r="AU422" s="3">
        <f>SUM(AN422:AT422)</f>
        <v/>
      </c>
      <c r="AV422" s="7">
        <f>IF(OR(N(W422)&lt;=0,N(BG422)=0),0,N(W422)*IF(N(R422)/N(W422)&gt;=60,N(BG422),1))</f>
        <v/>
      </c>
      <c r="AW422" s="7">
        <f>N(W422)*N(AF422)*N(BH422)</f>
        <v/>
      </c>
      <c r="AX422" s="7">
        <f>N(AL422)*(Assumptions!$B$13*N(BJ422)-(1-Assumptions!$B$13)*Assumptions!$B$14)+N(AM422)</f>
        <v/>
      </c>
      <c r="AY422" s="7">
        <f>N(AU422)*N(R422)/90+N(AV422)+N(AW422)+N(AX422)</f>
        <v/>
      </c>
      <c r="AZ422" s="3">
        <f>IF(N(R422)&lt;=0,0,(N(AY422)-N(AX422))*90/N(R422))</f>
        <v/>
      </c>
      <c r="BA422" s="7">
        <f>IFERROR(AY422-VLOOKUP($E422,Assumptions!$A$40:$C$43,3,FALSE),"")</f>
        <v/>
      </c>
      <c r="BB422" s="3">
        <f>IFERROR(BA422/H422,"")</f>
        <v/>
      </c>
      <c r="BC422">
        <f>IF(AND($G422=TRUE,$E422="GKP"),AY422,"")</f>
        <v/>
      </c>
      <c r="BD422">
        <f>IF(AND($G422=TRUE,$E422="DEF"),AY422,"")</f>
        <v/>
      </c>
      <c r="BE422">
        <f>IF(AND($G422=TRUE,$E422="MID"),AY422,"")</f>
        <v/>
      </c>
      <c r="BF422">
        <f>IF(AND($G422=TRUE,$E422="FWD"),AY422,"")</f>
        <v/>
      </c>
      <c r="BG422" t="n">
        <v>2</v>
      </c>
      <c r="BH422" t="n">
        <v>0</v>
      </c>
      <c r="BI422" t="n">
        <v>4</v>
      </c>
      <c r="BJ422" t="n">
        <v>10</v>
      </c>
    </row>
    <row r="423">
      <c r="A423" s="9" t="inlineStr">
        <is>
          <t>Matt Targett</t>
        </is>
      </c>
      <c r="B423" t="inlineStr">
        <is>
          <t>HUL</t>
        </is>
      </c>
      <c r="C423" s="9" t="inlineStr">
        <is>
          <t>NEW</t>
        </is>
      </c>
      <c r="D423" t="b">
        <v>1</v>
      </c>
      <c r="E423" t="inlineStr">
        <is>
          <t>DEF</t>
        </is>
      </c>
      <c r="F423" t="inlineStr">
        <is>
          <t>DEF</t>
        </is>
      </c>
      <c r="G423" t="b">
        <v>1</v>
      </c>
      <c r="H423" s="2" t="n">
        <v>4</v>
      </c>
      <c r="I423" t="inlineStr">
        <is>
          <t>a</t>
        </is>
      </c>
      <c r="K423" s="2" t="n">
        <v>0</v>
      </c>
      <c r="L423" t="n">
        <v>0</v>
      </c>
      <c r="M423" s="3" t="n">
        <v>421</v>
      </c>
      <c r="N423" s="8" t="n">
        <v>421</v>
      </c>
      <c r="O423" s="8" t="n">
        <v>0</v>
      </c>
      <c r="Q423" t="inlineStr">
        <is>
          <t>flat</t>
        </is>
      </c>
      <c r="R423" s="6" t="n">
        <v>421</v>
      </c>
      <c r="S423" t="inlineStr">
        <is>
          <t>Solio</t>
        </is>
      </c>
      <c r="U423" s="6" t="n">
        <v>85</v>
      </c>
      <c r="V423" s="2" t="n"/>
      <c r="W423" s="7">
        <f>IF(N(U423)&lt;=0,0,MIN(Assumptions!$B$15,N(R423)/N(U423)))</f>
        <v/>
      </c>
      <c r="X423" s="6" t="n">
        <v>0.143</v>
      </c>
      <c r="Y423" s="10" t="n"/>
      <c r="Z423" t="inlineStr"/>
      <c r="AA423" s="3" t="n">
        <v>1</v>
      </c>
      <c r="AB423" s="3" t="n"/>
      <c r="AC423" s="3" t="n"/>
      <c r="AD423" s="10" t="n"/>
      <c r="AE423" s="3" t="n"/>
      <c r="AF423" s="3" t="n">
        <v>0</v>
      </c>
      <c r="AG423" s="3" t="n"/>
      <c r="AH423" s="3" t="n">
        <v>0</v>
      </c>
      <c r="AI423" s="3" t="n">
        <v>3.9421</v>
      </c>
      <c r="AJ423" s="3" t="n">
        <v>1.99</v>
      </c>
      <c r="AK423" s="3" t="n">
        <v>-0.2235095252713987</v>
      </c>
      <c r="AL423" s="6" t="n">
        <v>0</v>
      </c>
      <c r="AM423" s="3" t="n">
        <v>0</v>
      </c>
      <c r="AN423" s="10" t="n">
        <v>0</v>
      </c>
      <c r="AO423" s="10" t="n">
        <v>0</v>
      </c>
      <c r="AP423" s="3">
        <f>N(X423)*N(BI423)</f>
        <v/>
      </c>
      <c r="AQ423" s="3" t="n">
        <v>0</v>
      </c>
      <c r="AR423" s="3" t="n">
        <v>0</v>
      </c>
      <c r="AS423" s="3" t="n">
        <v>-0.7496714098286652</v>
      </c>
      <c r="AT423" s="3" t="n">
        <v>-0.2235095252713987</v>
      </c>
      <c r="AU423" s="3">
        <f>SUM(AN423:AT423)</f>
        <v/>
      </c>
      <c r="AV423" s="7">
        <f>IF(OR(N(W423)&lt;=0,N(BG423)=0),0,N(W423)*IF(N(R423)/N(W423)&gt;=60,N(BG423),1))</f>
        <v/>
      </c>
      <c r="AW423" s="7">
        <f>N(W423)*N(AF423)*N(BH423)</f>
        <v/>
      </c>
      <c r="AX423" s="7">
        <f>N(AL423)*(Assumptions!$B$13*N(BJ423)-(1-Assumptions!$B$13)*Assumptions!$B$14)+N(AM423)</f>
        <v/>
      </c>
      <c r="AY423" s="7">
        <f>N(AU423)*N(R423)/90+N(AV423)+N(AW423)+N(AX423)</f>
        <v/>
      </c>
      <c r="AZ423" s="3">
        <f>IF(N(R423)&lt;=0,0,(N(AY423)-N(AX423))*90/N(R423))</f>
        <v/>
      </c>
      <c r="BA423" s="7">
        <f>IFERROR(AY423-VLOOKUP($E423,Assumptions!$A$40:$C$43,3,FALSE),"")</f>
        <v/>
      </c>
      <c r="BB423" s="3">
        <f>IFERROR(BA423/H423,"")</f>
        <v/>
      </c>
      <c r="BC423">
        <f>IF(AND($G423=TRUE,$E423="GKP"),AY423,"")</f>
        <v/>
      </c>
      <c r="BD423">
        <f>IF(AND($G423=TRUE,$E423="DEF"),AY423,"")</f>
        <v/>
      </c>
      <c r="BE423">
        <f>IF(AND($G423=TRUE,$E423="MID"),AY423,"")</f>
        <v/>
      </c>
      <c r="BF423">
        <f>IF(AND($G423=TRUE,$E423="FWD"),AY423,"")</f>
        <v/>
      </c>
      <c r="BG423" t="n">
        <v>2</v>
      </c>
      <c r="BH423" t="n">
        <v>2</v>
      </c>
      <c r="BI423" t="n">
        <v>4</v>
      </c>
      <c r="BJ423" t="n">
        <v>6</v>
      </c>
    </row>
    <row r="424">
      <c r="A424" t="inlineStr">
        <is>
          <t>Kalvin Phillips</t>
        </is>
      </c>
      <c r="B424" t="inlineStr">
        <is>
          <t>MCI</t>
        </is>
      </c>
      <c r="C424" t="inlineStr">
        <is>
          <t>MCI</t>
        </is>
      </c>
      <c r="D424" t="b">
        <v>0</v>
      </c>
      <c r="E424" t="inlineStr">
        <is>
          <t>MID</t>
        </is>
      </c>
      <c r="F424" t="inlineStr">
        <is>
          <t>MID</t>
        </is>
      </c>
      <c r="G424" t="b">
        <v>1</v>
      </c>
      <c r="H424" s="2" t="n">
        <v>5</v>
      </c>
      <c r="I424" t="inlineStr">
        <is>
          <t>a</t>
        </is>
      </c>
      <c r="K424" s="2" t="n">
        <v>0</v>
      </c>
      <c r="L424" t="n">
        <v>0</v>
      </c>
      <c r="M424" s="3" t="n">
        <v>0</v>
      </c>
      <c r="N424" s="8" t="n">
        <v>0</v>
      </c>
      <c r="O424" s="8" t="n">
        <v>0</v>
      </c>
      <c r="Q424" t="inlineStr">
        <is>
          <t>flat</t>
        </is>
      </c>
      <c r="R424" s="6" t="n">
        <v>0</v>
      </c>
      <c r="S424" t="inlineStr">
        <is>
          <t>Solio</t>
        </is>
      </c>
      <c r="U424" s="6" t="n">
        <v>85</v>
      </c>
      <c r="V424" s="2" t="n"/>
      <c r="W424" s="7">
        <f>IF(N(U424)&lt;=0,0,MIN(Assumptions!$B$15,N(R424)/N(U424)))</f>
        <v/>
      </c>
      <c r="X424" s="6" t="n">
        <v>0.371</v>
      </c>
      <c r="Y424" s="3" t="n"/>
      <c r="Z424" t="inlineStr"/>
      <c r="AA424" s="3" t="n">
        <v>1</v>
      </c>
      <c r="AB424" s="3" t="n"/>
      <c r="AC424" s="3" t="n"/>
      <c r="AD424" s="3" t="n"/>
      <c r="AE424" s="3" t="n"/>
      <c r="AF424" s="3" t="n">
        <v>0</v>
      </c>
      <c r="AG424" s="3" t="n"/>
      <c r="AH424" s="3" t="n">
        <v>0</v>
      </c>
      <c r="AI424" s="3" t="n">
        <v>1.9737</v>
      </c>
      <c r="AJ424" s="3" t="n">
        <v>1.0365</v>
      </c>
      <c r="AK424" s="3" t="n">
        <v>-0.2474148426271219</v>
      </c>
      <c r="AL424" s="6" t="n">
        <v>0</v>
      </c>
      <c r="AM424" s="3" t="n">
        <v>0</v>
      </c>
      <c r="AN424" s="3" t="n">
        <v>0</v>
      </c>
      <c r="AO424" s="3" t="n">
        <v>0</v>
      </c>
      <c r="AP424" s="3">
        <f>N(X424)*N(BI424)</f>
        <v/>
      </c>
      <c r="AQ424" s="3" t="n">
        <v>0</v>
      </c>
      <c r="AR424" s="3" t="n">
        <v>0</v>
      </c>
      <c r="AS424" s="3" t="n">
        <v>-0</v>
      </c>
      <c r="AT424" s="3" t="n">
        <v>-0.2474148426271219</v>
      </c>
      <c r="AU424" s="3">
        <f>SUM(AN424:AT424)</f>
        <v/>
      </c>
      <c r="AV424" s="7">
        <f>IF(OR(N(W424)&lt;=0,N(BG424)=0),0,N(W424)*IF(N(R424)/N(W424)&gt;=60,N(BG424),1))</f>
        <v/>
      </c>
      <c r="AW424" s="7">
        <f>N(W424)*N(AF424)*N(BH424)</f>
        <v/>
      </c>
      <c r="AX424" s="7">
        <f>N(AL424)*(Assumptions!$B$13*N(BJ424)-(1-Assumptions!$B$13)*Assumptions!$B$14)+N(AM424)</f>
        <v/>
      </c>
      <c r="AY424" s="7">
        <f>N(AU424)*N(R424)/90+N(AV424)+N(AW424)+N(AX424)</f>
        <v/>
      </c>
      <c r="AZ424" s="3">
        <f>IF(N(R424)&lt;=0,0,(N(AY424)-N(AX424))*90/N(R424))</f>
        <v/>
      </c>
      <c r="BA424" s="7">
        <f>IFERROR(AY424-VLOOKUP($E424,Assumptions!$A$40:$C$43,3,FALSE),"")</f>
        <v/>
      </c>
      <c r="BB424" s="3">
        <f>IFERROR(BA424/H424,"")</f>
        <v/>
      </c>
      <c r="BC424">
        <f>IF(AND($G424=TRUE,$E424="GKP"),AY424,"")</f>
        <v/>
      </c>
      <c r="BD424">
        <f>IF(AND($G424=TRUE,$E424="DEF"),AY424,"")</f>
        <v/>
      </c>
      <c r="BE424">
        <f>IF(AND($G424=TRUE,$E424="MID"),AY424,"")</f>
        <v/>
      </c>
      <c r="BF424">
        <f>IF(AND($G424=TRUE,$E424="FWD"),AY424,"")</f>
        <v/>
      </c>
      <c r="BG424" t="n">
        <v>2</v>
      </c>
      <c r="BH424" t="n">
        <v>2</v>
      </c>
      <c r="BI424" t="n">
        <v>1</v>
      </c>
      <c r="BJ424" t="n">
        <v>5</v>
      </c>
    </row>
    <row r="425">
      <c r="A425" t="inlineStr">
        <is>
          <t>Tom King</t>
        </is>
      </c>
      <c r="B425" t="inlineStr">
        <is>
          <t>EVE</t>
        </is>
      </c>
      <c r="C425" t="inlineStr">
        <is>
          <t>EVE</t>
        </is>
      </c>
      <c r="D425" t="b">
        <v>0</v>
      </c>
      <c r="E425" t="inlineStr">
        <is>
          <t>GKP</t>
        </is>
      </c>
      <c r="F425" t="inlineStr">
        <is>
          <t>GKP</t>
        </is>
      </c>
      <c r="G425" t="b">
        <v>1</v>
      </c>
      <c r="H425" s="2" t="n">
        <v>4.5</v>
      </c>
      <c r="I425" t="inlineStr">
        <is>
          <t>a</t>
        </is>
      </c>
      <c r="K425" s="2" t="n">
        <v>0</v>
      </c>
      <c r="L425" t="n">
        <v>0</v>
      </c>
      <c r="M425" s="3" t="n">
        <v>0</v>
      </c>
      <c r="N425" s="8" t="n">
        <v>0</v>
      </c>
      <c r="O425" s="8" t="n">
        <v>0</v>
      </c>
      <c r="Q425" t="inlineStr">
        <is>
          <t>flat</t>
        </is>
      </c>
      <c r="R425" s="6" t="n">
        <v>0</v>
      </c>
      <c r="S425" t="inlineStr">
        <is>
          <t>Solio</t>
        </is>
      </c>
      <c r="U425" s="6" t="n">
        <v>85</v>
      </c>
      <c r="V425" s="2" t="n"/>
      <c r="W425" s="7">
        <f>IF(N(U425)&lt;=0,0,MIN(Assumptions!$B$15,N(R425)/N(U425)))</f>
        <v/>
      </c>
      <c r="X425" s="6" t="n">
        <v>0.231</v>
      </c>
      <c r="Y425" s="3" t="n"/>
      <c r="Z425" t="inlineStr"/>
      <c r="AA425" s="3" t="n">
        <v>1</v>
      </c>
      <c r="AB425" s="3" t="n"/>
      <c r="AC425" s="3" t="n"/>
      <c r="AD425" s="3" t="n"/>
      <c r="AE425" s="3" t="n">
        <v>0</v>
      </c>
      <c r="AF425" s="3" t="n">
        <v>0</v>
      </c>
      <c r="AG425" s="3" t="n"/>
      <c r="AH425" s="3" t="n">
        <v>0</v>
      </c>
      <c r="AI425" s="3" t="n">
        <v>3.0311</v>
      </c>
      <c r="AJ425" s="3" t="n">
        <v>1.5252</v>
      </c>
      <c r="AK425" s="3" t="n">
        <v>-0.0762910931866984</v>
      </c>
      <c r="AL425" s="6" t="n">
        <v>0</v>
      </c>
      <c r="AM425" s="3" t="n">
        <v>0</v>
      </c>
      <c r="AN425" s="3" t="n">
        <v>0</v>
      </c>
      <c r="AO425" s="3" t="n">
        <v>0</v>
      </c>
      <c r="AP425" s="3">
        <f>N(X425)*N(BI425)</f>
        <v/>
      </c>
      <c r="AQ425" s="3" t="n">
        <v>0</v>
      </c>
      <c r="AR425" s="3" t="n">
        <v>0.67496810501903</v>
      </c>
      <c r="AS425" s="3" t="n">
        <v>-0.524434996152324</v>
      </c>
      <c r="AT425" s="3" t="n">
        <v>-0.0762910931866984</v>
      </c>
      <c r="AU425" s="3">
        <f>SUM(AN425:AT425)</f>
        <v/>
      </c>
      <c r="AV425" s="7">
        <f>IF(OR(N(W425)&lt;=0,N(BG425)=0),0,N(W425)*IF(N(R425)/N(W425)&gt;=60,N(BG425),1))</f>
        <v/>
      </c>
      <c r="AW425" s="7">
        <f>N(W425)*N(AF425)*N(BH425)</f>
        <v/>
      </c>
      <c r="AX425" s="7">
        <f>N(AL425)*(Assumptions!$B$13*N(BJ425)-(1-Assumptions!$B$13)*Assumptions!$B$14)+N(AM425)</f>
        <v/>
      </c>
      <c r="AY425" s="7">
        <f>N(AU425)*N(R425)/90+N(AV425)+N(AW425)+N(AX425)</f>
        <v/>
      </c>
      <c r="AZ425" s="3">
        <f>IF(N(R425)&lt;=0,0,(N(AY425)-N(AX425))*90/N(R425))</f>
        <v/>
      </c>
      <c r="BA425" s="7">
        <f>IFERROR(AY425-VLOOKUP($E425,Assumptions!$A$40:$C$43,3,FALSE),"")</f>
        <v/>
      </c>
      <c r="BB425" s="3">
        <f>IFERROR(BA425/H425,"")</f>
        <v/>
      </c>
      <c r="BC425">
        <f>IF(AND($G425=TRUE,$E425="GKP"),AY425,"")</f>
        <v/>
      </c>
      <c r="BD425">
        <f>IF(AND($G425=TRUE,$E425="DEF"),AY425,"")</f>
        <v/>
      </c>
      <c r="BE425">
        <f>IF(AND($G425=TRUE,$E425="MID"),AY425,"")</f>
        <v/>
      </c>
      <c r="BF425">
        <f>IF(AND($G425=TRUE,$E425="FWD"),AY425,"")</f>
        <v/>
      </c>
      <c r="BG425" t="n">
        <v>2</v>
      </c>
      <c r="BH425" t="n">
        <v>0</v>
      </c>
      <c r="BI425" t="n">
        <v>4</v>
      </c>
      <c r="BJ425" t="n">
        <v>10</v>
      </c>
    </row>
    <row r="426">
      <c r="A426" t="inlineStr">
        <is>
          <t>Marcus Bettinelli</t>
        </is>
      </c>
      <c r="B426" t="inlineStr">
        <is>
          <t>MCI</t>
        </is>
      </c>
      <c r="C426" t="inlineStr">
        <is>
          <t>MCI</t>
        </is>
      </c>
      <c r="D426" t="b">
        <v>0</v>
      </c>
      <c r="E426" t="inlineStr">
        <is>
          <t>GKP</t>
        </is>
      </c>
      <c r="F426" t="inlineStr">
        <is>
          <t>GKP</t>
        </is>
      </c>
      <c r="G426" t="b">
        <v>1</v>
      </c>
      <c r="H426" s="2" t="n">
        <v>4.5</v>
      </c>
      <c r="I426" t="inlineStr">
        <is>
          <t>a</t>
        </is>
      </c>
      <c r="K426" s="2" t="n">
        <v>0</v>
      </c>
      <c r="L426" t="n">
        <v>0</v>
      </c>
      <c r="M426" s="3" t="n">
        <v>0</v>
      </c>
      <c r="N426" s="8" t="n">
        <v>0</v>
      </c>
      <c r="O426" s="8" t="n">
        <v>0</v>
      </c>
      <c r="Q426" t="inlineStr">
        <is>
          <t>flat</t>
        </is>
      </c>
      <c r="R426" s="6" t="n">
        <v>0</v>
      </c>
      <c r="S426" t="inlineStr">
        <is>
          <t>Solio</t>
        </is>
      </c>
      <c r="U426" s="6" t="n">
        <v>85</v>
      </c>
      <c r="V426" s="2" t="n"/>
      <c r="W426" s="7">
        <f>IF(N(U426)&lt;=0,0,MIN(Assumptions!$B$15,N(R426)/N(U426)))</f>
        <v/>
      </c>
      <c r="X426" s="6" t="n">
        <v>0.371</v>
      </c>
      <c r="Y426" s="3" t="n"/>
      <c r="Z426" t="inlineStr"/>
      <c r="AA426" s="3" t="n">
        <v>1</v>
      </c>
      <c r="AB426" s="3" t="n"/>
      <c r="AC426" s="3" t="n"/>
      <c r="AD426" s="3" t="n"/>
      <c r="AE426" s="3" t="n">
        <v>0</v>
      </c>
      <c r="AF426" s="3" t="n">
        <v>0</v>
      </c>
      <c r="AG426" s="3" t="n"/>
      <c r="AH426" s="3" t="n">
        <v>0</v>
      </c>
      <c r="AI426" s="3" t="n">
        <v>1.9737</v>
      </c>
      <c r="AJ426" s="3" t="n">
        <v>1.0365</v>
      </c>
      <c r="AK426" s="3" t="n">
        <v>-0.0763216474948735</v>
      </c>
      <c r="AL426" s="6" t="n">
        <v>0</v>
      </c>
      <c r="AM426" s="3" t="n">
        <v>0</v>
      </c>
      <c r="AN426" s="3" t="n">
        <v>0</v>
      </c>
      <c r="AO426" s="3" t="n">
        <v>0</v>
      </c>
      <c r="AP426" s="3">
        <f>N(X426)*N(BI426)</f>
        <v/>
      </c>
      <c r="AQ426" s="3" t="n">
        <v>0</v>
      </c>
      <c r="AR426" s="3" t="n">
        <v>0.3320553475083804</v>
      </c>
      <c r="AS426" s="3" t="n">
        <v>-0.2997019479071323</v>
      </c>
      <c r="AT426" s="3" t="n">
        <v>-0.0763216474948735</v>
      </c>
      <c r="AU426" s="3">
        <f>SUM(AN426:AT426)</f>
        <v/>
      </c>
      <c r="AV426" s="7">
        <f>IF(OR(N(W426)&lt;=0,N(BG426)=0),0,N(W426)*IF(N(R426)/N(W426)&gt;=60,N(BG426),1))</f>
        <v/>
      </c>
      <c r="AW426" s="7">
        <f>N(W426)*N(AF426)*N(BH426)</f>
        <v/>
      </c>
      <c r="AX426" s="7">
        <f>N(AL426)*(Assumptions!$B$13*N(BJ426)-(1-Assumptions!$B$13)*Assumptions!$B$14)+N(AM426)</f>
        <v/>
      </c>
      <c r="AY426" s="7">
        <f>N(AU426)*N(R426)/90+N(AV426)+N(AW426)+N(AX426)</f>
        <v/>
      </c>
      <c r="AZ426" s="3">
        <f>IF(N(R426)&lt;=0,0,(N(AY426)-N(AX426))*90/N(R426))</f>
        <v/>
      </c>
      <c r="BA426" s="7">
        <f>IFERROR(AY426-VLOOKUP($E426,Assumptions!$A$40:$C$43,3,FALSE),"")</f>
        <v/>
      </c>
      <c r="BB426" s="3">
        <f>IFERROR(BA426/H426,"")</f>
        <v/>
      </c>
      <c r="BC426">
        <f>IF(AND($G426=TRUE,$E426="GKP"),AY426,"")</f>
        <v/>
      </c>
      <c r="BD426">
        <f>IF(AND($G426=TRUE,$E426="DEF"),AY426,"")</f>
        <v/>
      </c>
      <c r="BE426">
        <f>IF(AND($G426=TRUE,$E426="MID"),AY426,"")</f>
        <v/>
      </c>
      <c r="BF426">
        <f>IF(AND($G426=TRUE,$E426="FWD"),AY426,"")</f>
        <v/>
      </c>
      <c r="BG426" t="n">
        <v>2</v>
      </c>
      <c r="BH426" t="n">
        <v>0</v>
      </c>
      <c r="BI426" t="n">
        <v>4</v>
      </c>
      <c r="BJ426" t="n">
        <v>10</v>
      </c>
    </row>
    <row r="427">
      <c r="A427" t="inlineStr">
        <is>
          <t>Giovanni Leoni</t>
        </is>
      </c>
      <c r="B427" t="inlineStr">
        <is>
          <t>LIV</t>
        </is>
      </c>
      <c r="C427" t="inlineStr">
        <is>
          <t>LIV</t>
        </is>
      </c>
      <c r="D427" t="b">
        <v>0</v>
      </c>
      <c r="E427" t="inlineStr">
        <is>
          <t>DEF</t>
        </is>
      </c>
      <c r="F427" t="inlineStr">
        <is>
          <t>DEF</t>
        </is>
      </c>
      <c r="G427" t="b">
        <v>1</v>
      </c>
      <c r="H427" s="2" t="n">
        <v>4</v>
      </c>
      <c r="I427" t="inlineStr">
        <is>
          <t>i</t>
        </is>
      </c>
      <c r="J427" t="inlineStr">
        <is>
          <t>Knee injury - Unknown return date</t>
        </is>
      </c>
      <c r="K427" s="2" t="n">
        <v>0</v>
      </c>
      <c r="L427" t="n">
        <v>0</v>
      </c>
      <c r="M427" s="3" t="n">
        <v>28</v>
      </c>
      <c r="N427" s="4" t="n">
        <v>550</v>
      </c>
      <c r="O427" s="4" t="n">
        <v>522</v>
      </c>
      <c r="P427" s="5" t="inlineStr">
        <is>
          <t>medium</t>
        </is>
      </c>
      <c r="Q427" t="inlineStr">
        <is>
          <t>flat</t>
        </is>
      </c>
      <c r="R427" s="6" t="n">
        <v>550</v>
      </c>
      <c r="S427" t="inlineStr">
        <is>
          <t>research</t>
        </is>
      </c>
      <c r="T427" s="5" t="inlineStr">
        <is>
          <t>Solio gives 28 minutes. This Is Anfield's training report states Leoni 'is expected to return to full training later this month, with September intended to be his return to playing' after his ACL tear, and Liverpool's own fitness update named him the closest of the three long-term absentees to returning. He is behind Van Dijk, Araujo and Jacquet, so this is a squad-CB allocation rather than a starter's.</t>
        </is>
      </c>
      <c r="U427" s="6" t="n">
        <v>85</v>
      </c>
      <c r="V427" s="2" t="n"/>
      <c r="W427" s="7">
        <f>IF(N(U427)&lt;=0,0,MIN(Assumptions!$B$15,N(R427)/N(U427)))</f>
        <v/>
      </c>
      <c r="X427" s="6" t="n">
        <v>0.342</v>
      </c>
      <c r="Y427" s="3" t="n"/>
      <c r="Z427" t="inlineStr"/>
      <c r="AA427" s="3" t="n">
        <v>1</v>
      </c>
      <c r="AB427" s="3" t="n"/>
      <c r="AC427" s="3" t="n"/>
      <c r="AD427" s="3" t="n"/>
      <c r="AE427" s="3" t="n"/>
      <c r="AF427" s="3" t="n">
        <v>0</v>
      </c>
      <c r="AG427" s="3" t="n"/>
      <c r="AH427" s="3" t="n">
        <v>0</v>
      </c>
      <c r="AI427" s="3" t="n">
        <v>2.409</v>
      </c>
      <c r="AJ427" s="3" t="n">
        <v>1.1228</v>
      </c>
      <c r="AK427" s="3" t="n">
        <v>-0.2045226422080557</v>
      </c>
      <c r="AL427" s="6" t="n">
        <v>0</v>
      </c>
      <c r="AM427" s="3" t="n">
        <v>0</v>
      </c>
      <c r="AN427" s="3" t="n">
        <v>0</v>
      </c>
      <c r="AO427" s="3" t="n">
        <v>0</v>
      </c>
      <c r="AP427" s="3">
        <f>N(X427)*N(BI427)</f>
        <v/>
      </c>
      <c r="AQ427" s="3" t="n">
        <v>0</v>
      </c>
      <c r="AR427" s="3" t="n">
        <v>0</v>
      </c>
      <c r="AS427" s="3" t="n">
        <v>-0.3378660007281162</v>
      </c>
      <c r="AT427" s="3" t="n">
        <v>-0.2045226422080557</v>
      </c>
      <c r="AU427" s="3">
        <f>SUM(AN427:AT427)</f>
        <v/>
      </c>
      <c r="AV427" s="7">
        <f>IF(OR(N(W427)&lt;=0,N(BG427)=0),0,N(W427)*IF(N(R427)/N(W427)&gt;=60,N(BG427),1))</f>
        <v/>
      </c>
      <c r="AW427" s="7">
        <f>N(W427)*N(AF427)*N(BH427)</f>
        <v/>
      </c>
      <c r="AX427" s="7">
        <f>N(AL427)*(Assumptions!$B$13*N(BJ427)-(1-Assumptions!$B$13)*Assumptions!$B$14)+N(AM427)</f>
        <v/>
      </c>
      <c r="AY427" s="7">
        <f>N(AU427)*N(R427)/90+N(AV427)+N(AW427)+N(AX427)</f>
        <v/>
      </c>
      <c r="AZ427" s="3">
        <f>IF(N(R427)&lt;=0,0,(N(AY427)-N(AX427))*90/N(R427))</f>
        <v/>
      </c>
      <c r="BA427" s="7">
        <f>IFERROR(AY427-VLOOKUP($E427,Assumptions!$A$40:$C$43,3,FALSE),"")</f>
        <v/>
      </c>
      <c r="BB427" s="3">
        <f>IFERROR(BA427/H427,"")</f>
        <v/>
      </c>
      <c r="BC427">
        <f>IF(AND($G427=TRUE,$E427="GKP"),AY427,"")</f>
        <v/>
      </c>
      <c r="BD427">
        <f>IF(AND($G427=TRUE,$E427="DEF"),AY427,"")</f>
        <v/>
      </c>
      <c r="BE427">
        <f>IF(AND($G427=TRUE,$E427="MID"),AY427,"")</f>
        <v/>
      </c>
      <c r="BF427">
        <f>IF(AND($G427=TRUE,$E427="FWD"),AY427,"")</f>
        <v/>
      </c>
      <c r="BG427" t="n">
        <v>2</v>
      </c>
      <c r="BH427" t="n">
        <v>2</v>
      </c>
      <c r="BI427" t="n">
        <v>4</v>
      </c>
      <c r="BJ427" t="n">
        <v>6</v>
      </c>
    </row>
    <row r="428">
      <c r="A428" t="inlineStr">
        <is>
          <t>Benjamin Lecomte</t>
        </is>
      </c>
      <c r="B428" t="inlineStr">
        <is>
          <t>FUL</t>
        </is>
      </c>
      <c r="C428" t="inlineStr">
        <is>
          <t>FUL</t>
        </is>
      </c>
      <c r="D428" t="b">
        <v>0</v>
      </c>
      <c r="E428" t="inlineStr">
        <is>
          <t>GKP</t>
        </is>
      </c>
      <c r="F428" t="inlineStr">
        <is>
          <t>GKP</t>
        </is>
      </c>
      <c r="G428" t="b">
        <v>1</v>
      </c>
      <c r="H428" s="2" t="n">
        <v>4</v>
      </c>
      <c r="I428" t="inlineStr">
        <is>
          <t>a</t>
        </is>
      </c>
      <c r="K428" s="2" t="n">
        <v>0</v>
      </c>
      <c r="L428" t="n">
        <v>0</v>
      </c>
      <c r="M428" s="3" t="n">
        <v>11</v>
      </c>
      <c r="N428" s="8" t="n">
        <v>11</v>
      </c>
      <c r="O428" s="8" t="n">
        <v>0</v>
      </c>
      <c r="Q428" t="inlineStr">
        <is>
          <t>flat</t>
        </is>
      </c>
      <c r="R428" s="6" t="n">
        <v>11</v>
      </c>
      <c r="S428" t="inlineStr">
        <is>
          <t>Solio</t>
        </is>
      </c>
      <c r="U428" s="6" t="n">
        <v>85</v>
      </c>
      <c r="V428" s="2" t="n"/>
      <c r="W428" s="7">
        <f>IF(N(U428)&lt;=0,0,MIN(Assumptions!$B$15,N(R428)/N(U428)))</f>
        <v/>
      </c>
      <c r="X428" s="6" t="n">
        <v>0.214</v>
      </c>
      <c r="Y428" s="3" t="n"/>
      <c r="Z428" t="inlineStr"/>
      <c r="AA428" s="3" t="n">
        <v>1</v>
      </c>
      <c r="AB428" s="3" t="n"/>
      <c r="AC428" s="3" t="n"/>
      <c r="AD428" s="3" t="n"/>
      <c r="AE428" s="3" t="n">
        <v>0</v>
      </c>
      <c r="AF428" s="3" t="n">
        <v>0</v>
      </c>
      <c r="AG428" s="3" t="n"/>
      <c r="AH428" s="3" t="n">
        <v>0</v>
      </c>
      <c r="AI428" s="3" t="n">
        <v>3.22</v>
      </c>
      <c r="AJ428" s="3" t="n">
        <v>1.6019</v>
      </c>
      <c r="AK428" s="3" t="n">
        <v>-0.0763216474948735</v>
      </c>
      <c r="AL428" s="6" t="n">
        <v>0</v>
      </c>
      <c r="AM428" s="3" t="n">
        <v>0.0109994176522775</v>
      </c>
      <c r="AN428" s="3" t="n">
        <v>0</v>
      </c>
      <c r="AO428" s="3" t="n">
        <v>0</v>
      </c>
      <c r="AP428" s="3">
        <f>N(X428)*N(BI428)</f>
        <v/>
      </c>
      <c r="AQ428" s="3" t="n">
        <v>0</v>
      </c>
      <c r="AR428" s="3" t="n">
        <v>0.7380333201454712</v>
      </c>
      <c r="AS428" s="3" t="n">
        <v>-0.5611019003833156</v>
      </c>
      <c r="AT428" s="3" t="n">
        <v>-0.0763216474948735</v>
      </c>
      <c r="AU428" s="3">
        <f>SUM(AN428:AT428)</f>
        <v/>
      </c>
      <c r="AV428" s="7">
        <f>IF(OR(N(W428)&lt;=0,N(BG428)=0),0,N(W428)*IF(N(R428)/N(W428)&gt;=60,N(BG428),1))</f>
        <v/>
      </c>
      <c r="AW428" s="7">
        <f>N(W428)*N(AF428)*N(BH428)</f>
        <v/>
      </c>
      <c r="AX428" s="7">
        <f>N(AL428)*(Assumptions!$B$13*N(BJ428)-(1-Assumptions!$B$13)*Assumptions!$B$14)+N(AM428)</f>
        <v/>
      </c>
      <c r="AY428" s="7">
        <f>N(AU428)*N(R428)/90+N(AV428)+N(AW428)+N(AX428)</f>
        <v/>
      </c>
      <c r="AZ428" s="3">
        <f>IF(N(R428)&lt;=0,0,(N(AY428)-N(AX428))*90/N(R428))</f>
        <v/>
      </c>
      <c r="BA428" s="7">
        <f>IFERROR(AY428-VLOOKUP($E428,Assumptions!$A$40:$C$43,3,FALSE),"")</f>
        <v/>
      </c>
      <c r="BB428" s="3">
        <f>IFERROR(BA428/H428,"")</f>
        <v/>
      </c>
      <c r="BC428">
        <f>IF(AND($G428=TRUE,$E428="GKP"),AY428,"")</f>
        <v/>
      </c>
      <c r="BD428">
        <f>IF(AND($G428=TRUE,$E428="DEF"),AY428,"")</f>
        <v/>
      </c>
      <c r="BE428">
        <f>IF(AND($G428=TRUE,$E428="MID"),AY428,"")</f>
        <v/>
      </c>
      <c r="BF428">
        <f>IF(AND($G428=TRUE,$E428="FWD"),AY428,"")</f>
        <v/>
      </c>
      <c r="BG428" t="n">
        <v>2</v>
      </c>
      <c r="BH428" t="n">
        <v>0</v>
      </c>
      <c r="BI428" t="n">
        <v>4</v>
      </c>
      <c r="BJ428" t="n">
        <v>10</v>
      </c>
    </row>
    <row r="429">
      <c r="A429" t="inlineStr">
        <is>
          <t>Mark Gillespie</t>
        </is>
      </c>
      <c r="B429" t="inlineStr">
        <is>
          <t>NEW</t>
        </is>
      </c>
      <c r="C429" t="inlineStr">
        <is>
          <t>NEW</t>
        </is>
      </c>
      <c r="D429" t="b">
        <v>0</v>
      </c>
      <c r="E429" t="inlineStr">
        <is>
          <t>GKP</t>
        </is>
      </c>
      <c r="F429" t="inlineStr">
        <is>
          <t>GKP</t>
        </is>
      </c>
      <c r="G429" t="b">
        <v>1</v>
      </c>
      <c r="H429" s="2" t="n">
        <v>4.5</v>
      </c>
      <c r="I429" t="inlineStr">
        <is>
          <t>a</t>
        </is>
      </c>
      <c r="K429" s="2" t="n">
        <v>0</v>
      </c>
      <c r="L429" t="n">
        <v>0</v>
      </c>
      <c r="M429" s="3" t="n">
        <v>0</v>
      </c>
      <c r="N429" s="8" t="n">
        <v>0</v>
      </c>
      <c r="O429" s="8" t="n">
        <v>0</v>
      </c>
      <c r="Q429" t="inlineStr">
        <is>
          <t>flat</t>
        </is>
      </c>
      <c r="R429" s="6" t="n">
        <v>0</v>
      </c>
      <c r="S429" t="inlineStr">
        <is>
          <t>Solio</t>
        </is>
      </c>
      <c r="U429" s="6" t="n">
        <v>85</v>
      </c>
      <c r="V429" s="2" t="n"/>
      <c r="W429" s="7">
        <f>IF(N(U429)&lt;=0,0,MIN(Assumptions!$B$15,N(R429)/N(U429)))</f>
        <v/>
      </c>
      <c r="X429" s="6" t="n">
        <v>0.248</v>
      </c>
      <c r="Y429" s="3" t="n"/>
      <c r="Z429" t="inlineStr"/>
      <c r="AA429" s="3" t="n">
        <v>1</v>
      </c>
      <c r="AB429" s="3" t="n"/>
      <c r="AC429" s="3" t="n"/>
      <c r="AD429" s="3" t="n"/>
      <c r="AE429" s="3" t="n">
        <v>0</v>
      </c>
      <c r="AF429" s="3" t="n">
        <v>0</v>
      </c>
      <c r="AG429" s="3" t="n"/>
      <c r="AH429" s="3" t="n">
        <v>0</v>
      </c>
      <c r="AI429" s="3" t="n">
        <v>3.0912</v>
      </c>
      <c r="AJ429" s="3" t="n">
        <v>1.4534</v>
      </c>
      <c r="AK429" s="3" t="n">
        <v>-0.0763216474948735</v>
      </c>
      <c r="AL429" s="6" t="n">
        <v>0</v>
      </c>
      <c r="AM429" s="3" t="n">
        <v>0</v>
      </c>
      <c r="AN429" s="3" t="n">
        <v>0</v>
      </c>
      <c r="AO429" s="3" t="n">
        <v>0</v>
      </c>
      <c r="AP429" s="3">
        <f>N(X429)*N(BI429)</f>
        <v/>
      </c>
      <c r="AQ429" s="3" t="n">
        <v>0</v>
      </c>
      <c r="AR429" s="3" t="n">
        <v>0.6950146973483665</v>
      </c>
      <c r="AS429" s="3" t="n">
        <v>-0.4903625828545308</v>
      </c>
      <c r="AT429" s="3" t="n">
        <v>-0.0763216474948735</v>
      </c>
      <c r="AU429" s="3">
        <f>SUM(AN429:AT429)</f>
        <v/>
      </c>
      <c r="AV429" s="7">
        <f>IF(OR(N(W429)&lt;=0,N(BG429)=0),0,N(W429)*IF(N(R429)/N(W429)&gt;=60,N(BG429),1))</f>
        <v/>
      </c>
      <c r="AW429" s="7">
        <f>N(W429)*N(AF429)*N(BH429)</f>
        <v/>
      </c>
      <c r="AX429" s="7">
        <f>N(AL429)*(Assumptions!$B$13*N(BJ429)-(1-Assumptions!$B$13)*Assumptions!$B$14)+N(AM429)</f>
        <v/>
      </c>
      <c r="AY429" s="7">
        <f>N(AU429)*N(R429)/90+N(AV429)+N(AW429)+N(AX429)</f>
        <v/>
      </c>
      <c r="AZ429" s="3">
        <f>IF(N(R429)&lt;=0,0,(N(AY429)-N(AX429))*90/N(R429))</f>
        <v/>
      </c>
      <c r="BA429" s="7">
        <f>IFERROR(AY429-VLOOKUP($E429,Assumptions!$A$40:$C$43,3,FALSE),"")</f>
        <v/>
      </c>
      <c r="BB429" s="3">
        <f>IFERROR(BA429/H429,"")</f>
        <v/>
      </c>
      <c r="BC429">
        <f>IF(AND($G429=TRUE,$E429="GKP"),AY429,"")</f>
        <v/>
      </c>
      <c r="BD429">
        <f>IF(AND($G429=TRUE,$E429="DEF"),AY429,"")</f>
        <v/>
      </c>
      <c r="BE429">
        <f>IF(AND($G429=TRUE,$E429="MID"),AY429,"")</f>
        <v/>
      </c>
      <c r="BF429">
        <f>IF(AND($G429=TRUE,$E429="FWD"),AY429,"")</f>
        <v/>
      </c>
      <c r="BG429" t="n">
        <v>2</v>
      </c>
      <c r="BH429" t="n">
        <v>0</v>
      </c>
      <c r="BI429" t="n">
        <v>4</v>
      </c>
      <c r="BJ429" t="n">
        <v>10</v>
      </c>
    </row>
    <row r="430">
      <c r="A430" t="inlineStr">
        <is>
          <t>Jason Steele</t>
        </is>
      </c>
      <c r="B430" t="inlineStr">
        <is>
          <t>BHA</t>
        </is>
      </c>
      <c r="C430" t="inlineStr">
        <is>
          <t>BHA</t>
        </is>
      </c>
      <c r="D430" t="b">
        <v>0</v>
      </c>
      <c r="E430" t="inlineStr">
        <is>
          <t>GKP</t>
        </is>
      </c>
      <c r="F430" t="inlineStr">
        <is>
          <t>GKP</t>
        </is>
      </c>
      <c r="G430" t="b">
        <v>1</v>
      </c>
      <c r="H430" s="2" t="n">
        <v>4</v>
      </c>
      <c r="I430" t="inlineStr">
        <is>
          <t>a</t>
        </is>
      </c>
      <c r="K430" s="2" t="n">
        <v>0</v>
      </c>
      <c r="L430" t="n">
        <v>0</v>
      </c>
      <c r="M430" s="3" t="n">
        <v>35</v>
      </c>
      <c r="N430" s="8" t="n">
        <v>35</v>
      </c>
      <c r="O430" s="8" t="n">
        <v>0</v>
      </c>
      <c r="Q430" t="inlineStr">
        <is>
          <t>flat</t>
        </is>
      </c>
      <c r="R430" s="6" t="n">
        <v>35</v>
      </c>
      <c r="S430" t="inlineStr">
        <is>
          <t>Solio</t>
        </is>
      </c>
      <c r="U430" s="6" t="n">
        <v>85</v>
      </c>
      <c r="V430" s="2" t="n"/>
      <c r="W430" s="7">
        <f>IF(N(U430)&lt;=0,0,MIN(Assumptions!$B$15,N(R430)/N(U430)))</f>
        <v/>
      </c>
      <c r="X430" s="6" t="n">
        <v>0.252</v>
      </c>
      <c r="Y430" s="3" t="n"/>
      <c r="Z430" t="inlineStr"/>
      <c r="AA430" s="3" t="n">
        <v>1</v>
      </c>
      <c r="AB430" s="3" t="n"/>
      <c r="AC430" s="3" t="n"/>
      <c r="AD430" s="3" t="n"/>
      <c r="AE430" s="3" t="n">
        <v>0</v>
      </c>
      <c r="AF430" s="3" t="n">
        <v>0</v>
      </c>
      <c r="AG430" s="3" t="n"/>
      <c r="AH430" s="3" t="n">
        <v>0</v>
      </c>
      <c r="AI430" s="3" t="n">
        <v>2.8404</v>
      </c>
      <c r="AJ430" s="3" t="n">
        <v>1.439</v>
      </c>
      <c r="AK430" s="3" t="n">
        <v>-0.0518680161854528</v>
      </c>
      <c r="AL430" s="6" t="n">
        <v>0</v>
      </c>
      <c r="AM430" s="3" t="n">
        <v>0.0314386529148295</v>
      </c>
      <c r="AN430" s="3" t="n">
        <v>0</v>
      </c>
      <c r="AO430" s="3" t="n">
        <v>0</v>
      </c>
      <c r="AP430" s="3">
        <f>N(X430)*N(BI430)</f>
        <v/>
      </c>
      <c r="AQ430" s="3" t="n">
        <v>0</v>
      </c>
      <c r="AR430" s="3" t="n">
        <v>0.6115252178851747</v>
      </c>
      <c r="AS430" s="3" t="n">
        <v>-0.4835617861760246</v>
      </c>
      <c r="AT430" s="3" t="n">
        <v>-0.0518680161854528</v>
      </c>
      <c r="AU430" s="3">
        <f>SUM(AN430:AT430)</f>
        <v/>
      </c>
      <c r="AV430" s="7">
        <f>IF(OR(N(W430)&lt;=0,N(BG430)=0),0,N(W430)*IF(N(R430)/N(W430)&gt;=60,N(BG430),1))</f>
        <v/>
      </c>
      <c r="AW430" s="7">
        <f>N(W430)*N(AF430)*N(BH430)</f>
        <v/>
      </c>
      <c r="AX430" s="7">
        <f>N(AL430)*(Assumptions!$B$13*N(BJ430)-(1-Assumptions!$B$13)*Assumptions!$B$14)+N(AM430)</f>
        <v/>
      </c>
      <c r="AY430" s="7">
        <f>N(AU430)*N(R430)/90+N(AV430)+N(AW430)+N(AX430)</f>
        <v/>
      </c>
      <c r="AZ430" s="3">
        <f>IF(N(R430)&lt;=0,0,(N(AY430)-N(AX430))*90/N(R430))</f>
        <v/>
      </c>
      <c r="BA430" s="7">
        <f>IFERROR(AY430-VLOOKUP($E430,Assumptions!$A$40:$C$43,3,FALSE),"")</f>
        <v/>
      </c>
      <c r="BB430" s="3">
        <f>IFERROR(BA430/H430,"")</f>
        <v/>
      </c>
      <c r="BC430">
        <f>IF(AND($G430=TRUE,$E430="GKP"),AY430,"")</f>
        <v/>
      </c>
      <c r="BD430">
        <f>IF(AND($G430=TRUE,$E430="DEF"),AY430,"")</f>
        <v/>
      </c>
      <c r="BE430">
        <f>IF(AND($G430=TRUE,$E430="MID"),AY430,"")</f>
        <v/>
      </c>
      <c r="BF430">
        <f>IF(AND($G430=TRUE,$E430="FWD"),AY430,"")</f>
        <v/>
      </c>
      <c r="BG430" t="n">
        <v>2</v>
      </c>
      <c r="BH430" t="n">
        <v>0</v>
      </c>
      <c r="BI430" t="n">
        <v>4</v>
      </c>
      <c r="BJ430" t="n">
        <v>10</v>
      </c>
    </row>
    <row r="431">
      <c r="A431" t="inlineStr">
        <is>
          <t>Fraser Forster</t>
        </is>
      </c>
      <c r="B431" t="inlineStr">
        <is>
          <t>BOU</t>
        </is>
      </c>
      <c r="C431" t="inlineStr">
        <is>
          <t>BOU</t>
        </is>
      </c>
      <c r="D431" t="b">
        <v>0</v>
      </c>
      <c r="E431" t="inlineStr">
        <is>
          <t>GKP</t>
        </is>
      </c>
      <c r="F431" t="inlineStr">
        <is>
          <t>GKP</t>
        </is>
      </c>
      <c r="G431" t="b">
        <v>1</v>
      </c>
      <c r="H431" s="2" t="n">
        <v>4</v>
      </c>
      <c r="I431" t="inlineStr">
        <is>
          <t>a</t>
        </is>
      </c>
      <c r="K431" s="2" t="n">
        <v>0</v>
      </c>
      <c r="L431" t="n">
        <v>0</v>
      </c>
      <c r="M431" s="3" t="n">
        <v>0</v>
      </c>
      <c r="N431" s="8" t="n">
        <v>0</v>
      </c>
      <c r="O431" s="8" t="n">
        <v>0</v>
      </c>
      <c r="Q431" t="inlineStr">
        <is>
          <t>flat</t>
        </is>
      </c>
      <c r="R431" s="6" t="n">
        <v>0</v>
      </c>
      <c r="S431" t="inlineStr">
        <is>
          <t>Solio</t>
        </is>
      </c>
      <c r="U431" s="6" t="n">
        <v>85</v>
      </c>
      <c r="V431" s="2" t="n"/>
      <c r="W431" s="7">
        <f>IF(N(U431)&lt;=0,0,MIN(Assumptions!$B$15,N(R431)/N(U431)))</f>
        <v/>
      </c>
      <c r="X431" s="6" t="n">
        <v>0.23</v>
      </c>
      <c r="Y431" s="3" t="n"/>
      <c r="Z431" t="inlineStr"/>
      <c r="AA431" s="3" t="n">
        <v>1</v>
      </c>
      <c r="AB431" s="3" t="n"/>
      <c r="AC431" s="3" t="n"/>
      <c r="AD431" s="3" t="n"/>
      <c r="AE431" s="3" t="n">
        <v>0</v>
      </c>
      <c r="AF431" s="3" t="n">
        <v>0</v>
      </c>
      <c r="AG431" s="3" t="n"/>
      <c r="AH431" s="3" t="n">
        <v>0</v>
      </c>
      <c r="AI431" s="3" t="n">
        <v>3.0957</v>
      </c>
      <c r="AJ431" s="3" t="n">
        <v>1.53</v>
      </c>
      <c r="AK431" s="3" t="n">
        <v>-0.0610683923216705</v>
      </c>
      <c r="AL431" s="6" t="n">
        <v>0</v>
      </c>
      <c r="AM431" s="3" t="n">
        <v>0</v>
      </c>
      <c r="AN431" s="3" t="n">
        <v>0</v>
      </c>
      <c r="AO431" s="3" t="n">
        <v>0</v>
      </c>
      <c r="AP431" s="3">
        <f>N(X431)*N(BI431)</f>
        <v/>
      </c>
      <c r="AQ431" s="3" t="n">
        <v>0</v>
      </c>
      <c r="AR431" s="3" t="n">
        <v>0.6965164635997099</v>
      </c>
      <c r="AS431" s="3" t="n">
        <v>-0.5267219238049191</v>
      </c>
      <c r="AT431" s="3" t="n">
        <v>-0.0610683923216705</v>
      </c>
      <c r="AU431" s="3">
        <f>SUM(AN431:AT431)</f>
        <v/>
      </c>
      <c r="AV431" s="7">
        <f>IF(OR(N(W431)&lt;=0,N(BG431)=0),0,N(W431)*IF(N(R431)/N(W431)&gt;=60,N(BG431),1))</f>
        <v/>
      </c>
      <c r="AW431" s="7">
        <f>N(W431)*N(AF431)*N(BH431)</f>
        <v/>
      </c>
      <c r="AX431" s="7">
        <f>N(AL431)*(Assumptions!$B$13*N(BJ431)-(1-Assumptions!$B$13)*Assumptions!$B$14)+N(AM431)</f>
        <v/>
      </c>
      <c r="AY431" s="7">
        <f>N(AU431)*N(R431)/90+N(AV431)+N(AW431)+N(AX431)</f>
        <v/>
      </c>
      <c r="AZ431" s="3">
        <f>IF(N(R431)&lt;=0,0,(N(AY431)-N(AX431))*90/N(R431))</f>
        <v/>
      </c>
      <c r="BA431" s="7">
        <f>IFERROR(AY431-VLOOKUP($E431,Assumptions!$A$40:$C$43,3,FALSE),"")</f>
        <v/>
      </c>
      <c r="BB431" s="3">
        <f>IFERROR(BA431/H431,"")</f>
        <v/>
      </c>
      <c r="BC431">
        <f>IF(AND($G431=TRUE,$E431="GKP"),AY431,"")</f>
        <v/>
      </c>
      <c r="BD431">
        <f>IF(AND($G431=TRUE,$E431="DEF"),AY431,"")</f>
        <v/>
      </c>
      <c r="BE431">
        <f>IF(AND($G431=TRUE,$E431="MID"),AY431,"")</f>
        <v/>
      </c>
      <c r="BF431">
        <f>IF(AND($G431=TRUE,$E431="FWD"),AY431,"")</f>
        <v/>
      </c>
      <c r="BG431" t="n">
        <v>2</v>
      </c>
      <c r="BH431" t="n">
        <v>0</v>
      </c>
      <c r="BI431" t="n">
        <v>4</v>
      </c>
      <c r="BJ431" t="n">
        <v>10</v>
      </c>
    </row>
    <row r="432">
      <c r="A432" t="inlineStr">
        <is>
          <t>Cheick Doucouré</t>
        </is>
      </c>
      <c r="B432" t="inlineStr">
        <is>
          <t>CRY</t>
        </is>
      </c>
      <c r="C432" t="inlineStr">
        <is>
          <t>CRY</t>
        </is>
      </c>
      <c r="D432" t="b">
        <v>0</v>
      </c>
      <c r="E432" t="inlineStr">
        <is>
          <t>MID</t>
        </is>
      </c>
      <c r="F432" t="inlineStr">
        <is>
          <t>MID</t>
        </is>
      </c>
      <c r="G432" t="b">
        <v>1</v>
      </c>
      <c r="H432" s="2" t="n">
        <v>5</v>
      </c>
      <c r="I432" t="inlineStr">
        <is>
          <t>a</t>
        </is>
      </c>
      <c r="K432" s="2" t="n">
        <v>0</v>
      </c>
      <c r="L432" t="n">
        <v>0</v>
      </c>
      <c r="M432" s="3" t="n">
        <v>0</v>
      </c>
      <c r="N432" s="8" t="n">
        <v>0</v>
      </c>
      <c r="O432" s="8" t="n">
        <v>0</v>
      </c>
      <c r="Q432" t="inlineStr">
        <is>
          <t>flat</t>
        </is>
      </c>
      <c r="R432" s="6" t="n">
        <v>0</v>
      </c>
      <c r="S432" t="inlineStr">
        <is>
          <t>Solio</t>
        </is>
      </c>
      <c r="U432" s="6" t="n">
        <v>85</v>
      </c>
      <c r="V432" s="2" t="n"/>
      <c r="W432" s="7">
        <f>IF(N(U432)&lt;=0,0,MIN(Assumptions!$B$15,N(R432)/N(U432)))</f>
        <v/>
      </c>
      <c r="X432" s="6" t="n">
        <v>0.216</v>
      </c>
      <c r="Y432" s="3" t="n"/>
      <c r="Z432" t="inlineStr"/>
      <c r="AA432" s="3" t="n">
        <v>1</v>
      </c>
      <c r="AB432" s="3" t="n"/>
      <c r="AC432" s="3" t="n"/>
      <c r="AD432" s="3" t="n"/>
      <c r="AE432" s="3" t="n"/>
      <c r="AF432" s="3" t="n">
        <v>0</v>
      </c>
      <c r="AG432" s="3" t="n"/>
      <c r="AH432" s="3" t="n">
        <v>0</v>
      </c>
      <c r="AI432" s="3" t="n">
        <v>3.2035</v>
      </c>
      <c r="AJ432" s="3" t="n">
        <v>1.5923</v>
      </c>
      <c r="AK432" s="3" t="n">
        <v>-0.2158576550328143</v>
      </c>
      <c r="AL432" s="6" t="n">
        <v>0</v>
      </c>
      <c r="AM432" s="3" t="n">
        <v>0</v>
      </c>
      <c r="AN432" s="3" t="n">
        <v>0</v>
      </c>
      <c r="AO432" s="3" t="n">
        <v>0</v>
      </c>
      <c r="AP432" s="3">
        <f>N(X432)*N(BI432)</f>
        <v/>
      </c>
      <c r="AQ432" s="3" t="n">
        <v>0</v>
      </c>
      <c r="AR432" s="3" t="n">
        <v>0</v>
      </c>
      <c r="AS432" s="3" t="n">
        <v>-0</v>
      </c>
      <c r="AT432" s="3" t="n">
        <v>-0.2158576550328143</v>
      </c>
      <c r="AU432" s="3">
        <f>SUM(AN432:AT432)</f>
        <v/>
      </c>
      <c r="AV432" s="7">
        <f>IF(OR(N(W432)&lt;=0,N(BG432)=0),0,N(W432)*IF(N(R432)/N(W432)&gt;=60,N(BG432),1))</f>
        <v/>
      </c>
      <c r="AW432" s="7">
        <f>N(W432)*N(AF432)*N(BH432)</f>
        <v/>
      </c>
      <c r="AX432" s="7">
        <f>N(AL432)*(Assumptions!$B$13*N(BJ432)-(1-Assumptions!$B$13)*Assumptions!$B$14)+N(AM432)</f>
        <v/>
      </c>
      <c r="AY432" s="7">
        <f>N(AU432)*N(R432)/90+N(AV432)+N(AW432)+N(AX432)</f>
        <v/>
      </c>
      <c r="AZ432" s="3">
        <f>IF(N(R432)&lt;=0,0,(N(AY432)-N(AX432))*90/N(R432))</f>
        <v/>
      </c>
      <c r="BA432" s="7">
        <f>IFERROR(AY432-VLOOKUP($E432,Assumptions!$A$40:$C$43,3,FALSE),"")</f>
        <v/>
      </c>
      <c r="BB432" s="3">
        <f>IFERROR(BA432/H432,"")</f>
        <v/>
      </c>
      <c r="BC432">
        <f>IF(AND($G432=TRUE,$E432="GKP"),AY432,"")</f>
        <v/>
      </c>
      <c r="BD432">
        <f>IF(AND($G432=TRUE,$E432="DEF"),AY432,"")</f>
        <v/>
      </c>
      <c r="BE432">
        <f>IF(AND($G432=TRUE,$E432="MID"),AY432,"")</f>
        <v/>
      </c>
      <c r="BF432">
        <f>IF(AND($G432=TRUE,$E432="FWD"),AY432,"")</f>
        <v/>
      </c>
      <c r="BG432" t="n">
        <v>2</v>
      </c>
      <c r="BH432" t="n">
        <v>2</v>
      </c>
      <c r="BI432" t="n">
        <v>1</v>
      </c>
      <c r="BJ432" t="n">
        <v>5</v>
      </c>
    </row>
    <row r="433">
      <c r="A433" t="inlineStr">
        <is>
          <t>Joe Gelhardt</t>
        </is>
      </c>
      <c r="B433" t="inlineStr">
        <is>
          <t>LEE</t>
        </is>
      </c>
      <c r="C433" t="inlineStr">
        <is>
          <t>LEE</t>
        </is>
      </c>
      <c r="D433" t="b">
        <v>0</v>
      </c>
      <c r="E433" t="inlineStr">
        <is>
          <t>MID</t>
        </is>
      </c>
      <c r="F433" t="inlineStr">
        <is>
          <t>MID</t>
        </is>
      </c>
      <c r="G433" t="b">
        <v>1</v>
      </c>
      <c r="H433" s="2" t="n">
        <v>5</v>
      </c>
      <c r="I433" t="inlineStr">
        <is>
          <t>a</t>
        </is>
      </c>
      <c r="K433" s="2" t="n">
        <v>0</v>
      </c>
      <c r="L433" t="n">
        <v>0</v>
      </c>
      <c r="M433" s="3" t="n">
        <v>0</v>
      </c>
      <c r="N433" s="8" t="n">
        <v>0</v>
      </c>
      <c r="O433" s="8" t="n">
        <v>0</v>
      </c>
      <c r="Q433" t="inlineStr">
        <is>
          <t>flat</t>
        </is>
      </c>
      <c r="R433" s="6" t="n">
        <v>0</v>
      </c>
      <c r="S433" t="inlineStr">
        <is>
          <t>Solio</t>
        </is>
      </c>
      <c r="U433" s="6" t="n">
        <v>85</v>
      </c>
      <c r="V433" s="2" t="n"/>
      <c r="W433" s="7">
        <f>IF(N(U433)&lt;=0,0,MIN(Assumptions!$B$15,N(R433)/N(U433)))</f>
        <v/>
      </c>
      <c r="X433" s="6" t="n">
        <v>0.218</v>
      </c>
      <c r="Y433" s="3" t="n"/>
      <c r="Z433" t="inlineStr"/>
      <c r="AA433" s="3" t="n">
        <v>1</v>
      </c>
      <c r="AB433" s="3" t="n"/>
      <c r="AC433" s="3" t="n"/>
      <c r="AD433" s="3" t="n"/>
      <c r="AE433" s="3" t="n"/>
      <c r="AF433" s="3" t="n">
        <v>0</v>
      </c>
      <c r="AG433" s="3" t="n"/>
      <c r="AH433" s="3" t="n">
        <v>0</v>
      </c>
      <c r="AI433" s="3" t="n">
        <v>3.0611</v>
      </c>
      <c r="AJ433" s="3" t="n">
        <v>1.5875</v>
      </c>
      <c r="AK433" s="3" t="n">
        <v>-0.2160434166173144</v>
      </c>
      <c r="AL433" s="6" t="n">
        <v>0</v>
      </c>
      <c r="AM433" s="3" t="n">
        <v>0</v>
      </c>
      <c r="AN433" s="3" t="n">
        <v>0</v>
      </c>
      <c r="AO433" s="3" t="n">
        <v>0</v>
      </c>
      <c r="AP433" s="3">
        <f>N(X433)*N(BI433)</f>
        <v/>
      </c>
      <c r="AQ433" s="3" t="n">
        <v>0</v>
      </c>
      <c r="AR433" s="3" t="n">
        <v>0</v>
      </c>
      <c r="AS433" s="3" t="n">
        <v>-0</v>
      </c>
      <c r="AT433" s="3" t="n">
        <v>-0.2160434166173144</v>
      </c>
      <c r="AU433" s="3">
        <f>SUM(AN433:AT433)</f>
        <v/>
      </c>
      <c r="AV433" s="7">
        <f>IF(OR(N(W433)&lt;=0,N(BG433)=0),0,N(W433)*IF(N(R433)/N(W433)&gt;=60,N(BG433),1))</f>
        <v/>
      </c>
      <c r="AW433" s="7">
        <f>N(W433)*N(AF433)*N(BH433)</f>
        <v/>
      </c>
      <c r="AX433" s="7">
        <f>N(AL433)*(Assumptions!$B$13*N(BJ433)-(1-Assumptions!$B$13)*Assumptions!$B$14)+N(AM433)</f>
        <v/>
      </c>
      <c r="AY433" s="7">
        <f>N(AU433)*N(R433)/90+N(AV433)+N(AW433)+N(AX433)</f>
        <v/>
      </c>
      <c r="AZ433" s="3">
        <f>IF(N(R433)&lt;=0,0,(N(AY433)-N(AX433))*90/N(R433))</f>
        <v/>
      </c>
      <c r="BA433" s="7">
        <f>IFERROR(AY433-VLOOKUP($E433,Assumptions!$A$40:$C$43,3,FALSE),"")</f>
        <v/>
      </c>
      <c r="BB433" s="3">
        <f>IFERROR(BA433/H433,"")</f>
        <v/>
      </c>
      <c r="BC433">
        <f>IF(AND($G433=TRUE,$E433="GKP"),AY433,"")</f>
        <v/>
      </c>
      <c r="BD433">
        <f>IF(AND($G433=TRUE,$E433="DEF"),AY433,"")</f>
        <v/>
      </c>
      <c r="BE433">
        <f>IF(AND($G433=TRUE,$E433="MID"),AY433,"")</f>
        <v/>
      </c>
      <c r="BF433">
        <f>IF(AND($G433=TRUE,$E433="FWD"),AY433,"")</f>
        <v/>
      </c>
      <c r="BG433" t="n">
        <v>2</v>
      </c>
      <c r="BH433" t="n">
        <v>2</v>
      </c>
      <c r="BI433" t="n">
        <v>1</v>
      </c>
      <c r="BJ433" t="n">
        <v>5</v>
      </c>
    </row>
    <row r="434">
      <c r="A434" t="inlineStr">
        <is>
          <t>Dejan Kulusevski</t>
        </is>
      </c>
      <c r="B434" t="inlineStr">
        <is>
          <t>TOT</t>
        </is>
      </c>
      <c r="C434" t="inlineStr">
        <is>
          <t>TOT</t>
        </is>
      </c>
      <c r="D434" t="b">
        <v>0</v>
      </c>
      <c r="E434" t="inlineStr">
        <is>
          <t>MID</t>
        </is>
      </c>
      <c r="F434" t="inlineStr">
        <is>
          <t>MID</t>
        </is>
      </c>
      <c r="G434" t="b">
        <v>1</v>
      </c>
      <c r="H434" s="2" t="n">
        <v>6.5</v>
      </c>
      <c r="I434" t="inlineStr">
        <is>
          <t>i</t>
        </is>
      </c>
      <c r="J434" t="inlineStr">
        <is>
          <t>Knee injury - Unknown return date</t>
        </is>
      </c>
      <c r="K434" s="2" t="n">
        <v>0</v>
      </c>
      <c r="L434" t="n">
        <v>0</v>
      </c>
      <c r="M434" s="3" t="n">
        <v>280</v>
      </c>
      <c r="N434" s="8" t="n">
        <v>280</v>
      </c>
      <c r="O434" s="8" t="n">
        <v>0</v>
      </c>
      <c r="Q434" t="inlineStr">
        <is>
          <t>flat</t>
        </is>
      </c>
      <c r="R434" s="6" t="n">
        <v>280</v>
      </c>
      <c r="S434" t="inlineStr">
        <is>
          <t>Solio</t>
        </is>
      </c>
      <c r="U434" s="6" t="n">
        <v>85</v>
      </c>
      <c r="V434" s="2" t="n"/>
      <c r="W434" s="7">
        <f>IF(N(U434)&lt;=0,0,MIN(Assumptions!$B$15,N(R434)/N(U434)))</f>
        <v/>
      </c>
      <c r="X434" s="6" t="n">
        <v>0.286</v>
      </c>
      <c r="Y434" s="3" t="n"/>
      <c r="Z434" t="inlineStr"/>
      <c r="AA434" s="3" t="n">
        <v>1</v>
      </c>
      <c r="AB434" s="3" t="n"/>
      <c r="AC434" s="3" t="n"/>
      <c r="AD434" s="3" t="n"/>
      <c r="AE434" s="3" t="n"/>
      <c r="AF434" s="3" t="n">
        <v>0</v>
      </c>
      <c r="AG434" s="3" t="n"/>
      <c r="AH434" s="3" t="n">
        <v>0</v>
      </c>
      <c r="AI434" s="3" t="n">
        <v>2.5739</v>
      </c>
      <c r="AJ434" s="3" t="n">
        <v>1.3096</v>
      </c>
      <c r="AK434" s="3" t="n">
        <v>-0.1930154106061087</v>
      </c>
      <c r="AL434" s="6" t="n">
        <v>0</v>
      </c>
      <c r="AM434" s="3" t="n">
        <v>0</v>
      </c>
      <c r="AN434" s="3" t="n">
        <v>0</v>
      </c>
      <c r="AO434" s="3" t="n">
        <v>0</v>
      </c>
      <c r="AP434" s="3">
        <f>N(X434)*N(BI434)</f>
        <v/>
      </c>
      <c r="AQ434" s="3" t="n">
        <v>0</v>
      </c>
      <c r="AR434" s="3" t="n">
        <v>0</v>
      </c>
      <c r="AS434" s="3" t="n">
        <v>-0</v>
      </c>
      <c r="AT434" s="3" t="n">
        <v>-0.1930154106061087</v>
      </c>
      <c r="AU434" s="3">
        <f>SUM(AN434:AT434)</f>
        <v/>
      </c>
      <c r="AV434" s="7">
        <f>IF(OR(N(W434)&lt;=0,N(BG434)=0),0,N(W434)*IF(N(R434)/N(W434)&gt;=60,N(BG434),1))</f>
        <v/>
      </c>
      <c r="AW434" s="7">
        <f>N(W434)*N(AF434)*N(BH434)</f>
        <v/>
      </c>
      <c r="AX434" s="7">
        <f>N(AL434)*(Assumptions!$B$13*N(BJ434)-(1-Assumptions!$B$13)*Assumptions!$B$14)+N(AM434)</f>
        <v/>
      </c>
      <c r="AY434" s="7">
        <f>N(AU434)*N(R434)/90+N(AV434)+N(AW434)+N(AX434)</f>
        <v/>
      </c>
      <c r="AZ434" s="3">
        <f>IF(N(R434)&lt;=0,0,(N(AY434)-N(AX434))*90/N(R434))</f>
        <v/>
      </c>
      <c r="BA434" s="7">
        <f>IFERROR(AY434-VLOOKUP($E434,Assumptions!$A$40:$C$43,3,FALSE),"")</f>
        <v/>
      </c>
      <c r="BB434" s="3">
        <f>IFERROR(BA434/H434,"")</f>
        <v/>
      </c>
      <c r="BC434">
        <f>IF(AND($G434=TRUE,$E434="GKP"),AY434,"")</f>
        <v/>
      </c>
      <c r="BD434">
        <f>IF(AND($G434=TRUE,$E434="DEF"),AY434,"")</f>
        <v/>
      </c>
      <c r="BE434">
        <f>IF(AND($G434=TRUE,$E434="MID"),AY434,"")</f>
        <v/>
      </c>
      <c r="BF434">
        <f>IF(AND($G434=TRUE,$E434="FWD"),AY434,"")</f>
        <v/>
      </c>
      <c r="BG434" t="n">
        <v>2</v>
      </c>
      <c r="BH434" t="n">
        <v>2</v>
      </c>
      <c r="BI434" t="n">
        <v>1</v>
      </c>
      <c r="BJ434" t="n">
        <v>5</v>
      </c>
    </row>
    <row r="435">
      <c r="A435" t="inlineStr">
        <is>
          <t>James McConnell</t>
        </is>
      </c>
      <c r="B435" t="inlineStr">
        <is>
          <t>LIV</t>
        </is>
      </c>
      <c r="C435" t="inlineStr">
        <is>
          <t>LIV</t>
        </is>
      </c>
      <c r="D435" t="b">
        <v>0</v>
      </c>
      <c r="E435" t="inlineStr">
        <is>
          <t>MID</t>
        </is>
      </c>
      <c r="F435" t="inlineStr">
        <is>
          <t>MID</t>
        </is>
      </c>
      <c r="G435" t="b">
        <v>1</v>
      </c>
      <c r="H435" s="2" t="n">
        <v>4.5</v>
      </c>
      <c r="I435" t="inlineStr">
        <is>
          <t>a</t>
        </is>
      </c>
      <c r="K435" s="2" t="n">
        <v>0</v>
      </c>
      <c r="L435" t="n">
        <v>0</v>
      </c>
      <c r="M435" s="3" t="n">
        <v>0</v>
      </c>
      <c r="N435" s="8" t="n">
        <v>0</v>
      </c>
      <c r="O435" s="8" t="n">
        <v>0</v>
      </c>
      <c r="Q435" t="inlineStr">
        <is>
          <t>flat</t>
        </is>
      </c>
      <c r="R435" s="6" t="n">
        <v>0</v>
      </c>
      <c r="S435" t="inlineStr">
        <is>
          <t>Solio</t>
        </is>
      </c>
      <c r="U435" s="6" t="n">
        <v>85</v>
      </c>
      <c r="V435" s="2" t="n"/>
      <c r="W435" s="7">
        <f>IF(N(U435)&lt;=0,0,MIN(Assumptions!$B$15,N(R435)/N(U435)))</f>
        <v/>
      </c>
      <c r="X435" s="6" t="n">
        <v>0.342</v>
      </c>
      <c r="Y435" s="3" t="n"/>
      <c r="Z435" t="inlineStr"/>
      <c r="AA435" s="3" t="n">
        <v>1</v>
      </c>
      <c r="AB435" s="3" t="n"/>
      <c r="AC435" s="3" t="n"/>
      <c r="AD435" s="3" t="n"/>
      <c r="AE435" s="3" t="n"/>
      <c r="AF435" s="3" t="n">
        <v>0</v>
      </c>
      <c r="AG435" s="3" t="n"/>
      <c r="AH435" s="3" t="n">
        <v>0</v>
      </c>
      <c r="AI435" s="3" t="n">
        <v>2.409</v>
      </c>
      <c r="AJ435" s="3" t="n">
        <v>1.1228</v>
      </c>
      <c r="AK435" s="3" t="n">
        <v>-0.2158773810658242</v>
      </c>
      <c r="AL435" s="6" t="n">
        <v>0</v>
      </c>
      <c r="AM435" s="3" t="n">
        <v>0</v>
      </c>
      <c r="AN435" s="3" t="n">
        <v>0</v>
      </c>
      <c r="AO435" s="3" t="n">
        <v>0</v>
      </c>
      <c r="AP435" s="3">
        <f>N(X435)*N(BI435)</f>
        <v/>
      </c>
      <c r="AQ435" s="3" t="n">
        <v>0</v>
      </c>
      <c r="AR435" s="3" t="n">
        <v>0</v>
      </c>
      <c r="AS435" s="3" t="n">
        <v>-0</v>
      </c>
      <c r="AT435" s="3" t="n">
        <v>-0.2158773810658242</v>
      </c>
      <c r="AU435" s="3">
        <f>SUM(AN435:AT435)</f>
        <v/>
      </c>
      <c r="AV435" s="7">
        <f>IF(OR(N(W435)&lt;=0,N(BG435)=0),0,N(W435)*IF(N(R435)/N(W435)&gt;=60,N(BG435),1))</f>
        <v/>
      </c>
      <c r="AW435" s="7">
        <f>N(W435)*N(AF435)*N(BH435)</f>
        <v/>
      </c>
      <c r="AX435" s="7">
        <f>N(AL435)*(Assumptions!$B$13*N(BJ435)-(1-Assumptions!$B$13)*Assumptions!$B$14)+N(AM435)</f>
        <v/>
      </c>
      <c r="AY435" s="7">
        <f>N(AU435)*N(R435)/90+N(AV435)+N(AW435)+N(AX435)</f>
        <v/>
      </c>
      <c r="AZ435" s="3">
        <f>IF(N(R435)&lt;=0,0,(N(AY435)-N(AX435))*90/N(R435))</f>
        <v/>
      </c>
      <c r="BA435" s="7">
        <f>IFERROR(AY435-VLOOKUP($E435,Assumptions!$A$40:$C$43,3,FALSE),"")</f>
        <v/>
      </c>
      <c r="BB435" s="3">
        <f>IFERROR(BA435/H435,"")</f>
        <v/>
      </c>
      <c r="BC435">
        <f>IF(AND($G435=TRUE,$E435="GKP"),AY435,"")</f>
        <v/>
      </c>
      <c r="BD435">
        <f>IF(AND($G435=TRUE,$E435="DEF"),AY435,"")</f>
        <v/>
      </c>
      <c r="BE435">
        <f>IF(AND($G435=TRUE,$E435="MID"),AY435,"")</f>
        <v/>
      </c>
      <c r="BF435">
        <f>IF(AND($G435=TRUE,$E435="FWD"),AY435,"")</f>
        <v/>
      </c>
      <c r="BG435" t="n">
        <v>2</v>
      </c>
      <c r="BH435" t="n">
        <v>2</v>
      </c>
      <c r="BI435" t="n">
        <v>1</v>
      </c>
      <c r="BJ435" t="n">
        <v>5</v>
      </c>
    </row>
    <row r="436">
      <c r="A436" t="inlineStr">
        <is>
          <t>Matheus França de Oliveira</t>
        </is>
      </c>
      <c r="B436" t="inlineStr">
        <is>
          <t>CRY</t>
        </is>
      </c>
      <c r="C436" t="inlineStr">
        <is>
          <t>CRY</t>
        </is>
      </c>
      <c r="D436" t="b">
        <v>0</v>
      </c>
      <c r="E436" t="inlineStr">
        <is>
          <t>MID</t>
        </is>
      </c>
      <c r="F436" t="inlineStr">
        <is>
          <t>MID</t>
        </is>
      </c>
      <c r="G436" t="b">
        <v>1</v>
      </c>
      <c r="H436" s="2" t="n">
        <v>5</v>
      </c>
      <c r="I436" t="inlineStr">
        <is>
          <t>a</t>
        </is>
      </c>
      <c r="K436" s="2" t="n">
        <v>0</v>
      </c>
      <c r="L436" t="n">
        <v>0</v>
      </c>
      <c r="M436" s="3" t="n">
        <v>0</v>
      </c>
      <c r="N436" s="8" t="n">
        <v>0</v>
      </c>
      <c r="O436" s="8" t="n">
        <v>0</v>
      </c>
      <c r="Q436" t="inlineStr">
        <is>
          <t>flat</t>
        </is>
      </c>
      <c r="R436" s="6" t="n">
        <v>0</v>
      </c>
      <c r="S436" t="inlineStr">
        <is>
          <t>Solio</t>
        </is>
      </c>
      <c r="U436" s="6" t="n">
        <v>85</v>
      </c>
      <c r="V436" s="2" t="n"/>
      <c r="W436" s="7">
        <f>IF(N(U436)&lt;=0,0,MIN(Assumptions!$B$15,N(R436)/N(U436)))</f>
        <v/>
      </c>
      <c r="X436" s="6" t="n">
        <v>0.216</v>
      </c>
      <c r="Y436" s="3" t="n"/>
      <c r="Z436" t="inlineStr"/>
      <c r="AA436" s="3" t="n">
        <v>1</v>
      </c>
      <c r="AB436" s="3" t="n"/>
      <c r="AC436" s="3" t="n"/>
      <c r="AD436" s="3" t="n"/>
      <c r="AE436" s="3" t="n"/>
      <c r="AF436" s="3" t="n">
        <v>0</v>
      </c>
      <c r="AG436" s="3" t="n"/>
      <c r="AH436" s="3" t="n">
        <v>0</v>
      </c>
      <c r="AI436" s="3" t="n">
        <v>3.2035</v>
      </c>
      <c r="AJ436" s="3" t="n">
        <v>1.5923</v>
      </c>
      <c r="AK436" s="3" t="n">
        <v>-0.2236750346089582</v>
      </c>
      <c r="AL436" s="6" t="n">
        <v>0</v>
      </c>
      <c r="AM436" s="3" t="n">
        <v>0</v>
      </c>
      <c r="AN436" s="3" t="n">
        <v>0</v>
      </c>
      <c r="AO436" s="3" t="n">
        <v>0</v>
      </c>
      <c r="AP436" s="3">
        <f>N(X436)*N(BI436)</f>
        <v/>
      </c>
      <c r="AQ436" s="3" t="n">
        <v>0</v>
      </c>
      <c r="AR436" s="3" t="n">
        <v>0</v>
      </c>
      <c r="AS436" s="3" t="n">
        <v>-0</v>
      </c>
      <c r="AT436" s="3" t="n">
        <v>-0.2236750346089582</v>
      </c>
      <c r="AU436" s="3">
        <f>SUM(AN436:AT436)</f>
        <v/>
      </c>
      <c r="AV436" s="7">
        <f>IF(OR(N(W436)&lt;=0,N(BG436)=0),0,N(W436)*IF(N(R436)/N(W436)&gt;=60,N(BG436),1))</f>
        <v/>
      </c>
      <c r="AW436" s="7">
        <f>N(W436)*N(AF436)*N(BH436)</f>
        <v/>
      </c>
      <c r="AX436" s="7">
        <f>N(AL436)*(Assumptions!$B$13*N(BJ436)-(1-Assumptions!$B$13)*Assumptions!$B$14)+N(AM436)</f>
        <v/>
      </c>
      <c r="AY436" s="7">
        <f>N(AU436)*N(R436)/90+N(AV436)+N(AW436)+N(AX436)</f>
        <v/>
      </c>
      <c r="AZ436" s="3">
        <f>IF(N(R436)&lt;=0,0,(N(AY436)-N(AX436))*90/N(R436))</f>
        <v/>
      </c>
      <c r="BA436" s="7">
        <f>IFERROR(AY436-VLOOKUP($E436,Assumptions!$A$40:$C$43,3,FALSE),"")</f>
        <v/>
      </c>
      <c r="BB436" s="3">
        <f>IFERROR(BA436/H436,"")</f>
        <v/>
      </c>
      <c r="BC436">
        <f>IF(AND($G436=TRUE,$E436="GKP"),AY436,"")</f>
        <v/>
      </c>
      <c r="BD436">
        <f>IF(AND($G436=TRUE,$E436="DEF"),AY436,"")</f>
        <v/>
      </c>
      <c r="BE436">
        <f>IF(AND($G436=TRUE,$E436="MID"),AY436,"")</f>
        <v/>
      </c>
      <c r="BF436">
        <f>IF(AND($G436=TRUE,$E436="FWD"),AY436,"")</f>
        <v/>
      </c>
      <c r="BG436" t="n">
        <v>2</v>
      </c>
      <c r="BH436" t="n">
        <v>2</v>
      </c>
      <c r="BI436" t="n">
        <v>1</v>
      </c>
      <c r="BJ436" t="n">
        <v>5</v>
      </c>
    </row>
    <row r="437">
      <c r="A437" t="inlineStr">
        <is>
          <t>Stefan Bajčetić Maquieira</t>
        </is>
      </c>
      <c r="B437" t="inlineStr">
        <is>
          <t>LIV</t>
        </is>
      </c>
      <c r="C437" t="inlineStr">
        <is>
          <t>LIV</t>
        </is>
      </c>
      <c r="D437" t="b">
        <v>0</v>
      </c>
      <c r="E437" t="inlineStr">
        <is>
          <t>MID</t>
        </is>
      </c>
      <c r="F437" t="inlineStr">
        <is>
          <t>MID</t>
        </is>
      </c>
      <c r="G437" t="b">
        <v>1</v>
      </c>
      <c r="H437" s="2" t="n">
        <v>5</v>
      </c>
      <c r="I437" t="inlineStr">
        <is>
          <t>i</t>
        </is>
      </c>
      <c r="J437" t="inlineStr">
        <is>
          <t>Hamstring injury - Expected back 23 Aug</t>
        </is>
      </c>
      <c r="K437" s="2" t="n">
        <v>0</v>
      </c>
      <c r="L437" t="n">
        <v>0</v>
      </c>
      <c r="M437" s="3" t="n">
        <v>0</v>
      </c>
      <c r="N437" s="8" t="n">
        <v>0</v>
      </c>
      <c r="O437" s="8" t="n">
        <v>0</v>
      </c>
      <c r="Q437" t="inlineStr">
        <is>
          <t>flat</t>
        </is>
      </c>
      <c r="R437" s="6" t="n">
        <v>0</v>
      </c>
      <c r="S437" t="inlineStr">
        <is>
          <t>Solio</t>
        </is>
      </c>
      <c r="U437" s="6" t="n">
        <v>85</v>
      </c>
      <c r="V437" s="2" t="n"/>
      <c r="W437" s="7">
        <f>IF(N(U437)&lt;=0,0,MIN(Assumptions!$B$15,N(R437)/N(U437)))</f>
        <v/>
      </c>
      <c r="X437" s="6" t="n">
        <v>0.342</v>
      </c>
      <c r="Y437" s="3" t="n"/>
      <c r="Z437" t="inlineStr"/>
      <c r="AA437" s="3" t="n">
        <v>1</v>
      </c>
      <c r="AB437" s="3" t="n"/>
      <c r="AC437" s="3" t="n"/>
      <c r="AD437" s="3" t="n"/>
      <c r="AE437" s="3" t="n"/>
      <c r="AF437" s="3" t="n">
        <v>0</v>
      </c>
      <c r="AG437" s="3" t="n"/>
      <c r="AH437" s="3" t="n">
        <v>0</v>
      </c>
      <c r="AI437" s="3" t="n">
        <v>2.409</v>
      </c>
      <c r="AJ437" s="3" t="n">
        <v>1.1228</v>
      </c>
      <c r="AK437" s="3" t="n">
        <v>-0.2146681842218678</v>
      </c>
      <c r="AL437" s="6" t="n">
        <v>0</v>
      </c>
      <c r="AM437" s="3" t="n">
        <v>0</v>
      </c>
      <c r="AN437" s="3" t="n">
        <v>0</v>
      </c>
      <c r="AO437" s="3" t="n">
        <v>0</v>
      </c>
      <c r="AP437" s="3">
        <f>N(X437)*N(BI437)</f>
        <v/>
      </c>
      <c r="AQ437" s="3" t="n">
        <v>0</v>
      </c>
      <c r="AR437" s="3" t="n">
        <v>0</v>
      </c>
      <c r="AS437" s="3" t="n">
        <v>-0</v>
      </c>
      <c r="AT437" s="3" t="n">
        <v>-0.2146681842218678</v>
      </c>
      <c r="AU437" s="3">
        <f>SUM(AN437:AT437)</f>
        <v/>
      </c>
      <c r="AV437" s="7">
        <f>IF(OR(N(W437)&lt;=0,N(BG437)=0),0,N(W437)*IF(N(R437)/N(W437)&gt;=60,N(BG437),1))</f>
        <v/>
      </c>
      <c r="AW437" s="7">
        <f>N(W437)*N(AF437)*N(BH437)</f>
        <v/>
      </c>
      <c r="AX437" s="7">
        <f>N(AL437)*(Assumptions!$B$13*N(BJ437)-(1-Assumptions!$B$13)*Assumptions!$B$14)+N(AM437)</f>
        <v/>
      </c>
      <c r="AY437" s="7">
        <f>N(AU437)*N(R437)/90+N(AV437)+N(AW437)+N(AX437)</f>
        <v/>
      </c>
      <c r="AZ437" s="3">
        <f>IF(N(R437)&lt;=0,0,(N(AY437)-N(AX437))*90/N(R437))</f>
        <v/>
      </c>
      <c r="BA437" s="7">
        <f>IFERROR(AY437-VLOOKUP($E437,Assumptions!$A$40:$C$43,3,FALSE),"")</f>
        <v/>
      </c>
      <c r="BB437" s="3">
        <f>IFERROR(BA437/H437,"")</f>
        <v/>
      </c>
      <c r="BC437">
        <f>IF(AND($G437=TRUE,$E437="GKP"),AY437,"")</f>
        <v/>
      </c>
      <c r="BD437">
        <f>IF(AND($G437=TRUE,$E437="DEF"),AY437,"")</f>
        <v/>
      </c>
      <c r="BE437">
        <f>IF(AND($G437=TRUE,$E437="MID"),AY437,"")</f>
        <v/>
      </c>
      <c r="BF437">
        <f>IF(AND($G437=TRUE,$E437="FWD"),AY437,"")</f>
        <v/>
      </c>
      <c r="BG437" t="n">
        <v>2</v>
      </c>
      <c r="BH437" t="n">
        <v>2</v>
      </c>
      <c r="BI437" t="n">
        <v>1</v>
      </c>
      <c r="BJ437" t="n">
        <v>5</v>
      </c>
    </row>
    <row r="438">
      <c r="A438" t="inlineStr">
        <is>
          <t>Wellity Lucky</t>
        </is>
      </c>
      <c r="B438" t="inlineStr">
        <is>
          <t>LIV</t>
        </is>
      </c>
      <c r="C438" t="inlineStr">
        <is>
          <t>LIV</t>
        </is>
      </c>
      <c r="D438" t="b">
        <v>0</v>
      </c>
      <c r="E438" t="inlineStr">
        <is>
          <t>DEF</t>
        </is>
      </c>
      <c r="F438" t="inlineStr">
        <is>
          <t>DEF</t>
        </is>
      </c>
      <c r="G438" t="b">
        <v>1</v>
      </c>
      <c r="H438" s="2" t="n">
        <v>4</v>
      </c>
      <c r="I438" t="inlineStr">
        <is>
          <t>a</t>
        </is>
      </c>
      <c r="K438" s="2" t="n">
        <v>0</v>
      </c>
      <c r="L438" t="n">
        <v>0</v>
      </c>
      <c r="M438" s="3" t="n">
        <v>0</v>
      </c>
      <c r="N438" s="8" t="n">
        <v>0</v>
      </c>
      <c r="O438" s="8" t="n">
        <v>0</v>
      </c>
      <c r="Q438" t="inlineStr">
        <is>
          <t>flat</t>
        </is>
      </c>
      <c r="R438" s="6" t="n">
        <v>0</v>
      </c>
      <c r="S438" t="inlineStr">
        <is>
          <t>Solio</t>
        </is>
      </c>
      <c r="U438" s="6" t="n">
        <v>85</v>
      </c>
      <c r="V438" s="2" t="n"/>
      <c r="W438" s="7">
        <f>IF(N(U438)&lt;=0,0,MIN(Assumptions!$B$15,N(R438)/N(U438)))</f>
        <v/>
      </c>
      <c r="X438" s="6" t="n">
        <v>0.342</v>
      </c>
      <c r="Y438" s="3" t="n"/>
      <c r="Z438" t="inlineStr"/>
      <c r="AA438" s="3" t="n">
        <v>1</v>
      </c>
      <c r="AB438" s="3" t="n"/>
      <c r="AC438" s="3" t="n"/>
      <c r="AD438" s="3" t="n"/>
      <c r="AE438" s="3" t="n"/>
      <c r="AF438" s="3" t="n">
        <v>0</v>
      </c>
      <c r="AG438" s="3" t="n"/>
      <c r="AH438" s="3" t="n">
        <v>0</v>
      </c>
      <c r="AI438" s="3" t="n">
        <v>2.409</v>
      </c>
      <c r="AJ438" s="3" t="n">
        <v>1.1228</v>
      </c>
      <c r="AK438" s="3" t="n">
        <v>-0.2045226422080557</v>
      </c>
      <c r="AL438" s="6" t="n">
        <v>0</v>
      </c>
      <c r="AM438" s="3" t="n">
        <v>0</v>
      </c>
      <c r="AN438" s="3" t="n">
        <v>0</v>
      </c>
      <c r="AO438" s="3" t="n">
        <v>0</v>
      </c>
      <c r="AP438" s="3">
        <f>N(X438)*N(BI438)</f>
        <v/>
      </c>
      <c r="AQ438" s="3" t="n">
        <v>0</v>
      </c>
      <c r="AR438" s="3" t="n">
        <v>0</v>
      </c>
      <c r="AS438" s="3" t="n">
        <v>-0.3378660007281162</v>
      </c>
      <c r="AT438" s="3" t="n">
        <v>-0.2045226422080557</v>
      </c>
      <c r="AU438" s="3">
        <f>SUM(AN438:AT438)</f>
        <v/>
      </c>
      <c r="AV438" s="7">
        <f>IF(OR(N(W438)&lt;=0,N(BG438)=0),0,N(W438)*IF(N(R438)/N(W438)&gt;=60,N(BG438),1))</f>
        <v/>
      </c>
      <c r="AW438" s="7">
        <f>N(W438)*N(AF438)*N(BH438)</f>
        <v/>
      </c>
      <c r="AX438" s="7">
        <f>N(AL438)*(Assumptions!$B$13*N(BJ438)-(1-Assumptions!$B$13)*Assumptions!$B$14)+N(AM438)</f>
        <v/>
      </c>
      <c r="AY438" s="7">
        <f>N(AU438)*N(R438)/90+N(AV438)+N(AW438)+N(AX438)</f>
        <v/>
      </c>
      <c r="AZ438" s="3">
        <f>IF(N(R438)&lt;=0,0,(N(AY438)-N(AX438))*90/N(R438))</f>
        <v/>
      </c>
      <c r="BA438" s="7">
        <f>IFERROR(AY438-VLOOKUP($E438,Assumptions!$A$40:$C$43,3,FALSE),"")</f>
        <v/>
      </c>
      <c r="BB438" s="3">
        <f>IFERROR(BA438/H438,"")</f>
        <v/>
      </c>
      <c r="BC438">
        <f>IF(AND($G438=TRUE,$E438="GKP"),AY438,"")</f>
        <v/>
      </c>
      <c r="BD438">
        <f>IF(AND($G438=TRUE,$E438="DEF"),AY438,"")</f>
        <v/>
      </c>
      <c r="BE438">
        <f>IF(AND($G438=TRUE,$E438="MID"),AY438,"")</f>
        <v/>
      </c>
      <c r="BF438">
        <f>IF(AND($G438=TRUE,$E438="FWD"),AY438,"")</f>
        <v/>
      </c>
      <c r="BG438" t="n">
        <v>2</v>
      </c>
      <c r="BH438" t="n">
        <v>2</v>
      </c>
      <c r="BI438" t="n">
        <v>4</v>
      </c>
      <c r="BJ438" t="n">
        <v>6</v>
      </c>
    </row>
    <row r="439">
      <c r="A439" t="inlineStr">
        <is>
          <t>Nicolas Jackson</t>
        </is>
      </c>
      <c r="B439" t="inlineStr">
        <is>
          <t>CHE</t>
        </is>
      </c>
      <c r="C439" t="inlineStr">
        <is>
          <t>CHE</t>
        </is>
      </c>
      <c r="D439" t="b">
        <v>0</v>
      </c>
      <c r="E439" t="inlineStr">
        <is>
          <t>FWD</t>
        </is>
      </c>
      <c r="F439" t="inlineStr">
        <is>
          <t>FWD</t>
        </is>
      </c>
      <c r="G439" t="b">
        <v>1</v>
      </c>
      <c r="H439" s="2" t="n">
        <v>6.5</v>
      </c>
      <c r="I439" t="inlineStr">
        <is>
          <t>a</t>
        </is>
      </c>
      <c r="K439" s="2" t="n">
        <v>0</v>
      </c>
      <c r="L439" t="n">
        <v>0</v>
      </c>
      <c r="M439" s="3" t="n">
        <v>10</v>
      </c>
      <c r="N439" s="4" t="n">
        <v>0</v>
      </c>
      <c r="O439" s="4" t="n">
        <v>-10</v>
      </c>
      <c r="P439" s="5" t="inlineStr">
        <is>
          <t>medium</t>
        </is>
      </c>
      <c r="Q439" t="inlineStr">
        <is>
          <t>flat</t>
        </is>
      </c>
      <c r="R439" s="6" t="n">
        <v>0</v>
      </c>
      <c r="S439" t="inlineStr">
        <is>
          <t>research</t>
        </is>
      </c>
      <c r="T439" s="5" t="inlineStr">
        <is>
          <t>Named on Last Word on Football's 'unwanted list' after being left out of the final pre-season matchday squad entirely; the club has stated it expects further sales before the 1 September deadline and Chelsea must cut a 47-man squad down to a 25-man Premier League registration list.</t>
        </is>
      </c>
      <c r="U439" s="6" t="n">
        <v>85</v>
      </c>
      <c r="V439" s="2" t="n"/>
      <c r="W439" s="7">
        <f>IF(N(U439)&lt;=0,0,MIN(Assumptions!$B$15,N(R439)/N(U439)))</f>
        <v/>
      </c>
      <c r="X439" s="6" t="n">
        <v>0.322</v>
      </c>
      <c r="Y439" s="3" t="n"/>
      <c r="Z439" t="inlineStr"/>
      <c r="AA439" s="3" t="n">
        <v>1</v>
      </c>
      <c r="AB439" s="3" t="n"/>
      <c r="AC439" s="3" t="n"/>
      <c r="AD439" s="3" t="n"/>
      <c r="AE439" s="3" t="n"/>
      <c r="AF439" s="3" t="n">
        <v>0</v>
      </c>
      <c r="AG439" s="3" t="n"/>
      <c r="AH439" s="3" t="n">
        <v>0</v>
      </c>
      <c r="AI439" s="3" t="n">
        <v>2.4232</v>
      </c>
      <c r="AJ439" s="3" t="n">
        <v>1.1851</v>
      </c>
      <c r="AK439" s="3" t="n">
        <v>-0.2615526627267724</v>
      </c>
      <c r="AL439" s="6" t="n">
        <v>0</v>
      </c>
      <c r="AM439" s="3" t="n">
        <v>0</v>
      </c>
      <c r="AN439" s="3" t="n">
        <v>0</v>
      </c>
      <c r="AO439" s="3" t="n">
        <v>0</v>
      </c>
      <c r="AP439" s="3">
        <f>N(X439)*N(BI439)</f>
        <v/>
      </c>
      <c r="AQ439" s="3" t="n">
        <v>0</v>
      </c>
      <c r="AR439" s="3" t="n">
        <v>0</v>
      </c>
      <c r="AS439" s="3" t="n">
        <v>-0</v>
      </c>
      <c r="AT439" s="3" t="n">
        <v>-0.2615526627267724</v>
      </c>
      <c r="AU439" s="3">
        <f>SUM(AN439:AT439)</f>
        <v/>
      </c>
      <c r="AV439" s="7">
        <f>IF(OR(N(W439)&lt;=0,N(BG439)=0),0,N(W439)*IF(N(R439)/N(W439)&gt;=60,N(BG439),1))</f>
        <v/>
      </c>
      <c r="AW439" s="7">
        <f>N(W439)*N(AF439)*N(BH439)</f>
        <v/>
      </c>
      <c r="AX439" s="7">
        <f>N(AL439)*(Assumptions!$B$13*N(BJ439)-(1-Assumptions!$B$13)*Assumptions!$B$14)+N(AM439)</f>
        <v/>
      </c>
      <c r="AY439" s="7">
        <f>N(AU439)*N(R439)/90+N(AV439)+N(AW439)+N(AX439)</f>
        <v/>
      </c>
      <c r="AZ439" s="3">
        <f>IF(N(R439)&lt;=0,0,(N(AY439)-N(AX439))*90/N(R439))</f>
        <v/>
      </c>
      <c r="BA439" s="7">
        <f>IFERROR(AY439-VLOOKUP($E439,Assumptions!$A$40:$C$43,3,FALSE),"")</f>
        <v/>
      </c>
      <c r="BB439" s="3">
        <f>IFERROR(BA439/H439,"")</f>
        <v/>
      </c>
      <c r="BC439">
        <f>IF(AND($G439=TRUE,$E439="GKP"),AY439,"")</f>
        <v/>
      </c>
      <c r="BD439">
        <f>IF(AND($G439=TRUE,$E439="DEF"),AY439,"")</f>
        <v/>
      </c>
      <c r="BE439">
        <f>IF(AND($G439=TRUE,$E439="MID"),AY439,"")</f>
        <v/>
      </c>
      <c r="BF439">
        <f>IF(AND($G439=TRUE,$E439="FWD"),AY439,"")</f>
        <v/>
      </c>
      <c r="BG439" t="n">
        <v>2</v>
      </c>
      <c r="BH439" t="n">
        <v>2</v>
      </c>
      <c r="BI439" t="n">
        <v>0</v>
      </c>
      <c r="BJ439" t="n">
        <v>4</v>
      </c>
    </row>
    <row r="440">
      <c r="A440" t="inlineStr">
        <is>
          <t>Mateo Joseph Fernández-Regatillo</t>
        </is>
      </c>
      <c r="B440" t="inlineStr">
        <is>
          <t>LEE</t>
        </is>
      </c>
      <c r="C440" t="inlineStr">
        <is>
          <t>LEE</t>
        </is>
      </c>
      <c r="D440" t="b">
        <v>0</v>
      </c>
      <c r="E440" t="inlineStr">
        <is>
          <t>FWD</t>
        </is>
      </c>
      <c r="F440" t="inlineStr">
        <is>
          <t>FWD</t>
        </is>
      </c>
      <c r="G440" t="b">
        <v>1</v>
      </c>
      <c r="H440" s="2" t="n">
        <v>4.5</v>
      </c>
      <c r="I440" t="inlineStr">
        <is>
          <t>i</t>
        </is>
      </c>
      <c r="J440" t="inlineStr">
        <is>
          <t>Knee injury - Unknown return date</t>
        </is>
      </c>
      <c r="K440" s="2" t="n">
        <v>0</v>
      </c>
      <c r="L440" t="n">
        <v>0</v>
      </c>
      <c r="M440" s="3" t="n">
        <v>0</v>
      </c>
      <c r="N440" s="8" t="n">
        <v>0</v>
      </c>
      <c r="O440" s="8" t="n">
        <v>0</v>
      </c>
      <c r="Q440" t="inlineStr">
        <is>
          <t>flat</t>
        </is>
      </c>
      <c r="R440" s="6" t="n">
        <v>0</v>
      </c>
      <c r="S440" t="inlineStr">
        <is>
          <t>Solio</t>
        </is>
      </c>
      <c r="U440" s="6" t="n">
        <v>85</v>
      </c>
      <c r="V440" s="2" t="n"/>
      <c r="W440" s="7">
        <f>IF(N(U440)&lt;=0,0,MIN(Assumptions!$B$15,N(R440)/N(U440)))</f>
        <v/>
      </c>
      <c r="X440" s="6" t="n">
        <v>0.218</v>
      </c>
      <c r="Y440" s="3" t="n"/>
      <c r="Z440" t="inlineStr"/>
      <c r="AA440" s="3" t="n">
        <v>1</v>
      </c>
      <c r="AB440" s="3" t="n"/>
      <c r="AC440" s="3" t="n"/>
      <c r="AD440" s="3" t="n"/>
      <c r="AE440" s="3" t="n"/>
      <c r="AF440" s="3" t="n">
        <v>0</v>
      </c>
      <c r="AG440" s="3" t="n"/>
      <c r="AH440" s="3" t="n">
        <v>0</v>
      </c>
      <c r="AI440" s="3" t="n">
        <v>3.0611</v>
      </c>
      <c r="AJ440" s="3" t="n">
        <v>1.5875</v>
      </c>
      <c r="AK440" s="3" t="n">
        <v>-0.174691292596322</v>
      </c>
      <c r="AL440" s="6" t="n">
        <v>0</v>
      </c>
      <c r="AM440" s="3" t="n">
        <v>0</v>
      </c>
      <c r="AN440" s="3" t="n">
        <v>0</v>
      </c>
      <c r="AO440" s="3" t="n">
        <v>0</v>
      </c>
      <c r="AP440" s="3">
        <f>N(X440)*N(BI440)</f>
        <v/>
      </c>
      <c r="AQ440" s="3" t="n">
        <v>0</v>
      </c>
      <c r="AR440" s="3" t="n">
        <v>0</v>
      </c>
      <c r="AS440" s="3" t="n">
        <v>-0</v>
      </c>
      <c r="AT440" s="3" t="n">
        <v>-0.174691292596322</v>
      </c>
      <c r="AU440" s="3">
        <f>SUM(AN440:AT440)</f>
        <v/>
      </c>
      <c r="AV440" s="7">
        <f>IF(OR(N(W440)&lt;=0,N(BG440)=0),0,N(W440)*IF(N(R440)/N(W440)&gt;=60,N(BG440),1))</f>
        <v/>
      </c>
      <c r="AW440" s="7">
        <f>N(W440)*N(AF440)*N(BH440)</f>
        <v/>
      </c>
      <c r="AX440" s="7">
        <f>N(AL440)*(Assumptions!$B$13*N(BJ440)-(1-Assumptions!$B$13)*Assumptions!$B$14)+N(AM440)</f>
        <v/>
      </c>
      <c r="AY440" s="7">
        <f>N(AU440)*N(R440)/90+N(AV440)+N(AW440)+N(AX440)</f>
        <v/>
      </c>
      <c r="AZ440" s="3">
        <f>IF(N(R440)&lt;=0,0,(N(AY440)-N(AX440))*90/N(R440))</f>
        <v/>
      </c>
      <c r="BA440" s="7">
        <f>IFERROR(AY440-VLOOKUP($E440,Assumptions!$A$40:$C$43,3,FALSE),"")</f>
        <v/>
      </c>
      <c r="BB440" s="3">
        <f>IFERROR(BA440/H440,"")</f>
        <v/>
      </c>
      <c r="BC440">
        <f>IF(AND($G440=TRUE,$E440="GKP"),AY440,"")</f>
        <v/>
      </c>
      <c r="BD440">
        <f>IF(AND($G440=TRUE,$E440="DEF"),AY440,"")</f>
        <v/>
      </c>
      <c r="BE440">
        <f>IF(AND($G440=TRUE,$E440="MID"),AY440,"")</f>
        <v/>
      </c>
      <c r="BF440">
        <f>IF(AND($G440=TRUE,$E440="FWD"),AY440,"")</f>
        <v/>
      </c>
      <c r="BG440" t="n">
        <v>2</v>
      </c>
      <c r="BH440" t="n">
        <v>2</v>
      </c>
      <c r="BI440" t="n">
        <v>0</v>
      </c>
      <c r="BJ440" t="n">
        <v>4</v>
      </c>
    </row>
    <row r="441">
      <c r="A441" t="inlineStr">
        <is>
          <t>Kim Ji-soo</t>
        </is>
      </c>
      <c r="B441" t="inlineStr">
        <is>
          <t>BRE</t>
        </is>
      </c>
      <c r="C441" t="inlineStr">
        <is>
          <t>BRE</t>
        </is>
      </c>
      <c r="D441" t="b">
        <v>0</v>
      </c>
      <c r="E441" t="inlineStr">
        <is>
          <t>DEF</t>
        </is>
      </c>
      <c r="F441" t="inlineStr">
        <is>
          <t>DEF</t>
        </is>
      </c>
      <c r="G441" t="b">
        <v>1</v>
      </c>
      <c r="H441" s="2" t="n">
        <v>4.5</v>
      </c>
      <c r="I441" t="inlineStr">
        <is>
          <t>a</t>
        </is>
      </c>
      <c r="K441" s="2" t="n">
        <v>0</v>
      </c>
      <c r="L441" t="n">
        <v>0</v>
      </c>
      <c r="M441" s="3" t="n">
        <v>0</v>
      </c>
      <c r="N441" s="8" t="n">
        <v>0</v>
      </c>
      <c r="O441" s="8" t="n">
        <v>0</v>
      </c>
      <c r="Q441" t="inlineStr">
        <is>
          <t>flat</t>
        </is>
      </c>
      <c r="R441" s="6" t="n">
        <v>0</v>
      </c>
      <c r="S441" t="inlineStr">
        <is>
          <t>Solio</t>
        </is>
      </c>
      <c r="U441" s="6" t="n">
        <v>85</v>
      </c>
      <c r="V441" s="2" t="n"/>
      <c r="W441" s="7">
        <f>IF(N(U441)&lt;=0,0,MIN(Assumptions!$B$15,N(R441)/N(U441)))</f>
        <v/>
      </c>
      <c r="X441" s="6" t="n">
        <v>0.228</v>
      </c>
      <c r="Y441" s="3" t="n"/>
      <c r="Z441" t="inlineStr"/>
      <c r="AA441" s="3" t="n">
        <v>1</v>
      </c>
      <c r="AB441" s="3" t="n"/>
      <c r="AC441" s="3" t="n"/>
      <c r="AD441" s="3" t="n"/>
      <c r="AE441" s="3" t="n"/>
      <c r="AF441" s="3" t="n">
        <v>0</v>
      </c>
      <c r="AG441" s="3" t="n"/>
      <c r="AH441" s="3" t="n">
        <v>0</v>
      </c>
      <c r="AI441" s="3" t="n">
        <v>3.2371</v>
      </c>
      <c r="AJ441" s="3" t="n">
        <v>1.5396</v>
      </c>
      <c r="AK441" s="3" t="n">
        <v>-0.2024085315768018</v>
      </c>
      <c r="AL441" s="6" t="n">
        <v>0</v>
      </c>
      <c r="AM441" s="3" t="n">
        <v>0</v>
      </c>
      <c r="AN441" s="3" t="n">
        <v>0</v>
      </c>
      <c r="AO441" s="3" t="n">
        <v>0</v>
      </c>
      <c r="AP441" s="3">
        <f>N(X441)*N(BI441)</f>
        <v/>
      </c>
      <c r="AQ441" s="3" t="n">
        <v>0</v>
      </c>
      <c r="AR441" s="3" t="n">
        <v>0</v>
      </c>
      <c r="AS441" s="3" t="n">
        <v>-0.5312990096912251</v>
      </c>
      <c r="AT441" s="3" t="n">
        <v>-0.2024085315768018</v>
      </c>
      <c r="AU441" s="3">
        <f>SUM(AN441:AT441)</f>
        <v/>
      </c>
      <c r="AV441" s="7">
        <f>IF(OR(N(W441)&lt;=0,N(BG441)=0),0,N(W441)*IF(N(R441)/N(W441)&gt;=60,N(BG441),1))</f>
        <v/>
      </c>
      <c r="AW441" s="7">
        <f>N(W441)*N(AF441)*N(BH441)</f>
        <v/>
      </c>
      <c r="AX441" s="7">
        <f>N(AL441)*(Assumptions!$B$13*N(BJ441)-(1-Assumptions!$B$13)*Assumptions!$B$14)+N(AM441)</f>
        <v/>
      </c>
      <c r="AY441" s="7">
        <f>N(AU441)*N(R441)/90+N(AV441)+N(AW441)+N(AX441)</f>
        <v/>
      </c>
      <c r="AZ441" s="3">
        <f>IF(N(R441)&lt;=0,0,(N(AY441)-N(AX441))*90/N(R441))</f>
        <v/>
      </c>
      <c r="BA441" s="7">
        <f>IFERROR(AY441-VLOOKUP($E441,Assumptions!$A$40:$C$43,3,FALSE),"")</f>
        <v/>
      </c>
      <c r="BB441" s="3">
        <f>IFERROR(BA441/H441,"")</f>
        <v/>
      </c>
      <c r="BC441">
        <f>IF(AND($G441=TRUE,$E441="GKP"),AY441,"")</f>
        <v/>
      </c>
      <c r="BD441">
        <f>IF(AND($G441=TRUE,$E441="DEF"),AY441,"")</f>
        <v/>
      </c>
      <c r="BE441">
        <f>IF(AND($G441=TRUE,$E441="MID"),AY441,"")</f>
        <v/>
      </c>
      <c r="BF441">
        <f>IF(AND($G441=TRUE,$E441="FWD"),AY441,"")</f>
        <v/>
      </c>
      <c r="BG441" t="n">
        <v>2</v>
      </c>
      <c r="BH441" t="n">
        <v>2</v>
      </c>
      <c r="BI441" t="n">
        <v>4</v>
      </c>
      <c r="BJ441" t="n">
        <v>6</v>
      </c>
    </row>
    <row r="442">
      <c r="A442" t="inlineStr">
        <is>
          <t>Alfie McNally</t>
        </is>
      </c>
      <c r="B442" t="inlineStr">
        <is>
          <t>FUL</t>
        </is>
      </c>
      <c r="C442" t="inlineStr">
        <is>
          <t>FUL</t>
        </is>
      </c>
      <c r="D442" t="b">
        <v>0</v>
      </c>
      <c r="E442" t="inlineStr">
        <is>
          <t>GKP</t>
        </is>
      </c>
      <c r="F442" t="inlineStr">
        <is>
          <t>GKP</t>
        </is>
      </c>
      <c r="G442" t="b">
        <v>1</v>
      </c>
      <c r="H442" s="2" t="n">
        <v>4</v>
      </c>
      <c r="I442" t="inlineStr">
        <is>
          <t>a</t>
        </is>
      </c>
      <c r="K442" s="2" t="n">
        <v>0</v>
      </c>
      <c r="L442" t="n">
        <v>0</v>
      </c>
      <c r="M442" s="3" t="n">
        <v>0</v>
      </c>
      <c r="N442" s="8" t="n">
        <v>0</v>
      </c>
      <c r="O442" s="8" t="n">
        <v>0</v>
      </c>
      <c r="Q442" t="inlineStr">
        <is>
          <t>flat</t>
        </is>
      </c>
      <c r="R442" s="6" t="n">
        <v>0</v>
      </c>
      <c r="S442" t="inlineStr">
        <is>
          <t>Solio</t>
        </is>
      </c>
      <c r="U442" s="6" t="n">
        <v>85</v>
      </c>
      <c r="V442" s="2" t="n"/>
      <c r="W442" s="7">
        <f>IF(N(U442)&lt;=0,0,MIN(Assumptions!$B$15,N(R442)/N(U442)))</f>
        <v/>
      </c>
      <c r="X442" s="6" t="n">
        <v>0.214</v>
      </c>
      <c r="Y442" s="3" t="n"/>
      <c r="Z442" t="inlineStr"/>
      <c r="AA442" s="3" t="n">
        <v>1</v>
      </c>
      <c r="AB442" s="3" t="n"/>
      <c r="AC442" s="3" t="n"/>
      <c r="AD442" s="3" t="n"/>
      <c r="AE442" s="3" t="n">
        <v>0</v>
      </c>
      <c r="AF442" s="3" t="n">
        <v>0</v>
      </c>
      <c r="AG442" s="3" t="n"/>
      <c r="AH442" s="3" t="n">
        <v>0</v>
      </c>
      <c r="AI442" s="3" t="n">
        <v>3.22</v>
      </c>
      <c r="AJ442" s="3" t="n">
        <v>1.6019</v>
      </c>
      <c r="AK442" s="3" t="n">
        <v>-0.0763216474948735</v>
      </c>
      <c r="AL442" s="6" t="n">
        <v>0</v>
      </c>
      <c r="AM442" s="3" t="n">
        <v>0</v>
      </c>
      <c r="AN442" s="3" t="n">
        <v>0</v>
      </c>
      <c r="AO442" s="3" t="n">
        <v>0</v>
      </c>
      <c r="AP442" s="3">
        <f>N(X442)*N(BI442)</f>
        <v/>
      </c>
      <c r="AQ442" s="3" t="n">
        <v>0</v>
      </c>
      <c r="AR442" s="3" t="n">
        <v>0.7380333201454712</v>
      </c>
      <c r="AS442" s="3" t="n">
        <v>-0.5611019003833156</v>
      </c>
      <c r="AT442" s="3" t="n">
        <v>-0.0763216474948735</v>
      </c>
      <c r="AU442" s="3">
        <f>SUM(AN442:AT442)</f>
        <v/>
      </c>
      <c r="AV442" s="7">
        <f>IF(OR(N(W442)&lt;=0,N(BG442)=0),0,N(W442)*IF(N(R442)/N(W442)&gt;=60,N(BG442),1))</f>
        <v/>
      </c>
      <c r="AW442" s="7">
        <f>N(W442)*N(AF442)*N(BH442)</f>
        <v/>
      </c>
      <c r="AX442" s="7">
        <f>N(AL442)*(Assumptions!$B$13*N(BJ442)-(1-Assumptions!$B$13)*Assumptions!$B$14)+N(AM442)</f>
        <v/>
      </c>
      <c r="AY442" s="7">
        <f>N(AU442)*N(R442)/90+N(AV442)+N(AW442)+N(AX442)</f>
        <v/>
      </c>
      <c r="AZ442" s="3">
        <f>IF(N(R442)&lt;=0,0,(N(AY442)-N(AX442))*90/N(R442))</f>
        <v/>
      </c>
      <c r="BA442" s="7">
        <f>IFERROR(AY442-VLOOKUP($E442,Assumptions!$A$40:$C$43,3,FALSE),"")</f>
        <v/>
      </c>
      <c r="BB442" s="3">
        <f>IFERROR(BA442/H442,"")</f>
        <v/>
      </c>
      <c r="BC442">
        <f>IF(AND($G442=TRUE,$E442="GKP"),AY442,"")</f>
        <v/>
      </c>
      <c r="BD442">
        <f>IF(AND($G442=TRUE,$E442="DEF"),AY442,"")</f>
        <v/>
      </c>
      <c r="BE442">
        <f>IF(AND($G442=TRUE,$E442="MID"),AY442,"")</f>
        <v/>
      </c>
      <c r="BF442">
        <f>IF(AND($G442=TRUE,$E442="FWD"),AY442,"")</f>
        <v/>
      </c>
      <c r="BG442" t="n">
        <v>2</v>
      </c>
      <c r="BH442" t="n">
        <v>0</v>
      </c>
      <c r="BI442" t="n">
        <v>4</v>
      </c>
      <c r="BJ442" t="n">
        <v>10</v>
      </c>
    </row>
    <row r="443">
      <c r="A443" t="inlineStr">
        <is>
          <t>Jayden Danns</t>
        </is>
      </c>
      <c r="B443" t="inlineStr">
        <is>
          <t>LIV</t>
        </is>
      </c>
      <c r="C443" t="inlineStr">
        <is>
          <t>LIV</t>
        </is>
      </c>
      <c r="D443" t="b">
        <v>0</v>
      </c>
      <c r="E443" t="inlineStr">
        <is>
          <t>FWD</t>
        </is>
      </c>
      <c r="F443" t="inlineStr">
        <is>
          <t>FWD</t>
        </is>
      </c>
      <c r="G443" t="b">
        <v>1</v>
      </c>
      <c r="H443" s="2" t="n">
        <v>4.5</v>
      </c>
      <c r="I443" t="inlineStr">
        <is>
          <t>i</t>
        </is>
      </c>
      <c r="J443" t="inlineStr">
        <is>
          <t>Unspecified injury - Unknown return date</t>
        </is>
      </c>
      <c r="K443" s="2" t="n">
        <v>0</v>
      </c>
      <c r="L443" t="n">
        <v>0</v>
      </c>
      <c r="M443" s="3" t="n">
        <v>0</v>
      </c>
      <c r="N443" s="8" t="n">
        <v>0</v>
      </c>
      <c r="O443" s="8" t="n">
        <v>0</v>
      </c>
      <c r="Q443" t="inlineStr">
        <is>
          <t>flat</t>
        </is>
      </c>
      <c r="R443" s="6" t="n">
        <v>0</v>
      </c>
      <c r="S443" t="inlineStr">
        <is>
          <t>Solio</t>
        </is>
      </c>
      <c r="U443" s="6" t="n">
        <v>85</v>
      </c>
      <c r="V443" s="2" t="n"/>
      <c r="W443" s="7">
        <f>IF(N(U443)&lt;=0,0,MIN(Assumptions!$B$15,N(R443)/N(U443)))</f>
        <v/>
      </c>
      <c r="X443" s="6" t="n">
        <v>0.342</v>
      </c>
      <c r="Y443" s="3" t="n"/>
      <c r="Z443" t="inlineStr"/>
      <c r="AA443" s="3" t="n">
        <v>1</v>
      </c>
      <c r="AB443" s="3" t="n"/>
      <c r="AC443" s="3" t="n"/>
      <c r="AD443" s="3" t="n"/>
      <c r="AE443" s="3" t="n"/>
      <c r="AF443" s="3" t="n">
        <v>0</v>
      </c>
      <c r="AG443" s="3" t="n"/>
      <c r="AH443" s="3" t="n">
        <v>0</v>
      </c>
      <c r="AI443" s="3" t="n">
        <v>2.409</v>
      </c>
      <c r="AJ443" s="3" t="n">
        <v>1.1228</v>
      </c>
      <c r="AK443" s="3" t="n">
        <v>-0.1985489867524817</v>
      </c>
      <c r="AL443" s="6" t="n">
        <v>0</v>
      </c>
      <c r="AM443" s="3" t="n">
        <v>0</v>
      </c>
      <c r="AN443" s="3" t="n">
        <v>0</v>
      </c>
      <c r="AO443" s="3" t="n">
        <v>0</v>
      </c>
      <c r="AP443" s="3">
        <f>N(X443)*N(BI443)</f>
        <v/>
      </c>
      <c r="AQ443" s="3" t="n">
        <v>0</v>
      </c>
      <c r="AR443" s="3" t="n">
        <v>0</v>
      </c>
      <c r="AS443" s="3" t="n">
        <v>-0</v>
      </c>
      <c r="AT443" s="3" t="n">
        <v>-0.1985489867524817</v>
      </c>
      <c r="AU443" s="3">
        <f>SUM(AN443:AT443)</f>
        <v/>
      </c>
      <c r="AV443" s="7">
        <f>IF(OR(N(W443)&lt;=0,N(BG443)=0),0,N(W443)*IF(N(R443)/N(W443)&gt;=60,N(BG443),1))</f>
        <v/>
      </c>
      <c r="AW443" s="7">
        <f>N(W443)*N(AF443)*N(BH443)</f>
        <v/>
      </c>
      <c r="AX443" s="7">
        <f>N(AL443)*(Assumptions!$B$13*N(BJ443)-(1-Assumptions!$B$13)*Assumptions!$B$14)+N(AM443)</f>
        <v/>
      </c>
      <c r="AY443" s="7">
        <f>N(AU443)*N(R443)/90+N(AV443)+N(AW443)+N(AX443)</f>
        <v/>
      </c>
      <c r="AZ443" s="3">
        <f>IF(N(R443)&lt;=0,0,(N(AY443)-N(AX443))*90/N(R443))</f>
        <v/>
      </c>
      <c r="BA443" s="7">
        <f>IFERROR(AY443-VLOOKUP($E443,Assumptions!$A$40:$C$43,3,FALSE),"")</f>
        <v/>
      </c>
      <c r="BB443" s="3">
        <f>IFERROR(BA443/H443,"")</f>
        <v/>
      </c>
      <c r="BC443">
        <f>IF(AND($G443=TRUE,$E443="GKP"),AY443,"")</f>
        <v/>
      </c>
      <c r="BD443">
        <f>IF(AND($G443=TRUE,$E443="DEF"),AY443,"")</f>
        <v/>
      </c>
      <c r="BE443">
        <f>IF(AND($G443=TRUE,$E443="MID"),AY443,"")</f>
        <v/>
      </c>
      <c r="BF443">
        <f>IF(AND($G443=TRUE,$E443="FWD"),AY443,"")</f>
        <v/>
      </c>
      <c r="BG443" t="n">
        <v>2</v>
      </c>
      <c r="BH443" t="n">
        <v>2</v>
      </c>
      <c r="BI443" t="n">
        <v>0</v>
      </c>
      <c r="BJ443" t="n">
        <v>4</v>
      </c>
    </row>
    <row r="444">
      <c r="A444" t="inlineStr">
        <is>
          <t>Claudio Echeverri</t>
        </is>
      </c>
      <c r="B444" t="inlineStr">
        <is>
          <t>MCI</t>
        </is>
      </c>
      <c r="C444" t="inlineStr">
        <is>
          <t>MCI</t>
        </is>
      </c>
      <c r="D444" t="b">
        <v>0</v>
      </c>
      <c r="E444" t="inlineStr">
        <is>
          <t>MID</t>
        </is>
      </c>
      <c r="F444" t="inlineStr">
        <is>
          <t>MID</t>
        </is>
      </c>
      <c r="G444" t="b">
        <v>1</v>
      </c>
      <c r="H444" s="2" t="n">
        <v>5</v>
      </c>
      <c r="I444" t="inlineStr">
        <is>
          <t>a</t>
        </is>
      </c>
      <c r="K444" s="2" t="n">
        <v>0</v>
      </c>
      <c r="L444" t="n">
        <v>0</v>
      </c>
      <c r="M444" s="3" t="n">
        <v>0</v>
      </c>
      <c r="N444" s="8" t="n">
        <v>0</v>
      </c>
      <c r="O444" s="8" t="n">
        <v>0</v>
      </c>
      <c r="Q444" t="inlineStr">
        <is>
          <t>flat</t>
        </is>
      </c>
      <c r="R444" s="6" t="n">
        <v>0</v>
      </c>
      <c r="S444" t="inlineStr">
        <is>
          <t>Solio</t>
        </is>
      </c>
      <c r="U444" s="6" t="n">
        <v>85</v>
      </c>
      <c r="V444" s="2" t="n"/>
      <c r="W444" s="7">
        <f>IF(N(U444)&lt;=0,0,MIN(Assumptions!$B$15,N(R444)/N(U444)))</f>
        <v/>
      </c>
      <c r="X444" s="6" t="n">
        <v>0.371</v>
      </c>
      <c r="Y444" s="3" t="n"/>
      <c r="Z444" t="inlineStr"/>
      <c r="AA444" s="3" t="n">
        <v>1</v>
      </c>
      <c r="AB444" s="3" t="n"/>
      <c r="AC444" s="3" t="n"/>
      <c r="AD444" s="3" t="n"/>
      <c r="AE444" s="3" t="n"/>
      <c r="AF444" s="3" t="n">
        <v>0</v>
      </c>
      <c r="AG444" s="3" t="n"/>
      <c r="AH444" s="3" t="n">
        <v>0</v>
      </c>
      <c r="AI444" s="3" t="n">
        <v>1.9737</v>
      </c>
      <c r="AJ444" s="3" t="n">
        <v>1.0365</v>
      </c>
      <c r="AK444" s="3" t="n">
        <v>-0.2156288455209739</v>
      </c>
      <c r="AL444" s="6" t="n">
        <v>0</v>
      </c>
      <c r="AM444" s="3" t="n">
        <v>0</v>
      </c>
      <c r="AN444" s="3" t="n">
        <v>0</v>
      </c>
      <c r="AO444" s="3" t="n">
        <v>0</v>
      </c>
      <c r="AP444" s="3">
        <f>N(X444)*N(BI444)</f>
        <v/>
      </c>
      <c r="AQ444" s="3" t="n">
        <v>0</v>
      </c>
      <c r="AR444" s="3" t="n">
        <v>0</v>
      </c>
      <c r="AS444" s="3" t="n">
        <v>-0</v>
      </c>
      <c r="AT444" s="3" t="n">
        <v>-0.2156288455209739</v>
      </c>
      <c r="AU444" s="3">
        <f>SUM(AN444:AT444)</f>
        <v/>
      </c>
      <c r="AV444" s="7">
        <f>IF(OR(N(W444)&lt;=0,N(BG444)=0),0,N(W444)*IF(N(R444)/N(W444)&gt;=60,N(BG444),1))</f>
        <v/>
      </c>
      <c r="AW444" s="7">
        <f>N(W444)*N(AF444)*N(BH444)</f>
        <v/>
      </c>
      <c r="AX444" s="7">
        <f>N(AL444)*(Assumptions!$B$13*N(BJ444)-(1-Assumptions!$B$13)*Assumptions!$B$14)+N(AM444)</f>
        <v/>
      </c>
      <c r="AY444" s="7">
        <f>N(AU444)*N(R444)/90+N(AV444)+N(AW444)+N(AX444)</f>
        <v/>
      </c>
      <c r="AZ444" s="3">
        <f>IF(N(R444)&lt;=0,0,(N(AY444)-N(AX444))*90/N(R444))</f>
        <v/>
      </c>
      <c r="BA444" s="7">
        <f>IFERROR(AY444-VLOOKUP($E444,Assumptions!$A$40:$C$43,3,FALSE),"")</f>
        <v/>
      </c>
      <c r="BB444" s="3">
        <f>IFERROR(BA444/H444,"")</f>
        <v/>
      </c>
      <c r="BC444">
        <f>IF(AND($G444=TRUE,$E444="GKP"),AY444,"")</f>
        <v/>
      </c>
      <c r="BD444">
        <f>IF(AND($G444=TRUE,$E444="DEF"),AY444,"")</f>
        <v/>
      </c>
      <c r="BE444">
        <f>IF(AND($G444=TRUE,$E444="MID"),AY444,"")</f>
        <v/>
      </c>
      <c r="BF444">
        <f>IF(AND($G444=TRUE,$E444="FWD"),AY444,"")</f>
        <v/>
      </c>
      <c r="BG444" t="n">
        <v>2</v>
      </c>
      <c r="BH444" t="n">
        <v>2</v>
      </c>
      <c r="BI444" t="n">
        <v>1</v>
      </c>
      <c r="BJ444" t="n">
        <v>5</v>
      </c>
    </row>
    <row r="445">
      <c r="A445" t="inlineStr">
        <is>
          <t>Mikey Moore</t>
        </is>
      </c>
      <c r="B445" t="inlineStr">
        <is>
          <t>TOT</t>
        </is>
      </c>
      <c r="C445" t="inlineStr">
        <is>
          <t>TOT</t>
        </is>
      </c>
      <c r="D445" t="b">
        <v>0</v>
      </c>
      <c r="E445" t="inlineStr">
        <is>
          <t>MID</t>
        </is>
      </c>
      <c r="F445" t="inlineStr">
        <is>
          <t>MID</t>
        </is>
      </c>
      <c r="G445" t="b">
        <v>1</v>
      </c>
      <c r="H445" s="2" t="n">
        <v>5</v>
      </c>
      <c r="I445" t="inlineStr">
        <is>
          <t>a</t>
        </is>
      </c>
      <c r="K445" s="2" t="n">
        <v>0</v>
      </c>
      <c r="L445" t="n">
        <v>0</v>
      </c>
      <c r="M445" s="3" t="n">
        <v>0</v>
      </c>
      <c r="N445" s="8" t="n">
        <v>0</v>
      </c>
      <c r="O445" s="8" t="n">
        <v>0</v>
      </c>
      <c r="Q445" t="inlineStr">
        <is>
          <t>flat</t>
        </is>
      </c>
      <c r="R445" s="6" t="n">
        <v>0</v>
      </c>
      <c r="S445" t="inlineStr">
        <is>
          <t>Solio</t>
        </is>
      </c>
      <c r="U445" s="6" t="n">
        <v>85</v>
      </c>
      <c r="V445" s="2" t="n"/>
      <c r="W445" s="7">
        <f>IF(N(U445)&lt;=0,0,MIN(Assumptions!$B$15,N(R445)/N(U445)))</f>
        <v/>
      </c>
      <c r="X445" s="6" t="n">
        <v>0.286</v>
      </c>
      <c r="Y445" s="3" t="n"/>
      <c r="Z445" t="inlineStr"/>
      <c r="AA445" s="3" t="n">
        <v>1</v>
      </c>
      <c r="AB445" s="3" t="n"/>
      <c r="AC445" s="3" t="n"/>
      <c r="AD445" s="3" t="n"/>
      <c r="AE445" s="3" t="n"/>
      <c r="AF445" s="3" t="n">
        <v>0</v>
      </c>
      <c r="AG445" s="3" t="n"/>
      <c r="AH445" s="3" t="n">
        <v>0</v>
      </c>
      <c r="AI445" s="3" t="n">
        <v>2.5739</v>
      </c>
      <c r="AJ445" s="3" t="n">
        <v>1.3096</v>
      </c>
      <c r="AK445" s="3" t="n">
        <v>-0.1899707836076616</v>
      </c>
      <c r="AL445" s="6" t="n">
        <v>0</v>
      </c>
      <c r="AM445" s="3" t="n">
        <v>0</v>
      </c>
      <c r="AN445" s="3" t="n">
        <v>0</v>
      </c>
      <c r="AO445" s="3" t="n">
        <v>0</v>
      </c>
      <c r="AP445" s="3">
        <f>N(X445)*N(BI445)</f>
        <v/>
      </c>
      <c r="AQ445" s="3" t="n">
        <v>0</v>
      </c>
      <c r="AR445" s="3" t="n">
        <v>0</v>
      </c>
      <c r="AS445" s="3" t="n">
        <v>-0</v>
      </c>
      <c r="AT445" s="3" t="n">
        <v>-0.1899707836076616</v>
      </c>
      <c r="AU445" s="3">
        <f>SUM(AN445:AT445)</f>
        <v/>
      </c>
      <c r="AV445" s="7">
        <f>IF(OR(N(W445)&lt;=0,N(BG445)=0),0,N(W445)*IF(N(R445)/N(W445)&gt;=60,N(BG445),1))</f>
        <v/>
      </c>
      <c r="AW445" s="7">
        <f>N(W445)*N(AF445)*N(BH445)</f>
        <v/>
      </c>
      <c r="AX445" s="7">
        <f>N(AL445)*(Assumptions!$B$13*N(BJ445)-(1-Assumptions!$B$13)*Assumptions!$B$14)+N(AM445)</f>
        <v/>
      </c>
      <c r="AY445" s="7">
        <f>N(AU445)*N(R445)/90+N(AV445)+N(AW445)+N(AX445)</f>
        <v/>
      </c>
      <c r="AZ445" s="3">
        <f>IF(N(R445)&lt;=0,0,(N(AY445)-N(AX445))*90/N(R445))</f>
        <v/>
      </c>
      <c r="BA445" s="7">
        <f>IFERROR(AY445-VLOOKUP($E445,Assumptions!$A$40:$C$43,3,FALSE),"")</f>
        <v/>
      </c>
      <c r="BB445" s="3">
        <f>IFERROR(BA445/H445,"")</f>
        <v/>
      </c>
      <c r="BC445">
        <f>IF(AND($G445=TRUE,$E445="GKP"),AY445,"")</f>
        <v/>
      </c>
      <c r="BD445">
        <f>IF(AND($G445=TRUE,$E445="DEF"),AY445,"")</f>
        <v/>
      </c>
      <c r="BE445">
        <f>IF(AND($G445=TRUE,$E445="MID"),AY445,"")</f>
        <v/>
      </c>
      <c r="BF445">
        <f>IF(AND($G445=TRUE,$E445="FWD"),AY445,"")</f>
        <v/>
      </c>
      <c r="BG445" t="n">
        <v>2</v>
      </c>
      <c r="BH445" t="n">
        <v>2</v>
      </c>
      <c r="BI445" t="n">
        <v>1</v>
      </c>
      <c r="BJ445" t="n">
        <v>5</v>
      </c>
    </row>
    <row r="446">
      <c r="A446" t="inlineStr">
        <is>
          <t>Adam Aznou</t>
        </is>
      </c>
      <c r="B446" t="inlineStr">
        <is>
          <t>EVE</t>
        </is>
      </c>
      <c r="C446" t="inlineStr">
        <is>
          <t>EVE</t>
        </is>
      </c>
      <c r="D446" t="b">
        <v>0</v>
      </c>
      <c r="E446" t="inlineStr">
        <is>
          <t>DEF</t>
        </is>
      </c>
      <c r="F446" t="inlineStr">
        <is>
          <t>DEF</t>
        </is>
      </c>
      <c r="G446" t="b">
        <v>1</v>
      </c>
      <c r="H446" s="2" t="n">
        <v>4</v>
      </c>
      <c r="I446" t="inlineStr">
        <is>
          <t>a</t>
        </is>
      </c>
      <c r="K446" s="2" t="n">
        <v>0</v>
      </c>
      <c r="L446" t="n">
        <v>0</v>
      </c>
      <c r="M446" s="3" t="n">
        <v>0</v>
      </c>
      <c r="N446" s="4" t="n">
        <v>700</v>
      </c>
      <c r="O446" s="4" t="n">
        <v>700</v>
      </c>
      <c r="P446" s="5" t="inlineStr">
        <is>
          <t>medium</t>
        </is>
      </c>
      <c r="Q446" t="inlineStr">
        <is>
          <t>flat</t>
        </is>
      </c>
      <c r="R446" s="6" t="n">
        <v>700</v>
      </c>
      <c r="S446" t="inlineStr">
        <is>
          <t>research</t>
        </is>
      </c>
      <c r="T446" s="5" t="inlineStr">
        <is>
          <t>Solio has him at zero. Read Everton's transfer tracker on 15 August states he has ruled out a summer loan - despite reported PSV interest - and is 'preparing to compete with Vitaliy Mykolenko for the left-back position' after impressing in pre-season. He was among the substitutes for both the Newcastle (12 Aug) and Lille (15 Aug) friendlies. Zero minutes for a fit, retained, matchday-squad left-back who is the only cover at the position is wrong regardless of whether he wins the shirt.</t>
        </is>
      </c>
      <c r="U446" s="6" t="n">
        <v>85</v>
      </c>
      <c r="V446" s="2" t="n"/>
      <c r="W446" s="7">
        <f>IF(N(U446)&lt;=0,0,MIN(Assumptions!$B$15,N(R446)/N(U446)))</f>
        <v/>
      </c>
      <c r="X446" s="6" t="n">
        <v>0.231</v>
      </c>
      <c r="Y446" s="3" t="n"/>
      <c r="Z446" t="inlineStr"/>
      <c r="AA446" s="3" t="n">
        <v>1</v>
      </c>
      <c r="AB446" s="3" t="n"/>
      <c r="AC446" s="3" t="n"/>
      <c r="AD446" s="3" t="n"/>
      <c r="AE446" s="3" t="n"/>
      <c r="AF446" s="3" t="n">
        <v>0</v>
      </c>
      <c r="AG446" s="3" t="n"/>
      <c r="AH446" s="3" t="n">
        <v>0</v>
      </c>
      <c r="AI446" s="3" t="n">
        <v>3.0311</v>
      </c>
      <c r="AJ446" s="3" t="n">
        <v>1.5252</v>
      </c>
      <c r="AK446" s="3" t="n">
        <v>-0.2045226422080557</v>
      </c>
      <c r="AL446" s="6" t="n">
        <v>0</v>
      </c>
      <c r="AM446" s="3" t="n">
        <v>0</v>
      </c>
      <c r="AN446" s="3" t="n">
        <v>0</v>
      </c>
      <c r="AO446" s="3" t="n">
        <v>0</v>
      </c>
      <c r="AP446" s="3">
        <f>N(X446)*N(BI446)</f>
        <v/>
      </c>
      <c r="AQ446" s="3" t="n">
        <v>0</v>
      </c>
      <c r="AR446" s="3" t="n">
        <v>0</v>
      </c>
      <c r="AS446" s="3" t="n">
        <v>-0.524434996152324</v>
      </c>
      <c r="AT446" s="3" t="n">
        <v>-0.2045226422080557</v>
      </c>
      <c r="AU446" s="3">
        <f>SUM(AN446:AT446)</f>
        <v/>
      </c>
      <c r="AV446" s="7">
        <f>IF(OR(N(W446)&lt;=0,N(BG446)=0),0,N(W446)*IF(N(R446)/N(W446)&gt;=60,N(BG446),1))</f>
        <v/>
      </c>
      <c r="AW446" s="7">
        <f>N(W446)*N(AF446)*N(BH446)</f>
        <v/>
      </c>
      <c r="AX446" s="7">
        <f>N(AL446)*(Assumptions!$B$13*N(BJ446)-(1-Assumptions!$B$13)*Assumptions!$B$14)+N(AM446)</f>
        <v/>
      </c>
      <c r="AY446" s="7">
        <f>N(AU446)*N(R446)/90+N(AV446)+N(AW446)+N(AX446)</f>
        <v/>
      </c>
      <c r="AZ446" s="3">
        <f>IF(N(R446)&lt;=0,0,(N(AY446)-N(AX446))*90/N(R446))</f>
        <v/>
      </c>
      <c r="BA446" s="7">
        <f>IFERROR(AY446-VLOOKUP($E446,Assumptions!$A$40:$C$43,3,FALSE),"")</f>
        <v/>
      </c>
      <c r="BB446" s="3">
        <f>IFERROR(BA446/H446,"")</f>
        <v/>
      </c>
      <c r="BC446">
        <f>IF(AND($G446=TRUE,$E446="GKP"),AY446,"")</f>
        <v/>
      </c>
      <c r="BD446">
        <f>IF(AND($G446=TRUE,$E446="DEF"),AY446,"")</f>
        <v/>
      </c>
      <c r="BE446">
        <f>IF(AND($G446=TRUE,$E446="MID"),AY446,"")</f>
        <v/>
      </c>
      <c r="BF446">
        <f>IF(AND($G446=TRUE,$E446="FWD"),AY446,"")</f>
        <v/>
      </c>
      <c r="BG446" t="n">
        <v>2</v>
      </c>
      <c r="BH446" t="n">
        <v>2</v>
      </c>
      <c r="BI446" t="n">
        <v>4</v>
      </c>
      <c r="BJ446" t="n">
        <v>6</v>
      </c>
    </row>
    <row r="447">
      <c r="A447" t="inlineStr">
        <is>
          <t>Toby Collyer</t>
        </is>
      </c>
      <c r="B447" t="inlineStr">
        <is>
          <t>MUN</t>
        </is>
      </c>
      <c r="C447" t="inlineStr">
        <is>
          <t>MUN</t>
        </is>
      </c>
      <c r="D447" t="b">
        <v>0</v>
      </c>
      <c r="E447" t="inlineStr">
        <is>
          <t>MID</t>
        </is>
      </c>
      <c r="F447" t="inlineStr">
        <is>
          <t>MID</t>
        </is>
      </c>
      <c r="G447" t="b">
        <v>1</v>
      </c>
      <c r="H447" s="2" t="n">
        <v>5</v>
      </c>
      <c r="I447" t="inlineStr">
        <is>
          <t>a</t>
        </is>
      </c>
      <c r="K447" s="2" t="n">
        <v>0</v>
      </c>
      <c r="L447" t="n">
        <v>0</v>
      </c>
      <c r="M447" s="3" t="n">
        <v>0</v>
      </c>
      <c r="N447" s="8" t="n">
        <v>0</v>
      </c>
      <c r="O447" s="8" t="n">
        <v>0</v>
      </c>
      <c r="Q447" t="inlineStr">
        <is>
          <t>flat</t>
        </is>
      </c>
      <c r="R447" s="6" t="n">
        <v>0</v>
      </c>
      <c r="S447" t="inlineStr">
        <is>
          <t>Solio</t>
        </is>
      </c>
      <c r="U447" s="6" t="n">
        <v>85</v>
      </c>
      <c r="V447" s="2" t="n"/>
      <c r="W447" s="7">
        <f>IF(N(U447)&lt;=0,0,MIN(Assumptions!$B$15,N(R447)/N(U447)))</f>
        <v/>
      </c>
      <c r="X447" s="6" t="n">
        <v>0.334</v>
      </c>
      <c r="Y447" s="3" t="n"/>
      <c r="Z447" t="inlineStr"/>
      <c r="AA447" s="3" t="n">
        <v>1</v>
      </c>
      <c r="AB447" s="3" t="n"/>
      <c r="AC447" s="3" t="n"/>
      <c r="AD447" s="3" t="n"/>
      <c r="AE447" s="3" t="n"/>
      <c r="AF447" s="3" t="n">
        <v>0</v>
      </c>
      <c r="AG447" s="3" t="n"/>
      <c r="AH447" s="3" t="n">
        <v>0</v>
      </c>
      <c r="AI447" s="3" t="n">
        <v>2.2165</v>
      </c>
      <c r="AJ447" s="3" t="n">
        <v>1.1467</v>
      </c>
      <c r="AK447" s="3" t="n">
        <v>-0.2025635746060023</v>
      </c>
      <c r="AL447" s="6" t="n">
        <v>0</v>
      </c>
      <c r="AM447" s="3" t="n">
        <v>0</v>
      </c>
      <c r="AN447" s="3" t="n">
        <v>0</v>
      </c>
      <c r="AO447" s="3" t="n">
        <v>0</v>
      </c>
      <c r="AP447" s="3">
        <f>N(X447)*N(BI447)</f>
        <v/>
      </c>
      <c r="AQ447" s="3" t="n">
        <v>0</v>
      </c>
      <c r="AR447" s="3" t="n">
        <v>0</v>
      </c>
      <c r="AS447" s="3" t="n">
        <v>-0</v>
      </c>
      <c r="AT447" s="3" t="n">
        <v>-0.2025635746060023</v>
      </c>
      <c r="AU447" s="3">
        <f>SUM(AN447:AT447)</f>
        <v/>
      </c>
      <c r="AV447" s="7">
        <f>IF(OR(N(W447)&lt;=0,N(BG447)=0),0,N(W447)*IF(N(R447)/N(W447)&gt;=60,N(BG447),1))</f>
        <v/>
      </c>
      <c r="AW447" s="7">
        <f>N(W447)*N(AF447)*N(BH447)</f>
        <v/>
      </c>
      <c r="AX447" s="7">
        <f>N(AL447)*(Assumptions!$B$13*N(BJ447)-(1-Assumptions!$B$13)*Assumptions!$B$14)+N(AM447)</f>
        <v/>
      </c>
      <c r="AY447" s="7">
        <f>N(AU447)*N(R447)/90+N(AV447)+N(AW447)+N(AX447)</f>
        <v/>
      </c>
      <c r="AZ447" s="3">
        <f>IF(N(R447)&lt;=0,0,(N(AY447)-N(AX447))*90/N(R447))</f>
        <v/>
      </c>
      <c r="BA447" s="7">
        <f>IFERROR(AY447-VLOOKUP($E447,Assumptions!$A$40:$C$43,3,FALSE),"")</f>
        <v/>
      </c>
      <c r="BB447" s="3">
        <f>IFERROR(BA447/H447,"")</f>
        <v/>
      </c>
      <c r="BC447">
        <f>IF(AND($G447=TRUE,$E447="GKP"),AY447,"")</f>
        <v/>
      </c>
      <c r="BD447">
        <f>IF(AND($G447=TRUE,$E447="DEF"),AY447,"")</f>
        <v/>
      </c>
      <c r="BE447">
        <f>IF(AND($G447=TRUE,$E447="MID"),AY447,"")</f>
        <v/>
      </c>
      <c r="BF447">
        <f>IF(AND($G447=TRUE,$E447="FWD"),AY447,"")</f>
        <v/>
      </c>
      <c r="BG447" t="n">
        <v>2</v>
      </c>
      <c r="BH447" t="n">
        <v>2</v>
      </c>
      <c r="BI447" t="n">
        <v>1</v>
      </c>
      <c r="BJ447" t="n">
        <v>5</v>
      </c>
    </row>
    <row r="448">
      <c r="A448" t="inlineStr">
        <is>
          <t>Chido Obi</t>
        </is>
      </c>
      <c r="B448" t="inlineStr">
        <is>
          <t>MUN</t>
        </is>
      </c>
      <c r="C448" t="inlineStr">
        <is>
          <t>MUN</t>
        </is>
      </c>
      <c r="D448" t="b">
        <v>0</v>
      </c>
      <c r="E448" t="inlineStr">
        <is>
          <t>FWD</t>
        </is>
      </c>
      <c r="F448" t="inlineStr">
        <is>
          <t>FWD</t>
        </is>
      </c>
      <c r="G448" t="b">
        <v>1</v>
      </c>
      <c r="H448" s="2" t="n">
        <v>4.5</v>
      </c>
      <c r="I448" t="inlineStr">
        <is>
          <t>a</t>
        </is>
      </c>
      <c r="K448" s="2" t="n">
        <v>0</v>
      </c>
      <c r="L448" t="n">
        <v>0</v>
      </c>
      <c r="M448" s="3" t="n">
        <v>0</v>
      </c>
      <c r="N448" s="8" t="n">
        <v>0</v>
      </c>
      <c r="O448" s="8" t="n">
        <v>0</v>
      </c>
      <c r="Q448" t="inlineStr">
        <is>
          <t>flat</t>
        </is>
      </c>
      <c r="R448" s="6" t="n">
        <v>0</v>
      </c>
      <c r="S448" t="inlineStr">
        <is>
          <t>Solio</t>
        </is>
      </c>
      <c r="U448" s="6" t="n">
        <v>85</v>
      </c>
      <c r="V448" s="2" t="n"/>
      <c r="W448" s="7">
        <f>IF(N(U448)&lt;=0,0,MIN(Assumptions!$B$15,N(R448)/N(U448)))</f>
        <v/>
      </c>
      <c r="X448" s="6" t="n">
        <v>0.334</v>
      </c>
      <c r="Y448" s="3" t="n"/>
      <c r="Z448" t="inlineStr"/>
      <c r="AA448" s="3" t="n">
        <v>1</v>
      </c>
      <c r="AB448" s="3" t="n"/>
      <c r="AC448" s="3" t="n"/>
      <c r="AD448" s="3" t="n"/>
      <c r="AE448" s="3" t="n"/>
      <c r="AF448" s="3" t="n">
        <v>0</v>
      </c>
      <c r="AG448" s="3" t="n"/>
      <c r="AH448" s="3" t="n">
        <v>0</v>
      </c>
      <c r="AI448" s="3" t="n">
        <v>2.2165</v>
      </c>
      <c r="AJ448" s="3" t="n">
        <v>1.1467</v>
      </c>
      <c r="AK448" s="3" t="n">
        <v>-0.1996559750781705</v>
      </c>
      <c r="AL448" s="6" t="n">
        <v>0</v>
      </c>
      <c r="AM448" s="3" t="n">
        <v>0</v>
      </c>
      <c r="AN448" s="3" t="n">
        <v>0</v>
      </c>
      <c r="AO448" s="3" t="n">
        <v>0</v>
      </c>
      <c r="AP448" s="3">
        <f>N(X448)*N(BI448)</f>
        <v/>
      </c>
      <c r="AQ448" s="3" t="n">
        <v>0</v>
      </c>
      <c r="AR448" s="3" t="n">
        <v>0</v>
      </c>
      <c r="AS448" s="3" t="n">
        <v>-0</v>
      </c>
      <c r="AT448" s="3" t="n">
        <v>-0.1996559750781705</v>
      </c>
      <c r="AU448" s="3">
        <f>SUM(AN448:AT448)</f>
        <v/>
      </c>
      <c r="AV448" s="7">
        <f>IF(OR(N(W448)&lt;=0,N(BG448)=0),0,N(W448)*IF(N(R448)/N(W448)&gt;=60,N(BG448),1))</f>
        <v/>
      </c>
      <c r="AW448" s="7">
        <f>N(W448)*N(AF448)*N(BH448)</f>
        <v/>
      </c>
      <c r="AX448" s="7">
        <f>N(AL448)*(Assumptions!$B$13*N(BJ448)-(1-Assumptions!$B$13)*Assumptions!$B$14)+N(AM448)</f>
        <v/>
      </c>
      <c r="AY448" s="7">
        <f>N(AU448)*N(R448)/90+N(AV448)+N(AW448)+N(AX448)</f>
        <v/>
      </c>
      <c r="AZ448" s="3">
        <f>IF(N(R448)&lt;=0,0,(N(AY448)-N(AX448))*90/N(R448))</f>
        <v/>
      </c>
      <c r="BA448" s="7">
        <f>IFERROR(AY448-VLOOKUP($E448,Assumptions!$A$40:$C$43,3,FALSE),"")</f>
        <v/>
      </c>
      <c r="BB448" s="3">
        <f>IFERROR(BA448/H448,"")</f>
        <v/>
      </c>
      <c r="BC448">
        <f>IF(AND($G448=TRUE,$E448="GKP"),AY448,"")</f>
        <v/>
      </c>
      <c r="BD448">
        <f>IF(AND($G448=TRUE,$E448="DEF"),AY448,"")</f>
        <v/>
      </c>
      <c r="BE448">
        <f>IF(AND($G448=TRUE,$E448="MID"),AY448,"")</f>
        <v/>
      </c>
      <c r="BF448">
        <f>IF(AND($G448=TRUE,$E448="FWD"),AY448,"")</f>
        <v/>
      </c>
      <c r="BG448" t="n">
        <v>2</v>
      </c>
      <c r="BH448" t="n">
        <v>2</v>
      </c>
      <c r="BI448" t="n">
        <v>0</v>
      </c>
      <c r="BJ448" t="n">
        <v>4</v>
      </c>
    </row>
    <row r="449">
      <c r="A449" t="inlineStr">
        <is>
          <t>Calvin Ramsay</t>
        </is>
      </c>
      <c r="B449" t="inlineStr">
        <is>
          <t>LIV</t>
        </is>
      </c>
      <c r="C449" t="inlineStr">
        <is>
          <t>LIV</t>
        </is>
      </c>
      <c r="D449" t="b">
        <v>0</v>
      </c>
      <c r="E449" t="inlineStr">
        <is>
          <t>DEF</t>
        </is>
      </c>
      <c r="F449" t="inlineStr">
        <is>
          <t>DEF</t>
        </is>
      </c>
      <c r="G449" t="b">
        <v>1</v>
      </c>
      <c r="H449" s="2" t="n">
        <v>4</v>
      </c>
      <c r="I449" t="inlineStr">
        <is>
          <t>a</t>
        </is>
      </c>
      <c r="K449" s="2" t="n">
        <v>0</v>
      </c>
      <c r="L449" t="n">
        <v>0</v>
      </c>
      <c r="M449" s="3" t="n">
        <v>103</v>
      </c>
      <c r="N449" s="8" t="n">
        <v>103</v>
      </c>
      <c r="O449" s="8" t="n">
        <v>0</v>
      </c>
      <c r="Q449" t="inlineStr">
        <is>
          <t>flat</t>
        </is>
      </c>
      <c r="R449" s="6" t="n">
        <v>103</v>
      </c>
      <c r="S449" t="inlineStr">
        <is>
          <t>Solio</t>
        </is>
      </c>
      <c r="U449" s="6" t="n">
        <v>85</v>
      </c>
      <c r="V449" s="2" t="n"/>
      <c r="W449" s="7">
        <f>IF(N(U449)&lt;=0,0,MIN(Assumptions!$B$15,N(R449)/N(U449)))</f>
        <v/>
      </c>
      <c r="X449" s="6" t="n">
        <v>0.342</v>
      </c>
      <c r="Y449" s="3" t="n"/>
      <c r="Z449" t="inlineStr"/>
      <c r="AA449" s="3" t="n">
        <v>1</v>
      </c>
      <c r="AB449" s="3" t="n"/>
      <c r="AC449" s="3" t="n"/>
      <c r="AD449" s="3" t="n"/>
      <c r="AE449" s="3" t="n"/>
      <c r="AF449" s="3" t="n">
        <v>0</v>
      </c>
      <c r="AG449" s="3" t="n"/>
      <c r="AH449" s="3" t="n">
        <v>0</v>
      </c>
      <c r="AI449" s="3" t="n">
        <v>2.409</v>
      </c>
      <c r="AJ449" s="3" t="n">
        <v>1.1228</v>
      </c>
      <c r="AK449" s="3" t="n">
        <v>-0.2045226422080557</v>
      </c>
      <c r="AL449" s="6" t="n">
        <v>0</v>
      </c>
      <c r="AM449" s="3" t="n">
        <v>0</v>
      </c>
      <c r="AN449" s="3" t="n">
        <v>0</v>
      </c>
      <c r="AO449" s="3" t="n">
        <v>0</v>
      </c>
      <c r="AP449" s="3">
        <f>N(X449)*N(BI449)</f>
        <v/>
      </c>
      <c r="AQ449" s="3" t="n">
        <v>0</v>
      </c>
      <c r="AR449" s="3" t="n">
        <v>0</v>
      </c>
      <c r="AS449" s="3" t="n">
        <v>-0.3378660007281162</v>
      </c>
      <c r="AT449" s="3" t="n">
        <v>-0.2045226422080557</v>
      </c>
      <c r="AU449" s="3">
        <f>SUM(AN449:AT449)</f>
        <v/>
      </c>
      <c r="AV449" s="7">
        <f>IF(OR(N(W449)&lt;=0,N(BG449)=0),0,N(W449)*IF(N(R449)/N(W449)&gt;=60,N(BG449),1))</f>
        <v/>
      </c>
      <c r="AW449" s="7">
        <f>N(W449)*N(AF449)*N(BH449)</f>
        <v/>
      </c>
      <c r="AX449" s="7">
        <f>N(AL449)*(Assumptions!$B$13*N(BJ449)-(1-Assumptions!$B$13)*Assumptions!$B$14)+N(AM449)</f>
        <v/>
      </c>
      <c r="AY449" s="7">
        <f>N(AU449)*N(R449)/90+N(AV449)+N(AW449)+N(AX449)</f>
        <v/>
      </c>
      <c r="AZ449" s="3">
        <f>IF(N(R449)&lt;=0,0,(N(AY449)-N(AX449))*90/N(R449))</f>
        <v/>
      </c>
      <c r="BA449" s="7">
        <f>IFERROR(AY449-VLOOKUP($E449,Assumptions!$A$40:$C$43,3,FALSE),"")</f>
        <v/>
      </c>
      <c r="BB449" s="3">
        <f>IFERROR(BA449/H449,"")</f>
        <v/>
      </c>
      <c r="BC449">
        <f>IF(AND($G449=TRUE,$E449="GKP"),AY449,"")</f>
        <v/>
      </c>
      <c r="BD449">
        <f>IF(AND($G449=TRUE,$E449="DEF"),AY449,"")</f>
        <v/>
      </c>
      <c r="BE449">
        <f>IF(AND($G449=TRUE,$E449="MID"),AY449,"")</f>
        <v/>
      </c>
      <c r="BF449">
        <f>IF(AND($G449=TRUE,$E449="FWD"),AY449,"")</f>
        <v/>
      </c>
      <c r="BG449" t="n">
        <v>2</v>
      </c>
      <c r="BH449" t="n">
        <v>2</v>
      </c>
      <c r="BI449" t="n">
        <v>4</v>
      </c>
      <c r="BJ449" t="n">
        <v>6</v>
      </c>
    </row>
    <row r="450">
      <c r="A450" t="inlineStr">
        <is>
          <t>Evan Ferguson</t>
        </is>
      </c>
      <c r="B450" t="inlineStr">
        <is>
          <t>BHA</t>
        </is>
      </c>
      <c r="C450" t="inlineStr">
        <is>
          <t>BHA</t>
        </is>
      </c>
      <c r="D450" t="b">
        <v>0</v>
      </c>
      <c r="E450" t="inlineStr">
        <is>
          <t>FWD</t>
        </is>
      </c>
      <c r="F450" t="inlineStr">
        <is>
          <t>FWD</t>
        </is>
      </c>
      <c r="G450" t="b">
        <v>1</v>
      </c>
      <c r="H450" s="2" t="n">
        <v>5</v>
      </c>
      <c r="I450" t="inlineStr">
        <is>
          <t>i</t>
        </is>
      </c>
      <c r="J450" t="inlineStr">
        <is>
          <t>Ankle injury - Expected back 10 Oct</t>
        </is>
      </c>
      <c r="K450" s="2" t="n">
        <v>0</v>
      </c>
      <c r="L450" t="n">
        <v>0</v>
      </c>
      <c r="M450" s="3" t="n">
        <v>0</v>
      </c>
      <c r="N450" s="4" t="n">
        <v>450</v>
      </c>
      <c r="O450" s="4" t="n">
        <v>450</v>
      </c>
      <c r="P450" s="5" t="inlineStr">
        <is>
          <t>medium</t>
        </is>
      </c>
      <c r="Q450" t="inlineStr">
        <is>
          <t>flat</t>
        </is>
      </c>
      <c r="R450" s="6" t="n">
        <v>450</v>
      </c>
      <c r="S450" t="inlineStr">
        <is>
          <t>research</t>
        </is>
      </c>
      <c r="T450" s="5" t="inlineStr">
        <is>
          <t>Solio gives him zero, but he is a registered Brighton player, is back from his Roma loan rather than being sent out for a third straight season, and is under contract to 2029. He had ankle surgery in March 2026; FPL's flag says 'Expected back 10 Oct'. With Welbeck sold to Chelsea and only Rutter, Kostoulas and a 75%-fit Tzimas ahead of him, some Premier League minutes from October are more likely than none. Kept small because he could still leave on loan before 1 Sep and has a poor recent fitness record.</t>
        </is>
      </c>
      <c r="U450" s="6" t="n">
        <v>85</v>
      </c>
      <c r="V450" s="2" t="n"/>
      <c r="W450" s="7">
        <f>IF(N(U450)&lt;=0,0,MIN(Assumptions!$B$15,N(R450)/N(U450)))</f>
        <v/>
      </c>
      <c r="X450" s="6" t="n">
        <v>0.252</v>
      </c>
      <c r="Y450" s="3" t="n"/>
      <c r="Z450" t="inlineStr"/>
      <c r="AA450" s="3" t="n">
        <v>1</v>
      </c>
      <c r="AB450" s="3" t="n"/>
      <c r="AC450" s="3" t="n"/>
      <c r="AD450" s="3" t="n"/>
      <c r="AE450" s="3" t="n"/>
      <c r="AF450" s="3" t="n">
        <v>0</v>
      </c>
      <c r="AG450" s="3" t="n"/>
      <c r="AH450" s="3" t="n">
        <v>0</v>
      </c>
      <c r="AI450" s="3" t="n">
        <v>2.8404</v>
      </c>
      <c r="AJ450" s="3" t="n">
        <v>1.439</v>
      </c>
      <c r="AK450" s="3" t="n">
        <v>-0.1339781214132491</v>
      </c>
      <c r="AL450" s="6" t="n">
        <v>0</v>
      </c>
      <c r="AM450" s="3" t="n">
        <v>0</v>
      </c>
      <c r="AN450" s="3" t="n">
        <v>0</v>
      </c>
      <c r="AO450" s="3" t="n">
        <v>0</v>
      </c>
      <c r="AP450" s="3">
        <f>N(X450)*N(BI450)</f>
        <v/>
      </c>
      <c r="AQ450" s="3" t="n">
        <v>0</v>
      </c>
      <c r="AR450" s="3" t="n">
        <v>0</v>
      </c>
      <c r="AS450" s="3" t="n">
        <v>-0</v>
      </c>
      <c r="AT450" s="3" t="n">
        <v>-0.1339781214132491</v>
      </c>
      <c r="AU450" s="3">
        <f>SUM(AN450:AT450)</f>
        <v/>
      </c>
      <c r="AV450" s="7">
        <f>IF(OR(N(W450)&lt;=0,N(BG450)=0),0,N(W450)*IF(N(R450)/N(W450)&gt;=60,N(BG450),1))</f>
        <v/>
      </c>
      <c r="AW450" s="7">
        <f>N(W450)*N(AF450)*N(BH450)</f>
        <v/>
      </c>
      <c r="AX450" s="7">
        <f>N(AL450)*(Assumptions!$B$13*N(BJ450)-(1-Assumptions!$B$13)*Assumptions!$B$14)+N(AM450)</f>
        <v/>
      </c>
      <c r="AY450" s="7">
        <f>N(AU450)*N(R450)/90+N(AV450)+N(AW450)+N(AX450)</f>
        <v/>
      </c>
      <c r="AZ450" s="3">
        <f>IF(N(R450)&lt;=0,0,(N(AY450)-N(AX450))*90/N(R450))</f>
        <v/>
      </c>
      <c r="BA450" s="7">
        <f>IFERROR(AY450-VLOOKUP($E450,Assumptions!$A$40:$C$43,3,FALSE),"")</f>
        <v/>
      </c>
      <c r="BB450" s="3">
        <f>IFERROR(BA450/H450,"")</f>
        <v/>
      </c>
      <c r="BC450">
        <f>IF(AND($G450=TRUE,$E450="GKP"),AY450,"")</f>
        <v/>
      </c>
      <c r="BD450">
        <f>IF(AND($G450=TRUE,$E450="DEF"),AY450,"")</f>
        <v/>
      </c>
      <c r="BE450">
        <f>IF(AND($G450=TRUE,$E450="MID"),AY450,"")</f>
        <v/>
      </c>
      <c r="BF450">
        <f>IF(AND($G450=TRUE,$E450="FWD"),AY450,"")</f>
        <v/>
      </c>
      <c r="BG450" t="n">
        <v>2</v>
      </c>
      <c r="BH450" t="n">
        <v>2</v>
      </c>
      <c r="BI450" t="n">
        <v>0</v>
      </c>
      <c r="BJ450" t="n">
        <v>4</v>
      </c>
    </row>
    <row r="451">
      <c r="A451" t="inlineStr">
        <is>
          <t>Harry Amass</t>
        </is>
      </c>
      <c r="B451" t="inlineStr">
        <is>
          <t>MUN</t>
        </is>
      </c>
      <c r="C451" t="inlineStr">
        <is>
          <t>MUN</t>
        </is>
      </c>
      <c r="D451" t="b">
        <v>0</v>
      </c>
      <c r="E451" t="inlineStr">
        <is>
          <t>DEF</t>
        </is>
      </c>
      <c r="F451" t="inlineStr">
        <is>
          <t>DEF</t>
        </is>
      </c>
      <c r="G451" t="b">
        <v>1</v>
      </c>
      <c r="H451" s="2" t="n">
        <v>4</v>
      </c>
      <c r="I451" t="inlineStr">
        <is>
          <t>a</t>
        </is>
      </c>
      <c r="K451" s="2" t="n">
        <v>0</v>
      </c>
      <c r="L451" t="n">
        <v>0</v>
      </c>
      <c r="M451" s="3" t="n">
        <v>79</v>
      </c>
      <c r="N451" s="8" t="n">
        <v>79</v>
      </c>
      <c r="O451" s="8" t="n">
        <v>0</v>
      </c>
      <c r="Q451" t="inlineStr">
        <is>
          <t>flat</t>
        </is>
      </c>
      <c r="R451" s="6" t="n">
        <v>79</v>
      </c>
      <c r="S451" t="inlineStr">
        <is>
          <t>Solio</t>
        </is>
      </c>
      <c r="U451" s="6" t="n">
        <v>85</v>
      </c>
      <c r="V451" s="2" t="n"/>
      <c r="W451" s="7">
        <f>IF(N(U451)&lt;=0,0,MIN(Assumptions!$B$15,N(R451)/N(U451)))</f>
        <v/>
      </c>
      <c r="X451" s="6" t="n">
        <v>0.334</v>
      </c>
      <c r="Y451" s="3" t="n"/>
      <c r="Z451" t="inlineStr"/>
      <c r="AA451" s="3" t="n">
        <v>1</v>
      </c>
      <c r="AB451" s="3" t="n"/>
      <c r="AC451" s="3" t="n"/>
      <c r="AD451" s="3" t="n"/>
      <c r="AE451" s="3" t="n"/>
      <c r="AF451" s="3" t="n">
        <v>0</v>
      </c>
      <c r="AG451" s="3" t="n"/>
      <c r="AH451" s="3" t="n">
        <v>0</v>
      </c>
      <c r="AI451" s="3" t="n">
        <v>2.2165</v>
      </c>
      <c r="AJ451" s="3" t="n">
        <v>1.1467</v>
      </c>
      <c r="AK451" s="3" t="n">
        <v>-0.1814819720106033</v>
      </c>
      <c r="AL451" s="6" t="n">
        <v>0</v>
      </c>
      <c r="AM451" s="3" t="n">
        <v>0</v>
      </c>
      <c r="AN451" s="3" t="n">
        <v>0</v>
      </c>
      <c r="AO451" s="3" t="n">
        <v>0</v>
      </c>
      <c r="AP451" s="3">
        <f>N(X451)*N(BI451)</f>
        <v/>
      </c>
      <c r="AQ451" s="3" t="n">
        <v>0</v>
      </c>
      <c r="AR451" s="3" t="n">
        <v>0</v>
      </c>
      <c r="AS451" s="3" t="n">
        <v>-0.348580685135232</v>
      </c>
      <c r="AT451" s="3" t="n">
        <v>-0.1814819720106033</v>
      </c>
      <c r="AU451" s="3">
        <f>SUM(AN451:AT451)</f>
        <v/>
      </c>
      <c r="AV451" s="7">
        <f>IF(OR(N(W451)&lt;=0,N(BG451)=0),0,N(W451)*IF(N(R451)/N(W451)&gt;=60,N(BG451),1))</f>
        <v/>
      </c>
      <c r="AW451" s="7">
        <f>N(W451)*N(AF451)*N(BH451)</f>
        <v/>
      </c>
      <c r="AX451" s="7">
        <f>N(AL451)*(Assumptions!$B$13*N(BJ451)-(1-Assumptions!$B$13)*Assumptions!$B$14)+N(AM451)</f>
        <v/>
      </c>
      <c r="AY451" s="7">
        <f>N(AU451)*N(R451)/90+N(AV451)+N(AW451)+N(AX451)</f>
        <v/>
      </c>
      <c r="AZ451" s="3">
        <f>IF(N(R451)&lt;=0,0,(N(AY451)-N(AX451))*90/N(R451))</f>
        <v/>
      </c>
      <c r="BA451" s="7">
        <f>IFERROR(AY451-VLOOKUP($E451,Assumptions!$A$40:$C$43,3,FALSE),"")</f>
        <v/>
      </c>
      <c r="BB451" s="3">
        <f>IFERROR(BA451/H451,"")</f>
        <v/>
      </c>
      <c r="BC451">
        <f>IF(AND($G451=TRUE,$E451="GKP"),AY451,"")</f>
        <v/>
      </c>
      <c r="BD451">
        <f>IF(AND($G451=TRUE,$E451="DEF"),AY451,"")</f>
        <v/>
      </c>
      <c r="BE451">
        <f>IF(AND($G451=TRUE,$E451="MID"),AY451,"")</f>
        <v/>
      </c>
      <c r="BF451">
        <f>IF(AND($G451=TRUE,$E451="FWD"),AY451,"")</f>
        <v/>
      </c>
      <c r="BG451" t="n">
        <v>2</v>
      </c>
      <c r="BH451" t="n">
        <v>2</v>
      </c>
      <c r="BI451" t="n">
        <v>4</v>
      </c>
      <c r="BJ451" t="n">
        <v>6</v>
      </c>
    </row>
    <row r="452">
      <c r="A452" t="inlineStr">
        <is>
          <t>Leo Fuhr Hjelde</t>
        </is>
      </c>
      <c r="B452" t="inlineStr">
        <is>
          <t>SUN</t>
        </is>
      </c>
      <c r="C452" t="inlineStr">
        <is>
          <t>SUN</t>
        </is>
      </c>
      <c r="D452" t="b">
        <v>0</v>
      </c>
      <c r="E452" t="inlineStr">
        <is>
          <t>DEF</t>
        </is>
      </c>
      <c r="F452" t="inlineStr">
        <is>
          <t>DEF</t>
        </is>
      </c>
      <c r="G452" t="b">
        <v>1</v>
      </c>
      <c r="H452" s="2" t="n">
        <v>4</v>
      </c>
      <c r="I452" t="inlineStr">
        <is>
          <t>u</t>
        </is>
      </c>
      <c r="J452" t="inlineStr">
        <is>
          <t>Has joined KV Mechelen on loan for the rest of the season</t>
        </is>
      </c>
      <c r="K452" s="2" t="n">
        <v>0</v>
      </c>
      <c r="L452" t="n">
        <v>0</v>
      </c>
      <c r="M452" s="3" t="n"/>
      <c r="N452" s="8" t="n">
        <v>0</v>
      </c>
      <c r="O452" s="8" t="n">
        <v>0</v>
      </c>
      <c r="R452" s="6" t="n">
        <v>0</v>
      </c>
      <c r="S452" t="inlineStr">
        <is>
          <t>25/26 actual</t>
        </is>
      </c>
      <c r="U452" s="6" t="n">
        <v>85</v>
      </c>
      <c r="V452" s="2" t="n"/>
      <c r="W452" s="7">
        <f>IF(N(U452)&lt;=0,0,MIN(Assumptions!$B$15,N(R452)/N(U452)))</f>
        <v/>
      </c>
      <c r="X452" s="6" t="n">
        <v>0.204</v>
      </c>
      <c r="Y452" s="3" t="n"/>
      <c r="Z452" t="inlineStr"/>
      <c r="AA452" s="3" t="n">
        <v>1</v>
      </c>
      <c r="AB452" s="3" t="n"/>
      <c r="AC452" s="3" t="n"/>
      <c r="AD452" s="3" t="n"/>
      <c r="AE452" s="3" t="n"/>
      <c r="AF452" s="3" t="n">
        <v>0</v>
      </c>
      <c r="AG452" s="3" t="n"/>
      <c r="AH452" s="3" t="n">
        <v>0</v>
      </c>
      <c r="AI452" s="3" t="n">
        <v>3.3348</v>
      </c>
      <c r="AJ452" s="3" t="n">
        <v>1.6498</v>
      </c>
      <c r="AK452" s="3" t="n">
        <v>-0.2045226422080557</v>
      </c>
      <c r="AL452" s="6" t="n">
        <v>0</v>
      </c>
      <c r="AM452" s="3" t="n">
        <v>0</v>
      </c>
      <c r="AN452" s="3" t="n">
        <v>0</v>
      </c>
      <c r="AO452" s="3" t="n">
        <v>0</v>
      </c>
      <c r="AP452" s="3">
        <f>N(X452)*N(BI452)</f>
        <v/>
      </c>
      <c r="AQ452" s="3" t="n">
        <v>0</v>
      </c>
      <c r="AR452" s="3" t="n">
        <v>0</v>
      </c>
      <c r="AS452" s="3" t="n">
        <v>-0.5841244809045405</v>
      </c>
      <c r="AT452" s="3" t="n">
        <v>-0.2045226422080557</v>
      </c>
      <c r="AU452" s="3">
        <f>SUM(AN452:AT452)</f>
        <v/>
      </c>
      <c r="AV452" s="7">
        <f>IF(OR(N(W452)&lt;=0,N(BG452)=0),0,N(W452)*IF(N(R452)/N(W452)&gt;=60,N(BG452),1))</f>
        <v/>
      </c>
      <c r="AW452" s="7">
        <f>N(W452)*N(AF452)*N(BH452)</f>
        <v/>
      </c>
      <c r="AX452" s="7">
        <f>N(AL452)*(Assumptions!$B$13*N(BJ452)-(1-Assumptions!$B$13)*Assumptions!$B$14)+N(AM452)</f>
        <v/>
      </c>
      <c r="AY452" s="7">
        <f>N(AU452)*N(R452)/90+N(AV452)+N(AW452)+N(AX452)</f>
        <v/>
      </c>
      <c r="AZ452" s="3">
        <f>IF(N(R452)&lt;=0,0,(N(AY452)-N(AX452))*90/N(R452))</f>
        <v/>
      </c>
      <c r="BA452" s="7">
        <f>IFERROR(AY452-VLOOKUP($E452,Assumptions!$A$40:$C$43,3,FALSE),"")</f>
        <v/>
      </c>
      <c r="BB452" s="3">
        <f>IFERROR(BA452/H452,"")</f>
        <v/>
      </c>
      <c r="BC452">
        <f>IF(AND($G452=TRUE,$E452="GKP"),AY452,"")</f>
        <v/>
      </c>
      <c r="BD452">
        <f>IF(AND($G452=TRUE,$E452="DEF"),AY452,"")</f>
        <v/>
      </c>
      <c r="BE452">
        <f>IF(AND($G452=TRUE,$E452="MID"),AY452,"")</f>
        <v/>
      </c>
      <c r="BF452">
        <f>IF(AND($G452=TRUE,$E452="FWD"),AY452,"")</f>
        <v/>
      </c>
      <c r="BG452" t="n">
        <v>2</v>
      </c>
      <c r="BH452" t="n">
        <v>2</v>
      </c>
      <c r="BI452" t="n">
        <v>4</v>
      </c>
      <c r="BJ452" t="n">
        <v>6</v>
      </c>
    </row>
    <row r="453">
      <c r="A453" t="inlineStr">
        <is>
          <t>Armin Pecsi</t>
        </is>
      </c>
      <c r="B453" t="inlineStr">
        <is>
          <t>LIV</t>
        </is>
      </c>
      <c r="C453" t="inlineStr">
        <is>
          <t>LIV</t>
        </is>
      </c>
      <c r="D453" t="b">
        <v>0</v>
      </c>
      <c r="E453" t="inlineStr">
        <is>
          <t>GKP</t>
        </is>
      </c>
      <c r="F453" t="inlineStr">
        <is>
          <t>GKP</t>
        </is>
      </c>
      <c r="G453" t="b">
        <v>1</v>
      </c>
      <c r="H453" s="2" t="n">
        <v>4</v>
      </c>
      <c r="I453" t="inlineStr">
        <is>
          <t>a</t>
        </is>
      </c>
      <c r="K453" s="2" t="n">
        <v>0</v>
      </c>
      <c r="L453" t="n">
        <v>0</v>
      </c>
      <c r="M453" s="3" t="n">
        <v>0</v>
      </c>
      <c r="N453" s="8" t="n">
        <v>0</v>
      </c>
      <c r="O453" s="8" t="n">
        <v>0</v>
      </c>
      <c r="Q453" t="inlineStr">
        <is>
          <t>flat</t>
        </is>
      </c>
      <c r="R453" s="6" t="n">
        <v>0</v>
      </c>
      <c r="S453" t="inlineStr">
        <is>
          <t>Solio</t>
        </is>
      </c>
      <c r="U453" s="6" t="n">
        <v>85</v>
      </c>
      <c r="V453" s="2" t="n"/>
      <c r="W453" s="7">
        <f>IF(N(U453)&lt;=0,0,MIN(Assumptions!$B$15,N(R453)/N(U453)))</f>
        <v/>
      </c>
      <c r="X453" s="6" t="n">
        <v>0.342</v>
      </c>
      <c r="Y453" s="3" t="n"/>
      <c r="Z453" t="inlineStr"/>
      <c r="AA453" s="3" t="n">
        <v>1</v>
      </c>
      <c r="AB453" s="3" t="n"/>
      <c r="AC453" s="3" t="n"/>
      <c r="AD453" s="3" t="n"/>
      <c r="AE453" s="3" t="n">
        <v>0</v>
      </c>
      <c r="AF453" s="3" t="n">
        <v>0</v>
      </c>
      <c r="AG453" s="3" t="n"/>
      <c r="AH453" s="3" t="n">
        <v>0</v>
      </c>
      <c r="AI453" s="3" t="n">
        <v>2.409</v>
      </c>
      <c r="AJ453" s="3" t="n">
        <v>1.1228</v>
      </c>
      <c r="AK453" s="3" t="n">
        <v>-0.0763216474948735</v>
      </c>
      <c r="AL453" s="6" t="n">
        <v>0</v>
      </c>
      <c r="AM453" s="3" t="n">
        <v>0</v>
      </c>
      <c r="AN453" s="3" t="n">
        <v>0</v>
      </c>
      <c r="AO453" s="3" t="n">
        <v>0</v>
      </c>
      <c r="AP453" s="3">
        <f>N(X453)*N(BI453)</f>
        <v/>
      </c>
      <c r="AQ453" s="3" t="n">
        <v>0</v>
      </c>
      <c r="AR453" s="3" t="n">
        <v>0.4697511244203511</v>
      </c>
      <c r="AS453" s="3" t="n">
        <v>-0.3378660007281162</v>
      </c>
      <c r="AT453" s="3" t="n">
        <v>-0.0763216474948735</v>
      </c>
      <c r="AU453" s="3">
        <f>SUM(AN453:AT453)</f>
        <v/>
      </c>
      <c r="AV453" s="7">
        <f>IF(OR(N(W453)&lt;=0,N(BG453)=0),0,N(W453)*IF(N(R453)/N(W453)&gt;=60,N(BG453),1))</f>
        <v/>
      </c>
      <c r="AW453" s="7">
        <f>N(W453)*N(AF453)*N(BH453)</f>
        <v/>
      </c>
      <c r="AX453" s="7">
        <f>N(AL453)*(Assumptions!$B$13*N(BJ453)-(1-Assumptions!$B$13)*Assumptions!$B$14)+N(AM453)</f>
        <v/>
      </c>
      <c r="AY453" s="7">
        <f>N(AU453)*N(R453)/90+N(AV453)+N(AW453)+N(AX453)</f>
        <v/>
      </c>
      <c r="AZ453" s="3">
        <f>IF(N(R453)&lt;=0,0,(N(AY453)-N(AX453))*90/N(R453))</f>
        <v/>
      </c>
      <c r="BA453" s="7">
        <f>IFERROR(AY453-VLOOKUP($E453,Assumptions!$A$40:$C$43,3,FALSE),"")</f>
        <v/>
      </c>
      <c r="BB453" s="3">
        <f>IFERROR(BA453/H453,"")</f>
        <v/>
      </c>
      <c r="BC453">
        <f>IF(AND($G453=TRUE,$E453="GKP"),AY453,"")</f>
        <v/>
      </c>
      <c r="BD453">
        <f>IF(AND($G453=TRUE,$E453="DEF"),AY453,"")</f>
        <v/>
      </c>
      <c r="BE453">
        <f>IF(AND($G453=TRUE,$E453="MID"),AY453,"")</f>
        <v/>
      </c>
      <c r="BF453">
        <f>IF(AND($G453=TRUE,$E453="FWD"),AY453,"")</f>
        <v/>
      </c>
      <c r="BG453" t="n">
        <v>2</v>
      </c>
      <c r="BH453" t="n">
        <v>0</v>
      </c>
      <c r="BI453" t="n">
        <v>4</v>
      </c>
      <c r="BJ453" t="n">
        <v>10</v>
      </c>
    </row>
    <row r="454">
      <c r="A454" s="9" t="inlineStr">
        <is>
          <t>Carl Rushworth</t>
        </is>
      </c>
      <c r="B454" t="inlineStr">
        <is>
          <t>COV</t>
        </is>
      </c>
      <c r="C454" s="9" t="inlineStr">
        <is>
          <t>BHA</t>
        </is>
      </c>
      <c r="D454" t="b">
        <v>1</v>
      </c>
      <c r="E454" t="inlineStr">
        <is>
          <t>GKP</t>
        </is>
      </c>
      <c r="F454" t="inlineStr">
        <is>
          <t>GKP</t>
        </is>
      </c>
      <c r="G454" t="b">
        <v>1</v>
      </c>
      <c r="H454" s="2" t="n">
        <v>4.5</v>
      </c>
      <c r="I454" t="inlineStr">
        <is>
          <t>a</t>
        </is>
      </c>
      <c r="K454" s="2" t="n">
        <v>0</v>
      </c>
      <c r="L454" t="n">
        <v>0</v>
      </c>
      <c r="M454" s="3" t="n">
        <v>3385</v>
      </c>
      <c r="N454" s="8" t="n">
        <v>3385</v>
      </c>
      <c r="O454" s="8" t="n">
        <v>0</v>
      </c>
      <c r="Q454" t="inlineStr">
        <is>
          <t>flat</t>
        </is>
      </c>
      <c r="R454" s="6" t="n">
        <v>3385</v>
      </c>
      <c r="S454" t="inlineStr">
        <is>
          <t>Solio</t>
        </is>
      </c>
      <c r="U454" s="6" t="n">
        <v>85</v>
      </c>
      <c r="V454" s="2" t="n"/>
      <c r="W454" s="7">
        <f>IF(N(U454)&lt;=0,0,MIN(Assumptions!$B$15,N(R454)/N(U454)))</f>
        <v/>
      </c>
      <c r="X454" s="6" t="n">
        <v>0.17</v>
      </c>
      <c r="Y454" s="10" t="n"/>
      <c r="Z454" t="inlineStr"/>
      <c r="AA454" s="3" t="n">
        <v>1</v>
      </c>
      <c r="AB454" s="3" t="n"/>
      <c r="AC454" s="3" t="n"/>
      <c r="AD454" s="10" t="n"/>
      <c r="AE454" s="3" t="n">
        <v>0</v>
      </c>
      <c r="AF454" s="3" t="n">
        <v>0</v>
      </c>
      <c r="AG454" s="3" t="n"/>
      <c r="AH454" s="3" t="n">
        <v>0</v>
      </c>
      <c r="AI454" s="3" t="n">
        <v>3.6194</v>
      </c>
      <c r="AJ454" s="3" t="n">
        <v>1.8271</v>
      </c>
      <c r="AK454" s="3" t="n">
        <v>-0.0763216474948735</v>
      </c>
      <c r="AL454" s="6" t="n">
        <v>0</v>
      </c>
      <c r="AM454" s="3" t="n">
        <v>3.86063745279098</v>
      </c>
      <c r="AN454" s="10" t="n">
        <v>0</v>
      </c>
      <c r="AO454" s="10" t="n">
        <v>0</v>
      </c>
      <c r="AP454" s="3">
        <f>N(X454)*N(BI454)</f>
        <v/>
      </c>
      <c r="AQ454" s="3" t="n">
        <v>0</v>
      </c>
      <c r="AR454" s="3" t="n">
        <v>0.8716770173844571</v>
      </c>
      <c r="AS454" s="3" t="n">
        <v>-0.670020548738316</v>
      </c>
      <c r="AT454" s="3" t="n">
        <v>-0.0763216474948735</v>
      </c>
      <c r="AU454" s="3">
        <f>SUM(AN454:AT454)</f>
        <v/>
      </c>
      <c r="AV454" s="7">
        <f>IF(OR(N(W454)&lt;=0,N(BG454)=0),0,N(W454)*IF(N(R454)/N(W454)&gt;=60,N(BG454),1))</f>
        <v/>
      </c>
      <c r="AW454" s="7">
        <f>N(W454)*N(AF454)*N(BH454)</f>
        <v/>
      </c>
      <c r="AX454" s="7">
        <f>N(AL454)*(Assumptions!$B$13*N(BJ454)-(1-Assumptions!$B$13)*Assumptions!$B$14)+N(AM454)</f>
        <v/>
      </c>
      <c r="AY454" s="7">
        <f>N(AU454)*N(R454)/90+N(AV454)+N(AW454)+N(AX454)</f>
        <v/>
      </c>
      <c r="AZ454" s="3">
        <f>IF(N(R454)&lt;=0,0,(N(AY454)-N(AX454))*90/N(R454))</f>
        <v/>
      </c>
      <c r="BA454" s="7">
        <f>IFERROR(AY454-VLOOKUP($E454,Assumptions!$A$40:$C$43,3,FALSE),"")</f>
        <v/>
      </c>
      <c r="BB454" s="3">
        <f>IFERROR(BA454/H454,"")</f>
        <v/>
      </c>
      <c r="BC454">
        <f>IF(AND($G454=TRUE,$E454="GKP"),AY454,"")</f>
        <v/>
      </c>
      <c r="BD454">
        <f>IF(AND($G454=TRUE,$E454="DEF"),AY454,"")</f>
        <v/>
      </c>
      <c r="BE454">
        <f>IF(AND($G454=TRUE,$E454="MID"),AY454,"")</f>
        <v/>
      </c>
      <c r="BF454">
        <f>IF(AND($G454=TRUE,$E454="FWD"),AY454,"")</f>
        <v/>
      </c>
      <c r="BG454" t="n">
        <v>2</v>
      </c>
      <c r="BH454" t="n">
        <v>0</v>
      </c>
      <c r="BI454" t="n">
        <v>4</v>
      </c>
      <c r="BJ454" t="n">
        <v>10</v>
      </c>
    </row>
    <row r="455">
      <c r="A455" s="9" t="inlineStr">
        <is>
          <t>Darko Gyabi</t>
        </is>
      </c>
      <c r="B455" t="inlineStr">
        <is>
          <t>HUL</t>
        </is>
      </c>
      <c r="C455" s="9" t="inlineStr">
        <is>
          <t>LEE</t>
        </is>
      </c>
      <c r="D455" t="b">
        <v>1</v>
      </c>
      <c r="E455" t="inlineStr">
        <is>
          <t>MID</t>
        </is>
      </c>
      <c r="F455" t="inlineStr">
        <is>
          <t>MID</t>
        </is>
      </c>
      <c r="G455" t="b">
        <v>1</v>
      </c>
      <c r="H455" s="2" t="n">
        <v>4.5</v>
      </c>
      <c r="I455" t="inlineStr">
        <is>
          <t>i</t>
        </is>
      </c>
      <c r="J455" t="inlineStr">
        <is>
          <t>Thigh injury - Unknown return date</t>
        </is>
      </c>
      <c r="K455" s="2" t="n">
        <v>0</v>
      </c>
      <c r="L455" t="n">
        <v>0</v>
      </c>
      <c r="M455" s="3" t="n">
        <v>0</v>
      </c>
      <c r="N455" s="8" t="n">
        <v>0</v>
      </c>
      <c r="O455" s="8" t="n">
        <v>0</v>
      </c>
      <c r="Q455" t="inlineStr">
        <is>
          <t>flat</t>
        </is>
      </c>
      <c r="R455" s="6" t="n">
        <v>0</v>
      </c>
      <c r="S455" t="inlineStr">
        <is>
          <t>Solio</t>
        </is>
      </c>
      <c r="U455" s="6" t="n">
        <v>85</v>
      </c>
      <c r="V455" s="2" t="n"/>
      <c r="W455" s="7">
        <f>IF(N(U455)&lt;=0,0,MIN(Assumptions!$B$15,N(R455)/N(U455)))</f>
        <v/>
      </c>
      <c r="X455" s="6" t="n">
        <v>0.143</v>
      </c>
      <c r="Y455" s="10" t="n"/>
      <c r="Z455" t="inlineStr"/>
      <c r="AA455" s="3" t="n">
        <v>1</v>
      </c>
      <c r="AB455" s="3" t="n"/>
      <c r="AC455" s="3" t="n"/>
      <c r="AD455" s="10" t="n"/>
      <c r="AE455" s="3" t="n"/>
      <c r="AF455" s="3" t="n">
        <v>0</v>
      </c>
      <c r="AG455" s="3" t="n"/>
      <c r="AH455" s="3" t="n">
        <v>0</v>
      </c>
      <c r="AI455" s="3" t="n">
        <v>3.9421</v>
      </c>
      <c r="AJ455" s="3" t="n">
        <v>1.99</v>
      </c>
      <c r="AK455" s="3" t="n">
        <v>-0.2160434166173144</v>
      </c>
      <c r="AL455" s="6" t="n">
        <v>0</v>
      </c>
      <c r="AM455" s="3" t="n">
        <v>0</v>
      </c>
      <c r="AN455" s="10" t="n">
        <v>0</v>
      </c>
      <c r="AO455" s="10" t="n">
        <v>0</v>
      </c>
      <c r="AP455" s="3">
        <f>N(X455)*N(BI455)</f>
        <v/>
      </c>
      <c r="AQ455" s="3" t="n">
        <v>0</v>
      </c>
      <c r="AR455" s="3" t="n">
        <v>0</v>
      </c>
      <c r="AS455" s="3" t="n">
        <v>-0</v>
      </c>
      <c r="AT455" s="3" t="n">
        <v>-0.2160434166173144</v>
      </c>
      <c r="AU455" s="3">
        <f>SUM(AN455:AT455)</f>
        <v/>
      </c>
      <c r="AV455" s="7">
        <f>IF(OR(N(W455)&lt;=0,N(BG455)=0),0,N(W455)*IF(N(R455)/N(W455)&gt;=60,N(BG455),1))</f>
        <v/>
      </c>
      <c r="AW455" s="7">
        <f>N(W455)*N(AF455)*N(BH455)</f>
        <v/>
      </c>
      <c r="AX455" s="7">
        <f>N(AL455)*(Assumptions!$B$13*N(BJ455)-(1-Assumptions!$B$13)*Assumptions!$B$14)+N(AM455)</f>
        <v/>
      </c>
      <c r="AY455" s="7">
        <f>N(AU455)*N(R455)/90+N(AV455)+N(AW455)+N(AX455)</f>
        <v/>
      </c>
      <c r="AZ455" s="3">
        <f>IF(N(R455)&lt;=0,0,(N(AY455)-N(AX455))*90/N(R455))</f>
        <v/>
      </c>
      <c r="BA455" s="7">
        <f>IFERROR(AY455-VLOOKUP($E455,Assumptions!$A$40:$C$43,3,FALSE),"")</f>
        <v/>
      </c>
      <c r="BB455" s="3">
        <f>IFERROR(BA455/H455,"")</f>
        <v/>
      </c>
      <c r="BC455">
        <f>IF(AND($G455=TRUE,$E455="GKP"),AY455,"")</f>
        <v/>
      </c>
      <c r="BD455">
        <f>IF(AND($G455=TRUE,$E455="DEF"),AY455,"")</f>
        <v/>
      </c>
      <c r="BE455">
        <f>IF(AND($G455=TRUE,$E455="MID"),AY455,"")</f>
        <v/>
      </c>
      <c r="BF455">
        <f>IF(AND($G455=TRUE,$E455="FWD"),AY455,"")</f>
        <v/>
      </c>
      <c r="BG455" t="n">
        <v>2</v>
      </c>
      <c r="BH455" t="n">
        <v>2</v>
      </c>
      <c r="BI455" t="n">
        <v>1</v>
      </c>
      <c r="BJ455" t="n">
        <v>5</v>
      </c>
    </row>
    <row r="456">
      <c r="A456" t="inlineStr">
        <is>
          <t>Samuel Iling-Junior</t>
        </is>
      </c>
      <c r="B456" t="inlineStr">
        <is>
          <t>AVL</t>
        </is>
      </c>
      <c r="C456" t="inlineStr">
        <is>
          <t>AVL</t>
        </is>
      </c>
      <c r="D456" t="b">
        <v>0</v>
      </c>
      <c r="E456" t="inlineStr">
        <is>
          <t>MID</t>
        </is>
      </c>
      <c r="F456" t="inlineStr">
        <is>
          <t>MID</t>
        </is>
      </c>
      <c r="G456" t="b">
        <v>1</v>
      </c>
      <c r="H456" s="2" t="n">
        <v>5</v>
      </c>
      <c r="I456" t="inlineStr">
        <is>
          <t>a</t>
        </is>
      </c>
      <c r="K456" s="2" t="n">
        <v>0</v>
      </c>
      <c r="L456" t="n">
        <v>0</v>
      </c>
      <c r="M456" s="3" t="n">
        <v>0</v>
      </c>
      <c r="N456" s="8" t="n">
        <v>0</v>
      </c>
      <c r="O456" s="8" t="n">
        <v>0</v>
      </c>
      <c r="Q456" t="inlineStr">
        <is>
          <t>flat</t>
        </is>
      </c>
      <c r="R456" s="6" t="n">
        <v>0</v>
      </c>
      <c r="S456" t="inlineStr">
        <is>
          <t>Solio</t>
        </is>
      </c>
      <c r="U456" s="6" t="n">
        <v>85</v>
      </c>
      <c r="V456" s="2" t="n"/>
      <c r="W456" s="7">
        <f>IF(N(U456)&lt;=0,0,MIN(Assumptions!$B$15,N(R456)/N(U456)))</f>
        <v/>
      </c>
      <c r="X456" s="6" t="n">
        <v>0.273</v>
      </c>
      <c r="Y456" s="3" t="n"/>
      <c r="Z456" t="inlineStr"/>
      <c r="AA456" s="3" t="n">
        <v>1</v>
      </c>
      <c r="AB456" s="3" t="n"/>
      <c r="AC456" s="3" t="n"/>
      <c r="AD456" s="3" t="n"/>
      <c r="AE456" s="3" t="n"/>
      <c r="AF456" s="3" t="n">
        <v>0</v>
      </c>
      <c r="AG456" s="3" t="n"/>
      <c r="AH456" s="3" t="n">
        <v>0</v>
      </c>
      <c r="AI456" s="3" t="n">
        <v>2.7451</v>
      </c>
      <c r="AJ456" s="3" t="n">
        <v>1.3575</v>
      </c>
      <c r="AK456" s="3" t="n">
        <v>-0.2160434166173144</v>
      </c>
      <c r="AL456" s="6" t="n">
        <v>0</v>
      </c>
      <c r="AM456" s="3" t="n">
        <v>0</v>
      </c>
      <c r="AN456" s="3" t="n">
        <v>0</v>
      </c>
      <c r="AO456" s="3" t="n">
        <v>0</v>
      </c>
      <c r="AP456" s="3">
        <f>N(X456)*N(BI456)</f>
        <v/>
      </c>
      <c r="AQ456" s="3" t="n">
        <v>0</v>
      </c>
      <c r="AR456" s="3" t="n">
        <v>0</v>
      </c>
      <c r="AS456" s="3" t="n">
        <v>-0</v>
      </c>
      <c r="AT456" s="3" t="n">
        <v>-0.2160434166173144</v>
      </c>
      <c r="AU456" s="3">
        <f>SUM(AN456:AT456)</f>
        <v/>
      </c>
      <c r="AV456" s="7">
        <f>IF(OR(N(W456)&lt;=0,N(BG456)=0),0,N(W456)*IF(N(R456)/N(W456)&gt;=60,N(BG456),1))</f>
        <v/>
      </c>
      <c r="AW456" s="7">
        <f>N(W456)*N(AF456)*N(BH456)</f>
        <v/>
      </c>
      <c r="AX456" s="7">
        <f>N(AL456)*(Assumptions!$B$13*N(BJ456)-(1-Assumptions!$B$13)*Assumptions!$B$14)+N(AM456)</f>
        <v/>
      </c>
      <c r="AY456" s="7">
        <f>N(AU456)*N(R456)/90+N(AV456)+N(AW456)+N(AX456)</f>
        <v/>
      </c>
      <c r="AZ456" s="3">
        <f>IF(N(R456)&lt;=0,0,(N(AY456)-N(AX456))*90/N(R456))</f>
        <v/>
      </c>
      <c r="BA456" s="7">
        <f>IFERROR(AY456-VLOOKUP($E456,Assumptions!$A$40:$C$43,3,FALSE),"")</f>
        <v/>
      </c>
      <c r="BB456" s="3">
        <f>IFERROR(BA456/H456,"")</f>
        <v/>
      </c>
      <c r="BC456">
        <f>IF(AND($G456=TRUE,$E456="GKP"),AY456,"")</f>
        <v/>
      </c>
      <c r="BD456">
        <f>IF(AND($G456=TRUE,$E456="DEF"),AY456,"")</f>
        <v/>
      </c>
      <c r="BE456">
        <f>IF(AND($G456=TRUE,$E456="MID"),AY456,"")</f>
        <v/>
      </c>
      <c r="BF456">
        <f>IF(AND($G456=TRUE,$E456="FWD"),AY456,"")</f>
        <v/>
      </c>
      <c r="BG456" t="n">
        <v>2</v>
      </c>
      <c r="BH456" t="n">
        <v>2</v>
      </c>
      <c r="BI456" t="n">
        <v>1</v>
      </c>
      <c r="BJ456" t="n">
        <v>5</v>
      </c>
    </row>
    <row r="457">
      <c r="A457" t="inlineStr">
        <is>
          <t>Mykhailo Mudryk</t>
        </is>
      </c>
      <c r="B457" t="inlineStr">
        <is>
          <t>CHE</t>
        </is>
      </c>
      <c r="C457" t="inlineStr">
        <is>
          <t>CHE</t>
        </is>
      </c>
      <c r="D457" t="b">
        <v>0</v>
      </c>
      <c r="E457" t="inlineStr">
        <is>
          <t>MID</t>
        </is>
      </c>
      <c r="F457" t="inlineStr">
        <is>
          <t>MID</t>
        </is>
      </c>
      <c r="G457" t="b">
        <v>1</v>
      </c>
      <c r="H457" s="2" t="n">
        <v>5.5</v>
      </c>
      <c r="I457" t="inlineStr">
        <is>
          <t>a</t>
        </is>
      </c>
      <c r="K457" s="2" t="n">
        <v>0</v>
      </c>
      <c r="L457" t="n">
        <v>0</v>
      </c>
      <c r="M457" s="3" t="n">
        <v>20</v>
      </c>
      <c r="N457" s="4" t="n">
        <v>0</v>
      </c>
      <c r="O457" s="4" t="n">
        <v>-20</v>
      </c>
      <c r="P457" s="5" t="inlineStr">
        <is>
          <t>low</t>
        </is>
      </c>
      <c r="Q457" t="inlineStr">
        <is>
          <t>flat</t>
        </is>
      </c>
      <c r="R457" s="6" t="n">
        <v>0</v>
      </c>
      <c r="S457" t="inlineStr">
        <is>
          <t>research</t>
        </is>
      </c>
      <c r="T457" s="5" t="inlineStr">
        <is>
          <t>Named on Last Word on Football's 'unwanted list' and omitted from the final pre-season matchday squad; described as a likely loan candidate to regain match fitness after more than a year without professional football.</t>
        </is>
      </c>
      <c r="U457" s="6" t="n">
        <v>85</v>
      </c>
      <c r="V457" s="2" t="n"/>
      <c r="W457" s="7">
        <f>IF(N(U457)&lt;=0,0,MIN(Assumptions!$B$15,N(R457)/N(U457)))</f>
        <v/>
      </c>
      <c r="X457" s="6" t="n">
        <v>0.322</v>
      </c>
      <c r="Y457" s="3" t="n"/>
      <c r="Z457" t="inlineStr"/>
      <c r="AA457" s="3" t="n">
        <v>1</v>
      </c>
      <c r="AB457" s="3" t="n"/>
      <c r="AC457" s="3" t="n"/>
      <c r="AD457" s="3" t="n"/>
      <c r="AE457" s="3" t="n"/>
      <c r="AF457" s="3" t="n">
        <v>0</v>
      </c>
      <c r="AG457" s="3" t="n"/>
      <c r="AH457" s="3" t="n">
        <v>0</v>
      </c>
      <c r="AI457" s="3" t="n">
        <v>2.4232</v>
      </c>
      <c r="AJ457" s="3" t="n">
        <v>1.1851</v>
      </c>
      <c r="AK457" s="3" t="n">
        <v>-0.2336506647245759</v>
      </c>
      <c r="AL457" s="6" t="n">
        <v>0</v>
      </c>
      <c r="AM457" s="3" t="n">
        <v>0</v>
      </c>
      <c r="AN457" s="3" t="n">
        <v>0</v>
      </c>
      <c r="AO457" s="3" t="n">
        <v>0</v>
      </c>
      <c r="AP457" s="3">
        <f>N(X457)*N(BI457)</f>
        <v/>
      </c>
      <c r="AQ457" s="3" t="n">
        <v>0</v>
      </c>
      <c r="AR457" s="3" t="n">
        <v>0</v>
      </c>
      <c r="AS457" s="3" t="n">
        <v>-0</v>
      </c>
      <c r="AT457" s="3" t="n">
        <v>-0.2336506647245759</v>
      </c>
      <c r="AU457" s="3">
        <f>SUM(AN457:AT457)</f>
        <v/>
      </c>
      <c r="AV457" s="7">
        <f>IF(OR(N(W457)&lt;=0,N(BG457)=0),0,N(W457)*IF(N(R457)/N(W457)&gt;=60,N(BG457),1))</f>
        <v/>
      </c>
      <c r="AW457" s="7">
        <f>N(W457)*N(AF457)*N(BH457)</f>
        <v/>
      </c>
      <c r="AX457" s="7">
        <f>N(AL457)*(Assumptions!$B$13*N(BJ457)-(1-Assumptions!$B$13)*Assumptions!$B$14)+N(AM457)</f>
        <v/>
      </c>
      <c r="AY457" s="7">
        <f>N(AU457)*N(R457)/90+N(AV457)+N(AW457)+N(AX457)</f>
        <v/>
      </c>
      <c r="AZ457" s="3">
        <f>IF(N(R457)&lt;=0,0,(N(AY457)-N(AX457))*90/N(R457))</f>
        <v/>
      </c>
      <c r="BA457" s="7">
        <f>IFERROR(AY457-VLOOKUP($E457,Assumptions!$A$40:$C$43,3,FALSE),"")</f>
        <v/>
      </c>
      <c r="BB457" s="3">
        <f>IFERROR(BA457/H457,"")</f>
        <v/>
      </c>
      <c r="BC457">
        <f>IF(AND($G457=TRUE,$E457="GKP"),AY457,"")</f>
        <v/>
      </c>
      <c r="BD457">
        <f>IF(AND($G457=TRUE,$E457="DEF"),AY457,"")</f>
        <v/>
      </c>
      <c r="BE457">
        <f>IF(AND($G457=TRUE,$E457="MID"),AY457,"")</f>
        <v/>
      </c>
      <c r="BF457">
        <f>IF(AND($G457=TRUE,$E457="FWD"),AY457,"")</f>
        <v/>
      </c>
      <c r="BG457" t="n">
        <v>2</v>
      </c>
      <c r="BH457" t="n">
        <v>2</v>
      </c>
      <c r="BI457" t="n">
        <v>1</v>
      </c>
      <c r="BJ457" t="n">
        <v>5</v>
      </c>
    </row>
    <row r="458">
      <c r="A458" t="inlineStr">
        <is>
          <t>Ashley Phillips</t>
        </is>
      </c>
      <c r="B458" t="inlineStr">
        <is>
          <t>TOT</t>
        </is>
      </c>
      <c r="C458" t="inlineStr">
        <is>
          <t>TOT</t>
        </is>
      </c>
      <c r="D458" t="b">
        <v>0</v>
      </c>
      <c r="E458" t="inlineStr">
        <is>
          <t>DEF</t>
        </is>
      </c>
      <c r="F458" t="inlineStr">
        <is>
          <t>DEF</t>
        </is>
      </c>
      <c r="G458" t="b">
        <v>1</v>
      </c>
      <c r="H458" s="2" t="n">
        <v>4.5</v>
      </c>
      <c r="I458" t="inlineStr">
        <is>
          <t>a</t>
        </is>
      </c>
      <c r="K458" s="2" t="n">
        <v>0</v>
      </c>
      <c r="L458" t="n">
        <v>0</v>
      </c>
      <c r="M458" s="3" t="n">
        <v>0</v>
      </c>
      <c r="N458" s="8" t="n">
        <v>0</v>
      </c>
      <c r="O458" s="8" t="n">
        <v>0</v>
      </c>
      <c r="Q458" t="inlineStr">
        <is>
          <t>flat</t>
        </is>
      </c>
      <c r="R458" s="6" t="n">
        <v>0</v>
      </c>
      <c r="S458" t="inlineStr">
        <is>
          <t>Solio</t>
        </is>
      </c>
      <c r="U458" s="6" t="n">
        <v>85</v>
      </c>
      <c r="V458" s="2" t="n"/>
      <c r="W458" s="7">
        <f>IF(N(U458)&lt;=0,0,MIN(Assumptions!$B$15,N(R458)/N(U458)))</f>
        <v/>
      </c>
      <c r="X458" s="6" t="n">
        <v>0.286</v>
      </c>
      <c r="Y458" s="3" t="n"/>
      <c r="Z458" t="inlineStr"/>
      <c r="AA458" s="3" t="n">
        <v>1</v>
      </c>
      <c r="AB458" s="3" t="n"/>
      <c r="AC458" s="3" t="n"/>
      <c r="AD458" s="3" t="n"/>
      <c r="AE458" s="3" t="n"/>
      <c r="AF458" s="3" t="n">
        <v>0</v>
      </c>
      <c r="AG458" s="3" t="n"/>
      <c r="AH458" s="3" t="n">
        <v>0</v>
      </c>
      <c r="AI458" s="3" t="n">
        <v>2.5739</v>
      </c>
      <c r="AJ458" s="3" t="n">
        <v>1.3096</v>
      </c>
      <c r="AK458" s="3" t="n">
        <v>-0.2045226422080557</v>
      </c>
      <c r="AL458" s="6" t="n">
        <v>0</v>
      </c>
      <c r="AM458" s="3" t="n">
        <v>0</v>
      </c>
      <c r="AN458" s="3" t="n">
        <v>0</v>
      </c>
      <c r="AO458" s="3" t="n">
        <v>0</v>
      </c>
      <c r="AP458" s="3">
        <f>N(X458)*N(BI458)</f>
        <v/>
      </c>
      <c r="AQ458" s="3" t="n">
        <v>0</v>
      </c>
      <c r="AR458" s="3" t="n">
        <v>0</v>
      </c>
      <c r="AS458" s="3" t="n">
        <v>-0.4230152821052008</v>
      </c>
      <c r="AT458" s="3" t="n">
        <v>-0.2045226422080557</v>
      </c>
      <c r="AU458" s="3">
        <f>SUM(AN458:AT458)</f>
        <v/>
      </c>
      <c r="AV458" s="7">
        <f>IF(OR(N(W458)&lt;=0,N(BG458)=0),0,N(W458)*IF(N(R458)/N(W458)&gt;=60,N(BG458),1))</f>
        <v/>
      </c>
      <c r="AW458" s="7">
        <f>N(W458)*N(AF458)*N(BH458)</f>
        <v/>
      </c>
      <c r="AX458" s="7">
        <f>N(AL458)*(Assumptions!$B$13*N(BJ458)-(1-Assumptions!$B$13)*Assumptions!$B$14)+N(AM458)</f>
        <v/>
      </c>
      <c r="AY458" s="7">
        <f>N(AU458)*N(R458)/90+N(AV458)+N(AW458)+N(AX458)</f>
        <v/>
      </c>
      <c r="AZ458" s="3">
        <f>IF(N(R458)&lt;=0,0,(N(AY458)-N(AX458))*90/N(R458))</f>
        <v/>
      </c>
      <c r="BA458" s="7">
        <f>IFERROR(AY458-VLOOKUP($E458,Assumptions!$A$40:$C$43,3,FALSE),"")</f>
        <v/>
      </c>
      <c r="BB458" s="3">
        <f>IFERROR(BA458/H458,"")</f>
        <v/>
      </c>
      <c r="BC458">
        <f>IF(AND($G458=TRUE,$E458="GKP"),AY458,"")</f>
        <v/>
      </c>
      <c r="BD458">
        <f>IF(AND($G458=TRUE,$E458="DEF"),AY458,"")</f>
        <v/>
      </c>
      <c r="BE458">
        <f>IF(AND($G458=TRUE,$E458="MID"),AY458,"")</f>
        <v/>
      </c>
      <c r="BF458">
        <f>IF(AND($G458=TRUE,$E458="FWD"),AY458,"")</f>
        <v/>
      </c>
      <c r="BG458" t="n">
        <v>2</v>
      </c>
      <c r="BH458" t="n">
        <v>2</v>
      </c>
      <c r="BI458" t="n">
        <v>4</v>
      </c>
      <c r="BJ458" t="n">
        <v>6</v>
      </c>
    </row>
    <row r="459">
      <c r="A459" t="inlineStr">
        <is>
          <t>Jesurun Rak-Sakyi</t>
        </is>
      </c>
      <c r="B459" t="inlineStr">
        <is>
          <t>CRY</t>
        </is>
      </c>
      <c r="C459" t="inlineStr">
        <is>
          <t>CRY</t>
        </is>
      </c>
      <c r="D459" t="b">
        <v>0</v>
      </c>
      <c r="E459" t="inlineStr">
        <is>
          <t>MID</t>
        </is>
      </c>
      <c r="F459" t="inlineStr">
        <is>
          <t>MID</t>
        </is>
      </c>
      <c r="G459" t="b">
        <v>1</v>
      </c>
      <c r="H459" s="2" t="n">
        <v>5</v>
      </c>
      <c r="I459" t="inlineStr">
        <is>
          <t>a</t>
        </is>
      </c>
      <c r="K459" s="2" t="n">
        <v>0</v>
      </c>
      <c r="L459" t="n">
        <v>0</v>
      </c>
      <c r="M459" s="3" t="n">
        <v>0</v>
      </c>
      <c r="N459" s="8" t="n">
        <v>0</v>
      </c>
      <c r="O459" s="8" t="n">
        <v>0</v>
      </c>
      <c r="Q459" t="inlineStr">
        <is>
          <t>flat</t>
        </is>
      </c>
      <c r="R459" s="6" t="n">
        <v>0</v>
      </c>
      <c r="S459" t="inlineStr">
        <is>
          <t>Solio</t>
        </is>
      </c>
      <c r="U459" s="6" t="n">
        <v>85</v>
      </c>
      <c r="V459" s="2" t="n"/>
      <c r="W459" s="7">
        <f>IF(N(U459)&lt;=0,0,MIN(Assumptions!$B$15,N(R459)/N(U459)))</f>
        <v/>
      </c>
      <c r="X459" s="6" t="n">
        <v>0.216</v>
      </c>
      <c r="Y459" s="3" t="n"/>
      <c r="Z459" t="inlineStr"/>
      <c r="AA459" s="3" t="n">
        <v>1</v>
      </c>
      <c r="AB459" s="3" t="n"/>
      <c r="AC459" s="3" t="n"/>
      <c r="AD459" s="3" t="n"/>
      <c r="AE459" s="3" t="n"/>
      <c r="AF459" s="3" t="n">
        <v>0</v>
      </c>
      <c r="AG459" s="3" t="n"/>
      <c r="AH459" s="3" t="n">
        <v>0</v>
      </c>
      <c r="AI459" s="3" t="n">
        <v>3.2035</v>
      </c>
      <c r="AJ459" s="3" t="n">
        <v>1.5923</v>
      </c>
      <c r="AK459" s="3" t="n">
        <v>-0.2089903758753938</v>
      </c>
      <c r="AL459" s="6" t="n">
        <v>0</v>
      </c>
      <c r="AM459" s="3" t="n">
        <v>0</v>
      </c>
      <c r="AN459" s="3" t="n">
        <v>0</v>
      </c>
      <c r="AO459" s="3" t="n">
        <v>0</v>
      </c>
      <c r="AP459" s="3">
        <f>N(X459)*N(BI459)</f>
        <v/>
      </c>
      <c r="AQ459" s="3" t="n">
        <v>0</v>
      </c>
      <c r="AR459" s="3" t="n">
        <v>0</v>
      </c>
      <c r="AS459" s="3" t="n">
        <v>-0</v>
      </c>
      <c r="AT459" s="3" t="n">
        <v>-0.2089903758753938</v>
      </c>
      <c r="AU459" s="3">
        <f>SUM(AN459:AT459)</f>
        <v/>
      </c>
      <c r="AV459" s="7">
        <f>IF(OR(N(W459)&lt;=0,N(BG459)=0),0,N(W459)*IF(N(R459)/N(W459)&gt;=60,N(BG459),1))</f>
        <v/>
      </c>
      <c r="AW459" s="7">
        <f>N(W459)*N(AF459)*N(BH459)</f>
        <v/>
      </c>
      <c r="AX459" s="7">
        <f>N(AL459)*(Assumptions!$B$13*N(BJ459)-(1-Assumptions!$B$13)*Assumptions!$B$14)+N(AM459)</f>
        <v/>
      </c>
      <c r="AY459" s="7">
        <f>N(AU459)*N(R459)/90+N(AV459)+N(AW459)+N(AX459)</f>
        <v/>
      </c>
      <c r="AZ459" s="3">
        <f>IF(N(R459)&lt;=0,0,(N(AY459)-N(AX459))*90/N(R459))</f>
        <v/>
      </c>
      <c r="BA459" s="7">
        <f>IFERROR(AY459-VLOOKUP($E459,Assumptions!$A$40:$C$43,3,FALSE),"")</f>
        <v/>
      </c>
      <c r="BB459" s="3">
        <f>IFERROR(BA459/H459,"")</f>
        <v/>
      </c>
      <c r="BC459">
        <f>IF(AND($G459=TRUE,$E459="GKP"),AY459,"")</f>
        <v/>
      </c>
      <c r="BD459">
        <f>IF(AND($G459=TRUE,$E459="DEF"),AY459,"")</f>
        <v/>
      </c>
      <c r="BE459">
        <f>IF(AND($G459=TRUE,$E459="MID"),AY459,"")</f>
        <v/>
      </c>
      <c r="BF459">
        <f>IF(AND($G459=TRUE,$E459="FWD"),AY459,"")</f>
        <v/>
      </c>
      <c r="BG459" t="n">
        <v>2</v>
      </c>
      <c r="BH459" t="n">
        <v>2</v>
      </c>
      <c r="BI459" t="n">
        <v>1</v>
      </c>
      <c r="BJ459" t="n">
        <v>5</v>
      </c>
    </row>
    <row r="460">
      <c r="A460" t="inlineStr">
        <is>
          <t>Fábio Ferreira Vieira</t>
        </is>
      </c>
      <c r="B460" t="inlineStr">
        <is>
          <t>ARS</t>
        </is>
      </c>
      <c r="C460" t="inlineStr">
        <is>
          <t>ARS</t>
        </is>
      </c>
      <c r="D460" t="b">
        <v>0</v>
      </c>
      <c r="E460" t="inlineStr">
        <is>
          <t>MID</t>
        </is>
      </c>
      <c r="F460" t="inlineStr">
        <is>
          <t>MID</t>
        </is>
      </c>
      <c r="G460" t="b">
        <v>1</v>
      </c>
      <c r="H460" s="2" t="n">
        <v>5.5</v>
      </c>
      <c r="I460" t="inlineStr">
        <is>
          <t>a</t>
        </is>
      </c>
      <c r="K460" s="2" t="n">
        <v>0</v>
      </c>
      <c r="L460" t="n">
        <v>0</v>
      </c>
      <c r="M460" s="3" t="n">
        <v>0</v>
      </c>
      <c r="N460" s="8" t="n">
        <v>0</v>
      </c>
      <c r="O460" s="8" t="n">
        <v>0</v>
      </c>
      <c r="Q460" t="inlineStr">
        <is>
          <t>flat</t>
        </is>
      </c>
      <c r="R460" s="6" t="n">
        <v>0</v>
      </c>
      <c r="S460" t="inlineStr">
        <is>
          <t>Solio</t>
        </is>
      </c>
      <c r="U460" s="6" t="n">
        <v>85</v>
      </c>
      <c r="V460" s="2" t="n"/>
      <c r="W460" s="7">
        <f>IF(N(U460)&lt;=0,0,MIN(Assumptions!$B$15,N(R460)/N(U460)))</f>
        <v/>
      </c>
      <c r="X460" s="6" t="n">
        <v>0.391</v>
      </c>
      <c r="Y460" s="3" t="n"/>
      <c r="Z460" t="inlineStr"/>
      <c r="AA460" s="3" t="n">
        <v>1</v>
      </c>
      <c r="AB460" s="3" t="n"/>
      <c r="AC460" s="3" t="n"/>
      <c r="AD460" s="3" t="n"/>
      <c r="AE460" s="3" t="n"/>
      <c r="AF460" s="3" t="n">
        <v>0</v>
      </c>
      <c r="AG460" s="3" t="n"/>
      <c r="AH460" s="3" t="n">
        <v>0</v>
      </c>
      <c r="AI460" s="3" t="n">
        <v>2.067</v>
      </c>
      <c r="AJ460" s="3" t="n">
        <v>0.9838</v>
      </c>
      <c r="AK460" s="3" t="n">
        <v>-0.2011774725996978</v>
      </c>
      <c r="AL460" s="6" t="n">
        <v>0</v>
      </c>
      <c r="AM460" s="3" t="n">
        <v>0</v>
      </c>
      <c r="AN460" s="3" t="n">
        <v>0</v>
      </c>
      <c r="AO460" s="3" t="n">
        <v>0</v>
      </c>
      <c r="AP460" s="3">
        <f>N(X460)*N(BI460)</f>
        <v/>
      </c>
      <c r="AQ460" s="3" t="n">
        <v>0</v>
      </c>
      <c r="AR460" s="3" t="n">
        <v>0</v>
      </c>
      <c r="AS460" s="3" t="n">
        <v>-0</v>
      </c>
      <c r="AT460" s="3" t="n">
        <v>-0.2011774725996978</v>
      </c>
      <c r="AU460" s="3">
        <f>SUM(AN460:AT460)</f>
        <v/>
      </c>
      <c r="AV460" s="7">
        <f>IF(OR(N(W460)&lt;=0,N(BG460)=0),0,N(W460)*IF(N(R460)/N(W460)&gt;=60,N(BG460),1))</f>
        <v/>
      </c>
      <c r="AW460" s="7">
        <f>N(W460)*N(AF460)*N(BH460)</f>
        <v/>
      </c>
      <c r="AX460" s="7">
        <f>N(AL460)*(Assumptions!$B$13*N(BJ460)-(1-Assumptions!$B$13)*Assumptions!$B$14)+N(AM460)</f>
        <v/>
      </c>
      <c r="AY460" s="7">
        <f>N(AU460)*N(R460)/90+N(AV460)+N(AW460)+N(AX460)</f>
        <v/>
      </c>
      <c r="AZ460" s="3">
        <f>IF(N(R460)&lt;=0,0,(N(AY460)-N(AX460))*90/N(R460))</f>
        <v/>
      </c>
      <c r="BA460" s="7">
        <f>IFERROR(AY460-VLOOKUP($E460,Assumptions!$A$40:$C$43,3,FALSE),"")</f>
        <v/>
      </c>
      <c r="BB460" s="3">
        <f>IFERROR(BA460/H460,"")</f>
        <v/>
      </c>
      <c r="BC460">
        <f>IF(AND($G460=TRUE,$E460="GKP"),AY460,"")</f>
        <v/>
      </c>
      <c r="BD460">
        <f>IF(AND($G460=TRUE,$E460="DEF"),AY460,"")</f>
        <v/>
      </c>
      <c r="BE460">
        <f>IF(AND($G460=TRUE,$E460="MID"),AY460,"")</f>
        <v/>
      </c>
      <c r="BF460">
        <f>IF(AND($G460=TRUE,$E460="FWD"),AY460,"")</f>
        <v/>
      </c>
      <c r="BG460" t="n">
        <v>2</v>
      </c>
      <c r="BH460" t="n">
        <v>2</v>
      </c>
      <c r="BI460" t="n">
        <v>1</v>
      </c>
      <c r="BJ460" t="n">
        <v>5</v>
      </c>
    </row>
    <row r="461">
      <c r="A461" t="inlineStr">
        <is>
          <t>James Milner</t>
        </is>
      </c>
      <c r="C461" t="inlineStr">
        <is>
          <t>BHA</t>
        </is>
      </c>
      <c r="D461" t="b">
        <v>0</v>
      </c>
      <c r="F461" t="inlineStr">
        <is>
          <t>MID</t>
        </is>
      </c>
      <c r="G461" t="b">
        <v>0</v>
      </c>
      <c r="H461" s="2" t="n"/>
      <c r="K461" s="2" t="n">
        <v>778</v>
      </c>
      <c r="M461" s="3" t="n"/>
      <c r="N461" s="8" t="n">
        <v>778</v>
      </c>
      <c r="O461" s="8" t="n">
        <v>0</v>
      </c>
      <c r="R461" s="6" t="n">
        <v>778</v>
      </c>
      <c r="S461" t="inlineStr">
        <is>
          <t>25/26 actual</t>
        </is>
      </c>
      <c r="U461" s="6" t="n">
        <v>78.5</v>
      </c>
      <c r="V461" s="2" t="n">
        <v>7</v>
      </c>
      <c r="W461" s="7">
        <f>IF(N(U461)&lt;=0,0,MIN(Assumptions!$B$15,N(R461)/N(U461)))</f>
        <v/>
      </c>
      <c r="X461" s="6" t="n"/>
      <c r="Y461" s="3" t="n">
        <v>0.0247</v>
      </c>
      <c r="Z461" t="inlineStr">
        <is>
          <t>adjusted xGOT</t>
        </is>
      </c>
      <c r="AA461" s="3" t="n">
        <v>0.223</v>
      </c>
      <c r="AB461" s="3" t="n">
        <v>0.931</v>
      </c>
      <c r="AC461" s="3" t="n">
        <v>1.9</v>
      </c>
      <c r="AD461" s="3" t="n">
        <v>0.07580000000000001</v>
      </c>
      <c r="AE461" s="3" t="n">
        <v>8.965</v>
      </c>
      <c r="AF461" s="3" t="n">
        <v>0</v>
      </c>
      <c r="AG461" s="3" t="n">
        <v>0</v>
      </c>
      <c r="AH461" s="3" t="n">
        <v>27</v>
      </c>
      <c r="AI461" s="3" t="n"/>
      <c r="AJ461" s="3" t="n"/>
      <c r="AK461" s="3" t="n"/>
      <c r="AL461" s="6" t="n">
        <v>0</v>
      </c>
      <c r="AM461" s="3" t="n">
        <v>0</v>
      </c>
      <c r="AN461" s="3" t="n">
        <v>0</v>
      </c>
      <c r="AO461" s="3" t="n">
        <v>0</v>
      </c>
      <c r="AP461" s="3">
        <f>N(X461)*N(BI461)</f>
        <v/>
      </c>
      <c r="AQ461" s="3" t="n">
        <v>0</v>
      </c>
      <c r="AR461" s="3" t="n">
        <v>0</v>
      </c>
      <c r="AS461" s="3" t="n">
        <v>0</v>
      </c>
      <c r="AT461" s="3" t="n">
        <v>0</v>
      </c>
      <c r="AU461" s="3">
        <f>SUM(AN461:AT461)</f>
        <v/>
      </c>
      <c r="AV461" s="7">
        <f>IF(OR(N(W461)&lt;=0,N(BG461)=0),0,N(W461)*IF(N(R461)/N(W461)&gt;=60,N(BG461),1))</f>
        <v/>
      </c>
      <c r="AW461" s="7">
        <f>N(W461)*N(AF461)*N(BH461)</f>
        <v/>
      </c>
      <c r="AX461" s="7">
        <f>N(AL461)*(Assumptions!$B$13*N(BJ461)-(1-Assumptions!$B$13)*Assumptions!$B$14)+N(AM461)</f>
        <v/>
      </c>
      <c r="AY461" s="7">
        <f>N(AU461)*N(R461)/90+N(AV461)+N(AW461)+N(AX461)</f>
        <v/>
      </c>
      <c r="AZ461" s="3">
        <f>IF(N(R461)&lt;=0,0,(N(AY461)-N(AX461))*90/N(R461))</f>
        <v/>
      </c>
      <c r="BA461" s="7">
        <f>IFERROR(AY461-VLOOKUP($E461,Assumptions!$A$40:$C$43,3,FALSE),"")</f>
        <v/>
      </c>
      <c r="BB461" s="3">
        <f>IFERROR(BA461/H461,"")</f>
        <v/>
      </c>
      <c r="BC461">
        <f>IF(AND($G461=TRUE,$E461="GKP"),AY461,"")</f>
        <v/>
      </c>
      <c r="BD461">
        <f>IF(AND($G461=TRUE,$E461="DEF"),AY461,"")</f>
        <v/>
      </c>
      <c r="BE461">
        <f>IF(AND($G461=TRUE,$E461="MID"),AY461,"")</f>
        <v/>
      </c>
      <c r="BF461">
        <f>IF(AND($G461=TRUE,$E461="FWD"),AY461,"")</f>
        <v/>
      </c>
      <c r="BG461" t="n">
        <v>0</v>
      </c>
      <c r="BH461" t="n">
        <v>0</v>
      </c>
      <c r="BI461" t="n">
        <v>0</v>
      </c>
      <c r="BJ461" t="n">
        <v>0</v>
      </c>
    </row>
    <row r="462">
      <c r="A462" t="inlineStr">
        <is>
          <t>Ashley Barnes</t>
        </is>
      </c>
      <c r="C462" t="inlineStr">
        <is>
          <t>BUR</t>
        </is>
      </c>
      <c r="D462" t="b">
        <v>0</v>
      </c>
      <c r="F462" t="inlineStr">
        <is>
          <t>FWD</t>
        </is>
      </c>
      <c r="G462" t="b">
        <v>0</v>
      </c>
      <c r="H462" s="2" t="n"/>
      <c r="K462" s="2" t="n">
        <v>40</v>
      </c>
      <c r="M462" s="3" t="n"/>
      <c r="N462" s="8" t="n">
        <v>40</v>
      </c>
      <c r="O462" s="8" t="n">
        <v>0</v>
      </c>
      <c r="R462" s="6" t="n">
        <v>40</v>
      </c>
      <c r="S462" t="inlineStr">
        <is>
          <t>25/26 actual</t>
        </is>
      </c>
      <c r="U462" s="6" t="n">
        <v>78.5</v>
      </c>
      <c r="V462" s="2" t="n">
        <v>0</v>
      </c>
      <c r="W462" s="7">
        <f>IF(N(U462)&lt;=0,0,MIN(Assumptions!$B$15,N(R462)/N(U462)))</f>
        <v/>
      </c>
      <c r="X462" s="6" t="n"/>
      <c r="Y462" s="3" t="n">
        <v>0.5738</v>
      </c>
      <c r="Z462" t="inlineStr">
        <is>
          <t>adjusted xGOT</t>
        </is>
      </c>
      <c r="AA462" s="3" t="n">
        <v>1</v>
      </c>
      <c r="AB462" s="3" t="n">
        <v>1.018</v>
      </c>
      <c r="AC462" s="3" t="n">
        <v>0.2</v>
      </c>
      <c r="AD462" s="3" t="n">
        <v>0</v>
      </c>
      <c r="AE462" s="3" t="n">
        <v>4.778</v>
      </c>
      <c r="AF462" s="3" t="n">
        <v>0</v>
      </c>
      <c r="AG462" s="3" t="n">
        <v>0</v>
      </c>
      <c r="AH462" s="3" t="n">
        <v>7</v>
      </c>
      <c r="AI462" s="3" t="n"/>
      <c r="AJ462" s="3" t="n"/>
      <c r="AK462" s="3" t="n"/>
      <c r="AL462" s="6" t="n">
        <v>0</v>
      </c>
      <c r="AM462" s="3" t="n">
        <v>0</v>
      </c>
      <c r="AN462" s="3" t="n">
        <v>0</v>
      </c>
      <c r="AO462" s="3" t="n">
        <v>0</v>
      </c>
      <c r="AP462" s="3">
        <f>N(X462)*N(BI462)</f>
        <v/>
      </c>
      <c r="AQ462" s="3" t="n">
        <v>0</v>
      </c>
      <c r="AR462" s="3" t="n">
        <v>0</v>
      </c>
      <c r="AS462" s="3" t="n">
        <v>0</v>
      </c>
      <c r="AT462" s="3" t="n">
        <v>0</v>
      </c>
      <c r="AU462" s="3">
        <f>SUM(AN462:AT462)</f>
        <v/>
      </c>
      <c r="AV462" s="7">
        <f>IF(OR(N(W462)&lt;=0,N(BG462)=0),0,N(W462)*IF(N(R462)/N(W462)&gt;=60,N(BG462),1))</f>
        <v/>
      </c>
      <c r="AW462" s="7">
        <f>N(W462)*N(AF462)*N(BH462)</f>
        <v/>
      </c>
      <c r="AX462" s="7">
        <f>N(AL462)*(Assumptions!$B$13*N(BJ462)-(1-Assumptions!$B$13)*Assumptions!$B$14)+N(AM462)</f>
        <v/>
      </c>
      <c r="AY462" s="7">
        <f>N(AU462)*N(R462)/90+N(AV462)+N(AW462)+N(AX462)</f>
        <v/>
      </c>
      <c r="AZ462" s="3">
        <f>IF(N(R462)&lt;=0,0,(N(AY462)-N(AX462))*90/N(R462))</f>
        <v/>
      </c>
      <c r="BA462" s="7">
        <f>IFERROR(AY462-VLOOKUP($E462,Assumptions!$A$40:$C$43,3,FALSE),"")</f>
        <v/>
      </c>
      <c r="BB462" s="3">
        <f>IFERROR(BA462/H462,"")</f>
        <v/>
      </c>
      <c r="BC462">
        <f>IF(AND($G462=TRUE,$E462="GKP"),AY462,"")</f>
        <v/>
      </c>
      <c r="BD462">
        <f>IF(AND($G462=TRUE,$E462="DEF"),AY462,"")</f>
        <v/>
      </c>
      <c r="BE462">
        <f>IF(AND($G462=TRUE,$E462="MID"),AY462,"")</f>
        <v/>
      </c>
      <c r="BF462">
        <f>IF(AND($G462=TRUE,$E462="FWD"),AY462,"")</f>
        <v/>
      </c>
      <c r="BG462" t="n">
        <v>0</v>
      </c>
      <c r="BH462" t="n">
        <v>0</v>
      </c>
      <c r="BI462" t="n">
        <v>0</v>
      </c>
      <c r="BJ462" t="n">
        <v>0</v>
      </c>
    </row>
    <row r="463">
      <c r="A463" t="inlineStr">
        <is>
          <t>David Button</t>
        </is>
      </c>
      <c r="B463" t="inlineStr">
        <is>
          <t>IPS</t>
        </is>
      </c>
      <c r="D463" t="b">
        <v>0</v>
      </c>
      <c r="E463" t="inlineStr">
        <is>
          <t>GKP</t>
        </is>
      </c>
      <c r="G463" t="b">
        <v>1</v>
      </c>
      <c r="H463" s="2" t="n">
        <v>4</v>
      </c>
      <c r="I463" t="inlineStr">
        <is>
          <t>a</t>
        </is>
      </c>
      <c r="K463" s="2" t="n"/>
      <c r="M463" s="3" t="n">
        <v>0</v>
      </c>
      <c r="N463" s="8" t="n">
        <v>0</v>
      </c>
      <c r="O463" s="8" t="n">
        <v>0</v>
      </c>
      <c r="Q463" t="inlineStr">
        <is>
          <t>flat</t>
        </is>
      </c>
      <c r="R463" s="6" t="n">
        <v>0</v>
      </c>
      <c r="S463" t="inlineStr">
        <is>
          <t>Solio</t>
        </is>
      </c>
      <c r="U463" s="6" t="n">
        <v>85</v>
      </c>
      <c r="V463" s="2" t="n"/>
      <c r="W463" s="7">
        <f>IF(N(U463)&lt;=0,0,MIN(Assumptions!$B$15,N(R463)/N(U463)))</f>
        <v/>
      </c>
      <c r="X463" s="6" t="n">
        <v>0.17</v>
      </c>
      <c r="Y463" s="3" t="n"/>
      <c r="Z463" t="inlineStr"/>
      <c r="AA463" s="3" t="n">
        <v>1</v>
      </c>
      <c r="AB463" s="3" t="n"/>
      <c r="AC463" s="3" t="n"/>
      <c r="AD463" s="3" t="n"/>
      <c r="AE463" s="3" t="n">
        <v>0</v>
      </c>
      <c r="AF463" s="3" t="n">
        <v>0</v>
      </c>
      <c r="AG463" s="3" t="n"/>
      <c r="AH463" s="3" t="n"/>
      <c r="AI463" s="3" t="n">
        <v>3.5741</v>
      </c>
      <c r="AJ463" s="3" t="n">
        <v>1.8319</v>
      </c>
      <c r="AK463" s="3" t="n">
        <v>-0.0763216474948735</v>
      </c>
      <c r="AL463" s="6" t="n">
        <v>0</v>
      </c>
      <c r="AM463" s="3" t="n">
        <v>0</v>
      </c>
      <c r="AN463" s="3" t="n">
        <v>0</v>
      </c>
      <c r="AO463" s="3" t="n">
        <v>0</v>
      </c>
      <c r="AP463" s="3">
        <f>N(X463)*N(BI463)</f>
        <v/>
      </c>
      <c r="AQ463" s="3" t="n">
        <v>0</v>
      </c>
      <c r="AR463" s="3" t="n">
        <v>0.8565116974562608</v>
      </c>
      <c r="AS463" s="3" t="n">
        <v>-0.6723587286814016</v>
      </c>
      <c r="AT463" s="3" t="n">
        <v>-0.0763216474948735</v>
      </c>
      <c r="AU463" s="3">
        <f>SUM(AN463:AT463)</f>
        <v/>
      </c>
      <c r="AV463" s="7">
        <f>IF(OR(N(W463)&lt;=0,N(BG463)=0),0,N(W463)*IF(N(R463)/N(W463)&gt;=60,N(BG463),1))</f>
        <v/>
      </c>
      <c r="AW463" s="7">
        <f>N(W463)*N(AF463)*N(BH463)</f>
        <v/>
      </c>
      <c r="AX463" s="7">
        <f>N(AL463)*(Assumptions!$B$13*N(BJ463)-(1-Assumptions!$B$13)*Assumptions!$B$14)+N(AM463)</f>
        <v/>
      </c>
      <c r="AY463" s="7">
        <f>N(AU463)*N(R463)/90+N(AV463)+N(AW463)+N(AX463)</f>
        <v/>
      </c>
      <c r="AZ463" s="3">
        <f>IF(N(R463)&lt;=0,0,(N(AY463)-N(AX463))*90/N(R463))</f>
        <v/>
      </c>
      <c r="BA463" s="7">
        <f>IFERROR(AY463-VLOOKUP($E463,Assumptions!$A$40:$C$43,3,FALSE),"")</f>
        <v/>
      </c>
      <c r="BB463" s="3">
        <f>IFERROR(BA463/H463,"")</f>
        <v/>
      </c>
      <c r="BC463">
        <f>IF(AND($G463=TRUE,$E463="GKP"),AY463,"")</f>
        <v/>
      </c>
      <c r="BD463">
        <f>IF(AND($G463=TRUE,$E463="DEF"),AY463,"")</f>
        <v/>
      </c>
      <c r="BE463">
        <f>IF(AND($G463=TRUE,$E463="MID"),AY463,"")</f>
        <v/>
      </c>
      <c r="BF463">
        <f>IF(AND($G463=TRUE,$E463="FWD"),AY463,"")</f>
        <v/>
      </c>
      <c r="BG463" t="n">
        <v>2</v>
      </c>
      <c r="BH463" t="n">
        <v>0</v>
      </c>
      <c r="BI463" t="n">
        <v>4</v>
      </c>
      <c r="BJ463" t="n">
        <v>10</v>
      </c>
    </row>
    <row r="464">
      <c r="A464" t="inlineStr">
        <is>
          <t>Nathaniel Clyne</t>
        </is>
      </c>
      <c r="C464" t="inlineStr">
        <is>
          <t>CRY</t>
        </is>
      </c>
      <c r="D464" t="b">
        <v>0</v>
      </c>
      <c r="F464" t="inlineStr">
        <is>
          <t>DEF</t>
        </is>
      </c>
      <c r="G464" t="b">
        <v>0</v>
      </c>
      <c r="H464" s="2" t="n"/>
      <c r="K464" s="2" t="n">
        <v>596</v>
      </c>
      <c r="M464" s="3" t="n"/>
      <c r="N464" s="8" t="n">
        <v>596</v>
      </c>
      <c r="O464" s="8" t="n">
        <v>0</v>
      </c>
      <c r="R464" s="6" t="n">
        <v>596</v>
      </c>
      <c r="S464" t="inlineStr">
        <is>
          <t>25/26 actual</t>
        </is>
      </c>
      <c r="U464" s="6" t="n">
        <v>79.90000000000001</v>
      </c>
      <c r="V464" s="2" t="n">
        <v>7</v>
      </c>
      <c r="W464" s="7">
        <f>IF(N(U464)&lt;=0,0,MIN(Assumptions!$B$15,N(R464)/N(U464)))</f>
        <v/>
      </c>
      <c r="X464" s="6" t="n"/>
      <c r="Y464" s="3" t="n">
        <v>0.0599</v>
      </c>
      <c r="Z464" t="inlineStr">
        <is>
          <t>adjusted xGOT</t>
        </is>
      </c>
      <c r="AA464" s="3" t="n">
        <v>1</v>
      </c>
      <c r="AB464" s="3" t="n">
        <v>0.924</v>
      </c>
      <c r="AC464" s="3" t="n">
        <v>0.7</v>
      </c>
      <c r="AD464" s="3" t="n">
        <v>0.1019</v>
      </c>
      <c r="AE464" s="3" t="n">
        <v>7.647</v>
      </c>
      <c r="AF464" s="3" t="n">
        <v>0</v>
      </c>
      <c r="AG464" s="3" t="n">
        <v>0.302</v>
      </c>
      <c r="AH464" s="3" t="n">
        <v>16</v>
      </c>
      <c r="AI464" s="3" t="n"/>
      <c r="AJ464" s="3" t="n"/>
      <c r="AK464" s="3" t="n"/>
      <c r="AL464" s="6" t="n">
        <v>0</v>
      </c>
      <c r="AM464" s="3" t="n">
        <v>0</v>
      </c>
      <c r="AN464" s="3" t="n">
        <v>0</v>
      </c>
      <c r="AO464" s="3" t="n">
        <v>0</v>
      </c>
      <c r="AP464" s="3">
        <f>N(X464)*N(BI464)</f>
        <v/>
      </c>
      <c r="AQ464" s="3" t="n">
        <v>0</v>
      </c>
      <c r="AR464" s="3" t="n">
        <v>0</v>
      </c>
      <c r="AS464" s="3" t="n">
        <v>0</v>
      </c>
      <c r="AT464" s="3" t="n">
        <v>0</v>
      </c>
      <c r="AU464" s="3">
        <f>SUM(AN464:AT464)</f>
        <v/>
      </c>
      <c r="AV464" s="7">
        <f>IF(OR(N(W464)&lt;=0,N(BG464)=0),0,N(W464)*IF(N(R464)/N(W464)&gt;=60,N(BG464),1))</f>
        <v/>
      </c>
      <c r="AW464" s="7">
        <f>N(W464)*N(AF464)*N(BH464)</f>
        <v/>
      </c>
      <c r="AX464" s="7">
        <f>N(AL464)*(Assumptions!$B$13*N(BJ464)-(1-Assumptions!$B$13)*Assumptions!$B$14)+N(AM464)</f>
        <v/>
      </c>
      <c r="AY464" s="7">
        <f>N(AU464)*N(R464)/90+N(AV464)+N(AW464)+N(AX464)</f>
        <v/>
      </c>
      <c r="AZ464" s="3">
        <f>IF(N(R464)&lt;=0,0,(N(AY464)-N(AX464))*90/N(R464))</f>
        <v/>
      </c>
      <c r="BA464" s="7">
        <f>IFERROR(AY464-VLOOKUP($E464,Assumptions!$A$40:$C$43,3,FALSE),"")</f>
        <v/>
      </c>
      <c r="BB464" s="3">
        <f>IFERROR(BA464/H464,"")</f>
        <v/>
      </c>
      <c r="BC464">
        <f>IF(AND($G464=TRUE,$E464="GKP"),AY464,"")</f>
        <v/>
      </c>
      <c r="BD464">
        <f>IF(AND($G464=TRUE,$E464="DEF"),AY464,"")</f>
        <v/>
      </c>
      <c r="BE464">
        <f>IF(AND($G464=TRUE,$E464="MID"),AY464,"")</f>
        <v/>
      </c>
      <c r="BF464">
        <f>IF(AND($G464=TRUE,$E464="FWD"),AY464,"")</f>
        <v/>
      </c>
      <c r="BG464" t="n">
        <v>0</v>
      </c>
      <c r="BH464" t="n">
        <v>0</v>
      </c>
      <c r="BI464" t="n">
        <v>0</v>
      </c>
      <c r="BJ464" t="n">
        <v>0</v>
      </c>
    </row>
    <row r="465">
      <c r="A465" t="inlineStr">
        <is>
          <t>Kyle Walker</t>
        </is>
      </c>
      <c r="C465" t="inlineStr">
        <is>
          <t>BUR</t>
        </is>
      </c>
      <c r="D465" t="b">
        <v>0</v>
      </c>
      <c r="F465" t="inlineStr">
        <is>
          <t>DEF</t>
        </is>
      </c>
      <c r="G465" t="b">
        <v>0</v>
      </c>
      <c r="H465" s="2" t="n"/>
      <c r="K465" s="2" t="n">
        <v>3097</v>
      </c>
      <c r="M465" s="3" t="n"/>
      <c r="N465" s="8" t="n">
        <v>3097</v>
      </c>
      <c r="O465" s="8" t="n">
        <v>0</v>
      </c>
      <c r="R465" s="6" t="n">
        <v>3097</v>
      </c>
      <c r="S465" t="inlineStr">
        <is>
          <t>25/26 actual</t>
        </is>
      </c>
      <c r="U465" s="6" t="n">
        <v>87.59999999999999</v>
      </c>
      <c r="V465" s="2" t="n">
        <v>35</v>
      </c>
      <c r="W465" s="7">
        <f>IF(N(U465)&lt;=0,0,MIN(Assumptions!$B$15,N(R465)/N(U465)))</f>
        <v/>
      </c>
      <c r="X465" s="6" t="n"/>
      <c r="Y465" s="3" t="n">
        <v>0.004</v>
      </c>
      <c r="Z465" t="inlineStr">
        <is>
          <t>adjusted xGOT</t>
        </is>
      </c>
      <c r="AA465" s="3" t="n">
        <v>1</v>
      </c>
      <c r="AB465" s="3" t="n">
        <v>0.916</v>
      </c>
      <c r="AC465" s="3" t="n">
        <v>1.1</v>
      </c>
      <c r="AD465" s="3" t="n">
        <v>0.0484</v>
      </c>
      <c r="AE465" s="3" t="n">
        <v>6.452</v>
      </c>
      <c r="AF465" s="3" t="n">
        <v>0</v>
      </c>
      <c r="AG465" s="3" t="n">
        <v>0.0872</v>
      </c>
      <c r="AH465" s="3" t="n">
        <v>70</v>
      </c>
      <c r="AI465" s="3" t="n"/>
      <c r="AJ465" s="3" t="n"/>
      <c r="AK465" s="3" t="n"/>
      <c r="AL465" s="6" t="n">
        <v>0</v>
      </c>
      <c r="AM465" s="3" t="n">
        <v>0</v>
      </c>
      <c r="AN465" s="3" t="n">
        <v>0</v>
      </c>
      <c r="AO465" s="3" t="n">
        <v>0</v>
      </c>
      <c r="AP465" s="3">
        <f>N(X465)*N(BI465)</f>
        <v/>
      </c>
      <c r="AQ465" s="3" t="n">
        <v>0</v>
      </c>
      <c r="AR465" s="3" t="n">
        <v>0</v>
      </c>
      <c r="AS465" s="3" t="n">
        <v>0</v>
      </c>
      <c r="AT465" s="3" t="n">
        <v>0</v>
      </c>
      <c r="AU465" s="3">
        <f>SUM(AN465:AT465)</f>
        <v/>
      </c>
      <c r="AV465" s="7">
        <f>IF(OR(N(W465)&lt;=0,N(BG465)=0),0,N(W465)*IF(N(R465)/N(W465)&gt;=60,N(BG465),1))</f>
        <v/>
      </c>
      <c r="AW465" s="7">
        <f>N(W465)*N(AF465)*N(BH465)</f>
        <v/>
      </c>
      <c r="AX465" s="7">
        <f>N(AL465)*(Assumptions!$B$13*N(BJ465)-(1-Assumptions!$B$13)*Assumptions!$B$14)+N(AM465)</f>
        <v/>
      </c>
      <c r="AY465" s="7">
        <f>N(AU465)*N(R465)/90+N(AV465)+N(AW465)+N(AX465)</f>
        <v/>
      </c>
      <c r="AZ465" s="3">
        <f>IF(N(R465)&lt;=0,0,(N(AY465)-N(AX465))*90/N(R465))</f>
        <v/>
      </c>
      <c r="BA465" s="7">
        <f>IFERROR(AY465-VLOOKUP($E465,Assumptions!$A$40:$C$43,3,FALSE),"")</f>
        <v/>
      </c>
      <c r="BB465" s="3">
        <f>IFERROR(BA465/H465,"")</f>
        <v/>
      </c>
      <c r="BC465">
        <f>IF(AND($G465=TRUE,$E465="GKP"),AY465,"")</f>
        <v/>
      </c>
      <c r="BD465">
        <f>IF(AND($G465=TRUE,$E465="DEF"),AY465,"")</f>
        <v/>
      </c>
      <c r="BE465">
        <f>IF(AND($G465=TRUE,$E465="MID"),AY465,"")</f>
        <v/>
      </c>
      <c r="BF465">
        <f>IF(AND($G465=TRUE,$E465="FWD"),AY465,"")</f>
        <v/>
      </c>
      <c r="BG465" t="n">
        <v>0</v>
      </c>
      <c r="BH465" t="n">
        <v>0</v>
      </c>
      <c r="BI465" t="n">
        <v>0</v>
      </c>
      <c r="BJ465" t="n">
        <v>0</v>
      </c>
    </row>
    <row r="466">
      <c r="A466" t="inlineStr">
        <is>
          <t>Séamus Coleman</t>
        </is>
      </c>
      <c r="C466" t="inlineStr">
        <is>
          <t>EVE</t>
        </is>
      </c>
      <c r="D466" t="b">
        <v>0</v>
      </c>
      <c r="F466" t="inlineStr">
        <is>
          <t>DEF</t>
        </is>
      </c>
      <c r="G466" t="b">
        <v>0</v>
      </c>
      <c r="H466" s="2" t="n"/>
      <c r="K466" s="2" t="n">
        <v>20</v>
      </c>
      <c r="M466" s="3" t="n"/>
      <c r="N466" s="8" t="n">
        <v>20</v>
      </c>
      <c r="O466" s="8" t="n">
        <v>0</v>
      </c>
      <c r="R466" s="6" t="n">
        <v>20</v>
      </c>
      <c r="S466" t="inlineStr">
        <is>
          <t>25/26 actual</t>
        </is>
      </c>
      <c r="U466" s="6" t="n">
        <v>78.5</v>
      </c>
      <c r="V466" s="2" t="n">
        <v>1</v>
      </c>
      <c r="W466" s="7">
        <f>IF(N(U466)&lt;=0,0,MIN(Assumptions!$B$15,N(R466)/N(U466)))</f>
        <v/>
      </c>
      <c r="X466" s="6" t="n"/>
      <c r="Y466" s="3" t="n">
        <v>0</v>
      </c>
      <c r="Z466" t="inlineStr">
        <is>
          <t>adjusted xGOT</t>
        </is>
      </c>
      <c r="AA466" s="3" t="n">
        <v>1</v>
      </c>
      <c r="AB466" s="3" t="n">
        <v>0.93</v>
      </c>
      <c r="AC466" s="3" t="n">
        <v>0.9</v>
      </c>
      <c r="AD466" s="3" t="n">
        <v>0.1706</v>
      </c>
      <c r="AE466" s="3" t="n">
        <v>7.731</v>
      </c>
      <c r="AF466" s="3" t="n">
        <v>0</v>
      </c>
      <c r="AG466" s="3" t="n">
        <v>0</v>
      </c>
      <c r="AH466" s="3" t="n">
        <v>5</v>
      </c>
      <c r="AI466" s="3" t="n"/>
      <c r="AJ466" s="3" t="n"/>
      <c r="AK466" s="3" t="n"/>
      <c r="AL466" s="6" t="n">
        <v>0</v>
      </c>
      <c r="AM466" s="3" t="n">
        <v>0</v>
      </c>
      <c r="AN466" s="3" t="n">
        <v>0</v>
      </c>
      <c r="AO466" s="3" t="n">
        <v>0</v>
      </c>
      <c r="AP466" s="3">
        <f>N(X466)*N(BI466)</f>
        <v/>
      </c>
      <c r="AQ466" s="3" t="n">
        <v>0</v>
      </c>
      <c r="AR466" s="3" t="n">
        <v>0</v>
      </c>
      <c r="AS466" s="3" t="n">
        <v>0</v>
      </c>
      <c r="AT466" s="3" t="n">
        <v>0</v>
      </c>
      <c r="AU466" s="3">
        <f>SUM(AN466:AT466)</f>
        <v/>
      </c>
      <c r="AV466" s="7">
        <f>IF(OR(N(W466)&lt;=0,N(BG466)=0),0,N(W466)*IF(N(R466)/N(W466)&gt;=60,N(BG466),1))</f>
        <v/>
      </c>
      <c r="AW466" s="7">
        <f>N(W466)*N(AF466)*N(BH466)</f>
        <v/>
      </c>
      <c r="AX466" s="7">
        <f>N(AL466)*(Assumptions!$B$13*N(BJ466)-(1-Assumptions!$B$13)*Assumptions!$B$14)+N(AM466)</f>
        <v/>
      </c>
      <c r="AY466" s="7">
        <f>N(AU466)*N(R466)/90+N(AV466)+N(AW466)+N(AX466)</f>
        <v/>
      </c>
      <c r="AZ466" s="3">
        <f>IF(N(R466)&lt;=0,0,(N(AY466)-N(AX466))*90/N(R466))</f>
        <v/>
      </c>
      <c r="BA466" s="7">
        <f>IFERROR(AY466-VLOOKUP($E466,Assumptions!$A$40:$C$43,3,FALSE),"")</f>
        <v/>
      </c>
      <c r="BB466" s="3">
        <f>IFERROR(BA466/H466,"")</f>
        <v/>
      </c>
      <c r="BC466">
        <f>IF(AND($G466=TRUE,$E466="GKP"),AY466,"")</f>
        <v/>
      </c>
      <c r="BD466">
        <f>IF(AND($G466=TRUE,$E466="DEF"),AY466,"")</f>
        <v/>
      </c>
      <c r="BE466">
        <f>IF(AND($G466=TRUE,$E466="MID"),AY466,"")</f>
        <v/>
      </c>
      <c r="BF466">
        <f>IF(AND($G466=TRUE,$E466="FWD"),AY466,"")</f>
        <v/>
      </c>
      <c r="BG466" t="n">
        <v>0</v>
      </c>
      <c r="BH466" t="n">
        <v>0</v>
      </c>
      <c r="BI466" t="n">
        <v>0</v>
      </c>
      <c r="BJ466" t="n">
        <v>0</v>
      </c>
    </row>
    <row r="467">
      <c r="A467" t="inlineStr">
        <is>
          <t>Casemiro</t>
        </is>
      </c>
      <c r="C467" t="inlineStr">
        <is>
          <t>MUN</t>
        </is>
      </c>
      <c r="D467" t="b">
        <v>0</v>
      </c>
      <c r="F467" t="inlineStr">
        <is>
          <t>MID</t>
        </is>
      </c>
      <c r="G467" t="b">
        <v>0</v>
      </c>
      <c r="H467" s="2" t="n"/>
      <c r="K467" s="2" t="n">
        <v>2588</v>
      </c>
      <c r="M467" s="3" t="n"/>
      <c r="N467" s="8" t="n">
        <v>2588</v>
      </c>
      <c r="O467" s="8" t="n">
        <v>0</v>
      </c>
      <c r="R467" s="6" t="n">
        <v>2588</v>
      </c>
      <c r="S467" t="inlineStr">
        <is>
          <t>25/26 actual</t>
        </is>
      </c>
      <c r="U467" s="6" t="n">
        <v>79</v>
      </c>
      <c r="V467" s="2" t="n">
        <v>32</v>
      </c>
      <c r="W467" s="7">
        <f>IF(N(U467)&lt;=0,0,MIN(Assumptions!$B$15,N(R467)/N(U467)))</f>
        <v/>
      </c>
      <c r="X467" s="6" t="n"/>
      <c r="Y467" s="3" t="n">
        <v>0.1734</v>
      </c>
      <c r="Z467" t="inlineStr">
        <is>
          <t>adjusted xGOT</t>
        </is>
      </c>
      <c r="AA467" s="3" t="n">
        <v>1</v>
      </c>
      <c r="AB467" s="3" t="n">
        <v>0.916</v>
      </c>
      <c r="AC467" s="3" t="n">
        <v>14.4</v>
      </c>
      <c r="AD467" s="3" t="n">
        <v>0.1105</v>
      </c>
      <c r="AE467" s="3" t="n">
        <v>11.571</v>
      </c>
      <c r="AF467" s="3" t="n">
        <v>0</v>
      </c>
      <c r="AG467" s="3" t="n">
        <v>0.6955</v>
      </c>
      <c r="AH467" s="3" t="n">
        <v>63</v>
      </c>
      <c r="AI467" s="3" t="n"/>
      <c r="AJ467" s="3" t="n"/>
      <c r="AK467" s="3" t="n"/>
      <c r="AL467" s="6" t="n">
        <v>0</v>
      </c>
      <c r="AM467" s="3" t="n">
        <v>0</v>
      </c>
      <c r="AN467" s="3" t="n">
        <v>0</v>
      </c>
      <c r="AO467" s="3" t="n">
        <v>0</v>
      </c>
      <c r="AP467" s="3">
        <f>N(X467)*N(BI467)</f>
        <v/>
      </c>
      <c r="AQ467" s="3" t="n">
        <v>0</v>
      </c>
      <c r="AR467" s="3" t="n">
        <v>0</v>
      </c>
      <c r="AS467" s="3" t="n">
        <v>0</v>
      </c>
      <c r="AT467" s="3" t="n">
        <v>0</v>
      </c>
      <c r="AU467" s="3">
        <f>SUM(AN467:AT467)</f>
        <v/>
      </c>
      <c r="AV467" s="7">
        <f>IF(OR(N(W467)&lt;=0,N(BG467)=0),0,N(W467)*IF(N(R467)/N(W467)&gt;=60,N(BG467),1))</f>
        <v/>
      </c>
      <c r="AW467" s="7">
        <f>N(W467)*N(AF467)*N(BH467)</f>
        <v/>
      </c>
      <c r="AX467" s="7">
        <f>N(AL467)*(Assumptions!$B$13*N(BJ467)-(1-Assumptions!$B$13)*Assumptions!$B$14)+N(AM467)</f>
        <v/>
      </c>
      <c r="AY467" s="7">
        <f>N(AU467)*N(R467)/90+N(AV467)+N(AW467)+N(AX467)</f>
        <v/>
      </c>
      <c r="AZ467" s="3">
        <f>IF(N(R467)&lt;=0,0,(N(AY467)-N(AX467))*90/N(R467))</f>
        <v/>
      </c>
      <c r="BA467" s="7">
        <f>IFERROR(AY467-VLOOKUP($E467,Assumptions!$A$40:$C$43,3,FALSE),"")</f>
        <v/>
      </c>
      <c r="BB467" s="3">
        <f>IFERROR(BA467/H467,"")</f>
        <v/>
      </c>
      <c r="BC467">
        <f>IF(AND($G467=TRUE,$E467="GKP"),AY467,"")</f>
        <v/>
      </c>
      <c r="BD467">
        <f>IF(AND($G467=TRUE,$E467="DEF"),AY467,"")</f>
        <v/>
      </c>
      <c r="BE467">
        <f>IF(AND($G467=TRUE,$E467="MID"),AY467,"")</f>
        <v/>
      </c>
      <c r="BF467">
        <f>IF(AND($G467=TRUE,$E467="FWD"),AY467,"")</f>
        <v/>
      </c>
      <c r="BG467" t="n">
        <v>0</v>
      </c>
      <c r="BH467" t="n">
        <v>0</v>
      </c>
      <c r="BI467" t="n">
        <v>0</v>
      </c>
      <c r="BJ467" t="n">
        <v>0</v>
      </c>
    </row>
    <row r="468">
      <c r="A468" t="inlineStr">
        <is>
          <t>Kieran Trippier</t>
        </is>
      </c>
      <c r="C468" t="inlineStr">
        <is>
          <t>NEW</t>
        </is>
      </c>
      <c r="D468" t="b">
        <v>0</v>
      </c>
      <c r="F468" t="inlineStr">
        <is>
          <t>DEF</t>
        </is>
      </c>
      <c r="G468" t="b">
        <v>0</v>
      </c>
      <c r="H468" s="2" t="n"/>
      <c r="K468" s="2" t="n">
        <v>1592</v>
      </c>
      <c r="M468" s="3" t="n"/>
      <c r="N468" s="8" t="n">
        <v>1592</v>
      </c>
      <c r="O468" s="8" t="n">
        <v>0</v>
      </c>
      <c r="R468" s="6" t="n">
        <v>1592</v>
      </c>
      <c r="S468" t="inlineStr">
        <is>
          <t>25/26 actual</t>
        </is>
      </c>
      <c r="U468" s="6" t="n">
        <v>84.7</v>
      </c>
      <c r="V468" s="2" t="n">
        <v>18</v>
      </c>
      <c r="W468" s="7">
        <f>IF(N(U468)&lt;=0,0,MIN(Assumptions!$B$15,N(R468)/N(U468)))</f>
        <v/>
      </c>
      <c r="X468" s="6" t="n"/>
      <c r="Y468" s="3" t="n">
        <v>0.0047</v>
      </c>
      <c r="Z468" t="inlineStr">
        <is>
          <t>adjusted xGOT</t>
        </is>
      </c>
      <c r="AA468" s="3" t="n">
        <v>1</v>
      </c>
      <c r="AB468" s="3" t="n">
        <v>1.052</v>
      </c>
      <c r="AC468" s="3" t="n">
        <v>1.7</v>
      </c>
      <c r="AD468" s="3" t="n">
        <v>0.1029</v>
      </c>
      <c r="AE468" s="3" t="n">
        <v>5.6</v>
      </c>
      <c r="AF468" s="3" t="n">
        <v>0</v>
      </c>
      <c r="AG468" s="3" t="n">
        <v>0.1131</v>
      </c>
      <c r="AH468" s="3" t="n">
        <v>39</v>
      </c>
      <c r="AI468" s="3" t="n"/>
      <c r="AJ468" s="3" t="n"/>
      <c r="AK468" s="3" t="n"/>
      <c r="AL468" s="6" t="n">
        <v>0</v>
      </c>
      <c r="AM468" s="3" t="n">
        <v>0</v>
      </c>
      <c r="AN468" s="3" t="n">
        <v>0</v>
      </c>
      <c r="AO468" s="3" t="n">
        <v>0</v>
      </c>
      <c r="AP468" s="3">
        <f>N(X468)*N(BI468)</f>
        <v/>
      </c>
      <c r="AQ468" s="3" t="n">
        <v>0</v>
      </c>
      <c r="AR468" s="3" t="n">
        <v>0</v>
      </c>
      <c r="AS468" s="3" t="n">
        <v>0</v>
      </c>
      <c r="AT468" s="3" t="n">
        <v>0</v>
      </c>
      <c r="AU468" s="3">
        <f>SUM(AN468:AT468)</f>
        <v/>
      </c>
      <c r="AV468" s="7">
        <f>IF(OR(N(W468)&lt;=0,N(BG468)=0),0,N(W468)*IF(N(R468)/N(W468)&gt;=60,N(BG468),1))</f>
        <v/>
      </c>
      <c r="AW468" s="7">
        <f>N(W468)*N(AF468)*N(BH468)</f>
        <v/>
      </c>
      <c r="AX468" s="7">
        <f>N(AL468)*(Assumptions!$B$13*N(BJ468)-(1-Assumptions!$B$13)*Assumptions!$B$14)+N(AM468)</f>
        <v/>
      </c>
      <c r="AY468" s="7">
        <f>N(AU468)*N(R468)/90+N(AV468)+N(AW468)+N(AX468)</f>
        <v/>
      </c>
      <c r="AZ468" s="3">
        <f>IF(N(R468)&lt;=0,0,(N(AY468)-N(AX468))*90/N(R468))</f>
        <v/>
      </c>
      <c r="BA468" s="7">
        <f>IFERROR(AY468-VLOOKUP($E468,Assumptions!$A$40:$C$43,3,FALSE),"")</f>
        <v/>
      </c>
      <c r="BB468" s="3">
        <f>IFERROR(BA468/H468,"")</f>
        <v/>
      </c>
      <c r="BC468">
        <f>IF(AND($G468=TRUE,$E468="GKP"),AY468,"")</f>
        <v/>
      </c>
      <c r="BD468">
        <f>IF(AND($G468=TRUE,$E468="DEF"),AY468,"")</f>
        <v/>
      </c>
      <c r="BE468">
        <f>IF(AND($G468=TRUE,$E468="MID"),AY468,"")</f>
        <v/>
      </c>
      <c r="BF468">
        <f>IF(AND($G468=TRUE,$E468="FWD"),AY468,"")</f>
        <v/>
      </c>
      <c r="BG468" t="n">
        <v>0</v>
      </c>
      <c r="BH468" t="n">
        <v>0</v>
      </c>
      <c r="BI468" t="n">
        <v>0</v>
      </c>
      <c r="BJ468" t="n">
        <v>0</v>
      </c>
    </row>
    <row r="469">
      <c r="A469" t="inlineStr">
        <is>
          <t>Dan Bentley</t>
        </is>
      </c>
      <c r="C469" t="inlineStr">
        <is>
          <t>WOL</t>
        </is>
      </c>
      <c r="D469" t="b">
        <v>0</v>
      </c>
      <c r="F469" t="inlineStr">
        <is>
          <t>GKP</t>
        </is>
      </c>
      <c r="G469" t="b">
        <v>0</v>
      </c>
      <c r="H469" s="2" t="n"/>
      <c r="K469" s="2" t="n">
        <v>270</v>
      </c>
      <c r="M469" s="3" t="n"/>
      <c r="N469" s="8" t="n">
        <v>270</v>
      </c>
      <c r="O469" s="8" t="n">
        <v>0</v>
      </c>
      <c r="R469" s="6" t="n">
        <v>270</v>
      </c>
      <c r="S469" t="inlineStr">
        <is>
          <t>25/26 actual</t>
        </is>
      </c>
      <c r="U469" s="6" t="n">
        <v>89.8</v>
      </c>
      <c r="V469" s="2" t="n">
        <v>3</v>
      </c>
      <c r="W469" s="7">
        <f>IF(N(U469)&lt;=0,0,MIN(Assumptions!$B$15,N(R469)/N(U469)))</f>
        <v/>
      </c>
      <c r="X469" s="6" t="n"/>
      <c r="Y469" s="3" t="n">
        <v>0</v>
      </c>
      <c r="Z469" t="inlineStr">
        <is>
          <t>blended xG</t>
        </is>
      </c>
      <c r="AA469" s="3" t="n">
        <v>1</v>
      </c>
      <c r="AB469" s="3" t="n">
        <v>1</v>
      </c>
      <c r="AC469" s="3" t="n">
        <v>0</v>
      </c>
      <c r="AD469" s="3" t="n">
        <v>0</v>
      </c>
      <c r="AE469" s="3" t="n">
        <v>0</v>
      </c>
      <c r="AF469" s="3" t="n">
        <v>0</v>
      </c>
      <c r="AG469" s="3" t="n">
        <v>0</v>
      </c>
      <c r="AH469" s="3" t="n">
        <v>6</v>
      </c>
      <c r="AI469" s="3" t="n"/>
      <c r="AJ469" s="3" t="n"/>
      <c r="AK469" s="3" t="n"/>
      <c r="AL469" s="6" t="n">
        <v>0</v>
      </c>
      <c r="AM469" s="3" t="n">
        <v>0</v>
      </c>
      <c r="AN469" s="3" t="n">
        <v>0</v>
      </c>
      <c r="AO469" s="3" t="n">
        <v>0</v>
      </c>
      <c r="AP469" s="3">
        <f>N(X469)*N(BI469)</f>
        <v/>
      </c>
      <c r="AQ469" s="3" t="n">
        <v>0</v>
      </c>
      <c r="AR469" s="3" t="n">
        <v>0</v>
      </c>
      <c r="AS469" s="3" t="n">
        <v>0</v>
      </c>
      <c r="AT469" s="3" t="n">
        <v>0</v>
      </c>
      <c r="AU469" s="3">
        <f>SUM(AN469:AT469)</f>
        <v/>
      </c>
      <c r="AV469" s="7">
        <f>IF(OR(N(W469)&lt;=0,N(BG469)=0),0,N(W469)*IF(N(R469)/N(W469)&gt;=60,N(BG469),1))</f>
        <v/>
      </c>
      <c r="AW469" s="7">
        <f>N(W469)*N(AF469)*N(BH469)</f>
        <v/>
      </c>
      <c r="AX469" s="7">
        <f>N(AL469)*(Assumptions!$B$13*N(BJ469)-(1-Assumptions!$B$13)*Assumptions!$B$14)+N(AM469)</f>
        <v/>
      </c>
      <c r="AY469" s="7">
        <f>N(AU469)*N(R469)/90+N(AV469)+N(AW469)+N(AX469)</f>
        <v/>
      </c>
      <c r="AZ469" s="3">
        <f>IF(N(R469)&lt;=0,0,(N(AY469)-N(AX469))*90/N(R469))</f>
        <v/>
      </c>
      <c r="BA469" s="7">
        <f>IFERROR(AY469-VLOOKUP($E469,Assumptions!$A$40:$C$43,3,FALSE),"")</f>
        <v/>
      </c>
      <c r="BB469" s="3">
        <f>IFERROR(BA469/H469,"")</f>
        <v/>
      </c>
      <c r="BC469">
        <f>IF(AND($G469=TRUE,$E469="GKP"),AY469,"")</f>
        <v/>
      </c>
      <c r="BD469">
        <f>IF(AND($G469=TRUE,$E469="DEF"),AY469,"")</f>
        <v/>
      </c>
      <c r="BE469">
        <f>IF(AND($G469=TRUE,$E469="MID"),AY469,"")</f>
        <v/>
      </c>
      <c r="BF469">
        <f>IF(AND($G469=TRUE,$E469="FWD"),AY469,"")</f>
        <v/>
      </c>
      <c r="BG469" t="n">
        <v>0</v>
      </c>
      <c r="BH469" t="n">
        <v>0</v>
      </c>
      <c r="BI469" t="n">
        <v>0</v>
      </c>
      <c r="BJ469" t="n">
        <v>0</v>
      </c>
    </row>
    <row r="470">
      <c r="A470" t="inlineStr">
        <is>
          <t>Jake Bidwell</t>
        </is>
      </c>
      <c r="B470" t="inlineStr">
        <is>
          <t>COV</t>
        </is>
      </c>
      <c r="D470" t="b">
        <v>0</v>
      </c>
      <c r="E470" t="inlineStr">
        <is>
          <t>DEF</t>
        </is>
      </c>
      <c r="G470" t="b">
        <v>1</v>
      </c>
      <c r="H470" s="2" t="n">
        <v>4</v>
      </c>
      <c r="I470" t="inlineStr">
        <is>
          <t>a</t>
        </is>
      </c>
      <c r="K470" s="2" t="n"/>
      <c r="M470" s="3" t="n">
        <v>65</v>
      </c>
      <c r="N470" s="8" t="n">
        <v>65</v>
      </c>
      <c r="O470" s="8" t="n">
        <v>0</v>
      </c>
      <c r="Q470" t="inlineStr">
        <is>
          <t>flat</t>
        </is>
      </c>
      <c r="R470" s="6" t="n">
        <v>65</v>
      </c>
      <c r="S470" t="inlineStr">
        <is>
          <t>Solio</t>
        </is>
      </c>
      <c r="U470" s="6" t="n">
        <v>85</v>
      </c>
      <c r="V470" s="2" t="n"/>
      <c r="W470" s="7">
        <f>IF(N(U470)&lt;=0,0,MIN(Assumptions!$B$15,N(R470)/N(U470)))</f>
        <v/>
      </c>
      <c r="X470" s="6" t="n">
        <v>0.17</v>
      </c>
      <c r="Y470" s="3" t="n"/>
      <c r="Z470" t="inlineStr"/>
      <c r="AA470" s="3" t="n">
        <v>1</v>
      </c>
      <c r="AB470" s="3" t="n"/>
      <c r="AC470" s="3" t="n"/>
      <c r="AD470" s="3" t="n"/>
      <c r="AE470" s="3" t="n"/>
      <c r="AF470" s="3" t="n">
        <v>0</v>
      </c>
      <c r="AG470" s="3" t="n"/>
      <c r="AH470" s="3" t="n"/>
      <c r="AI470" s="3" t="n">
        <v>3.6194</v>
      </c>
      <c r="AJ470" s="3" t="n">
        <v>1.8271</v>
      </c>
      <c r="AK470" s="3" t="n">
        <v>-0.2045226422080557</v>
      </c>
      <c r="AL470" s="6" t="n">
        <v>0</v>
      </c>
      <c r="AM470" s="3" t="n">
        <v>0</v>
      </c>
      <c r="AN470" s="3" t="n">
        <v>0</v>
      </c>
      <c r="AO470" s="3" t="n">
        <v>0</v>
      </c>
      <c r="AP470" s="3">
        <f>N(X470)*N(BI470)</f>
        <v/>
      </c>
      <c r="AQ470" s="3" t="n">
        <v>0</v>
      </c>
      <c r="AR470" s="3" t="n">
        <v>0</v>
      </c>
      <c r="AS470" s="3" t="n">
        <v>-0.670020548738316</v>
      </c>
      <c r="AT470" s="3" t="n">
        <v>-0.2045226422080557</v>
      </c>
      <c r="AU470" s="3">
        <f>SUM(AN470:AT470)</f>
        <v/>
      </c>
      <c r="AV470" s="7">
        <f>IF(OR(N(W470)&lt;=0,N(BG470)=0),0,N(W470)*IF(N(R470)/N(W470)&gt;=60,N(BG470),1))</f>
        <v/>
      </c>
      <c r="AW470" s="7">
        <f>N(W470)*N(AF470)*N(BH470)</f>
        <v/>
      </c>
      <c r="AX470" s="7">
        <f>N(AL470)*(Assumptions!$B$13*N(BJ470)-(1-Assumptions!$B$13)*Assumptions!$B$14)+N(AM470)</f>
        <v/>
      </c>
      <c r="AY470" s="7">
        <f>N(AU470)*N(R470)/90+N(AV470)+N(AW470)+N(AX470)</f>
        <v/>
      </c>
      <c r="AZ470" s="3">
        <f>IF(N(R470)&lt;=0,0,(N(AY470)-N(AX470))*90/N(R470))</f>
        <v/>
      </c>
      <c r="BA470" s="7">
        <f>IFERROR(AY470-VLOOKUP($E470,Assumptions!$A$40:$C$43,3,FALSE),"")</f>
        <v/>
      </c>
      <c r="BB470" s="3">
        <f>IFERROR(BA470/H470,"")</f>
        <v/>
      </c>
      <c r="BC470">
        <f>IF(AND($G470=TRUE,$E470="GKP"),AY470,"")</f>
        <v/>
      </c>
      <c r="BD470">
        <f>IF(AND($G470=TRUE,$E470="DEF"),AY470,"")</f>
        <v/>
      </c>
      <c r="BE470">
        <f>IF(AND($G470=TRUE,$E470="MID"),AY470,"")</f>
        <v/>
      </c>
      <c r="BF470">
        <f>IF(AND($G470=TRUE,$E470="FWD"),AY470,"")</f>
        <v/>
      </c>
      <c r="BG470" t="n">
        <v>2</v>
      </c>
      <c r="BH470" t="n">
        <v>2</v>
      </c>
      <c r="BI470" t="n">
        <v>4</v>
      </c>
      <c r="BJ470" t="n">
        <v>6</v>
      </c>
    </row>
    <row r="471">
      <c r="A471" t="inlineStr">
        <is>
          <t>Idrissa Gueye</t>
        </is>
      </c>
      <c r="C471" t="inlineStr">
        <is>
          <t>EVE</t>
        </is>
      </c>
      <c r="D471" t="b">
        <v>0</v>
      </c>
      <c r="F471" t="inlineStr">
        <is>
          <t>MID</t>
        </is>
      </c>
      <c r="G471" t="b">
        <v>0</v>
      </c>
      <c r="H471" s="2" t="n"/>
      <c r="K471" s="2" t="n">
        <v>2101</v>
      </c>
      <c r="M471" s="3" t="n"/>
      <c r="N471" s="8" t="n">
        <v>2101</v>
      </c>
      <c r="O471" s="8" t="n">
        <v>0</v>
      </c>
      <c r="R471" s="6" t="n">
        <v>2101</v>
      </c>
      <c r="S471" t="inlineStr">
        <is>
          <t>25/26 actual</t>
        </is>
      </c>
      <c r="U471" s="6" t="n">
        <v>84.8</v>
      </c>
      <c r="V471" s="2" t="n">
        <v>24</v>
      </c>
      <c r="W471" s="7">
        <f>IF(N(U471)&lt;=0,0,MIN(Assumptions!$B$15,N(R471)/N(U471)))</f>
        <v/>
      </c>
      <c r="X471" s="6" t="n"/>
      <c r="Y471" s="3" t="n">
        <v>0.08790000000000001</v>
      </c>
      <c r="Z471" t="inlineStr">
        <is>
          <t>adjusted xGOT</t>
        </is>
      </c>
      <c r="AA471" s="3" t="n">
        <v>1</v>
      </c>
      <c r="AB471" s="3" t="n">
        <v>1.03</v>
      </c>
      <c r="AC471" s="3" t="n">
        <v>5.1</v>
      </c>
      <c r="AD471" s="3" t="n">
        <v>0.0726</v>
      </c>
      <c r="AE471" s="3" t="n">
        <v>9.167</v>
      </c>
      <c r="AF471" s="3" t="n">
        <v>0</v>
      </c>
      <c r="AG471" s="3" t="n">
        <v>0.1713</v>
      </c>
      <c r="AH471" s="3" t="n">
        <v>49</v>
      </c>
      <c r="AI471" s="3" t="n"/>
      <c r="AJ471" s="3" t="n"/>
      <c r="AK471" s="3" t="n"/>
      <c r="AL471" s="6" t="n">
        <v>0</v>
      </c>
      <c r="AM471" s="3" t="n">
        <v>0</v>
      </c>
      <c r="AN471" s="3" t="n">
        <v>0</v>
      </c>
      <c r="AO471" s="3" t="n">
        <v>0</v>
      </c>
      <c r="AP471" s="3">
        <f>N(X471)*N(BI471)</f>
        <v/>
      </c>
      <c r="AQ471" s="3" t="n">
        <v>0</v>
      </c>
      <c r="AR471" s="3" t="n">
        <v>0</v>
      </c>
      <c r="AS471" s="3" t="n">
        <v>0</v>
      </c>
      <c r="AT471" s="3" t="n">
        <v>0</v>
      </c>
      <c r="AU471" s="3">
        <f>SUM(AN471:AT471)</f>
        <v/>
      </c>
      <c r="AV471" s="7">
        <f>IF(OR(N(W471)&lt;=0,N(BG471)=0),0,N(W471)*IF(N(R471)/N(W471)&gt;=60,N(BG471),1))</f>
        <v/>
      </c>
      <c r="AW471" s="7">
        <f>N(W471)*N(AF471)*N(BH471)</f>
        <v/>
      </c>
      <c r="AX471" s="7">
        <f>N(AL471)*(Assumptions!$B$13*N(BJ471)-(1-Assumptions!$B$13)*Assumptions!$B$14)+N(AM471)</f>
        <v/>
      </c>
      <c r="AY471" s="7">
        <f>N(AU471)*N(R471)/90+N(AV471)+N(AW471)+N(AX471)</f>
        <v/>
      </c>
      <c r="AZ471" s="3">
        <f>IF(N(R471)&lt;=0,0,(N(AY471)-N(AX471))*90/N(R471))</f>
        <v/>
      </c>
      <c r="BA471" s="7">
        <f>IFERROR(AY471-VLOOKUP($E471,Assumptions!$A$40:$C$43,3,FALSE),"")</f>
        <v/>
      </c>
      <c r="BB471" s="3">
        <f>IFERROR(BA471/H471,"")</f>
        <v/>
      </c>
      <c r="BC471">
        <f>IF(AND($G471=TRUE,$E471="GKP"),AY471,"")</f>
        <v/>
      </c>
      <c r="BD471">
        <f>IF(AND($G471=TRUE,$E471="DEF"),AY471,"")</f>
        <v/>
      </c>
      <c r="BE471">
        <f>IF(AND($G471=TRUE,$E471="MID"),AY471,"")</f>
        <v/>
      </c>
      <c r="BF471">
        <f>IF(AND($G471=TRUE,$E471="FWD"),AY471,"")</f>
        <v/>
      </c>
      <c r="BG471" t="n">
        <v>0</v>
      </c>
      <c r="BH471" t="n">
        <v>0</v>
      </c>
      <c r="BI471" t="n">
        <v>0</v>
      </c>
      <c r="BJ471" t="n">
        <v>0</v>
      </c>
    </row>
    <row r="472">
      <c r="A472" t="inlineStr">
        <is>
          <t>Alphonse Areola</t>
        </is>
      </c>
      <c r="C472" t="inlineStr">
        <is>
          <t>WHU</t>
        </is>
      </c>
      <c r="D472" t="b">
        <v>0</v>
      </c>
      <c r="F472" t="inlineStr">
        <is>
          <t>GKP</t>
        </is>
      </c>
      <c r="G472" t="b">
        <v>0</v>
      </c>
      <c r="H472" s="2" t="n"/>
      <c r="K472" s="2" t="n">
        <v>1800</v>
      </c>
      <c r="M472" s="3" t="n"/>
      <c r="N472" s="8" t="n">
        <v>1800</v>
      </c>
      <c r="O472" s="8" t="n">
        <v>0</v>
      </c>
      <c r="R472" s="6" t="n">
        <v>1800</v>
      </c>
      <c r="S472" t="inlineStr">
        <is>
          <t>25/26 actual</t>
        </is>
      </c>
      <c r="U472" s="6" t="n">
        <v>89.90000000000001</v>
      </c>
      <c r="V472" s="2" t="n">
        <v>20</v>
      </c>
      <c r="W472" s="7">
        <f>IF(N(U472)&lt;=0,0,MIN(Assumptions!$B$15,N(R472)/N(U472)))</f>
        <v/>
      </c>
      <c r="X472" s="6" t="n"/>
      <c r="Y472" s="3" t="n">
        <v>0</v>
      </c>
      <c r="Z472" t="inlineStr">
        <is>
          <t>blended xG</t>
        </is>
      </c>
      <c r="AA472" s="3" t="n">
        <v>1</v>
      </c>
      <c r="AB472" s="3" t="n">
        <v>1</v>
      </c>
      <c r="AC472" s="3" t="n">
        <v>0</v>
      </c>
      <c r="AD472" s="3" t="n">
        <v>0.0011</v>
      </c>
      <c r="AE472" s="3" t="n">
        <v>0</v>
      </c>
      <c r="AF472" s="3" t="n">
        <v>0</v>
      </c>
      <c r="AG472" s="3" t="n">
        <v>0.1</v>
      </c>
      <c r="AH472" s="3" t="n">
        <v>40</v>
      </c>
      <c r="AI472" s="3" t="n"/>
      <c r="AJ472" s="3" t="n"/>
      <c r="AK472" s="3" t="n"/>
      <c r="AL472" s="6" t="n">
        <v>0</v>
      </c>
      <c r="AM472" s="3" t="n">
        <v>0</v>
      </c>
      <c r="AN472" s="3" t="n">
        <v>0</v>
      </c>
      <c r="AO472" s="3" t="n">
        <v>0</v>
      </c>
      <c r="AP472" s="3">
        <f>N(X472)*N(BI472)</f>
        <v/>
      </c>
      <c r="AQ472" s="3" t="n">
        <v>0</v>
      </c>
      <c r="AR472" s="3" t="n">
        <v>0</v>
      </c>
      <c r="AS472" s="3" t="n">
        <v>0</v>
      </c>
      <c r="AT472" s="3" t="n">
        <v>0</v>
      </c>
      <c r="AU472" s="3">
        <f>SUM(AN472:AT472)</f>
        <v/>
      </c>
      <c r="AV472" s="7">
        <f>IF(OR(N(W472)&lt;=0,N(BG472)=0),0,N(W472)*IF(N(R472)/N(W472)&gt;=60,N(BG472),1))</f>
        <v/>
      </c>
      <c r="AW472" s="7">
        <f>N(W472)*N(AF472)*N(BH472)</f>
        <v/>
      </c>
      <c r="AX472" s="7">
        <f>N(AL472)*(Assumptions!$B$13*N(BJ472)-(1-Assumptions!$B$13)*Assumptions!$B$14)+N(AM472)</f>
        <v/>
      </c>
      <c r="AY472" s="7">
        <f>N(AU472)*N(R472)/90+N(AV472)+N(AW472)+N(AX472)</f>
        <v/>
      </c>
      <c r="AZ472" s="3">
        <f>IF(N(R472)&lt;=0,0,(N(AY472)-N(AX472))*90/N(R472))</f>
        <v/>
      </c>
      <c r="BA472" s="7">
        <f>IFERROR(AY472-VLOOKUP($E472,Assumptions!$A$40:$C$43,3,FALSE),"")</f>
        <v/>
      </c>
      <c r="BB472" s="3">
        <f>IFERROR(BA472/H472,"")</f>
        <v/>
      </c>
      <c r="BC472">
        <f>IF(AND($G472=TRUE,$E472="GKP"),AY472,"")</f>
        <v/>
      </c>
      <c r="BD472">
        <f>IF(AND($G472=TRUE,$E472="DEF"),AY472,"")</f>
        <v/>
      </c>
      <c r="BE472">
        <f>IF(AND($G472=TRUE,$E472="MID"),AY472,"")</f>
        <v/>
      </c>
      <c r="BF472">
        <f>IF(AND($G472=TRUE,$E472="FWD"),AY472,"")</f>
        <v/>
      </c>
      <c r="BG472" t="n">
        <v>0</v>
      </c>
      <c r="BH472" t="n">
        <v>0</v>
      </c>
      <c r="BI472" t="n">
        <v>0</v>
      </c>
      <c r="BJ472" t="n">
        <v>0</v>
      </c>
    </row>
    <row r="473">
      <c r="A473" t="inlineStr">
        <is>
          <t>Matt Doherty</t>
        </is>
      </c>
      <c r="C473" t="inlineStr">
        <is>
          <t>WOL</t>
        </is>
      </c>
      <c r="D473" t="b">
        <v>0</v>
      </c>
      <c r="F473" t="inlineStr">
        <is>
          <t>DEF</t>
        </is>
      </c>
      <c r="G473" t="b">
        <v>0</v>
      </c>
      <c r="H473" s="2" t="n"/>
      <c r="K473" s="2" t="n">
        <v>791</v>
      </c>
      <c r="M473" s="3" t="n"/>
      <c r="N473" s="8" t="n">
        <v>791</v>
      </c>
      <c r="O473" s="8" t="n">
        <v>0</v>
      </c>
      <c r="R473" s="6" t="n">
        <v>791</v>
      </c>
      <c r="S473" t="inlineStr">
        <is>
          <t>25/26 actual</t>
        </is>
      </c>
      <c r="U473" s="6" t="n">
        <v>78.09999999999999</v>
      </c>
      <c r="V473" s="2" t="n">
        <v>11</v>
      </c>
      <c r="W473" s="7">
        <f>IF(N(U473)&lt;=0,0,MIN(Assumptions!$B$15,N(R473)/N(U473)))</f>
        <v/>
      </c>
      <c r="X473" s="6" t="n"/>
      <c r="Y473" s="3" t="n">
        <v>0.0108</v>
      </c>
      <c r="Z473" t="inlineStr">
        <is>
          <t>adjusted xGOT</t>
        </is>
      </c>
      <c r="AA473" s="3" t="n">
        <v>1</v>
      </c>
      <c r="AB473" s="3" t="n">
        <v>1.061</v>
      </c>
      <c r="AC473" s="3" t="n">
        <v>2.8</v>
      </c>
      <c r="AD473" s="3" t="n">
        <v>0.0197</v>
      </c>
      <c r="AE473" s="3" t="n">
        <v>7.618</v>
      </c>
      <c r="AF473" s="3" t="n">
        <v>0</v>
      </c>
      <c r="AG473" s="3" t="n">
        <v>0</v>
      </c>
      <c r="AH473" s="3" t="n">
        <v>19</v>
      </c>
      <c r="AI473" s="3" t="n"/>
      <c r="AJ473" s="3" t="n"/>
      <c r="AK473" s="3" t="n"/>
      <c r="AL473" s="6" t="n">
        <v>0</v>
      </c>
      <c r="AM473" s="3" t="n">
        <v>0</v>
      </c>
      <c r="AN473" s="3" t="n">
        <v>0</v>
      </c>
      <c r="AO473" s="3" t="n">
        <v>0</v>
      </c>
      <c r="AP473" s="3">
        <f>N(X473)*N(BI473)</f>
        <v/>
      </c>
      <c r="AQ473" s="3" t="n">
        <v>0</v>
      </c>
      <c r="AR473" s="3" t="n">
        <v>0</v>
      </c>
      <c r="AS473" s="3" t="n">
        <v>0</v>
      </c>
      <c r="AT473" s="3" t="n">
        <v>0</v>
      </c>
      <c r="AU473" s="3">
        <f>SUM(AN473:AT473)</f>
        <v/>
      </c>
      <c r="AV473" s="7">
        <f>IF(OR(N(W473)&lt;=0,N(BG473)=0),0,N(W473)*IF(N(R473)/N(W473)&gt;=60,N(BG473),1))</f>
        <v/>
      </c>
      <c r="AW473" s="7">
        <f>N(W473)*N(AF473)*N(BH473)</f>
        <v/>
      </c>
      <c r="AX473" s="7">
        <f>N(AL473)*(Assumptions!$B$13*N(BJ473)-(1-Assumptions!$B$13)*Assumptions!$B$14)+N(AM473)</f>
        <v/>
      </c>
      <c r="AY473" s="7">
        <f>N(AU473)*N(R473)/90+N(AV473)+N(AW473)+N(AX473)</f>
        <v/>
      </c>
      <c r="AZ473" s="3">
        <f>IF(N(R473)&lt;=0,0,(N(AY473)-N(AX473))*90/N(R473))</f>
        <v/>
      </c>
      <c r="BA473" s="7">
        <f>IFERROR(AY473-VLOOKUP($E473,Assumptions!$A$40:$C$43,3,FALSE),"")</f>
        <v/>
      </c>
      <c r="BB473" s="3">
        <f>IFERROR(BA473/H473,"")</f>
        <v/>
      </c>
      <c r="BC473">
        <f>IF(AND($G473=TRUE,$E473="GKP"),AY473,"")</f>
        <v/>
      </c>
      <c r="BD473">
        <f>IF(AND($G473=TRUE,$E473="DEF"),AY473,"")</f>
        <v/>
      </c>
      <c r="BE473">
        <f>IF(AND($G473=TRUE,$E473="MID"),AY473,"")</f>
        <v/>
      </c>
      <c r="BF473">
        <f>IF(AND($G473=TRUE,$E473="FWD"),AY473,"")</f>
        <v/>
      </c>
      <c r="BG473" t="n">
        <v>0</v>
      </c>
      <c r="BH473" t="n">
        <v>0</v>
      </c>
      <c r="BI473" t="n">
        <v>0</v>
      </c>
      <c r="BJ473" t="n">
        <v>0</v>
      </c>
    </row>
    <row r="474">
      <c r="A474" t="inlineStr">
        <is>
          <t>Stefan Ortega</t>
        </is>
      </c>
      <c r="C474" t="inlineStr">
        <is>
          <t>NFO</t>
        </is>
      </c>
      <c r="D474" t="b">
        <v>0</v>
      </c>
      <c r="F474" t="inlineStr">
        <is>
          <t>GKP</t>
        </is>
      </c>
      <c r="G474" t="b">
        <v>0</v>
      </c>
      <c r="H474" s="2" t="n"/>
      <c r="K474" s="2" t="n">
        <v>270</v>
      </c>
      <c r="M474" s="3" t="n"/>
      <c r="N474" s="8" t="n">
        <v>270</v>
      </c>
      <c r="O474" s="8" t="n">
        <v>0</v>
      </c>
      <c r="R474" s="6" t="n">
        <v>270</v>
      </c>
      <c r="S474" t="inlineStr">
        <is>
          <t>25/26 actual</t>
        </is>
      </c>
      <c r="U474" s="6" t="n">
        <v>89.8</v>
      </c>
      <c r="V474" s="2" t="n">
        <v>3</v>
      </c>
      <c r="W474" s="7">
        <f>IF(N(U474)&lt;=0,0,MIN(Assumptions!$B$15,N(R474)/N(U474)))</f>
        <v/>
      </c>
      <c r="X474" s="6" t="n"/>
      <c r="Y474" s="3" t="n">
        <v>0</v>
      </c>
      <c r="Z474" t="inlineStr">
        <is>
          <t>blended xG</t>
        </is>
      </c>
      <c r="AA474" s="3" t="n">
        <v>1</v>
      </c>
      <c r="AB474" s="3" t="n">
        <v>1</v>
      </c>
      <c r="AC474" s="3" t="n">
        <v>0</v>
      </c>
      <c r="AD474" s="3" t="n">
        <v>0</v>
      </c>
      <c r="AE474" s="3" t="n">
        <v>0</v>
      </c>
      <c r="AF474" s="3" t="n">
        <v>0</v>
      </c>
      <c r="AG474" s="3" t="n">
        <v>0</v>
      </c>
      <c r="AH474" s="3" t="n">
        <v>6</v>
      </c>
      <c r="AI474" s="3" t="n"/>
      <c r="AJ474" s="3" t="n"/>
      <c r="AK474" s="3" t="n"/>
      <c r="AL474" s="6" t="n">
        <v>0</v>
      </c>
      <c r="AM474" s="3" t="n">
        <v>0</v>
      </c>
      <c r="AN474" s="3" t="n">
        <v>0</v>
      </c>
      <c r="AO474" s="3" t="n">
        <v>0</v>
      </c>
      <c r="AP474" s="3">
        <f>N(X474)*N(BI474)</f>
        <v/>
      </c>
      <c r="AQ474" s="3" t="n">
        <v>0</v>
      </c>
      <c r="AR474" s="3" t="n">
        <v>0</v>
      </c>
      <c r="AS474" s="3" t="n">
        <v>0</v>
      </c>
      <c r="AT474" s="3" t="n">
        <v>0</v>
      </c>
      <c r="AU474" s="3">
        <f>SUM(AN474:AT474)</f>
        <v/>
      </c>
      <c r="AV474" s="7">
        <f>IF(OR(N(W474)&lt;=0,N(BG474)=0),0,N(W474)*IF(N(R474)/N(W474)&gt;=60,N(BG474),1))</f>
        <v/>
      </c>
      <c r="AW474" s="7">
        <f>N(W474)*N(AF474)*N(BH474)</f>
        <v/>
      </c>
      <c r="AX474" s="7">
        <f>N(AL474)*(Assumptions!$B$13*N(BJ474)-(1-Assumptions!$B$13)*Assumptions!$B$14)+N(AM474)</f>
        <v/>
      </c>
      <c r="AY474" s="7">
        <f>N(AU474)*N(R474)/90+N(AV474)+N(AW474)+N(AX474)</f>
        <v/>
      </c>
      <c r="AZ474" s="3">
        <f>IF(N(R474)&lt;=0,0,(N(AY474)-N(AX474))*90/N(R474))</f>
        <v/>
      </c>
      <c r="BA474" s="7">
        <f>IFERROR(AY474-VLOOKUP($E474,Assumptions!$A$40:$C$43,3,FALSE),"")</f>
        <v/>
      </c>
      <c r="BB474" s="3">
        <f>IFERROR(BA474/H474,"")</f>
        <v/>
      </c>
      <c r="BC474">
        <f>IF(AND($G474=TRUE,$E474="GKP"),AY474,"")</f>
        <v/>
      </c>
      <c r="BD474">
        <f>IF(AND($G474=TRUE,$E474="DEF"),AY474,"")</f>
        <v/>
      </c>
      <c r="BE474">
        <f>IF(AND($G474=TRUE,$E474="MID"),AY474,"")</f>
        <v/>
      </c>
      <c r="BF474">
        <f>IF(AND($G474=TRUE,$E474="FWD"),AY474,"")</f>
        <v/>
      </c>
      <c r="BG474" t="n">
        <v>0</v>
      </c>
      <c r="BH474" t="n">
        <v>0</v>
      </c>
      <c r="BI474" t="n">
        <v>0</v>
      </c>
      <c r="BJ474" t="n">
        <v>0</v>
      </c>
    </row>
    <row r="475">
      <c r="A475" t="inlineStr">
        <is>
          <t>Niclas Füllkrug</t>
        </is>
      </c>
      <c r="C475" t="inlineStr">
        <is>
          <t>WHU</t>
        </is>
      </c>
      <c r="D475" t="b">
        <v>0</v>
      </c>
      <c r="F475" t="inlineStr">
        <is>
          <t>FWD</t>
        </is>
      </c>
      <c r="G475" t="b">
        <v>0</v>
      </c>
      <c r="H475" s="2" t="n"/>
      <c r="K475" s="2" t="n">
        <v>408</v>
      </c>
      <c r="M475" s="3" t="n"/>
      <c r="N475" s="8" t="n">
        <v>408</v>
      </c>
      <c r="O475" s="8" t="n">
        <v>0</v>
      </c>
      <c r="R475" s="6" t="n">
        <v>408</v>
      </c>
      <c r="S475" t="inlineStr">
        <is>
          <t>25/26 actual</t>
        </is>
      </c>
      <c r="U475" s="6" t="n">
        <v>75.5</v>
      </c>
      <c r="V475" s="2" t="n">
        <v>5</v>
      </c>
      <c r="W475" s="7">
        <f>IF(N(U475)&lt;=0,0,MIN(Assumptions!$B$15,N(R475)/N(U475)))</f>
        <v/>
      </c>
      <c r="X475" s="6" t="n"/>
      <c r="Y475" s="3" t="n">
        <v>0.2279</v>
      </c>
      <c r="Z475" t="inlineStr">
        <is>
          <t>adjusted xGOT</t>
        </is>
      </c>
      <c r="AA475" s="3" t="n">
        <v>1</v>
      </c>
      <c r="AB475" s="3" t="n">
        <v>1.111</v>
      </c>
      <c r="AC475" s="3" t="n">
        <v>3.1</v>
      </c>
      <c r="AD475" s="3" t="n">
        <v>0.09909999999999999</v>
      </c>
      <c r="AE475" s="3" t="n">
        <v>4.579</v>
      </c>
      <c r="AF475" s="3" t="n">
        <v>0</v>
      </c>
      <c r="AG475" s="3" t="n">
        <v>0</v>
      </c>
      <c r="AH475" s="3" t="n">
        <v>12</v>
      </c>
      <c r="AI475" s="3" t="n"/>
      <c r="AJ475" s="3" t="n"/>
      <c r="AK475" s="3" t="n"/>
      <c r="AL475" s="6" t="n">
        <v>0</v>
      </c>
      <c r="AM475" s="3" t="n">
        <v>0</v>
      </c>
      <c r="AN475" s="3" t="n">
        <v>0</v>
      </c>
      <c r="AO475" s="3" t="n">
        <v>0</v>
      </c>
      <c r="AP475" s="3">
        <f>N(X475)*N(BI475)</f>
        <v/>
      </c>
      <c r="AQ475" s="3" t="n">
        <v>0</v>
      </c>
      <c r="AR475" s="3" t="n">
        <v>0</v>
      </c>
      <c r="AS475" s="3" t="n">
        <v>0</v>
      </c>
      <c r="AT475" s="3" t="n">
        <v>0</v>
      </c>
      <c r="AU475" s="3">
        <f>SUM(AN475:AT475)</f>
        <v/>
      </c>
      <c r="AV475" s="7">
        <f>IF(OR(N(W475)&lt;=0,N(BG475)=0),0,N(W475)*IF(N(R475)/N(W475)&gt;=60,N(BG475),1))</f>
        <v/>
      </c>
      <c r="AW475" s="7">
        <f>N(W475)*N(AF475)*N(BH475)</f>
        <v/>
      </c>
      <c r="AX475" s="7">
        <f>N(AL475)*(Assumptions!$B$13*N(BJ475)-(1-Assumptions!$B$13)*Assumptions!$B$14)+N(AM475)</f>
        <v/>
      </c>
      <c r="AY475" s="7">
        <f>N(AU475)*N(R475)/90+N(AV475)+N(AW475)+N(AX475)</f>
        <v/>
      </c>
      <c r="AZ475" s="3">
        <f>IF(N(R475)&lt;=0,0,(N(AY475)-N(AX475))*90/N(R475))</f>
        <v/>
      </c>
      <c r="BA475" s="7">
        <f>IFERROR(AY475-VLOOKUP($E475,Assumptions!$A$40:$C$43,3,FALSE),"")</f>
        <v/>
      </c>
      <c r="BB475" s="3">
        <f>IFERROR(BA475/H475,"")</f>
        <v/>
      </c>
      <c r="BC475">
        <f>IF(AND($G475=TRUE,$E475="GKP"),AY475,"")</f>
        <v/>
      </c>
      <c r="BD475">
        <f>IF(AND($G475=TRUE,$E475="DEF"),AY475,"")</f>
        <v/>
      </c>
      <c r="BE475">
        <f>IF(AND($G475=TRUE,$E475="MID"),AY475,"")</f>
        <v/>
      </c>
      <c r="BF475">
        <f>IF(AND($G475=TRUE,$E475="FWD"),AY475,"")</f>
        <v/>
      </c>
      <c r="BG475" t="n">
        <v>0</v>
      </c>
      <c r="BH475" t="n">
        <v>0</v>
      </c>
      <c r="BI475" t="n">
        <v>0</v>
      </c>
      <c r="BJ475" t="n">
        <v>0</v>
      </c>
    </row>
    <row r="476">
      <c r="A476" t="inlineStr">
        <is>
          <t>Thomas Meunier</t>
        </is>
      </c>
      <c r="B476" t="inlineStr">
        <is>
          <t>SUN</t>
        </is>
      </c>
      <c r="D476" t="b">
        <v>0</v>
      </c>
      <c r="E476" t="inlineStr">
        <is>
          <t>DEF</t>
        </is>
      </c>
      <c r="G476" t="b">
        <v>1</v>
      </c>
      <c r="H476" s="2" t="n">
        <v>4.5</v>
      </c>
      <c r="I476" t="inlineStr">
        <is>
          <t>a</t>
        </is>
      </c>
      <c r="K476" s="2" t="n"/>
      <c r="M476" s="3" t="n">
        <v>804</v>
      </c>
      <c r="N476" s="8" t="n">
        <v>804</v>
      </c>
      <c r="O476" s="8" t="n">
        <v>0</v>
      </c>
      <c r="Q476" t="inlineStr">
        <is>
          <t>flat</t>
        </is>
      </c>
      <c r="R476" s="6" t="n">
        <v>804</v>
      </c>
      <c r="S476" t="inlineStr">
        <is>
          <t>Solio</t>
        </is>
      </c>
      <c r="U476" s="6" t="n">
        <v>85</v>
      </c>
      <c r="V476" s="2" t="n"/>
      <c r="W476" s="7">
        <f>IF(N(U476)&lt;=0,0,MIN(Assumptions!$B$15,N(R476)/N(U476)))</f>
        <v/>
      </c>
      <c r="X476" s="6" t="n">
        <v>0.204</v>
      </c>
      <c r="Y476" s="3" t="n"/>
      <c r="Z476" t="inlineStr"/>
      <c r="AA476" s="3" t="n">
        <v>1</v>
      </c>
      <c r="AB476" s="3" t="n"/>
      <c r="AC476" s="3" t="n"/>
      <c r="AD476" s="3" t="n"/>
      <c r="AE476" s="3" t="n"/>
      <c r="AF476" s="3" t="n">
        <v>0</v>
      </c>
      <c r="AG476" s="3" t="n"/>
      <c r="AH476" s="3" t="n"/>
      <c r="AI476" s="3" t="n">
        <v>3.3348</v>
      </c>
      <c r="AJ476" s="3" t="n">
        <v>1.6498</v>
      </c>
      <c r="AK476" s="3" t="n">
        <v>-0.2045226422080557</v>
      </c>
      <c r="AL476" s="6" t="n">
        <v>0</v>
      </c>
      <c r="AM476" s="3" t="n">
        <v>0</v>
      </c>
      <c r="AN476" s="3" t="n">
        <v>0</v>
      </c>
      <c r="AO476" s="3" t="n">
        <v>0</v>
      </c>
      <c r="AP476" s="3">
        <f>N(X476)*N(BI476)</f>
        <v/>
      </c>
      <c r="AQ476" s="3" t="n">
        <v>0</v>
      </c>
      <c r="AR476" s="3" t="n">
        <v>0</v>
      </c>
      <c r="AS476" s="3" t="n">
        <v>-0.5841244809045405</v>
      </c>
      <c r="AT476" s="3" t="n">
        <v>-0.2045226422080557</v>
      </c>
      <c r="AU476" s="3">
        <f>SUM(AN476:AT476)</f>
        <v/>
      </c>
      <c r="AV476" s="7">
        <f>IF(OR(N(W476)&lt;=0,N(BG476)=0),0,N(W476)*IF(N(R476)/N(W476)&gt;=60,N(BG476),1))</f>
        <v/>
      </c>
      <c r="AW476" s="7">
        <f>N(W476)*N(AF476)*N(BH476)</f>
        <v/>
      </c>
      <c r="AX476" s="7">
        <f>N(AL476)*(Assumptions!$B$13*N(BJ476)-(1-Assumptions!$B$13)*Assumptions!$B$14)+N(AM476)</f>
        <v/>
      </c>
      <c r="AY476" s="7">
        <f>N(AU476)*N(R476)/90+N(AV476)+N(AW476)+N(AX476)</f>
        <v/>
      </c>
      <c r="AZ476" s="3">
        <f>IF(N(R476)&lt;=0,0,(N(AY476)-N(AX476))*90/N(R476))</f>
        <v/>
      </c>
      <c r="BA476" s="7">
        <f>IFERROR(AY476-VLOOKUP($E476,Assumptions!$A$40:$C$43,3,FALSE),"")</f>
        <v/>
      </c>
      <c r="BB476" s="3">
        <f>IFERROR(BA476/H476,"")</f>
        <v/>
      </c>
      <c r="BC476">
        <f>IF(AND($G476=TRUE,$E476="GKP"),AY476,"")</f>
        <v/>
      </c>
      <c r="BD476">
        <f>IF(AND($G476=TRUE,$E476="DEF"),AY476,"")</f>
        <v/>
      </c>
      <c r="BE476">
        <f>IF(AND($G476=TRUE,$E476="MID"),AY476,"")</f>
        <v/>
      </c>
      <c r="BF476">
        <f>IF(AND($G476=TRUE,$E476="FWD"),AY476,"")</f>
        <v/>
      </c>
      <c r="BG476" t="n">
        <v>2</v>
      </c>
      <c r="BH476" t="n">
        <v>2</v>
      </c>
      <c r="BI476" t="n">
        <v>4</v>
      </c>
      <c r="BJ476" t="n">
        <v>6</v>
      </c>
    </row>
    <row r="477">
      <c r="A477" t="inlineStr">
        <is>
          <t>John Stones</t>
        </is>
      </c>
      <c r="C477" t="inlineStr">
        <is>
          <t>MCI</t>
        </is>
      </c>
      <c r="D477" t="b">
        <v>0</v>
      </c>
      <c r="F477" t="inlineStr">
        <is>
          <t>DEF</t>
        </is>
      </c>
      <c r="G477" t="b">
        <v>0</v>
      </c>
      <c r="H477" s="2" t="n"/>
      <c r="K477" s="2" t="n">
        <v>439</v>
      </c>
      <c r="M477" s="3" t="n"/>
      <c r="N477" s="8" t="n">
        <v>439</v>
      </c>
      <c r="O477" s="8" t="n">
        <v>0</v>
      </c>
      <c r="R477" s="6" t="n">
        <v>439</v>
      </c>
      <c r="S477" t="inlineStr">
        <is>
          <t>25/26 actual</t>
        </is>
      </c>
      <c r="U477" s="6" t="n">
        <v>83.5</v>
      </c>
      <c r="V477" s="2" t="n">
        <v>5</v>
      </c>
      <c r="W477" s="7">
        <f>IF(N(U477)&lt;=0,0,MIN(Assumptions!$B$15,N(R477)/N(U477)))</f>
        <v/>
      </c>
      <c r="X477" s="6" t="n"/>
      <c r="Y477" s="3" t="n">
        <v>0</v>
      </c>
      <c r="Z477" t="inlineStr">
        <is>
          <t>adjusted xGOT</t>
        </is>
      </c>
      <c r="AA477" s="3" t="n">
        <v>1</v>
      </c>
      <c r="AB477" s="3" t="n">
        <v>1.001</v>
      </c>
      <c r="AC477" s="3" t="n">
        <v>2.7</v>
      </c>
      <c r="AD477" s="3" t="n">
        <v>0.0129</v>
      </c>
      <c r="AE477" s="3" t="n">
        <v>7.122</v>
      </c>
      <c r="AF477" s="3" t="n">
        <v>0</v>
      </c>
      <c r="AG477" s="3" t="n">
        <v>0</v>
      </c>
      <c r="AH477" s="3" t="n">
        <v>14</v>
      </c>
      <c r="AI477" s="3" t="n"/>
      <c r="AJ477" s="3" t="n"/>
      <c r="AK477" s="3" t="n"/>
      <c r="AL477" s="6" t="n">
        <v>0</v>
      </c>
      <c r="AM477" s="3" t="n">
        <v>0</v>
      </c>
      <c r="AN477" s="3" t="n">
        <v>0</v>
      </c>
      <c r="AO477" s="3" t="n">
        <v>0</v>
      </c>
      <c r="AP477" s="3">
        <f>N(X477)*N(BI477)</f>
        <v/>
      </c>
      <c r="AQ477" s="3" t="n">
        <v>0</v>
      </c>
      <c r="AR477" s="3" t="n">
        <v>0</v>
      </c>
      <c r="AS477" s="3" t="n">
        <v>0</v>
      </c>
      <c r="AT477" s="3" t="n">
        <v>0</v>
      </c>
      <c r="AU477" s="3">
        <f>SUM(AN477:AT477)</f>
        <v/>
      </c>
      <c r="AV477" s="7">
        <f>IF(OR(N(W477)&lt;=0,N(BG477)=0),0,N(W477)*IF(N(R477)/N(W477)&gt;=60,N(BG477),1))</f>
        <v/>
      </c>
      <c r="AW477" s="7">
        <f>N(W477)*N(AF477)*N(BH477)</f>
        <v/>
      </c>
      <c r="AX477" s="7">
        <f>N(AL477)*(Assumptions!$B$13*N(BJ477)-(1-Assumptions!$B$13)*Assumptions!$B$14)+N(AM477)</f>
        <v/>
      </c>
      <c r="AY477" s="7">
        <f>N(AU477)*N(R477)/90+N(AV477)+N(AW477)+N(AX477)</f>
        <v/>
      </c>
      <c r="AZ477" s="3">
        <f>IF(N(R477)&lt;=0,0,(N(AY477)-N(AX477))*90/N(R477))</f>
        <v/>
      </c>
      <c r="BA477" s="7">
        <f>IFERROR(AY477-VLOOKUP($E477,Assumptions!$A$40:$C$43,3,FALSE),"")</f>
        <v/>
      </c>
      <c r="BB477" s="3">
        <f>IFERROR(BA477/H477,"")</f>
        <v/>
      </c>
      <c r="BC477">
        <f>IF(AND($G477=TRUE,$E477="GKP"),AY477,"")</f>
        <v/>
      </c>
      <c r="BD477">
        <f>IF(AND($G477=TRUE,$E477="DEF"),AY477,"")</f>
        <v/>
      </c>
      <c r="BE477">
        <f>IF(AND($G477=TRUE,$E477="MID"),AY477,"")</f>
        <v/>
      </c>
      <c r="BF477">
        <f>IF(AND($G477=TRUE,$E477="FWD"),AY477,"")</f>
        <v/>
      </c>
      <c r="BG477" t="n">
        <v>0</v>
      </c>
      <c r="BH477" t="n">
        <v>0</v>
      </c>
      <c r="BI477" t="n">
        <v>0</v>
      </c>
      <c r="BJ477" t="n">
        <v>0</v>
      </c>
    </row>
    <row r="478">
      <c r="A478" t="inlineStr">
        <is>
          <t>Jamaal Lascelles</t>
        </is>
      </c>
      <c r="C478" t="inlineStr">
        <is>
          <t>NEW</t>
        </is>
      </c>
      <c r="D478" t="b">
        <v>0</v>
      </c>
      <c r="F478" t="inlineStr">
        <is>
          <t>DEF</t>
        </is>
      </c>
      <c r="G478" t="b">
        <v>0</v>
      </c>
      <c r="H478" s="2" t="n"/>
      <c r="K478" s="2" t="n">
        <v>19</v>
      </c>
      <c r="M478" s="3" t="n"/>
      <c r="N478" s="8" t="n">
        <v>19</v>
      </c>
      <c r="O478" s="8" t="n">
        <v>0</v>
      </c>
      <c r="R478" s="6" t="n">
        <v>19</v>
      </c>
      <c r="S478" t="inlineStr">
        <is>
          <t>25/26 actual</t>
        </is>
      </c>
      <c r="U478" s="6" t="n">
        <v>85.5</v>
      </c>
      <c r="V478" s="2" t="n">
        <v>0</v>
      </c>
      <c r="W478" s="7">
        <f>IF(N(U478)&lt;=0,0,MIN(Assumptions!$B$15,N(R478)/N(U478)))</f>
        <v/>
      </c>
      <c r="X478" s="6" t="n"/>
      <c r="Y478" s="3" t="n">
        <v>0.18</v>
      </c>
      <c r="Z478" t="inlineStr">
        <is>
          <t>adjusted xGOT</t>
        </is>
      </c>
      <c r="AA478" s="3" t="n">
        <v>1</v>
      </c>
      <c r="AB478" s="3" t="n">
        <v>0.945</v>
      </c>
      <c r="AC478" s="3" t="n">
        <v>0.9</v>
      </c>
      <c r="AD478" s="3" t="n"/>
      <c r="AE478" s="3" t="n">
        <v>8.096</v>
      </c>
      <c r="AF478" s="3" t="n">
        <v>0</v>
      </c>
      <c r="AG478" s="3" t="n">
        <v>0</v>
      </c>
      <c r="AH478" s="3" t="n">
        <v>2</v>
      </c>
      <c r="AI478" s="3" t="n"/>
      <c r="AJ478" s="3" t="n"/>
      <c r="AK478" s="3" t="n"/>
      <c r="AL478" s="6" t="n">
        <v>0</v>
      </c>
      <c r="AM478" s="3" t="n">
        <v>0</v>
      </c>
      <c r="AN478" s="3" t="n">
        <v>0</v>
      </c>
      <c r="AO478" s="3" t="n">
        <v>0</v>
      </c>
      <c r="AP478" s="3">
        <f>N(X478)*N(BI478)</f>
        <v/>
      </c>
      <c r="AQ478" s="3" t="n">
        <v>0</v>
      </c>
      <c r="AR478" s="3" t="n">
        <v>0</v>
      </c>
      <c r="AS478" s="3" t="n">
        <v>0</v>
      </c>
      <c r="AT478" s="3" t="n">
        <v>0</v>
      </c>
      <c r="AU478" s="3">
        <f>SUM(AN478:AT478)</f>
        <v/>
      </c>
      <c r="AV478" s="7">
        <f>IF(OR(N(W478)&lt;=0,N(BG478)=0),0,N(W478)*IF(N(R478)/N(W478)&gt;=60,N(BG478),1))</f>
        <v/>
      </c>
      <c r="AW478" s="7">
        <f>N(W478)*N(AF478)*N(BH478)</f>
        <v/>
      </c>
      <c r="AX478" s="7">
        <f>N(AL478)*(Assumptions!$B$13*N(BJ478)-(1-Assumptions!$B$13)*Assumptions!$B$14)+N(AM478)</f>
        <v/>
      </c>
      <c r="AY478" s="7">
        <f>N(AU478)*N(R478)/90+N(AV478)+N(AW478)+N(AX478)</f>
        <v/>
      </c>
      <c r="AZ478" s="3">
        <f>IF(N(R478)&lt;=0,0,(N(AY478)-N(AX478))*90/N(R478))</f>
        <v/>
      </c>
      <c r="BA478" s="7">
        <f>IFERROR(AY478-VLOOKUP($E478,Assumptions!$A$40:$C$43,3,FALSE),"")</f>
        <v/>
      </c>
      <c r="BB478" s="3">
        <f>IFERROR(BA478/H478,"")</f>
        <v/>
      </c>
      <c r="BC478">
        <f>IF(AND($G478=TRUE,$E478="GKP"),AY478,"")</f>
        <v/>
      </c>
      <c r="BD478">
        <f>IF(AND($G478=TRUE,$E478="DEF"),AY478,"")</f>
        <v/>
      </c>
      <c r="BE478">
        <f>IF(AND($G478=TRUE,$E478="MID"),AY478,"")</f>
        <v/>
      </c>
      <c r="BF478">
        <f>IF(AND($G478=TRUE,$E478="FWD"),AY478,"")</f>
        <v/>
      </c>
      <c r="BG478" t="n">
        <v>0</v>
      </c>
      <c r="BH478" t="n">
        <v>0</v>
      </c>
      <c r="BI478" t="n">
        <v>0</v>
      </c>
      <c r="BJ478" t="n">
        <v>0</v>
      </c>
    </row>
    <row r="479">
      <c r="A479" t="inlineStr">
        <is>
          <t>James Ward-Prowse</t>
        </is>
      </c>
      <c r="C479" t="inlineStr">
        <is>
          <t>BUR</t>
        </is>
      </c>
      <c r="D479" t="b">
        <v>0</v>
      </c>
      <c r="F479" t="inlineStr">
        <is>
          <t>MID</t>
        </is>
      </c>
      <c r="G479" t="b">
        <v>0</v>
      </c>
      <c r="H479" s="2" t="n"/>
      <c r="K479" s="2" t="n">
        <v>1096</v>
      </c>
      <c r="M479" s="3" t="n"/>
      <c r="N479" s="8" t="n">
        <v>1096</v>
      </c>
      <c r="O479" s="8" t="n">
        <v>0</v>
      </c>
      <c r="R479" s="6" t="n">
        <v>1096</v>
      </c>
      <c r="S479" t="inlineStr">
        <is>
          <t>25/26 actual</t>
        </is>
      </c>
      <c r="U479" s="6" t="n">
        <v>81.40000000000001</v>
      </c>
      <c r="V479" s="2" t="n">
        <v>12</v>
      </c>
      <c r="W479" s="7">
        <f>IF(N(U479)&lt;=0,0,MIN(Assumptions!$B$15,N(R479)/N(U479)))</f>
        <v/>
      </c>
      <c r="X479" s="6" t="n"/>
      <c r="Y479" s="3" t="n">
        <v>0.0232</v>
      </c>
      <c r="Z479" t="inlineStr">
        <is>
          <t>adjusted xGOT</t>
        </is>
      </c>
      <c r="AA479" s="3" t="n">
        <v>1</v>
      </c>
      <c r="AB479" s="3" t="n">
        <v>1.177</v>
      </c>
      <c r="AC479" s="3" t="n">
        <v>13.9</v>
      </c>
      <c r="AD479" s="3" t="n">
        <v>0.2816</v>
      </c>
      <c r="AE479" s="3" t="n">
        <v>8.821999999999999</v>
      </c>
      <c r="AF479" s="3" t="n">
        <v>0</v>
      </c>
      <c r="AG479" s="3" t="n">
        <v>0</v>
      </c>
      <c r="AH479" s="3" t="n">
        <v>30</v>
      </c>
      <c r="AI479" s="3" t="n"/>
      <c r="AJ479" s="3" t="n"/>
      <c r="AK479" s="3" t="n"/>
      <c r="AL479" s="6" t="n">
        <v>0</v>
      </c>
      <c r="AM479" s="3" t="n">
        <v>0</v>
      </c>
      <c r="AN479" s="3" t="n">
        <v>0</v>
      </c>
      <c r="AO479" s="3" t="n">
        <v>0</v>
      </c>
      <c r="AP479" s="3">
        <f>N(X479)*N(BI479)</f>
        <v/>
      </c>
      <c r="AQ479" s="3" t="n">
        <v>0</v>
      </c>
      <c r="AR479" s="3" t="n">
        <v>0</v>
      </c>
      <c r="AS479" s="3" t="n">
        <v>0</v>
      </c>
      <c r="AT479" s="3" t="n">
        <v>0</v>
      </c>
      <c r="AU479" s="3">
        <f>SUM(AN479:AT479)</f>
        <v/>
      </c>
      <c r="AV479" s="7">
        <f>IF(OR(N(W479)&lt;=0,N(BG479)=0),0,N(W479)*IF(N(R479)/N(W479)&gt;=60,N(BG479),1))</f>
        <v/>
      </c>
      <c r="AW479" s="7">
        <f>N(W479)*N(AF479)*N(BH479)</f>
        <v/>
      </c>
      <c r="AX479" s="7">
        <f>N(AL479)*(Assumptions!$B$13*N(BJ479)-(1-Assumptions!$B$13)*Assumptions!$B$14)+N(AM479)</f>
        <v/>
      </c>
      <c r="AY479" s="7">
        <f>N(AU479)*N(R479)/90+N(AV479)+N(AW479)+N(AX479)</f>
        <v/>
      </c>
      <c r="AZ479" s="3">
        <f>IF(N(R479)&lt;=0,0,(N(AY479)-N(AX479))*90/N(R479))</f>
        <v/>
      </c>
      <c r="BA479" s="7">
        <f>IFERROR(AY479-VLOOKUP($E479,Assumptions!$A$40:$C$43,3,FALSE),"")</f>
        <v/>
      </c>
      <c r="BB479" s="3">
        <f>IFERROR(BA479/H479,"")</f>
        <v/>
      </c>
      <c r="BC479">
        <f>IF(AND($G479=TRUE,$E479="GKP"),AY479,"")</f>
        <v/>
      </c>
      <c r="BD479">
        <f>IF(AND($G479=TRUE,$E479="DEF"),AY479,"")</f>
        <v/>
      </c>
      <c r="BE479">
        <f>IF(AND($G479=TRUE,$E479="MID"),AY479,"")</f>
        <v/>
      </c>
      <c r="BF479">
        <f>IF(AND($G479=TRUE,$E479="FWD"),AY479,"")</f>
        <v/>
      </c>
      <c r="BG479" t="n">
        <v>0</v>
      </c>
      <c r="BH479" t="n">
        <v>0</v>
      </c>
      <c r="BI479" t="n">
        <v>0</v>
      </c>
      <c r="BJ479" t="n">
        <v>0</v>
      </c>
    </row>
    <row r="480">
      <c r="A480" t="inlineStr">
        <is>
          <t>Matt Crooks</t>
        </is>
      </c>
      <c r="B480" t="inlineStr">
        <is>
          <t>HUL</t>
        </is>
      </c>
      <c r="D480" t="b">
        <v>0</v>
      </c>
      <c r="E480" t="inlineStr">
        <is>
          <t>MID</t>
        </is>
      </c>
      <c r="G480" t="b">
        <v>1</v>
      </c>
      <c r="H480" s="2" t="n">
        <v>4.5</v>
      </c>
      <c r="I480" t="inlineStr">
        <is>
          <t>a</t>
        </is>
      </c>
      <c r="K480" s="2" t="n"/>
      <c r="M480" s="3" t="n">
        <v>1545</v>
      </c>
      <c r="N480" s="8" t="n">
        <v>1545</v>
      </c>
      <c r="O480" s="8" t="n">
        <v>0</v>
      </c>
      <c r="Q480" t="inlineStr">
        <is>
          <t>fade (losing his place)</t>
        </is>
      </c>
      <c r="R480" s="6" t="n">
        <v>1545</v>
      </c>
      <c r="S480" t="inlineStr">
        <is>
          <t>Solio</t>
        </is>
      </c>
      <c r="U480" s="6" t="n">
        <v>85</v>
      </c>
      <c r="V480" s="2" t="n"/>
      <c r="W480" s="7">
        <f>IF(N(U480)&lt;=0,0,MIN(Assumptions!$B$15,N(R480)/N(U480)))</f>
        <v/>
      </c>
      <c r="X480" s="6" t="n">
        <v>0.143</v>
      </c>
      <c r="Y480" s="3" t="n"/>
      <c r="Z480" t="inlineStr"/>
      <c r="AA480" s="3" t="n">
        <v>1</v>
      </c>
      <c r="AB480" s="3" t="n"/>
      <c r="AC480" s="3" t="n"/>
      <c r="AD480" s="3" t="n"/>
      <c r="AE480" s="3" t="n"/>
      <c r="AF480" s="3" t="n">
        <v>0</v>
      </c>
      <c r="AG480" s="3" t="n"/>
      <c r="AH480" s="3" t="n"/>
      <c r="AI480" s="3" t="n">
        <v>3.9421</v>
      </c>
      <c r="AJ480" s="3" t="n">
        <v>1.99</v>
      </c>
      <c r="AK480" s="3" t="n">
        <v>-0.2160434166173144</v>
      </c>
      <c r="AL480" s="6" t="n">
        <v>0</v>
      </c>
      <c r="AM480" s="3" t="n">
        <v>0</v>
      </c>
      <c r="AN480" s="3" t="n">
        <v>0</v>
      </c>
      <c r="AO480" s="3" t="n">
        <v>0</v>
      </c>
      <c r="AP480" s="3">
        <f>N(X480)*N(BI480)</f>
        <v/>
      </c>
      <c r="AQ480" s="3" t="n">
        <v>0</v>
      </c>
      <c r="AR480" s="3" t="n">
        <v>0</v>
      </c>
      <c r="AS480" s="3" t="n">
        <v>-0</v>
      </c>
      <c r="AT480" s="3" t="n">
        <v>-0.2160434166173144</v>
      </c>
      <c r="AU480" s="3">
        <f>SUM(AN480:AT480)</f>
        <v/>
      </c>
      <c r="AV480" s="7">
        <f>IF(OR(N(W480)&lt;=0,N(BG480)=0),0,N(W480)*IF(N(R480)/N(W480)&gt;=60,N(BG480),1))</f>
        <v/>
      </c>
      <c r="AW480" s="7">
        <f>N(W480)*N(AF480)*N(BH480)</f>
        <v/>
      </c>
      <c r="AX480" s="7">
        <f>N(AL480)*(Assumptions!$B$13*N(BJ480)-(1-Assumptions!$B$13)*Assumptions!$B$14)+N(AM480)</f>
        <v/>
      </c>
      <c r="AY480" s="7">
        <f>N(AU480)*N(R480)/90+N(AV480)+N(AW480)+N(AX480)</f>
        <v/>
      </c>
      <c r="AZ480" s="3">
        <f>IF(N(R480)&lt;=0,0,(N(AY480)-N(AX480))*90/N(R480))</f>
        <v/>
      </c>
      <c r="BA480" s="7">
        <f>IFERROR(AY480-VLOOKUP($E480,Assumptions!$A$40:$C$43,3,FALSE),"")</f>
        <v/>
      </c>
      <c r="BB480" s="3">
        <f>IFERROR(BA480/H480,"")</f>
        <v/>
      </c>
      <c r="BC480">
        <f>IF(AND($G480=TRUE,$E480="GKP"),AY480,"")</f>
        <v/>
      </c>
      <c r="BD480">
        <f>IF(AND($G480=TRUE,$E480="DEF"),AY480,"")</f>
        <v/>
      </c>
      <c r="BE480">
        <f>IF(AND($G480=TRUE,$E480="MID"),AY480,"")</f>
        <v/>
      </c>
      <c r="BF480">
        <f>IF(AND($G480=TRUE,$E480="FWD"),AY480,"")</f>
        <v/>
      </c>
      <c r="BG480" t="n">
        <v>2</v>
      </c>
      <c r="BH480" t="n">
        <v>2</v>
      </c>
      <c r="BI480" t="n">
        <v>1</v>
      </c>
      <c r="BJ480" t="n">
        <v>5</v>
      </c>
    </row>
    <row r="481">
      <c r="A481" t="inlineStr">
        <is>
          <t>Sam Johnstone</t>
        </is>
      </c>
      <c r="C481" t="inlineStr">
        <is>
          <t>WOL</t>
        </is>
      </c>
      <c r="D481" t="b">
        <v>0</v>
      </c>
      <c r="F481" t="inlineStr">
        <is>
          <t>GKP</t>
        </is>
      </c>
      <c r="G481" t="b">
        <v>0</v>
      </c>
      <c r="H481" s="2" t="n"/>
      <c r="K481" s="2" t="n">
        <v>1080</v>
      </c>
      <c r="M481" s="3" t="n"/>
      <c r="N481" s="8" t="n">
        <v>1080</v>
      </c>
      <c r="O481" s="8" t="n">
        <v>0</v>
      </c>
      <c r="R481" s="6" t="n">
        <v>1080</v>
      </c>
      <c r="S481" t="inlineStr">
        <is>
          <t>25/26 actual</t>
        </is>
      </c>
      <c r="U481" s="6" t="n">
        <v>89.90000000000001</v>
      </c>
      <c r="V481" s="2" t="n">
        <v>12</v>
      </c>
      <c r="W481" s="7">
        <f>IF(N(U481)&lt;=0,0,MIN(Assumptions!$B$15,N(R481)/N(U481)))</f>
        <v/>
      </c>
      <c r="X481" s="6" t="n"/>
      <c r="Y481" s="3" t="n">
        <v>0</v>
      </c>
      <c r="Z481" t="inlineStr">
        <is>
          <t>blended xG</t>
        </is>
      </c>
      <c r="AA481" s="3" t="n">
        <v>1</v>
      </c>
      <c r="AB481" s="3" t="n">
        <v>1</v>
      </c>
      <c r="AC481" s="3" t="n">
        <v>0</v>
      </c>
      <c r="AD481" s="3" t="n">
        <v>0</v>
      </c>
      <c r="AE481" s="3" t="n">
        <v>0</v>
      </c>
      <c r="AF481" s="3" t="n">
        <v>0</v>
      </c>
      <c r="AG481" s="3" t="n">
        <v>0</v>
      </c>
      <c r="AH481" s="3" t="n">
        <v>24</v>
      </c>
      <c r="AI481" s="3" t="n"/>
      <c r="AJ481" s="3" t="n"/>
      <c r="AK481" s="3" t="n"/>
      <c r="AL481" s="6" t="n">
        <v>0</v>
      </c>
      <c r="AM481" s="3" t="n">
        <v>0</v>
      </c>
      <c r="AN481" s="3" t="n">
        <v>0</v>
      </c>
      <c r="AO481" s="3" t="n">
        <v>0</v>
      </c>
      <c r="AP481" s="3">
        <f>N(X481)*N(BI481)</f>
        <v/>
      </c>
      <c r="AQ481" s="3" t="n">
        <v>0</v>
      </c>
      <c r="AR481" s="3" t="n">
        <v>0</v>
      </c>
      <c r="AS481" s="3" t="n">
        <v>0</v>
      </c>
      <c r="AT481" s="3" t="n">
        <v>0</v>
      </c>
      <c r="AU481" s="3">
        <f>SUM(AN481:AT481)</f>
        <v/>
      </c>
      <c r="AV481" s="7">
        <f>IF(OR(N(W481)&lt;=0,N(BG481)=0),0,N(W481)*IF(N(R481)/N(W481)&gt;=60,N(BG481),1))</f>
        <v/>
      </c>
      <c r="AW481" s="7">
        <f>N(W481)*N(AF481)*N(BH481)</f>
        <v/>
      </c>
      <c r="AX481" s="7">
        <f>N(AL481)*(Assumptions!$B$13*N(BJ481)-(1-Assumptions!$B$13)*Assumptions!$B$14)+N(AM481)</f>
        <v/>
      </c>
      <c r="AY481" s="7">
        <f>N(AU481)*N(R481)/90+N(AV481)+N(AW481)+N(AX481)</f>
        <v/>
      </c>
      <c r="AZ481" s="3">
        <f>IF(N(R481)&lt;=0,0,(N(AY481)-N(AX481))*90/N(R481))</f>
        <v/>
      </c>
      <c r="BA481" s="7">
        <f>IFERROR(AY481-VLOOKUP($E481,Assumptions!$A$40:$C$43,3,FALSE),"")</f>
        <v/>
      </c>
      <c r="BB481" s="3">
        <f>IFERROR(BA481/H481,"")</f>
        <v/>
      </c>
      <c r="BC481">
        <f>IF(AND($G481=TRUE,$E481="GKP"),AY481,"")</f>
        <v/>
      </c>
      <c r="BD481">
        <f>IF(AND($G481=TRUE,$E481="DEF"),AY481,"")</f>
        <v/>
      </c>
      <c r="BE481">
        <f>IF(AND($G481=TRUE,$E481="MID"),AY481,"")</f>
        <v/>
      </c>
      <c r="BF481">
        <f>IF(AND($G481=TRUE,$E481="FWD"),AY481,"")</f>
        <v/>
      </c>
      <c r="BG481" t="n">
        <v>0</v>
      </c>
      <c r="BH481" t="n">
        <v>0</v>
      </c>
      <c r="BI481" t="n">
        <v>0</v>
      </c>
      <c r="BJ481" t="n">
        <v>0</v>
      </c>
    </row>
    <row r="482">
      <c r="A482" t="inlineStr">
        <is>
          <t>Raúl Jiménez</t>
        </is>
      </c>
      <c r="C482" t="inlineStr">
        <is>
          <t>FUL</t>
        </is>
      </c>
      <c r="D482" t="b">
        <v>0</v>
      </c>
      <c r="F482" t="inlineStr">
        <is>
          <t>FWD</t>
        </is>
      </c>
      <c r="G482" t="b">
        <v>0</v>
      </c>
      <c r="H482" s="2" t="n"/>
      <c r="K482" s="2" t="n">
        <v>2199</v>
      </c>
      <c r="M482" s="3" t="n"/>
      <c r="N482" s="8" t="n">
        <v>2199</v>
      </c>
      <c r="O482" s="8" t="n">
        <v>0</v>
      </c>
      <c r="R482" s="6" t="n">
        <v>2199</v>
      </c>
      <c r="S482" t="inlineStr">
        <is>
          <t>25/26 actual</t>
        </is>
      </c>
      <c r="U482" s="6" t="n">
        <v>76.2</v>
      </c>
      <c r="V482" s="2" t="n">
        <v>27</v>
      </c>
      <c r="W482" s="7">
        <f>IF(N(U482)&lt;=0,0,MIN(Assumptions!$B$15,N(R482)/N(U482)))</f>
        <v/>
      </c>
      <c r="X482" s="6" t="n"/>
      <c r="Y482" s="3" t="n">
        <v>0.329</v>
      </c>
      <c r="Z482" t="inlineStr">
        <is>
          <t>adjusted xGOT</t>
        </is>
      </c>
      <c r="AA482" s="3" t="n">
        <v>0.747</v>
      </c>
      <c r="AB482" s="3" t="n">
        <v>0.93</v>
      </c>
      <c r="AC482" s="3" t="n">
        <v>31.5</v>
      </c>
      <c r="AD482" s="3" t="n">
        <v>0.0796</v>
      </c>
      <c r="AE482" s="3" t="n">
        <v>5.281</v>
      </c>
      <c r="AF482" s="3" t="n">
        <v>0</v>
      </c>
      <c r="AG482" s="3" t="n">
        <v>0.3274</v>
      </c>
      <c r="AH482" s="3" t="n">
        <v>59</v>
      </c>
      <c r="AI482" s="3" t="n"/>
      <c r="AJ482" s="3" t="n"/>
      <c r="AK482" s="3" t="n"/>
      <c r="AL482" s="6" t="n">
        <v>0</v>
      </c>
      <c r="AM482" s="3" t="n">
        <v>0</v>
      </c>
      <c r="AN482" s="3" t="n">
        <v>0</v>
      </c>
      <c r="AO482" s="3" t="n">
        <v>0</v>
      </c>
      <c r="AP482" s="3">
        <f>N(X482)*N(BI482)</f>
        <v/>
      </c>
      <c r="AQ482" s="3" t="n">
        <v>0</v>
      </c>
      <c r="AR482" s="3" t="n">
        <v>0</v>
      </c>
      <c r="AS482" s="3" t="n">
        <v>0</v>
      </c>
      <c r="AT482" s="3" t="n">
        <v>0</v>
      </c>
      <c r="AU482" s="3">
        <f>SUM(AN482:AT482)</f>
        <v/>
      </c>
      <c r="AV482" s="7">
        <f>IF(OR(N(W482)&lt;=0,N(BG482)=0),0,N(W482)*IF(N(R482)/N(W482)&gt;=60,N(BG482),1))</f>
        <v/>
      </c>
      <c r="AW482" s="7">
        <f>N(W482)*N(AF482)*N(BH482)</f>
        <v/>
      </c>
      <c r="AX482" s="7">
        <f>N(AL482)*(Assumptions!$B$13*N(BJ482)-(1-Assumptions!$B$13)*Assumptions!$B$14)+N(AM482)</f>
        <v/>
      </c>
      <c r="AY482" s="7">
        <f>N(AU482)*N(R482)/90+N(AV482)+N(AW482)+N(AX482)</f>
        <v/>
      </c>
      <c r="AZ482" s="3">
        <f>IF(N(R482)&lt;=0,0,(N(AY482)-N(AX482))*90/N(R482))</f>
        <v/>
      </c>
      <c r="BA482" s="7">
        <f>IFERROR(AY482-VLOOKUP($E482,Assumptions!$A$40:$C$43,3,FALSE),"")</f>
        <v/>
      </c>
      <c r="BB482" s="3">
        <f>IFERROR(BA482/H482,"")</f>
        <v/>
      </c>
      <c r="BC482">
        <f>IF(AND($G482=TRUE,$E482="GKP"),AY482,"")</f>
        <v/>
      </c>
      <c r="BD482">
        <f>IF(AND($G482=TRUE,$E482="DEF"),AY482,"")</f>
        <v/>
      </c>
      <c r="BE482">
        <f>IF(AND($G482=TRUE,$E482="MID"),AY482,"")</f>
        <v/>
      </c>
      <c r="BF482">
        <f>IF(AND($G482=TRUE,$E482="FWD"),AY482,"")</f>
        <v/>
      </c>
      <c r="BG482" t="n">
        <v>0</v>
      </c>
      <c r="BH482" t="n">
        <v>0</v>
      </c>
      <c r="BI482" t="n">
        <v>0</v>
      </c>
      <c r="BJ482" t="n">
        <v>0</v>
      </c>
    </row>
    <row r="483">
      <c r="A483" t="inlineStr">
        <is>
          <t>Jack Butland</t>
        </is>
      </c>
      <c r="B483" t="inlineStr">
        <is>
          <t>HUL</t>
        </is>
      </c>
      <c r="D483" t="b">
        <v>0</v>
      </c>
      <c r="E483" t="inlineStr">
        <is>
          <t>GKP</t>
        </is>
      </c>
      <c r="G483" t="b">
        <v>1</v>
      </c>
      <c r="H483" s="2" t="n">
        <v>4.5</v>
      </c>
      <c r="I483" t="inlineStr">
        <is>
          <t>i</t>
        </is>
      </c>
      <c r="J483" t="inlineStr">
        <is>
          <t>Arm injury - Unknown return date</t>
        </is>
      </c>
      <c r="K483" s="2" t="n"/>
      <c r="M483" s="3" t="n">
        <v>35</v>
      </c>
      <c r="N483" s="8" t="n">
        <v>35</v>
      </c>
      <c r="O483" s="8" t="n">
        <v>0</v>
      </c>
      <c r="Q483" t="inlineStr">
        <is>
          <t>flat</t>
        </is>
      </c>
      <c r="R483" s="6" t="n">
        <v>35</v>
      </c>
      <c r="S483" t="inlineStr">
        <is>
          <t>Solio</t>
        </is>
      </c>
      <c r="U483" s="6" t="n">
        <v>85</v>
      </c>
      <c r="V483" s="2" t="n"/>
      <c r="W483" s="7">
        <f>IF(N(U483)&lt;=0,0,MIN(Assumptions!$B$15,N(R483)/N(U483)))</f>
        <v/>
      </c>
      <c r="X483" s="6" t="n">
        <v>0.143</v>
      </c>
      <c r="Y483" s="3" t="n"/>
      <c r="Z483" t="inlineStr"/>
      <c r="AA483" s="3" t="n">
        <v>1</v>
      </c>
      <c r="AB483" s="3" t="n"/>
      <c r="AC483" s="3" t="n"/>
      <c r="AD483" s="3" t="n"/>
      <c r="AE483" s="3" t="n">
        <v>0</v>
      </c>
      <c r="AF483" s="3" t="n">
        <v>0</v>
      </c>
      <c r="AG483" s="3" t="n"/>
      <c r="AH483" s="3" t="n"/>
      <c r="AI483" s="3" t="n">
        <v>3.9421</v>
      </c>
      <c r="AJ483" s="3" t="n">
        <v>1.99</v>
      </c>
      <c r="AK483" s="3" t="n">
        <v>-0.0763216474948735</v>
      </c>
      <c r="AL483" s="6" t="n">
        <v>0</v>
      </c>
      <c r="AM483" s="3" t="n">
        <v>0.0434768840139444</v>
      </c>
      <c r="AN483" s="3" t="n">
        <v>0</v>
      </c>
      <c r="AO483" s="3" t="n">
        <v>0</v>
      </c>
      <c r="AP483" s="3">
        <f>N(X483)*N(BI483)</f>
        <v/>
      </c>
      <c r="AQ483" s="3" t="n">
        <v>0</v>
      </c>
      <c r="AR483" s="3" t="n">
        <v>0.979692031005534</v>
      </c>
      <c r="AS483" s="3" t="n">
        <v>-0.7496714098286652</v>
      </c>
      <c r="AT483" s="3" t="n">
        <v>-0.0763216474948735</v>
      </c>
      <c r="AU483" s="3">
        <f>SUM(AN483:AT483)</f>
        <v/>
      </c>
      <c r="AV483" s="7">
        <f>IF(OR(N(W483)&lt;=0,N(BG483)=0),0,N(W483)*IF(N(R483)/N(W483)&gt;=60,N(BG483),1))</f>
        <v/>
      </c>
      <c r="AW483" s="7">
        <f>N(W483)*N(AF483)*N(BH483)</f>
        <v/>
      </c>
      <c r="AX483" s="7">
        <f>N(AL483)*(Assumptions!$B$13*N(BJ483)-(1-Assumptions!$B$13)*Assumptions!$B$14)+N(AM483)</f>
        <v/>
      </c>
      <c r="AY483" s="7">
        <f>N(AU483)*N(R483)/90+N(AV483)+N(AW483)+N(AX483)</f>
        <v/>
      </c>
      <c r="AZ483" s="3">
        <f>IF(N(R483)&lt;=0,0,(N(AY483)-N(AX483))*90/N(R483))</f>
        <v/>
      </c>
      <c r="BA483" s="7">
        <f>IFERROR(AY483-VLOOKUP($E483,Assumptions!$A$40:$C$43,3,FALSE),"")</f>
        <v/>
      </c>
      <c r="BB483" s="3">
        <f>IFERROR(BA483/H483,"")</f>
        <v/>
      </c>
      <c r="BC483">
        <f>IF(AND($G483=TRUE,$E483="GKP"),AY483,"")</f>
        <v/>
      </c>
      <c r="BD483">
        <f>IF(AND($G483=TRUE,$E483="DEF"),AY483,"")</f>
        <v/>
      </c>
      <c r="BE483">
        <f>IF(AND($G483=TRUE,$E483="MID"),AY483,"")</f>
        <v/>
      </c>
      <c r="BF483">
        <f>IF(AND($G483=TRUE,$E483="FWD"),AY483,"")</f>
        <v/>
      </c>
      <c r="BG483" t="n">
        <v>2</v>
      </c>
      <c r="BH483" t="n">
        <v>0</v>
      </c>
      <c r="BI483" t="n">
        <v>4</v>
      </c>
      <c r="BJ483" t="n">
        <v>10</v>
      </c>
    </row>
    <row r="484">
      <c r="A484" t="inlineStr">
        <is>
          <t>Gerónimo Rulli</t>
        </is>
      </c>
      <c r="B484" t="inlineStr">
        <is>
          <t>MCI</t>
        </is>
      </c>
      <c r="D484" t="b">
        <v>0</v>
      </c>
      <c r="E484" t="inlineStr">
        <is>
          <t>GKP</t>
        </is>
      </c>
      <c r="G484" t="b">
        <v>1</v>
      </c>
      <c r="H484" s="2" t="n">
        <v>5</v>
      </c>
      <c r="I484" t="inlineStr">
        <is>
          <t>a</t>
        </is>
      </c>
      <c r="K484" s="2" t="n"/>
      <c r="M484" s="3" t="n">
        <v>0</v>
      </c>
      <c r="N484" s="8" t="n">
        <v>0</v>
      </c>
      <c r="O484" s="8" t="n">
        <v>0</v>
      </c>
      <c r="Q484" t="inlineStr">
        <is>
          <t>flat</t>
        </is>
      </c>
      <c r="R484" s="6" t="n">
        <v>0</v>
      </c>
      <c r="S484" t="inlineStr">
        <is>
          <t>Solio</t>
        </is>
      </c>
      <c r="U484" s="6" t="n">
        <v>85</v>
      </c>
      <c r="V484" s="2" t="n"/>
      <c r="W484" s="7">
        <f>IF(N(U484)&lt;=0,0,MIN(Assumptions!$B$15,N(R484)/N(U484)))</f>
        <v/>
      </c>
      <c r="X484" s="6" t="n">
        <v>0.371</v>
      </c>
      <c r="Y484" s="3" t="n"/>
      <c r="Z484" t="inlineStr"/>
      <c r="AA484" s="3" t="n">
        <v>1</v>
      </c>
      <c r="AB484" s="3" t="n"/>
      <c r="AC484" s="3" t="n"/>
      <c r="AD484" s="3" t="n"/>
      <c r="AE484" s="3" t="n">
        <v>0</v>
      </c>
      <c r="AF484" s="3" t="n">
        <v>0</v>
      </c>
      <c r="AG484" s="3" t="n"/>
      <c r="AH484" s="3" t="n"/>
      <c r="AI484" s="3" t="n">
        <v>1.9737</v>
      </c>
      <c r="AJ484" s="3" t="n">
        <v>1.0365</v>
      </c>
      <c r="AK484" s="3" t="n">
        <v>-0.0763216474948735</v>
      </c>
      <c r="AL484" s="6" t="n">
        <v>0</v>
      </c>
      <c r="AM484" s="3" t="n">
        <v>0</v>
      </c>
      <c r="AN484" s="3" t="n">
        <v>0</v>
      </c>
      <c r="AO484" s="3" t="n">
        <v>0</v>
      </c>
      <c r="AP484" s="3">
        <f>N(X484)*N(BI484)</f>
        <v/>
      </c>
      <c r="AQ484" s="3" t="n">
        <v>0</v>
      </c>
      <c r="AR484" s="3" t="n">
        <v>0.3320553475083804</v>
      </c>
      <c r="AS484" s="3" t="n">
        <v>-0.2997019479071323</v>
      </c>
      <c r="AT484" s="3" t="n">
        <v>-0.0763216474948735</v>
      </c>
      <c r="AU484" s="3">
        <f>SUM(AN484:AT484)</f>
        <v/>
      </c>
      <c r="AV484" s="7">
        <f>IF(OR(N(W484)&lt;=0,N(BG484)=0),0,N(W484)*IF(N(R484)/N(W484)&gt;=60,N(BG484),1))</f>
        <v/>
      </c>
      <c r="AW484" s="7">
        <f>N(W484)*N(AF484)*N(BH484)</f>
        <v/>
      </c>
      <c r="AX484" s="7">
        <f>N(AL484)*(Assumptions!$B$13*N(BJ484)-(1-Assumptions!$B$13)*Assumptions!$B$14)+N(AM484)</f>
        <v/>
      </c>
      <c r="AY484" s="7">
        <f>N(AU484)*N(R484)/90+N(AV484)+N(AW484)+N(AX484)</f>
        <v/>
      </c>
      <c r="AZ484" s="3">
        <f>IF(N(R484)&lt;=0,0,(N(AY484)-N(AX484))*90/N(R484))</f>
        <v/>
      </c>
      <c r="BA484" s="7">
        <f>IFERROR(AY484-VLOOKUP($E484,Assumptions!$A$40:$C$43,3,FALSE),"")</f>
        <v/>
      </c>
      <c r="BB484" s="3">
        <f>IFERROR(BA484/H484,"")</f>
        <v/>
      </c>
      <c r="BC484">
        <f>IF(AND($G484=TRUE,$E484="GKP"),AY484,"")</f>
        <v/>
      </c>
      <c r="BD484">
        <f>IF(AND($G484=TRUE,$E484="DEF"),AY484,"")</f>
        <v/>
      </c>
      <c r="BE484">
        <f>IF(AND($G484=TRUE,$E484="MID"),AY484,"")</f>
        <v/>
      </c>
      <c r="BF484">
        <f>IF(AND($G484=TRUE,$E484="FWD"),AY484,"")</f>
        <v/>
      </c>
      <c r="BG484" t="n">
        <v>2</v>
      </c>
      <c r="BH484" t="n">
        <v>0</v>
      </c>
      <c r="BI484" t="n">
        <v>4</v>
      </c>
      <c r="BJ484" t="n">
        <v>10</v>
      </c>
    </row>
    <row r="485">
      <c r="A485" t="inlineStr">
        <is>
          <t>Angus Gunn</t>
        </is>
      </c>
      <c r="C485" t="inlineStr">
        <is>
          <t>NFO</t>
        </is>
      </c>
      <c r="D485" t="b">
        <v>0</v>
      </c>
      <c r="F485" t="inlineStr">
        <is>
          <t>GKP</t>
        </is>
      </c>
      <c r="G485" t="b">
        <v>0</v>
      </c>
      <c r="H485" s="2" t="n"/>
      <c r="K485" s="2" t="n">
        <v>45</v>
      </c>
      <c r="M485" s="3" t="n"/>
      <c r="N485" s="8" t="n">
        <v>45</v>
      </c>
      <c r="O485" s="8" t="n">
        <v>0</v>
      </c>
      <c r="R485" s="6" t="n">
        <v>45</v>
      </c>
      <c r="S485" t="inlineStr">
        <is>
          <t>25/26 actual</t>
        </is>
      </c>
      <c r="U485" s="6" t="n">
        <v>89.8</v>
      </c>
      <c r="V485" s="2" t="n">
        <v>0</v>
      </c>
      <c r="W485" s="7">
        <f>IF(N(U485)&lt;=0,0,MIN(Assumptions!$B$15,N(R485)/N(U485)))</f>
        <v/>
      </c>
      <c r="X485" s="6" t="n"/>
      <c r="Y485" s="3" t="n">
        <v>0</v>
      </c>
      <c r="Z485" t="inlineStr">
        <is>
          <t>blended xG</t>
        </is>
      </c>
      <c r="AA485" s="3" t="n">
        <v>1</v>
      </c>
      <c r="AB485" s="3" t="n">
        <v>1</v>
      </c>
      <c r="AC485" s="3" t="n">
        <v>0</v>
      </c>
      <c r="AD485" s="3" t="n">
        <v>0</v>
      </c>
      <c r="AE485" s="3" t="n">
        <v>0</v>
      </c>
      <c r="AF485" s="3" t="n">
        <v>0</v>
      </c>
      <c r="AG485" s="3" t="n">
        <v>0</v>
      </c>
      <c r="AH485" s="3" t="n">
        <v>1</v>
      </c>
      <c r="AI485" s="3" t="n"/>
      <c r="AJ485" s="3" t="n"/>
      <c r="AK485" s="3" t="n"/>
      <c r="AL485" s="6" t="n">
        <v>0</v>
      </c>
      <c r="AM485" s="3" t="n">
        <v>0</v>
      </c>
      <c r="AN485" s="3" t="n">
        <v>0</v>
      </c>
      <c r="AO485" s="3" t="n">
        <v>0</v>
      </c>
      <c r="AP485" s="3">
        <f>N(X485)*N(BI485)</f>
        <v/>
      </c>
      <c r="AQ485" s="3" t="n">
        <v>0</v>
      </c>
      <c r="AR485" s="3" t="n">
        <v>0</v>
      </c>
      <c r="AS485" s="3" t="n">
        <v>0</v>
      </c>
      <c r="AT485" s="3" t="n">
        <v>0</v>
      </c>
      <c r="AU485" s="3">
        <f>SUM(AN485:AT485)</f>
        <v/>
      </c>
      <c r="AV485" s="7">
        <f>IF(OR(N(W485)&lt;=0,N(BG485)=0),0,N(W485)*IF(N(R485)/N(W485)&gt;=60,N(BG485),1))</f>
        <v/>
      </c>
      <c r="AW485" s="7">
        <f>N(W485)*N(AF485)*N(BH485)</f>
        <v/>
      </c>
      <c r="AX485" s="7">
        <f>N(AL485)*(Assumptions!$B$13*N(BJ485)-(1-Assumptions!$B$13)*Assumptions!$B$14)+N(AM485)</f>
        <v/>
      </c>
      <c r="AY485" s="7">
        <f>N(AU485)*N(R485)/90+N(AV485)+N(AW485)+N(AX485)</f>
        <v/>
      </c>
      <c r="AZ485" s="3">
        <f>IF(N(R485)&lt;=0,0,(N(AY485)-N(AX485))*90/N(R485))</f>
        <v/>
      </c>
      <c r="BA485" s="7">
        <f>IFERROR(AY485-VLOOKUP($E485,Assumptions!$A$40:$C$43,3,FALSE),"")</f>
        <v/>
      </c>
      <c r="BB485" s="3">
        <f>IFERROR(BA485/H485,"")</f>
        <v/>
      </c>
      <c r="BC485">
        <f>IF(AND($G485=TRUE,$E485="GKP"),AY485,"")</f>
        <v/>
      </c>
      <c r="BD485">
        <f>IF(AND($G485=TRUE,$E485="DEF"),AY485,"")</f>
        <v/>
      </c>
      <c r="BE485">
        <f>IF(AND($G485=TRUE,$E485="MID"),AY485,"")</f>
        <v/>
      </c>
      <c r="BF485">
        <f>IF(AND($G485=TRUE,$E485="FWD"),AY485,"")</f>
        <v/>
      </c>
      <c r="BG485" t="n">
        <v>0</v>
      </c>
      <c r="BH485" t="n">
        <v>0</v>
      </c>
      <c r="BI485" t="n">
        <v>0</v>
      </c>
      <c r="BJ485" t="n">
        <v>0</v>
      </c>
    </row>
    <row r="486">
      <c r="A486" t="inlineStr">
        <is>
          <t>John Egan</t>
        </is>
      </c>
      <c r="B486" t="inlineStr">
        <is>
          <t>HUL</t>
        </is>
      </c>
      <c r="D486" t="b">
        <v>0</v>
      </c>
      <c r="E486" t="inlineStr">
        <is>
          <t>DEF</t>
        </is>
      </c>
      <c r="G486" t="b">
        <v>1</v>
      </c>
      <c r="H486" s="2" t="n">
        <v>4</v>
      </c>
      <c r="I486" t="inlineStr">
        <is>
          <t>a</t>
        </is>
      </c>
      <c r="K486" s="2" t="n"/>
      <c r="M486" s="3" t="n">
        <v>3015</v>
      </c>
      <c r="N486" s="8" t="n">
        <v>3015</v>
      </c>
      <c r="O486" s="8" t="n">
        <v>0</v>
      </c>
      <c r="Q486" t="inlineStr">
        <is>
          <t>flat</t>
        </is>
      </c>
      <c r="R486" s="6" t="n">
        <v>3015</v>
      </c>
      <c r="S486" t="inlineStr">
        <is>
          <t>Solio</t>
        </is>
      </c>
      <c r="U486" s="6" t="n">
        <v>85</v>
      </c>
      <c r="V486" s="2" t="n"/>
      <c r="W486" s="7">
        <f>IF(N(U486)&lt;=0,0,MIN(Assumptions!$B$15,N(R486)/N(U486)))</f>
        <v/>
      </c>
      <c r="X486" s="6" t="n">
        <v>0.143</v>
      </c>
      <c r="Y486" s="3" t="n"/>
      <c r="Z486" t="inlineStr"/>
      <c r="AA486" s="3" t="n">
        <v>1</v>
      </c>
      <c r="AB486" s="3" t="n"/>
      <c r="AC486" s="3" t="n"/>
      <c r="AD486" s="3" t="n"/>
      <c r="AE486" s="3" t="n"/>
      <c r="AF486" s="3" t="n">
        <v>0</v>
      </c>
      <c r="AG486" s="3" t="n"/>
      <c r="AH486" s="3" t="n"/>
      <c r="AI486" s="3" t="n">
        <v>3.9421</v>
      </c>
      <c r="AJ486" s="3" t="n">
        <v>1.99</v>
      </c>
      <c r="AK486" s="3" t="n">
        <v>-0.2269719386373797</v>
      </c>
      <c r="AL486" s="6" t="n">
        <v>0</v>
      </c>
      <c r="AM486" s="3" t="n">
        <v>0</v>
      </c>
      <c r="AN486" s="3" t="n">
        <v>0</v>
      </c>
      <c r="AO486" s="3" t="n">
        <v>0</v>
      </c>
      <c r="AP486" s="3">
        <f>N(X486)*N(BI486)</f>
        <v/>
      </c>
      <c r="AQ486" s="3" t="n">
        <v>0</v>
      </c>
      <c r="AR486" s="3" t="n">
        <v>0</v>
      </c>
      <c r="AS486" s="3" t="n">
        <v>-0.7496714098286652</v>
      </c>
      <c r="AT486" s="3" t="n">
        <v>-0.2269719386373797</v>
      </c>
      <c r="AU486" s="3">
        <f>SUM(AN486:AT486)</f>
        <v/>
      </c>
      <c r="AV486" s="7">
        <f>IF(OR(N(W486)&lt;=0,N(BG486)=0),0,N(W486)*IF(N(R486)/N(W486)&gt;=60,N(BG486),1))</f>
        <v/>
      </c>
      <c r="AW486" s="7">
        <f>N(W486)*N(AF486)*N(BH486)</f>
        <v/>
      </c>
      <c r="AX486" s="7">
        <f>N(AL486)*(Assumptions!$B$13*N(BJ486)-(1-Assumptions!$B$13)*Assumptions!$B$14)+N(AM486)</f>
        <v/>
      </c>
      <c r="AY486" s="7">
        <f>N(AU486)*N(R486)/90+N(AV486)+N(AW486)+N(AX486)</f>
        <v/>
      </c>
      <c r="AZ486" s="3">
        <f>IF(N(R486)&lt;=0,0,(N(AY486)-N(AX486))*90/N(R486))</f>
        <v/>
      </c>
      <c r="BA486" s="7">
        <f>IFERROR(AY486-VLOOKUP($E486,Assumptions!$A$40:$C$43,3,FALSE),"")</f>
        <v/>
      </c>
      <c r="BB486" s="3">
        <f>IFERROR(BA486/H486,"")</f>
        <v/>
      </c>
      <c r="BC486">
        <f>IF(AND($G486=TRUE,$E486="GKP"),AY486,"")</f>
        <v/>
      </c>
      <c r="BD486">
        <f>IF(AND($G486=TRUE,$E486="DEF"),AY486,"")</f>
        <v/>
      </c>
      <c r="BE486">
        <f>IF(AND($G486=TRUE,$E486="MID"),AY486,"")</f>
        <v/>
      </c>
      <c r="BF486">
        <f>IF(AND($G486=TRUE,$E486="FWD"),AY486,"")</f>
        <v/>
      </c>
      <c r="BG486" t="n">
        <v>2</v>
      </c>
      <c r="BH486" t="n">
        <v>2</v>
      </c>
      <c r="BI486" t="n">
        <v>4</v>
      </c>
      <c r="BJ486" t="n">
        <v>6</v>
      </c>
    </row>
    <row r="487">
      <c r="A487" t="inlineStr">
        <is>
          <t>Christian Walton</t>
        </is>
      </c>
      <c r="B487" t="inlineStr">
        <is>
          <t>IPS</t>
        </is>
      </c>
      <c r="D487" t="b">
        <v>0</v>
      </c>
      <c r="E487" t="inlineStr">
        <is>
          <t>GKP</t>
        </is>
      </c>
      <c r="G487" t="b">
        <v>1</v>
      </c>
      <c r="H487" s="2" t="n">
        <v>4.5</v>
      </c>
      <c r="I487" t="inlineStr">
        <is>
          <t>a</t>
        </is>
      </c>
      <c r="K487" s="2" t="n"/>
      <c r="M487" s="3" t="n">
        <v>35</v>
      </c>
      <c r="N487" s="8" t="n">
        <v>35</v>
      </c>
      <c r="O487" s="8" t="n">
        <v>0</v>
      </c>
      <c r="Q487" t="inlineStr">
        <is>
          <t>flat</t>
        </is>
      </c>
      <c r="R487" s="6" t="n">
        <v>35</v>
      </c>
      <c r="S487" t="inlineStr">
        <is>
          <t>Solio</t>
        </is>
      </c>
      <c r="U487" s="6" t="n">
        <v>85</v>
      </c>
      <c r="V487" s="2" t="n"/>
      <c r="W487" s="7">
        <f>IF(N(U487)&lt;=0,0,MIN(Assumptions!$B$15,N(R487)/N(U487)))</f>
        <v/>
      </c>
      <c r="X487" s="6" t="n">
        <v>0.17</v>
      </c>
      <c r="Y487" s="3" t="n"/>
      <c r="Z487" t="inlineStr"/>
      <c r="AA487" s="3" t="n">
        <v>1</v>
      </c>
      <c r="AB487" s="3" t="n"/>
      <c r="AC487" s="3" t="n"/>
      <c r="AD487" s="3" t="n"/>
      <c r="AE487" s="3" t="n">
        <v>0</v>
      </c>
      <c r="AF487" s="3" t="n">
        <v>0</v>
      </c>
      <c r="AG487" s="3" t="n"/>
      <c r="AH487" s="3" t="n"/>
      <c r="AI487" s="3" t="n">
        <v>3.5741</v>
      </c>
      <c r="AJ487" s="3" t="n">
        <v>1.8319</v>
      </c>
      <c r="AK487" s="3" t="n">
        <v>-0.0610683923216705</v>
      </c>
      <c r="AL487" s="6" t="n">
        <v>0</v>
      </c>
      <c r="AM487" s="3" t="n">
        <v>0.0400226050740512</v>
      </c>
      <c r="AN487" s="3" t="n">
        <v>0</v>
      </c>
      <c r="AO487" s="3" t="n">
        <v>0</v>
      </c>
      <c r="AP487" s="3">
        <f>N(X487)*N(BI487)</f>
        <v/>
      </c>
      <c r="AQ487" s="3" t="n">
        <v>0</v>
      </c>
      <c r="AR487" s="3" t="n">
        <v>0.8565116974562608</v>
      </c>
      <c r="AS487" s="3" t="n">
        <v>-0.6723587286814016</v>
      </c>
      <c r="AT487" s="3" t="n">
        <v>-0.0610683923216705</v>
      </c>
      <c r="AU487" s="3">
        <f>SUM(AN487:AT487)</f>
        <v/>
      </c>
      <c r="AV487" s="7">
        <f>IF(OR(N(W487)&lt;=0,N(BG487)=0),0,N(W487)*IF(N(R487)/N(W487)&gt;=60,N(BG487),1))</f>
        <v/>
      </c>
      <c r="AW487" s="7">
        <f>N(W487)*N(AF487)*N(BH487)</f>
        <v/>
      </c>
      <c r="AX487" s="7">
        <f>N(AL487)*(Assumptions!$B$13*N(BJ487)-(1-Assumptions!$B$13)*Assumptions!$B$14)+N(AM487)</f>
        <v/>
      </c>
      <c r="AY487" s="7">
        <f>N(AU487)*N(R487)/90+N(AV487)+N(AW487)+N(AX487)</f>
        <v/>
      </c>
      <c r="AZ487" s="3">
        <f>IF(N(R487)&lt;=0,0,(N(AY487)-N(AX487))*90/N(R487))</f>
        <v/>
      </c>
      <c r="BA487" s="7">
        <f>IFERROR(AY487-VLOOKUP($E487,Assumptions!$A$40:$C$43,3,FALSE),"")</f>
        <v/>
      </c>
      <c r="BB487" s="3">
        <f>IFERROR(BA487/H487,"")</f>
        <v/>
      </c>
      <c r="BC487">
        <f>IF(AND($G487=TRUE,$E487="GKP"),AY487,"")</f>
        <v/>
      </c>
      <c r="BD487">
        <f>IF(AND($G487=TRUE,$E487="DEF"),AY487,"")</f>
        <v/>
      </c>
      <c r="BE487">
        <f>IF(AND($G487=TRUE,$E487="MID"),AY487,"")</f>
        <v/>
      </c>
      <c r="BF487">
        <f>IF(AND($G487=TRUE,$E487="FWD"),AY487,"")</f>
        <v/>
      </c>
      <c r="BG487" t="n">
        <v>2</v>
      </c>
      <c r="BH487" t="n">
        <v>0</v>
      </c>
      <c r="BI487" t="n">
        <v>4</v>
      </c>
      <c r="BJ487" t="n">
        <v>10</v>
      </c>
    </row>
    <row r="488">
      <c r="A488" t="inlineStr">
        <is>
          <t>Solly March</t>
        </is>
      </c>
      <c r="C488" t="inlineStr">
        <is>
          <t>BHA</t>
        </is>
      </c>
      <c r="D488" t="b">
        <v>0</v>
      </c>
      <c r="F488" t="inlineStr">
        <is>
          <t>MID</t>
        </is>
      </c>
      <c r="G488" t="b">
        <v>0</v>
      </c>
      <c r="H488" s="2" t="n"/>
      <c r="K488" s="2" t="n">
        <v>38</v>
      </c>
      <c r="M488" s="3" t="n"/>
      <c r="N488" s="8" t="n">
        <v>38</v>
      </c>
      <c r="O488" s="8" t="n">
        <v>0</v>
      </c>
      <c r="R488" s="6" t="n">
        <v>38</v>
      </c>
      <c r="S488" t="inlineStr">
        <is>
          <t>25/26 actual</t>
        </is>
      </c>
      <c r="U488" s="6" t="n">
        <v>80.09999999999999</v>
      </c>
      <c r="V488" s="2" t="n">
        <v>0</v>
      </c>
      <c r="W488" s="7">
        <f>IF(N(U488)&lt;=0,0,MIN(Assumptions!$B$15,N(R488)/N(U488)))</f>
        <v/>
      </c>
      <c r="X488" s="6" t="n"/>
      <c r="Y488" s="3" t="n">
        <v>0.1066</v>
      </c>
      <c r="Z488" t="inlineStr">
        <is>
          <t>adjusted xGOT</t>
        </is>
      </c>
      <c r="AA488" s="3" t="n">
        <v>1</v>
      </c>
      <c r="AB488" s="3" t="n">
        <v>1.131</v>
      </c>
      <c r="AC488" s="3" t="n">
        <v>9.199999999999999</v>
      </c>
      <c r="AD488" s="3" t="n">
        <v>0</v>
      </c>
      <c r="AE488" s="3" t="n">
        <v>8.741</v>
      </c>
      <c r="AF488" s="3" t="n">
        <v>0</v>
      </c>
      <c r="AG488" s="3" t="n">
        <v>0</v>
      </c>
      <c r="AH488" s="3" t="n">
        <v>4</v>
      </c>
      <c r="AI488" s="3" t="n"/>
      <c r="AJ488" s="3" t="n"/>
      <c r="AK488" s="3" t="n"/>
      <c r="AL488" s="6" t="n">
        <v>0</v>
      </c>
      <c r="AM488" s="3" t="n">
        <v>0</v>
      </c>
      <c r="AN488" s="3" t="n">
        <v>0</v>
      </c>
      <c r="AO488" s="3" t="n">
        <v>0</v>
      </c>
      <c r="AP488" s="3">
        <f>N(X488)*N(BI488)</f>
        <v/>
      </c>
      <c r="AQ488" s="3" t="n">
        <v>0</v>
      </c>
      <c r="AR488" s="3" t="n">
        <v>0</v>
      </c>
      <c r="AS488" s="3" t="n">
        <v>0</v>
      </c>
      <c r="AT488" s="3" t="n">
        <v>0</v>
      </c>
      <c r="AU488" s="3">
        <f>SUM(AN488:AT488)</f>
        <v/>
      </c>
      <c r="AV488" s="7">
        <f>IF(OR(N(W488)&lt;=0,N(BG488)=0),0,N(W488)*IF(N(R488)/N(W488)&gt;=60,N(BG488),1))</f>
        <v/>
      </c>
      <c r="AW488" s="7">
        <f>N(W488)*N(AF488)*N(BH488)</f>
        <v/>
      </c>
      <c r="AX488" s="7">
        <f>N(AL488)*(Assumptions!$B$13*N(BJ488)-(1-Assumptions!$B$13)*Assumptions!$B$14)+N(AM488)</f>
        <v/>
      </c>
      <c r="AY488" s="7">
        <f>N(AU488)*N(R488)/90+N(AV488)+N(AW488)+N(AX488)</f>
        <v/>
      </c>
      <c r="AZ488" s="3">
        <f>IF(N(R488)&lt;=0,0,(N(AY488)-N(AX488))*90/N(R488))</f>
        <v/>
      </c>
      <c r="BA488" s="7">
        <f>IFERROR(AY488-VLOOKUP($E488,Assumptions!$A$40:$C$43,3,FALSE),"")</f>
        <v/>
      </c>
      <c r="BB488" s="3">
        <f>IFERROR(BA488/H488,"")</f>
        <v/>
      </c>
      <c r="BC488">
        <f>IF(AND($G488=TRUE,$E488="GKP"),AY488,"")</f>
        <v/>
      </c>
      <c r="BD488">
        <f>IF(AND($G488=TRUE,$E488="DEF"),AY488,"")</f>
        <v/>
      </c>
      <c r="BE488">
        <f>IF(AND($G488=TRUE,$E488="MID"),AY488,"")</f>
        <v/>
      </c>
      <c r="BF488">
        <f>IF(AND($G488=TRUE,$E488="FWD"),AY488,"")</f>
        <v/>
      </c>
      <c r="BG488" t="n">
        <v>0</v>
      </c>
      <c r="BH488" t="n">
        <v>0</v>
      </c>
      <c r="BI488" t="n">
        <v>0</v>
      </c>
      <c r="BJ488" t="n">
        <v>0</v>
      </c>
    </row>
    <row r="489">
      <c r="A489" t="inlineStr">
        <is>
          <t>Bertrand Traoré</t>
        </is>
      </c>
      <c r="C489" t="inlineStr">
        <is>
          <t>SUN</t>
        </is>
      </c>
      <c r="D489" t="b">
        <v>0</v>
      </c>
      <c r="F489" t="inlineStr">
        <is>
          <t>MID</t>
        </is>
      </c>
      <c r="G489" t="b">
        <v>0</v>
      </c>
      <c r="H489" s="2" t="n"/>
      <c r="K489" s="2" t="n">
        <v>638</v>
      </c>
      <c r="M489" s="3" t="n"/>
      <c r="N489" s="8" t="n">
        <v>638</v>
      </c>
      <c r="O489" s="8" t="n">
        <v>0</v>
      </c>
      <c r="R489" s="6" t="n">
        <v>638</v>
      </c>
      <c r="S489" t="inlineStr">
        <is>
          <t>25/26 actual</t>
        </is>
      </c>
      <c r="U489" s="6" t="n">
        <v>72.5</v>
      </c>
      <c r="V489" s="2" t="n">
        <v>9</v>
      </c>
      <c r="W489" s="7">
        <f>IF(N(U489)&lt;=0,0,MIN(Assumptions!$B$15,N(R489)/N(U489)))</f>
        <v/>
      </c>
      <c r="X489" s="6" t="n"/>
      <c r="Y489" s="3" t="n">
        <v>0.0814</v>
      </c>
      <c r="Z489" t="inlineStr">
        <is>
          <t>adjusted xGOT</t>
        </is>
      </c>
      <c r="AA489" s="3" t="n">
        <v>1</v>
      </c>
      <c r="AB489" s="3" t="n">
        <v>1.203</v>
      </c>
      <c r="AC489" s="3" t="n">
        <v>1.2</v>
      </c>
      <c r="AD489" s="3" t="n">
        <v>0.1395</v>
      </c>
      <c r="AE489" s="3" t="n">
        <v>7.22</v>
      </c>
      <c r="AF489" s="3" t="n">
        <v>0</v>
      </c>
      <c r="AG489" s="3" t="n">
        <v>0.1411</v>
      </c>
      <c r="AH489" s="3" t="n">
        <v>19</v>
      </c>
      <c r="AI489" s="3" t="n"/>
      <c r="AJ489" s="3" t="n"/>
      <c r="AK489" s="3" t="n"/>
      <c r="AL489" s="6" t="n">
        <v>0</v>
      </c>
      <c r="AM489" s="3" t="n">
        <v>0</v>
      </c>
      <c r="AN489" s="3" t="n">
        <v>0</v>
      </c>
      <c r="AO489" s="3" t="n">
        <v>0</v>
      </c>
      <c r="AP489" s="3">
        <f>N(X489)*N(BI489)</f>
        <v/>
      </c>
      <c r="AQ489" s="3" t="n">
        <v>0</v>
      </c>
      <c r="AR489" s="3" t="n">
        <v>0</v>
      </c>
      <c r="AS489" s="3" t="n">
        <v>0</v>
      </c>
      <c r="AT489" s="3" t="n">
        <v>0</v>
      </c>
      <c r="AU489" s="3">
        <f>SUM(AN489:AT489)</f>
        <v/>
      </c>
      <c r="AV489" s="7">
        <f>IF(OR(N(W489)&lt;=0,N(BG489)=0),0,N(W489)*IF(N(R489)/N(W489)&gt;=60,N(BG489),1))</f>
        <v/>
      </c>
      <c r="AW489" s="7">
        <f>N(W489)*N(AF489)*N(BH489)</f>
        <v/>
      </c>
      <c r="AX489" s="7">
        <f>N(AL489)*(Assumptions!$B$13*N(BJ489)-(1-Assumptions!$B$13)*Assumptions!$B$14)+N(AM489)</f>
        <v/>
      </c>
      <c r="AY489" s="7">
        <f>N(AU489)*N(R489)/90+N(AV489)+N(AW489)+N(AX489)</f>
        <v/>
      </c>
      <c r="AZ489" s="3">
        <f>IF(N(R489)&lt;=0,0,(N(AY489)-N(AX489))*90/N(R489))</f>
        <v/>
      </c>
      <c r="BA489" s="7">
        <f>IFERROR(AY489-VLOOKUP($E489,Assumptions!$A$40:$C$43,3,FALSE),"")</f>
        <v/>
      </c>
      <c r="BB489" s="3">
        <f>IFERROR(BA489/H489,"")</f>
        <v/>
      </c>
      <c r="BC489">
        <f>IF(AND($G489=TRUE,$E489="GKP"),AY489,"")</f>
        <v/>
      </c>
      <c r="BD489">
        <f>IF(AND($G489=TRUE,$E489="DEF"),AY489,"")</f>
        <v/>
      </c>
      <c r="BE489">
        <f>IF(AND($G489=TRUE,$E489="MID"),AY489,"")</f>
        <v/>
      </c>
      <c r="BF489">
        <f>IF(AND($G489=TRUE,$E489="FWD"),AY489,"")</f>
        <v/>
      </c>
      <c r="BG489" t="n">
        <v>0</v>
      </c>
      <c r="BH489" t="n">
        <v>0</v>
      </c>
      <c r="BI489" t="n">
        <v>0</v>
      </c>
      <c r="BJ489" t="n">
        <v>0</v>
      </c>
    </row>
    <row r="490">
      <c r="A490" t="inlineStr">
        <is>
          <t>Ben Wilson</t>
        </is>
      </c>
      <c r="B490" t="inlineStr">
        <is>
          <t>COV</t>
        </is>
      </c>
      <c r="D490" t="b">
        <v>0</v>
      </c>
      <c r="E490" t="inlineStr">
        <is>
          <t>GKP</t>
        </is>
      </c>
      <c r="G490" t="b">
        <v>1</v>
      </c>
      <c r="H490" s="2" t="n">
        <v>4.5</v>
      </c>
      <c r="I490" t="inlineStr">
        <is>
          <t>a</t>
        </is>
      </c>
      <c r="K490" s="2" t="n"/>
      <c r="M490" s="3" t="n">
        <v>35</v>
      </c>
      <c r="N490" s="8" t="n">
        <v>35</v>
      </c>
      <c r="O490" s="8" t="n">
        <v>0</v>
      </c>
      <c r="Q490" t="inlineStr">
        <is>
          <t>flat</t>
        </is>
      </c>
      <c r="R490" s="6" t="n">
        <v>35</v>
      </c>
      <c r="S490" t="inlineStr">
        <is>
          <t>Solio</t>
        </is>
      </c>
      <c r="U490" s="6" t="n">
        <v>85</v>
      </c>
      <c r="V490" s="2" t="n"/>
      <c r="W490" s="7">
        <f>IF(N(U490)&lt;=0,0,MIN(Assumptions!$B$15,N(R490)/N(U490)))</f>
        <v/>
      </c>
      <c r="X490" s="6" t="n">
        <v>0.17</v>
      </c>
      <c r="Y490" s="3" t="n"/>
      <c r="Z490" t="inlineStr"/>
      <c r="AA490" s="3" t="n">
        <v>1</v>
      </c>
      <c r="AB490" s="3" t="n"/>
      <c r="AC490" s="3" t="n"/>
      <c r="AD490" s="3" t="n"/>
      <c r="AE490" s="3" t="n">
        <v>0</v>
      </c>
      <c r="AF490" s="3" t="n">
        <v>0</v>
      </c>
      <c r="AG490" s="3" t="n"/>
      <c r="AH490" s="3" t="n"/>
      <c r="AI490" s="3" t="n">
        <v>3.6194</v>
      </c>
      <c r="AJ490" s="3" t="n">
        <v>1.8271</v>
      </c>
      <c r="AK490" s="3" t="n">
        <v>-0.0763216474948735</v>
      </c>
      <c r="AL490" s="6" t="n">
        <v>0</v>
      </c>
      <c r="AM490" s="3" t="n">
        <v>0.0399179647999067</v>
      </c>
      <c r="AN490" s="3" t="n">
        <v>0</v>
      </c>
      <c r="AO490" s="3" t="n">
        <v>0</v>
      </c>
      <c r="AP490" s="3">
        <f>N(X490)*N(BI490)</f>
        <v/>
      </c>
      <c r="AQ490" s="3" t="n">
        <v>0</v>
      </c>
      <c r="AR490" s="3" t="n">
        <v>0.8716770173844571</v>
      </c>
      <c r="AS490" s="3" t="n">
        <v>-0.670020548738316</v>
      </c>
      <c r="AT490" s="3" t="n">
        <v>-0.0763216474948735</v>
      </c>
      <c r="AU490" s="3">
        <f>SUM(AN490:AT490)</f>
        <v/>
      </c>
      <c r="AV490" s="7">
        <f>IF(OR(N(W490)&lt;=0,N(BG490)=0),0,N(W490)*IF(N(R490)/N(W490)&gt;=60,N(BG490),1))</f>
        <v/>
      </c>
      <c r="AW490" s="7">
        <f>N(W490)*N(AF490)*N(BH490)</f>
        <v/>
      </c>
      <c r="AX490" s="7">
        <f>N(AL490)*(Assumptions!$B$13*N(BJ490)-(1-Assumptions!$B$13)*Assumptions!$B$14)+N(AM490)</f>
        <v/>
      </c>
      <c r="AY490" s="7">
        <f>N(AU490)*N(R490)/90+N(AV490)+N(AW490)+N(AX490)</f>
        <v/>
      </c>
      <c r="AZ490" s="3">
        <f>IF(N(R490)&lt;=0,0,(N(AY490)-N(AX490))*90/N(R490))</f>
        <v/>
      </c>
      <c r="BA490" s="7">
        <f>IFERROR(AY490-VLOOKUP($E490,Assumptions!$A$40:$C$43,3,FALSE),"")</f>
        <v/>
      </c>
      <c r="BB490" s="3">
        <f>IFERROR(BA490/H490,"")</f>
        <v/>
      </c>
      <c r="BC490">
        <f>IF(AND($G490=TRUE,$E490="GKP"),AY490,"")</f>
        <v/>
      </c>
      <c r="BD490">
        <f>IF(AND($G490=TRUE,$E490="DEF"),AY490,"")</f>
        <v/>
      </c>
      <c r="BE490">
        <f>IF(AND($G490=TRUE,$E490="MID"),AY490,"")</f>
        <v/>
      </c>
      <c r="BF490">
        <f>IF(AND($G490=TRUE,$E490="FWD"),AY490,"")</f>
        <v/>
      </c>
      <c r="BG490" t="n">
        <v>2</v>
      </c>
      <c r="BH490" t="n">
        <v>0</v>
      </c>
      <c r="BI490" t="n">
        <v>4</v>
      </c>
      <c r="BJ490" t="n">
        <v>10</v>
      </c>
    </row>
    <row r="491">
      <c r="A491" t="inlineStr">
        <is>
          <t>Joël Veltman</t>
        </is>
      </c>
      <c r="C491" t="inlineStr">
        <is>
          <t>BHA</t>
        </is>
      </c>
      <c r="D491" t="b">
        <v>0</v>
      </c>
      <c r="F491" t="inlineStr">
        <is>
          <t>DEF</t>
        </is>
      </c>
      <c r="G491" t="b">
        <v>0</v>
      </c>
      <c r="H491" s="2" t="n"/>
      <c r="K491" s="2" t="n">
        <v>1050</v>
      </c>
      <c r="M491" s="3" t="n"/>
      <c r="N491" s="8" t="n">
        <v>1050</v>
      </c>
      <c r="O491" s="8" t="n">
        <v>0</v>
      </c>
      <c r="R491" s="6" t="n">
        <v>1050</v>
      </c>
      <c r="S491" t="inlineStr">
        <is>
          <t>25/26 actual</t>
        </is>
      </c>
      <c r="U491" s="6" t="n">
        <v>84.40000000000001</v>
      </c>
      <c r="V491" s="2" t="n">
        <v>9</v>
      </c>
      <c r="W491" s="7">
        <f>IF(N(U491)&lt;=0,0,MIN(Assumptions!$B$15,N(R491)/N(U491)))</f>
        <v/>
      </c>
      <c r="X491" s="6" t="n"/>
      <c r="Y491" s="3" t="n">
        <v>0.0961</v>
      </c>
      <c r="Z491" t="inlineStr">
        <is>
          <t>adjusted xGOT</t>
        </is>
      </c>
      <c r="AA491" s="3" t="n">
        <v>1</v>
      </c>
      <c r="AB491" s="3" t="n">
        <v>0.975</v>
      </c>
      <c r="AC491" s="3" t="n">
        <v>3.8</v>
      </c>
      <c r="AD491" s="3" t="n">
        <v>0.0216</v>
      </c>
      <c r="AE491" s="3" t="n">
        <v>8.173999999999999</v>
      </c>
      <c r="AF491" s="3" t="n">
        <v>0</v>
      </c>
      <c r="AG491" s="3" t="n">
        <v>0</v>
      </c>
      <c r="AH491" s="3" t="n">
        <v>33</v>
      </c>
      <c r="AI491" s="3" t="n"/>
      <c r="AJ491" s="3" t="n"/>
      <c r="AK491" s="3" t="n"/>
      <c r="AL491" s="6" t="n">
        <v>0</v>
      </c>
      <c r="AM491" s="3" t="n">
        <v>0</v>
      </c>
      <c r="AN491" s="3" t="n">
        <v>0</v>
      </c>
      <c r="AO491" s="3" t="n">
        <v>0</v>
      </c>
      <c r="AP491" s="3">
        <f>N(X491)*N(BI491)</f>
        <v/>
      </c>
      <c r="AQ491" s="3" t="n">
        <v>0</v>
      </c>
      <c r="AR491" s="3" t="n">
        <v>0</v>
      </c>
      <c r="AS491" s="3" t="n">
        <v>0</v>
      </c>
      <c r="AT491" s="3" t="n">
        <v>0</v>
      </c>
      <c r="AU491" s="3">
        <f>SUM(AN491:AT491)</f>
        <v/>
      </c>
      <c r="AV491" s="7">
        <f>IF(OR(N(W491)&lt;=0,N(BG491)=0),0,N(W491)*IF(N(R491)/N(W491)&gt;=60,N(BG491),1))</f>
        <v/>
      </c>
      <c r="AW491" s="7">
        <f>N(W491)*N(AF491)*N(BH491)</f>
        <v/>
      </c>
      <c r="AX491" s="7">
        <f>N(AL491)*(Assumptions!$B$13*N(BJ491)-(1-Assumptions!$B$13)*Assumptions!$B$14)+N(AM491)</f>
        <v/>
      </c>
      <c r="AY491" s="7">
        <f>N(AU491)*N(R491)/90+N(AV491)+N(AW491)+N(AX491)</f>
        <v/>
      </c>
      <c r="AZ491" s="3">
        <f>IF(N(R491)&lt;=0,0,(N(AY491)-N(AX491))*90/N(R491))</f>
        <v/>
      </c>
      <c r="BA491" s="7">
        <f>IFERROR(AY491-VLOOKUP($E491,Assumptions!$A$40:$C$43,3,FALSE),"")</f>
        <v/>
      </c>
      <c r="BB491" s="3">
        <f>IFERROR(BA491/H491,"")</f>
        <v/>
      </c>
      <c r="BC491">
        <f>IF(AND($G491=TRUE,$E491="GKP"),AY491,"")</f>
        <v/>
      </c>
      <c r="BD491">
        <f>IF(AND($G491=TRUE,$E491="DEF"),AY491,"")</f>
        <v/>
      </c>
      <c r="BE491">
        <f>IF(AND($G491=TRUE,$E491="MID"),AY491,"")</f>
        <v/>
      </c>
      <c r="BF491">
        <f>IF(AND($G491=TRUE,$E491="FWD"),AY491,"")</f>
        <v/>
      </c>
      <c r="BG491" t="n">
        <v>0</v>
      </c>
      <c r="BH491" t="n">
        <v>0</v>
      </c>
      <c r="BI491" t="n">
        <v>0</v>
      </c>
      <c r="BJ491" t="n">
        <v>0</v>
      </c>
    </row>
    <row r="492">
      <c r="A492" t="inlineStr">
        <is>
          <t>Emil Krafth</t>
        </is>
      </c>
      <c r="C492" t="inlineStr">
        <is>
          <t>NEW</t>
        </is>
      </c>
      <c r="D492" t="b">
        <v>0</v>
      </c>
      <c r="F492" t="inlineStr">
        <is>
          <t>DEF</t>
        </is>
      </c>
      <c r="G492" t="b">
        <v>0</v>
      </c>
      <c r="H492" s="2" t="n"/>
      <c r="K492" s="2" t="n">
        <v>45</v>
      </c>
      <c r="M492" s="3" t="n"/>
      <c r="N492" s="8" t="n">
        <v>45</v>
      </c>
      <c r="O492" s="8" t="n">
        <v>0</v>
      </c>
      <c r="R492" s="6" t="n">
        <v>45</v>
      </c>
      <c r="S492" t="inlineStr">
        <is>
          <t>25/26 actual</t>
        </is>
      </c>
      <c r="U492" s="6" t="n">
        <v>81.8</v>
      </c>
      <c r="V492" s="2" t="n">
        <v>1</v>
      </c>
      <c r="W492" s="7">
        <f>IF(N(U492)&lt;=0,0,MIN(Assumptions!$B$15,N(R492)/N(U492)))</f>
        <v/>
      </c>
      <c r="X492" s="6" t="n"/>
      <c r="Y492" s="3" t="n">
        <v>0</v>
      </c>
      <c r="Z492" t="inlineStr">
        <is>
          <t>adjusted xGOT</t>
        </is>
      </c>
      <c r="AA492" s="3" t="n">
        <v>1</v>
      </c>
      <c r="AB492" s="3" t="n">
        <v>0.971</v>
      </c>
      <c r="AC492" s="3" t="n">
        <v>0.2</v>
      </c>
      <c r="AD492" s="3" t="n">
        <v>0</v>
      </c>
      <c r="AE492" s="3" t="n">
        <v>7.351</v>
      </c>
      <c r="AF492" s="3" t="n">
        <v>0</v>
      </c>
      <c r="AG492" s="3" t="n">
        <v>0</v>
      </c>
      <c r="AH492" s="3" t="n">
        <v>1</v>
      </c>
      <c r="AI492" s="3" t="n"/>
      <c r="AJ492" s="3" t="n"/>
      <c r="AK492" s="3" t="n"/>
      <c r="AL492" s="6" t="n">
        <v>0</v>
      </c>
      <c r="AM492" s="3" t="n">
        <v>0</v>
      </c>
      <c r="AN492" s="3" t="n">
        <v>0</v>
      </c>
      <c r="AO492" s="3" t="n">
        <v>0</v>
      </c>
      <c r="AP492" s="3">
        <f>N(X492)*N(BI492)</f>
        <v/>
      </c>
      <c r="AQ492" s="3" t="n">
        <v>0</v>
      </c>
      <c r="AR492" s="3" t="n">
        <v>0</v>
      </c>
      <c r="AS492" s="3" t="n">
        <v>0</v>
      </c>
      <c r="AT492" s="3" t="n">
        <v>0</v>
      </c>
      <c r="AU492" s="3">
        <f>SUM(AN492:AT492)</f>
        <v/>
      </c>
      <c r="AV492" s="7">
        <f>IF(OR(N(W492)&lt;=0,N(BG492)=0),0,N(W492)*IF(N(R492)/N(W492)&gt;=60,N(BG492),1))</f>
        <v/>
      </c>
      <c r="AW492" s="7">
        <f>N(W492)*N(AF492)*N(BH492)</f>
        <v/>
      </c>
      <c r="AX492" s="7">
        <f>N(AL492)*(Assumptions!$B$13*N(BJ492)-(1-Assumptions!$B$13)*Assumptions!$B$14)+N(AM492)</f>
        <v/>
      </c>
      <c r="AY492" s="7">
        <f>N(AU492)*N(R492)/90+N(AV492)+N(AW492)+N(AX492)</f>
        <v/>
      </c>
      <c r="AZ492" s="3">
        <f>IF(N(R492)&lt;=0,0,(N(AY492)-N(AX492))*90/N(R492))</f>
        <v/>
      </c>
      <c r="BA492" s="7">
        <f>IFERROR(AY492-VLOOKUP($E492,Assumptions!$A$40:$C$43,3,FALSE),"")</f>
        <v/>
      </c>
      <c r="BB492" s="3">
        <f>IFERROR(BA492/H492,"")</f>
        <v/>
      </c>
      <c r="BC492">
        <f>IF(AND($G492=TRUE,$E492="GKP"),AY492,"")</f>
        <v/>
      </c>
      <c r="BD492">
        <f>IF(AND($G492=TRUE,$E492="DEF"),AY492,"")</f>
        <v/>
      </c>
      <c r="BE492">
        <f>IF(AND($G492=TRUE,$E492="MID"),AY492,"")</f>
        <v/>
      </c>
      <c r="BF492">
        <f>IF(AND($G492=TRUE,$E492="FWD"),AY492,"")</f>
        <v/>
      </c>
      <c r="BG492" t="n">
        <v>0</v>
      </c>
      <c r="BH492" t="n">
        <v>0</v>
      </c>
      <c r="BI492" t="n">
        <v>0</v>
      </c>
      <c r="BJ492" t="n">
        <v>0</v>
      </c>
    </row>
    <row r="493">
      <c r="A493" t="inlineStr">
        <is>
          <t>Alex Palmer</t>
        </is>
      </c>
      <c r="B493" t="inlineStr">
        <is>
          <t>IPS</t>
        </is>
      </c>
      <c r="D493" t="b">
        <v>0</v>
      </c>
      <c r="E493" t="inlineStr">
        <is>
          <t>GKP</t>
        </is>
      </c>
      <c r="G493" t="b">
        <v>1</v>
      </c>
      <c r="H493" s="2" t="n">
        <v>4</v>
      </c>
      <c r="I493" t="inlineStr">
        <is>
          <t>a</t>
        </is>
      </c>
      <c r="K493" s="2" t="n"/>
      <c r="M493" s="3" t="n">
        <v>34</v>
      </c>
      <c r="N493" s="8" t="n">
        <v>34</v>
      </c>
      <c r="O493" s="8" t="n">
        <v>0</v>
      </c>
      <c r="Q493" t="inlineStr">
        <is>
          <t>flat</t>
        </is>
      </c>
      <c r="R493" s="6" t="n">
        <v>34</v>
      </c>
      <c r="S493" t="inlineStr">
        <is>
          <t>Solio</t>
        </is>
      </c>
      <c r="U493" s="6" t="n">
        <v>85</v>
      </c>
      <c r="V493" s="2" t="n"/>
      <c r="W493" s="7">
        <f>IF(N(U493)&lt;=0,0,MIN(Assumptions!$B$15,N(R493)/N(U493)))</f>
        <v/>
      </c>
      <c r="X493" s="6" t="n">
        <v>0.17</v>
      </c>
      <c r="Y493" s="3" t="n"/>
      <c r="Z493" t="inlineStr"/>
      <c r="AA493" s="3" t="n">
        <v>1</v>
      </c>
      <c r="AB493" s="3" t="n"/>
      <c r="AC493" s="3" t="n"/>
      <c r="AD493" s="3" t="n"/>
      <c r="AE493" s="3" t="n">
        <v>0</v>
      </c>
      <c r="AF493" s="3" t="n">
        <v>0</v>
      </c>
      <c r="AG493" s="3" t="n"/>
      <c r="AH493" s="3" t="n"/>
      <c r="AI493" s="3" t="n">
        <v>3.5741</v>
      </c>
      <c r="AJ493" s="3" t="n">
        <v>1.8319</v>
      </c>
      <c r="AK493" s="3" t="n">
        <v>-0.102699169652838</v>
      </c>
      <c r="AL493" s="6" t="n">
        <v>0</v>
      </c>
      <c r="AM493" s="3" t="n">
        <v>0.0388791020719355</v>
      </c>
      <c r="AN493" s="3" t="n">
        <v>0</v>
      </c>
      <c r="AO493" s="3" t="n">
        <v>0</v>
      </c>
      <c r="AP493" s="3">
        <f>N(X493)*N(BI493)</f>
        <v/>
      </c>
      <c r="AQ493" s="3" t="n">
        <v>0</v>
      </c>
      <c r="AR493" s="3" t="n">
        <v>0.8565116974562608</v>
      </c>
      <c r="AS493" s="3" t="n">
        <v>-0.6723587286814016</v>
      </c>
      <c r="AT493" s="3" t="n">
        <v>-0.102699169652838</v>
      </c>
      <c r="AU493" s="3">
        <f>SUM(AN493:AT493)</f>
        <v/>
      </c>
      <c r="AV493" s="7">
        <f>IF(OR(N(W493)&lt;=0,N(BG493)=0),0,N(W493)*IF(N(R493)/N(W493)&gt;=60,N(BG493),1))</f>
        <v/>
      </c>
      <c r="AW493" s="7">
        <f>N(W493)*N(AF493)*N(BH493)</f>
        <v/>
      </c>
      <c r="AX493" s="7">
        <f>N(AL493)*(Assumptions!$B$13*N(BJ493)-(1-Assumptions!$B$13)*Assumptions!$B$14)+N(AM493)</f>
        <v/>
      </c>
      <c r="AY493" s="7">
        <f>N(AU493)*N(R493)/90+N(AV493)+N(AW493)+N(AX493)</f>
        <v/>
      </c>
      <c r="AZ493" s="3">
        <f>IF(N(R493)&lt;=0,0,(N(AY493)-N(AX493))*90/N(R493))</f>
        <v/>
      </c>
      <c r="BA493" s="7">
        <f>IFERROR(AY493-VLOOKUP($E493,Assumptions!$A$40:$C$43,3,FALSE),"")</f>
        <v/>
      </c>
      <c r="BB493" s="3">
        <f>IFERROR(BA493/H493,"")</f>
        <v/>
      </c>
      <c r="BC493">
        <f>IF(AND($G493=TRUE,$E493="GKP"),AY493,"")</f>
        <v/>
      </c>
      <c r="BD493">
        <f>IF(AND($G493=TRUE,$E493="DEF"),AY493,"")</f>
        <v/>
      </c>
      <c r="BE493">
        <f>IF(AND($G493=TRUE,$E493="MID"),AY493,"")</f>
        <v/>
      </c>
      <c r="BF493">
        <f>IF(AND($G493=TRUE,$E493="FWD"),AY493,"")</f>
        <v/>
      </c>
      <c r="BG493" t="n">
        <v>2</v>
      </c>
      <c r="BH493" t="n">
        <v>0</v>
      </c>
      <c r="BI493" t="n">
        <v>4</v>
      </c>
      <c r="BJ493" t="n">
        <v>10</v>
      </c>
    </row>
    <row r="494">
      <c r="A494" t="inlineStr">
        <is>
          <t>Sam Byram</t>
        </is>
      </c>
      <c r="C494" t="inlineStr">
        <is>
          <t>LEE</t>
        </is>
      </c>
      <c r="D494" t="b">
        <v>0</v>
      </c>
      <c r="F494" t="inlineStr">
        <is>
          <t>DEF</t>
        </is>
      </c>
      <c r="G494" t="b">
        <v>0</v>
      </c>
      <c r="H494" s="2" t="n"/>
      <c r="K494" s="2" t="n">
        <v>8</v>
      </c>
      <c r="M494" s="3" t="n"/>
      <c r="N494" s="8" t="n">
        <v>8</v>
      </c>
      <c r="O494" s="8" t="n">
        <v>0</v>
      </c>
      <c r="R494" s="6" t="n">
        <v>8</v>
      </c>
      <c r="S494" t="inlineStr">
        <is>
          <t>25/26 actual</t>
        </is>
      </c>
      <c r="U494" s="6" t="n">
        <v>85.5</v>
      </c>
      <c r="V494" s="2" t="n">
        <v>0</v>
      </c>
      <c r="W494" s="7">
        <f>IF(N(U494)&lt;=0,0,MIN(Assumptions!$B$15,N(R494)/N(U494)))</f>
        <v/>
      </c>
      <c r="X494" s="6" t="n"/>
      <c r="Y494" s="3" t="n">
        <v>0</v>
      </c>
      <c r="Z494" t="inlineStr">
        <is>
          <t>blended xG</t>
        </is>
      </c>
      <c r="AA494" s="3" t="n">
        <v>1</v>
      </c>
      <c r="AB494" s="3" t="n">
        <v>1</v>
      </c>
      <c r="AC494" s="3" t="n">
        <v>0</v>
      </c>
      <c r="AD494" s="3" t="n">
        <v>0</v>
      </c>
      <c r="AE494" s="3" t="n">
        <v>7.971</v>
      </c>
      <c r="AF494" s="3" t="n">
        <v>0</v>
      </c>
      <c r="AG494" s="3" t="n">
        <v>0</v>
      </c>
      <c r="AH494" s="3" t="n">
        <v>2</v>
      </c>
      <c r="AI494" s="3" t="n"/>
      <c r="AJ494" s="3" t="n"/>
      <c r="AK494" s="3" t="n"/>
      <c r="AL494" s="6" t="n">
        <v>0</v>
      </c>
      <c r="AM494" s="3" t="n">
        <v>0</v>
      </c>
      <c r="AN494" s="3" t="n">
        <v>0</v>
      </c>
      <c r="AO494" s="3" t="n">
        <v>0</v>
      </c>
      <c r="AP494" s="3">
        <f>N(X494)*N(BI494)</f>
        <v/>
      </c>
      <c r="AQ494" s="3" t="n">
        <v>0</v>
      </c>
      <c r="AR494" s="3" t="n">
        <v>0</v>
      </c>
      <c r="AS494" s="3" t="n">
        <v>0</v>
      </c>
      <c r="AT494" s="3" t="n">
        <v>0</v>
      </c>
      <c r="AU494" s="3">
        <f>SUM(AN494:AT494)</f>
        <v/>
      </c>
      <c r="AV494" s="7">
        <f>IF(OR(N(W494)&lt;=0,N(BG494)=0),0,N(W494)*IF(N(R494)/N(W494)&gt;=60,N(BG494),1))</f>
        <v/>
      </c>
      <c r="AW494" s="7">
        <f>N(W494)*N(AF494)*N(BH494)</f>
        <v/>
      </c>
      <c r="AX494" s="7">
        <f>N(AL494)*(Assumptions!$B$13*N(BJ494)-(1-Assumptions!$B$13)*Assumptions!$B$14)+N(AM494)</f>
        <v/>
      </c>
      <c r="AY494" s="7">
        <f>N(AU494)*N(R494)/90+N(AV494)+N(AW494)+N(AX494)</f>
        <v/>
      </c>
      <c r="AZ494" s="3">
        <f>IF(N(R494)&lt;=0,0,(N(AY494)-N(AX494))*90/N(R494))</f>
        <v/>
      </c>
      <c r="BA494" s="7">
        <f>IFERROR(AY494-VLOOKUP($E494,Assumptions!$A$40:$C$43,3,FALSE),"")</f>
        <v/>
      </c>
      <c r="BB494" s="3">
        <f>IFERROR(BA494/H494,"")</f>
        <v/>
      </c>
      <c r="BC494">
        <f>IF(AND($G494=TRUE,$E494="GKP"),AY494,"")</f>
        <v/>
      </c>
      <c r="BD494">
        <f>IF(AND($G494=TRUE,$E494="DEF"),AY494,"")</f>
        <v/>
      </c>
      <c r="BE494">
        <f>IF(AND($G494=TRUE,$E494="MID"),AY494,"")</f>
        <v/>
      </c>
      <c r="BF494">
        <f>IF(AND($G494=TRUE,$E494="FWD"),AY494,"")</f>
        <v/>
      </c>
      <c r="BG494" t="n">
        <v>0</v>
      </c>
      <c r="BH494" t="n">
        <v>0</v>
      </c>
      <c r="BI494" t="n">
        <v>0</v>
      </c>
      <c r="BJ494" t="n">
        <v>0</v>
      </c>
    </row>
    <row r="495">
      <c r="A495" t="inlineStr">
        <is>
          <t>Leandro Trossard</t>
        </is>
      </c>
      <c r="C495" t="inlineStr">
        <is>
          <t>ARS</t>
        </is>
      </c>
      <c r="D495" t="b">
        <v>0</v>
      </c>
      <c r="F495" t="inlineStr">
        <is>
          <t>MID</t>
        </is>
      </c>
      <c r="G495" t="b">
        <v>0</v>
      </c>
      <c r="H495" s="2" t="n"/>
      <c r="K495" s="2" t="n">
        <v>2006</v>
      </c>
      <c r="M495" s="3" t="n"/>
      <c r="N495" s="8" t="n">
        <v>2006</v>
      </c>
      <c r="O495" s="8" t="n">
        <v>0</v>
      </c>
      <c r="R495" s="6" t="n">
        <v>2006</v>
      </c>
      <c r="S495" t="inlineStr">
        <is>
          <t>25/26 actual</t>
        </is>
      </c>
      <c r="U495" s="6" t="n">
        <v>80.90000000000001</v>
      </c>
      <c r="V495" s="2" t="n">
        <v>21</v>
      </c>
      <c r="W495" s="7">
        <f>IF(N(U495)&lt;=0,0,MIN(Assumptions!$B$15,N(R495)/N(U495)))</f>
        <v/>
      </c>
      <c r="X495" s="6" t="n"/>
      <c r="Y495" s="3" t="n">
        <v>0.2556</v>
      </c>
      <c r="Z495" t="inlineStr">
        <is>
          <t>adjusted xGOT</t>
        </is>
      </c>
      <c r="AA495" s="3" t="n">
        <v>1</v>
      </c>
      <c r="AB495" s="3" t="n">
        <v>1.017</v>
      </c>
      <c r="AC495" s="3" t="n">
        <v>27</v>
      </c>
      <c r="AD495" s="3" t="n">
        <v>0.2238</v>
      </c>
      <c r="AE495" s="3" t="n">
        <v>6.678</v>
      </c>
      <c r="AF495" s="3" t="n">
        <v>0</v>
      </c>
      <c r="AG495" s="3" t="n">
        <v>0.4935</v>
      </c>
      <c r="AH495" s="3" t="n">
        <v>51</v>
      </c>
      <c r="AI495" s="3" t="n"/>
      <c r="AJ495" s="3" t="n"/>
      <c r="AK495" s="3" t="n"/>
      <c r="AL495" s="6" t="n">
        <v>0</v>
      </c>
      <c r="AM495" s="3" t="n">
        <v>0</v>
      </c>
      <c r="AN495" s="3" t="n">
        <v>0</v>
      </c>
      <c r="AO495" s="3" t="n">
        <v>0</v>
      </c>
      <c r="AP495" s="3">
        <f>N(X495)*N(BI495)</f>
        <v/>
      </c>
      <c r="AQ495" s="3" t="n">
        <v>0</v>
      </c>
      <c r="AR495" s="3" t="n">
        <v>0</v>
      </c>
      <c r="AS495" s="3" t="n">
        <v>0</v>
      </c>
      <c r="AT495" s="3" t="n">
        <v>0</v>
      </c>
      <c r="AU495" s="3">
        <f>SUM(AN495:AT495)</f>
        <v/>
      </c>
      <c r="AV495" s="7">
        <f>IF(OR(N(W495)&lt;=0,N(BG495)=0),0,N(W495)*IF(N(R495)/N(W495)&gt;=60,N(BG495),1))</f>
        <v/>
      </c>
      <c r="AW495" s="7">
        <f>N(W495)*N(AF495)*N(BH495)</f>
        <v/>
      </c>
      <c r="AX495" s="7">
        <f>N(AL495)*(Assumptions!$B$13*N(BJ495)-(1-Assumptions!$B$13)*Assumptions!$B$14)+N(AM495)</f>
        <v/>
      </c>
      <c r="AY495" s="7">
        <f>N(AU495)*N(R495)/90+N(AV495)+N(AW495)+N(AX495)</f>
        <v/>
      </c>
      <c r="AZ495" s="3">
        <f>IF(N(R495)&lt;=0,0,(N(AY495)-N(AX495))*90/N(R495))</f>
        <v/>
      </c>
      <c r="BA495" s="7">
        <f>IFERROR(AY495-VLOOKUP($E495,Assumptions!$A$40:$C$43,3,FALSE),"")</f>
        <v/>
      </c>
      <c r="BB495" s="3">
        <f>IFERROR(BA495/H495,"")</f>
        <v/>
      </c>
      <c r="BC495">
        <f>IF(AND($G495=TRUE,$E495="GKP"),AY495,"")</f>
        <v/>
      </c>
      <c r="BD495">
        <f>IF(AND($G495=TRUE,$E495="DEF"),AY495,"")</f>
        <v/>
      </c>
      <c r="BE495">
        <f>IF(AND($G495=TRUE,$E495="MID"),AY495,"")</f>
        <v/>
      </c>
      <c r="BF495">
        <f>IF(AND($G495=TRUE,$E495="FWD"),AY495,"")</f>
        <v/>
      </c>
      <c r="BG495" t="n">
        <v>0</v>
      </c>
      <c r="BH495" t="n">
        <v>0</v>
      </c>
      <c r="BI495" t="n">
        <v>0</v>
      </c>
      <c r="BJ495" t="n">
        <v>0</v>
      </c>
    </row>
    <row r="496">
      <c r="A496" t="inlineStr">
        <is>
          <t>Mohamed Salah</t>
        </is>
      </c>
      <c r="C496" t="inlineStr">
        <is>
          <t>LIV</t>
        </is>
      </c>
      <c r="D496" t="b">
        <v>0</v>
      </c>
      <c r="F496" t="inlineStr">
        <is>
          <t>MID</t>
        </is>
      </c>
      <c r="G496" t="b">
        <v>0</v>
      </c>
      <c r="H496" s="2" t="n"/>
      <c r="K496" s="2" t="n">
        <v>2148</v>
      </c>
      <c r="M496" s="3" t="n"/>
      <c r="N496" s="8" t="n">
        <v>2148</v>
      </c>
      <c r="O496" s="8" t="n">
        <v>0</v>
      </c>
      <c r="R496" s="6" t="n">
        <v>2148</v>
      </c>
      <c r="S496" t="inlineStr">
        <is>
          <t>25/26 actual</t>
        </is>
      </c>
      <c r="U496" s="6" t="n">
        <v>84.7</v>
      </c>
      <c r="V496" s="2" t="n">
        <v>23</v>
      </c>
      <c r="W496" s="7">
        <f>IF(N(U496)&lt;=0,0,MIN(Assumptions!$B$15,N(R496)/N(U496)))</f>
        <v/>
      </c>
      <c r="X496" s="6" t="n"/>
      <c r="Y496" s="3" t="n">
        <v>0.3051</v>
      </c>
      <c r="Z496" t="inlineStr">
        <is>
          <t>adjusted xGOT</t>
        </is>
      </c>
      <c r="AA496" s="3" t="n">
        <v>0.914</v>
      </c>
      <c r="AB496" s="3" t="n">
        <v>0.968</v>
      </c>
      <c r="AC496" s="3" t="n">
        <v>74.8</v>
      </c>
      <c r="AD496" s="3" t="n">
        <v>0.2693</v>
      </c>
      <c r="AE496" s="3" t="n">
        <v>5.582</v>
      </c>
      <c r="AF496" s="3" t="n">
        <v>0</v>
      </c>
      <c r="AG496" s="3" t="n">
        <v>0.5447</v>
      </c>
      <c r="AH496" s="3" t="n">
        <v>50</v>
      </c>
      <c r="AI496" s="3" t="n"/>
      <c r="AJ496" s="3" t="n"/>
      <c r="AK496" s="3" t="n"/>
      <c r="AL496" s="6" t="n">
        <v>0</v>
      </c>
      <c r="AM496" s="3" t="n">
        <v>0</v>
      </c>
      <c r="AN496" s="3" t="n">
        <v>0</v>
      </c>
      <c r="AO496" s="3" t="n">
        <v>0</v>
      </c>
      <c r="AP496" s="3">
        <f>N(X496)*N(BI496)</f>
        <v/>
      </c>
      <c r="AQ496" s="3" t="n">
        <v>0</v>
      </c>
      <c r="AR496" s="3" t="n">
        <v>0</v>
      </c>
      <c r="AS496" s="3" t="n">
        <v>0</v>
      </c>
      <c r="AT496" s="3" t="n">
        <v>0</v>
      </c>
      <c r="AU496" s="3">
        <f>SUM(AN496:AT496)</f>
        <v/>
      </c>
      <c r="AV496" s="7">
        <f>IF(OR(N(W496)&lt;=0,N(BG496)=0),0,N(W496)*IF(N(R496)/N(W496)&gt;=60,N(BG496),1))</f>
        <v/>
      </c>
      <c r="AW496" s="7">
        <f>N(W496)*N(AF496)*N(BH496)</f>
        <v/>
      </c>
      <c r="AX496" s="7">
        <f>N(AL496)*(Assumptions!$B$13*N(BJ496)-(1-Assumptions!$B$13)*Assumptions!$B$14)+N(AM496)</f>
        <v/>
      </c>
      <c r="AY496" s="7">
        <f>N(AU496)*N(R496)/90+N(AV496)+N(AW496)+N(AX496)</f>
        <v/>
      </c>
      <c r="AZ496" s="3">
        <f>IF(N(R496)&lt;=0,0,(N(AY496)-N(AX496))*90/N(R496))</f>
        <v/>
      </c>
      <c r="BA496" s="7">
        <f>IFERROR(AY496-VLOOKUP($E496,Assumptions!$A$40:$C$43,3,FALSE),"")</f>
        <v/>
      </c>
      <c r="BB496" s="3">
        <f>IFERROR(BA496/H496,"")</f>
        <v/>
      </c>
      <c r="BC496">
        <f>IF(AND($G496=TRUE,$E496="GKP"),AY496,"")</f>
        <v/>
      </c>
      <c r="BD496">
        <f>IF(AND($G496=TRUE,$E496="DEF"),AY496,"")</f>
        <v/>
      </c>
      <c r="BE496">
        <f>IF(AND($G496=TRUE,$E496="MID"),AY496,"")</f>
        <v/>
      </c>
      <c r="BF496">
        <f>IF(AND($G496=TRUE,$E496="FWD"),AY496,"")</f>
        <v/>
      </c>
      <c r="BG496" t="n">
        <v>0</v>
      </c>
      <c r="BH496" t="n">
        <v>0</v>
      </c>
      <c r="BI496" t="n">
        <v>0</v>
      </c>
      <c r="BJ496" t="n">
        <v>0</v>
      </c>
    </row>
    <row r="497">
      <c r="A497" t="inlineStr">
        <is>
          <t>Patrick Roberts</t>
        </is>
      </c>
      <c r="C497" t="inlineStr">
        <is>
          <t>SUN</t>
        </is>
      </c>
      <c r="D497" t="b">
        <v>0</v>
      </c>
      <c r="F497" t="inlineStr">
        <is>
          <t>MID</t>
        </is>
      </c>
      <c r="G497" t="b">
        <v>0</v>
      </c>
      <c r="H497" s="2" t="n"/>
      <c r="K497" s="2" t="n">
        <v>27</v>
      </c>
      <c r="M497" s="3" t="n"/>
      <c r="N497" s="8" t="n">
        <v>27</v>
      </c>
      <c r="O497" s="8" t="n">
        <v>0</v>
      </c>
      <c r="R497" s="6" t="n">
        <v>27</v>
      </c>
      <c r="S497" t="inlineStr">
        <is>
          <t>25/26 actual</t>
        </is>
      </c>
      <c r="U497" s="6" t="n">
        <v>80.09999999999999</v>
      </c>
      <c r="V497" s="2" t="n">
        <v>0</v>
      </c>
      <c r="W497" s="7">
        <f>IF(N(U497)&lt;=0,0,MIN(Assumptions!$B$15,N(R497)/N(U497)))</f>
        <v/>
      </c>
      <c r="X497" s="6" t="n"/>
      <c r="Y497" s="3" t="n">
        <v>0.1</v>
      </c>
      <c r="Z497" t="inlineStr">
        <is>
          <t>adjusted xGOT</t>
        </is>
      </c>
      <c r="AA497" s="3" t="n">
        <v>1</v>
      </c>
      <c r="AB497" s="3" t="n">
        <v>0.996</v>
      </c>
      <c r="AC497" s="3" t="n">
        <v>0</v>
      </c>
      <c r="AD497" s="3" t="n">
        <v>0</v>
      </c>
      <c r="AE497" s="3" t="n">
        <v>8.387</v>
      </c>
      <c r="AF497" s="3" t="n">
        <v>0</v>
      </c>
      <c r="AG497" s="3" t="n">
        <v>0</v>
      </c>
      <c r="AH497" s="3" t="n">
        <v>1</v>
      </c>
      <c r="AI497" s="3" t="n"/>
      <c r="AJ497" s="3" t="n"/>
      <c r="AK497" s="3" t="n"/>
      <c r="AL497" s="6" t="n">
        <v>0</v>
      </c>
      <c r="AM497" s="3" t="n">
        <v>0</v>
      </c>
      <c r="AN497" s="3" t="n">
        <v>0</v>
      </c>
      <c r="AO497" s="3" t="n">
        <v>0</v>
      </c>
      <c r="AP497" s="3">
        <f>N(X497)*N(BI497)</f>
        <v/>
      </c>
      <c r="AQ497" s="3" t="n">
        <v>0</v>
      </c>
      <c r="AR497" s="3" t="n">
        <v>0</v>
      </c>
      <c r="AS497" s="3" t="n">
        <v>0</v>
      </c>
      <c r="AT497" s="3" t="n">
        <v>0</v>
      </c>
      <c r="AU497" s="3">
        <f>SUM(AN497:AT497)</f>
        <v/>
      </c>
      <c r="AV497" s="7">
        <f>IF(OR(N(W497)&lt;=0,N(BG497)=0),0,N(W497)*IF(N(R497)/N(W497)&gt;=60,N(BG497),1))</f>
        <v/>
      </c>
      <c r="AW497" s="7">
        <f>N(W497)*N(AF497)*N(BH497)</f>
        <v/>
      </c>
      <c r="AX497" s="7">
        <f>N(AL497)*(Assumptions!$B$13*N(BJ497)-(1-Assumptions!$B$13)*Assumptions!$B$14)+N(AM497)</f>
        <v/>
      </c>
      <c r="AY497" s="7">
        <f>N(AU497)*N(R497)/90+N(AV497)+N(AW497)+N(AX497)</f>
        <v/>
      </c>
      <c r="AZ497" s="3">
        <f>IF(N(R497)&lt;=0,0,(N(AY497)-N(AX497))*90/N(R497))</f>
        <v/>
      </c>
      <c r="BA497" s="7">
        <f>IFERROR(AY497-VLOOKUP($E497,Assumptions!$A$40:$C$43,3,FALSE),"")</f>
        <v/>
      </c>
      <c r="BB497" s="3">
        <f>IFERROR(BA497/H497,"")</f>
        <v/>
      </c>
      <c r="BC497">
        <f>IF(AND($G497=TRUE,$E497="GKP"),AY497,"")</f>
        <v/>
      </c>
      <c r="BD497">
        <f>IF(AND($G497=TRUE,$E497="DEF"),AY497,"")</f>
        <v/>
      </c>
      <c r="BE497">
        <f>IF(AND($G497=TRUE,$E497="MID"),AY497,"")</f>
        <v/>
      </c>
      <c r="BF497">
        <f>IF(AND($G497=TRUE,$E497="FWD"),AY497,"")</f>
        <v/>
      </c>
      <c r="BG497" t="n">
        <v>0</v>
      </c>
      <c r="BH497" t="n">
        <v>0</v>
      </c>
      <c r="BI497" t="n">
        <v>0</v>
      </c>
      <c r="BJ497" t="n">
        <v>0</v>
      </c>
    </row>
    <row r="498">
      <c r="A498" t="inlineStr">
        <is>
          <t>Nathan Aké</t>
        </is>
      </c>
      <c r="C498" t="inlineStr">
        <is>
          <t>MCI</t>
        </is>
      </c>
      <c r="D498" t="b">
        <v>0</v>
      </c>
      <c r="F498" t="inlineStr">
        <is>
          <t>DEF</t>
        </is>
      </c>
      <c r="G498" t="b">
        <v>0</v>
      </c>
      <c r="H498" s="2" t="n"/>
      <c r="K498" s="2" t="n">
        <v>688</v>
      </c>
      <c r="M498" s="3" t="n"/>
      <c r="N498" s="8" t="n">
        <v>688</v>
      </c>
      <c r="O498" s="8" t="n">
        <v>0</v>
      </c>
      <c r="R498" s="6" t="n">
        <v>688</v>
      </c>
      <c r="S498" t="inlineStr">
        <is>
          <t>25/26 actual</t>
        </is>
      </c>
      <c r="U498" s="6" t="n">
        <v>85.2</v>
      </c>
      <c r="V498" s="2" t="n">
        <v>6</v>
      </c>
      <c r="W498" s="7">
        <f>IF(N(U498)&lt;=0,0,MIN(Assumptions!$B$15,N(R498)/N(U498)))</f>
        <v/>
      </c>
      <c r="X498" s="6" t="n"/>
      <c r="Y498" s="3" t="n">
        <v>0.0793</v>
      </c>
      <c r="Z498" t="inlineStr">
        <is>
          <t>adjusted xGOT</t>
        </is>
      </c>
      <c r="AA498" s="3" t="n">
        <v>1</v>
      </c>
      <c r="AB498" s="3" t="n">
        <v>0.841</v>
      </c>
      <c r="AC498" s="3" t="n">
        <v>5</v>
      </c>
      <c r="AD498" s="3" t="n">
        <v>0.0931</v>
      </c>
      <c r="AE498" s="3" t="n">
        <v>6.88</v>
      </c>
      <c r="AF498" s="3" t="n">
        <v>0</v>
      </c>
      <c r="AG498" s="3" t="n">
        <v>0</v>
      </c>
      <c r="AH498" s="3" t="n">
        <v>25</v>
      </c>
      <c r="AI498" s="3" t="n"/>
      <c r="AJ498" s="3" t="n"/>
      <c r="AK498" s="3" t="n"/>
      <c r="AL498" s="6" t="n">
        <v>0</v>
      </c>
      <c r="AM498" s="3" t="n">
        <v>0</v>
      </c>
      <c r="AN498" s="3" t="n">
        <v>0</v>
      </c>
      <c r="AO498" s="3" t="n">
        <v>0</v>
      </c>
      <c r="AP498" s="3">
        <f>N(X498)*N(BI498)</f>
        <v/>
      </c>
      <c r="AQ498" s="3" t="n">
        <v>0</v>
      </c>
      <c r="AR498" s="3" t="n">
        <v>0</v>
      </c>
      <c r="AS498" s="3" t="n">
        <v>0</v>
      </c>
      <c r="AT498" s="3" t="n">
        <v>0</v>
      </c>
      <c r="AU498" s="3">
        <f>SUM(AN498:AT498)</f>
        <v/>
      </c>
      <c r="AV498" s="7">
        <f>IF(OR(N(W498)&lt;=0,N(BG498)=0),0,N(W498)*IF(N(R498)/N(W498)&gt;=60,N(BG498),1))</f>
        <v/>
      </c>
      <c r="AW498" s="7">
        <f>N(W498)*N(AF498)*N(BH498)</f>
        <v/>
      </c>
      <c r="AX498" s="7">
        <f>N(AL498)*(Assumptions!$B$13*N(BJ498)-(1-Assumptions!$B$13)*Assumptions!$B$14)+N(AM498)</f>
        <v/>
      </c>
      <c r="AY498" s="7">
        <f>N(AU498)*N(R498)/90+N(AV498)+N(AW498)+N(AX498)</f>
        <v/>
      </c>
      <c r="AZ498" s="3">
        <f>IF(N(R498)&lt;=0,0,(N(AY498)-N(AX498))*90/N(R498))</f>
        <v/>
      </c>
      <c r="BA498" s="7">
        <f>IFERROR(AY498-VLOOKUP($E498,Assumptions!$A$40:$C$43,3,FALSE),"")</f>
        <v/>
      </c>
      <c r="BB498" s="3">
        <f>IFERROR(BA498/H498,"")</f>
        <v/>
      </c>
      <c r="BC498">
        <f>IF(AND($G498=TRUE,$E498="GKP"),AY498,"")</f>
        <v/>
      </c>
      <c r="BD498">
        <f>IF(AND($G498=TRUE,$E498="DEF"),AY498,"")</f>
        <v/>
      </c>
      <c r="BE498">
        <f>IF(AND($G498=TRUE,$E498="MID"),AY498,"")</f>
        <v/>
      </c>
      <c r="BF498">
        <f>IF(AND($G498=TRUE,$E498="FWD"),AY498,"")</f>
        <v/>
      </c>
      <c r="BG498" t="n">
        <v>0</v>
      </c>
      <c r="BH498" t="n">
        <v>0</v>
      </c>
      <c r="BI498" t="n">
        <v>0</v>
      </c>
      <c r="BJ498" t="n">
        <v>0</v>
      </c>
    </row>
    <row r="499">
      <c r="A499" t="inlineStr">
        <is>
          <t>Semi Ajayi</t>
        </is>
      </c>
      <c r="B499" t="inlineStr">
        <is>
          <t>HUL</t>
        </is>
      </c>
      <c r="D499" t="b">
        <v>0</v>
      </c>
      <c r="E499" t="inlineStr">
        <is>
          <t>DEF</t>
        </is>
      </c>
      <c r="G499" t="b">
        <v>1</v>
      </c>
      <c r="H499" s="2" t="n">
        <v>4</v>
      </c>
      <c r="I499" t="inlineStr">
        <is>
          <t>a</t>
        </is>
      </c>
      <c r="K499" s="2" t="n"/>
      <c r="M499" s="3" t="n">
        <v>1824</v>
      </c>
      <c r="N499" s="8" t="n">
        <v>1824</v>
      </c>
      <c r="O499" s="8" t="n">
        <v>0</v>
      </c>
      <c r="Q499" t="inlineStr">
        <is>
          <t>fade (losing his place)</t>
        </is>
      </c>
      <c r="R499" s="6" t="n">
        <v>1824</v>
      </c>
      <c r="S499" t="inlineStr">
        <is>
          <t>Solio</t>
        </is>
      </c>
      <c r="U499" s="6" t="n">
        <v>85</v>
      </c>
      <c r="V499" s="2" t="n"/>
      <c r="W499" s="7">
        <f>IF(N(U499)&lt;=0,0,MIN(Assumptions!$B$15,N(R499)/N(U499)))</f>
        <v/>
      </c>
      <c r="X499" s="6" t="n">
        <v>0.143</v>
      </c>
      <c r="Y499" s="3" t="n"/>
      <c r="Z499" t="inlineStr"/>
      <c r="AA499" s="3" t="n">
        <v>1</v>
      </c>
      <c r="AB499" s="3" t="n"/>
      <c r="AC499" s="3" t="n"/>
      <c r="AD499" s="3" t="n"/>
      <c r="AE499" s="3" t="n"/>
      <c r="AF499" s="3" t="n">
        <v>0</v>
      </c>
      <c r="AG499" s="3" t="n"/>
      <c r="AH499" s="3" t="n"/>
      <c r="AI499" s="3" t="n">
        <v>3.9421</v>
      </c>
      <c r="AJ499" s="3" t="n">
        <v>1.99</v>
      </c>
      <c r="AK499" s="3" t="n">
        <v>-0.2045226422080557</v>
      </c>
      <c r="AL499" s="6" t="n">
        <v>0</v>
      </c>
      <c r="AM499" s="3" t="n">
        <v>0</v>
      </c>
      <c r="AN499" s="3" t="n">
        <v>0</v>
      </c>
      <c r="AO499" s="3" t="n">
        <v>0</v>
      </c>
      <c r="AP499" s="3">
        <f>N(X499)*N(BI499)</f>
        <v/>
      </c>
      <c r="AQ499" s="3" t="n">
        <v>0</v>
      </c>
      <c r="AR499" s="3" t="n">
        <v>0</v>
      </c>
      <c r="AS499" s="3" t="n">
        <v>-0.7496714098286652</v>
      </c>
      <c r="AT499" s="3" t="n">
        <v>-0.2045226422080557</v>
      </c>
      <c r="AU499" s="3">
        <f>SUM(AN499:AT499)</f>
        <v/>
      </c>
      <c r="AV499" s="7">
        <f>IF(OR(N(W499)&lt;=0,N(BG499)=0),0,N(W499)*IF(N(R499)/N(W499)&gt;=60,N(BG499),1))</f>
        <v/>
      </c>
      <c r="AW499" s="7">
        <f>N(W499)*N(AF499)*N(BH499)</f>
        <v/>
      </c>
      <c r="AX499" s="7">
        <f>N(AL499)*(Assumptions!$B$13*N(BJ499)-(1-Assumptions!$B$13)*Assumptions!$B$14)+N(AM499)</f>
        <v/>
      </c>
      <c r="AY499" s="7">
        <f>N(AU499)*N(R499)/90+N(AV499)+N(AW499)+N(AX499)</f>
        <v/>
      </c>
      <c r="AZ499" s="3">
        <f>IF(N(R499)&lt;=0,0,(N(AY499)-N(AX499))*90/N(R499))</f>
        <v/>
      </c>
      <c r="BA499" s="7">
        <f>IFERROR(AY499-VLOOKUP($E499,Assumptions!$A$40:$C$43,3,FALSE),"")</f>
        <v/>
      </c>
      <c r="BB499" s="3">
        <f>IFERROR(BA499/H499,"")</f>
        <v/>
      </c>
      <c r="BC499">
        <f>IF(AND($G499=TRUE,$E499="GKP"),AY499,"")</f>
        <v/>
      </c>
      <c r="BD499">
        <f>IF(AND($G499=TRUE,$E499="DEF"),AY499,"")</f>
        <v/>
      </c>
      <c r="BE499">
        <f>IF(AND($G499=TRUE,$E499="MID"),AY499,"")</f>
        <v/>
      </c>
      <c r="BF499">
        <f>IF(AND($G499=TRUE,$E499="FWD"),AY499,"")</f>
        <v/>
      </c>
      <c r="BG499" t="n">
        <v>2</v>
      </c>
      <c r="BH499" t="n">
        <v>2</v>
      </c>
      <c r="BI499" t="n">
        <v>4</v>
      </c>
      <c r="BJ499" t="n">
        <v>6</v>
      </c>
    </row>
    <row r="500">
      <c r="A500" t="inlineStr">
        <is>
          <t>Chuba Akpom</t>
        </is>
      </c>
      <c r="B500" t="inlineStr">
        <is>
          <t>IPS</t>
        </is>
      </c>
      <c r="D500" t="b">
        <v>0</v>
      </c>
      <c r="E500" t="inlineStr">
        <is>
          <t>FWD</t>
        </is>
      </c>
      <c r="G500" t="b">
        <v>1</v>
      </c>
      <c r="H500" s="2" t="n">
        <v>5</v>
      </c>
      <c r="I500" t="inlineStr">
        <is>
          <t>a</t>
        </is>
      </c>
      <c r="K500" s="2" t="n"/>
      <c r="M500" s="3" t="n">
        <v>220</v>
      </c>
      <c r="N500" s="8" t="n">
        <v>220</v>
      </c>
      <c r="O500" s="8" t="n">
        <v>0</v>
      </c>
      <c r="Q500" t="inlineStr">
        <is>
          <t>flat</t>
        </is>
      </c>
      <c r="R500" s="6" t="n">
        <v>220</v>
      </c>
      <c r="S500" t="inlineStr">
        <is>
          <t>Solio</t>
        </is>
      </c>
      <c r="U500" s="6" t="n">
        <v>85</v>
      </c>
      <c r="V500" s="2" t="n"/>
      <c r="W500" s="7">
        <f>IF(N(U500)&lt;=0,0,MIN(Assumptions!$B$15,N(R500)/N(U500)))</f>
        <v/>
      </c>
      <c r="X500" s="6" t="n">
        <v>0.17</v>
      </c>
      <c r="Y500" s="3" t="n"/>
      <c r="Z500" t="inlineStr"/>
      <c r="AA500" s="3" t="n">
        <v>1</v>
      </c>
      <c r="AB500" s="3" t="n"/>
      <c r="AC500" s="3" t="n"/>
      <c r="AD500" s="3" t="n"/>
      <c r="AE500" s="3" t="n"/>
      <c r="AF500" s="3" t="n">
        <v>0</v>
      </c>
      <c r="AG500" s="3" t="n"/>
      <c r="AH500" s="3" t="n"/>
      <c r="AI500" s="3" t="n">
        <v>3.5741</v>
      </c>
      <c r="AJ500" s="3" t="n">
        <v>1.8319</v>
      </c>
      <c r="AK500" s="3" t="n">
        <v>-0.174691292596322</v>
      </c>
      <c r="AL500" s="6" t="n">
        <v>0</v>
      </c>
      <c r="AM500" s="3" t="n">
        <v>0</v>
      </c>
      <c r="AN500" s="3" t="n">
        <v>0</v>
      </c>
      <c r="AO500" s="3" t="n">
        <v>0</v>
      </c>
      <c r="AP500" s="3">
        <f>N(X500)*N(BI500)</f>
        <v/>
      </c>
      <c r="AQ500" s="3" t="n">
        <v>0</v>
      </c>
      <c r="AR500" s="3" t="n">
        <v>0</v>
      </c>
      <c r="AS500" s="3" t="n">
        <v>-0</v>
      </c>
      <c r="AT500" s="3" t="n">
        <v>-0.174691292596322</v>
      </c>
      <c r="AU500" s="3">
        <f>SUM(AN500:AT500)</f>
        <v/>
      </c>
      <c r="AV500" s="7">
        <f>IF(OR(N(W500)&lt;=0,N(BG500)=0),0,N(W500)*IF(N(R500)/N(W500)&gt;=60,N(BG500),1))</f>
        <v/>
      </c>
      <c r="AW500" s="7">
        <f>N(W500)*N(AF500)*N(BH500)</f>
        <v/>
      </c>
      <c r="AX500" s="7">
        <f>N(AL500)*(Assumptions!$B$13*N(BJ500)-(1-Assumptions!$B$13)*Assumptions!$B$14)+N(AM500)</f>
        <v/>
      </c>
      <c r="AY500" s="7">
        <f>N(AU500)*N(R500)/90+N(AV500)+N(AW500)+N(AX500)</f>
        <v/>
      </c>
      <c r="AZ500" s="3">
        <f>IF(N(R500)&lt;=0,0,(N(AY500)-N(AX500))*90/N(R500))</f>
        <v/>
      </c>
      <c r="BA500" s="7">
        <f>IFERROR(AY500-VLOOKUP($E500,Assumptions!$A$40:$C$43,3,FALSE),"")</f>
        <v/>
      </c>
      <c r="BB500" s="3">
        <f>IFERROR(BA500/H500,"")</f>
        <v/>
      </c>
      <c r="BC500">
        <f>IF(AND($G500=TRUE,$E500="GKP"),AY500,"")</f>
        <v/>
      </c>
      <c r="BD500">
        <f>IF(AND($G500=TRUE,$E500="DEF"),AY500,"")</f>
        <v/>
      </c>
      <c r="BE500">
        <f>IF(AND($G500=TRUE,$E500="MID"),AY500,"")</f>
        <v/>
      </c>
      <c r="BF500">
        <f>IF(AND($G500=TRUE,$E500="FWD"),AY500,"")</f>
        <v/>
      </c>
      <c r="BG500" t="n">
        <v>2</v>
      </c>
      <c r="BH500" t="n">
        <v>2</v>
      </c>
      <c r="BI500" t="n">
        <v>0</v>
      </c>
      <c r="BJ500" t="n">
        <v>4</v>
      </c>
    </row>
    <row r="501">
      <c r="A501" t="inlineStr">
        <is>
          <t>José Sá</t>
        </is>
      </c>
      <c r="C501" t="inlineStr">
        <is>
          <t>WOL</t>
        </is>
      </c>
      <c r="D501" t="b">
        <v>0</v>
      </c>
      <c r="F501" t="inlineStr">
        <is>
          <t>GKP</t>
        </is>
      </c>
      <c r="G501" t="b">
        <v>0</v>
      </c>
      <c r="H501" s="2" t="n"/>
      <c r="K501" s="2" t="n">
        <v>2070</v>
      </c>
      <c r="M501" s="3" t="n"/>
      <c r="N501" s="8" t="n">
        <v>2070</v>
      </c>
      <c r="O501" s="8" t="n">
        <v>0</v>
      </c>
      <c r="R501" s="6" t="n">
        <v>2070</v>
      </c>
      <c r="S501" t="inlineStr">
        <is>
          <t>25/26 actual</t>
        </is>
      </c>
      <c r="U501" s="6" t="n">
        <v>89.90000000000001</v>
      </c>
      <c r="V501" s="2" t="n">
        <v>23</v>
      </c>
      <c r="W501" s="7">
        <f>IF(N(U501)&lt;=0,0,MIN(Assumptions!$B$15,N(R501)/N(U501)))</f>
        <v/>
      </c>
      <c r="X501" s="6" t="n"/>
      <c r="Y501" s="3" t="n">
        <v>0</v>
      </c>
      <c r="Z501" t="inlineStr">
        <is>
          <t>blended xG</t>
        </is>
      </c>
      <c r="AA501" s="3" t="n">
        <v>1</v>
      </c>
      <c r="AB501" s="3" t="n">
        <v>1</v>
      </c>
      <c r="AC501" s="3" t="n">
        <v>0</v>
      </c>
      <c r="AD501" s="3" t="n">
        <v>0.0036</v>
      </c>
      <c r="AE501" s="3" t="n">
        <v>0</v>
      </c>
      <c r="AF501" s="3" t="n">
        <v>0</v>
      </c>
      <c r="AG501" s="3" t="n">
        <v>0.3478</v>
      </c>
      <c r="AH501" s="3" t="n">
        <v>46</v>
      </c>
      <c r="AI501" s="3" t="n"/>
      <c r="AJ501" s="3" t="n"/>
      <c r="AK501" s="3" t="n"/>
      <c r="AL501" s="6" t="n">
        <v>0</v>
      </c>
      <c r="AM501" s="3" t="n">
        <v>0</v>
      </c>
      <c r="AN501" s="3" t="n">
        <v>0</v>
      </c>
      <c r="AO501" s="3" t="n">
        <v>0</v>
      </c>
      <c r="AP501" s="3">
        <f>N(X501)*N(BI501)</f>
        <v/>
      </c>
      <c r="AQ501" s="3" t="n">
        <v>0</v>
      </c>
      <c r="AR501" s="3" t="n">
        <v>0</v>
      </c>
      <c r="AS501" s="3" t="n">
        <v>0</v>
      </c>
      <c r="AT501" s="3" t="n">
        <v>0</v>
      </c>
      <c r="AU501" s="3">
        <f>SUM(AN501:AT501)</f>
        <v/>
      </c>
      <c r="AV501" s="7">
        <f>IF(OR(N(W501)&lt;=0,N(BG501)=0),0,N(W501)*IF(N(R501)/N(W501)&gt;=60,N(BG501),1))</f>
        <v/>
      </c>
      <c r="AW501" s="7">
        <f>N(W501)*N(AF501)*N(BH501)</f>
        <v/>
      </c>
      <c r="AX501" s="7">
        <f>N(AL501)*(Assumptions!$B$13*N(BJ501)-(1-Assumptions!$B$13)*Assumptions!$B$14)+N(AM501)</f>
        <v/>
      </c>
      <c r="AY501" s="7">
        <f>N(AU501)*N(R501)/90+N(AV501)+N(AW501)+N(AX501)</f>
        <v/>
      </c>
      <c r="AZ501" s="3">
        <f>IF(N(R501)&lt;=0,0,(N(AY501)-N(AX501))*90/N(R501))</f>
        <v/>
      </c>
      <c r="BA501" s="7">
        <f>IFERROR(AY501-VLOOKUP($E501,Assumptions!$A$40:$C$43,3,FALSE),"")</f>
        <v/>
      </c>
      <c r="BB501" s="3">
        <f>IFERROR(BA501/H501,"")</f>
        <v/>
      </c>
      <c r="BC501">
        <f>IF(AND($G501=TRUE,$E501="GKP"),AY501,"")</f>
        <v/>
      </c>
      <c r="BD501">
        <f>IF(AND($G501=TRUE,$E501="DEF"),AY501,"")</f>
        <v/>
      </c>
      <c r="BE501">
        <f>IF(AND($G501=TRUE,$E501="MID"),AY501,"")</f>
        <v/>
      </c>
      <c r="BF501">
        <f>IF(AND($G501=TRUE,$E501="FWD"),AY501,"")</f>
        <v/>
      </c>
      <c r="BG501" t="n">
        <v>0</v>
      </c>
      <c r="BH501" t="n">
        <v>0</v>
      </c>
      <c r="BI501" t="n">
        <v>0</v>
      </c>
      <c r="BJ501" t="n">
        <v>0</v>
      </c>
    </row>
    <row r="502">
      <c r="A502" t="inlineStr">
        <is>
          <t>Wes Burns</t>
        </is>
      </c>
      <c r="B502" t="inlineStr">
        <is>
          <t>IPS</t>
        </is>
      </c>
      <c r="D502" t="b">
        <v>0</v>
      </c>
      <c r="E502" t="inlineStr">
        <is>
          <t>MID</t>
        </is>
      </c>
      <c r="G502" t="b">
        <v>1</v>
      </c>
      <c r="H502" s="2" t="n">
        <v>5</v>
      </c>
      <c r="I502" t="inlineStr">
        <is>
          <t>u</t>
        </is>
      </c>
      <c r="J502" t="inlineStr">
        <is>
          <t>Has joined Leicester City permanently</t>
        </is>
      </c>
      <c r="K502" s="2" t="n"/>
      <c r="M502" s="3" t="n"/>
      <c r="N502" s="8" t="n"/>
      <c r="O502" s="8" t="n"/>
      <c r="R502" s="6" t="n"/>
      <c r="S502" t="inlineStr"/>
      <c r="U502" s="6" t="n">
        <v>85</v>
      </c>
      <c r="V502" s="2" t="n"/>
      <c r="W502" s="7">
        <f>IF(N(U502)&lt;=0,0,MIN(Assumptions!$B$15,N(R502)/N(U502)))</f>
        <v/>
      </c>
      <c r="X502" s="6" t="n">
        <v>0.17</v>
      </c>
      <c r="Y502" s="3" t="n"/>
      <c r="Z502" t="inlineStr"/>
      <c r="AA502" s="3" t="n">
        <v>1</v>
      </c>
      <c r="AB502" s="3" t="n"/>
      <c r="AC502" s="3" t="n"/>
      <c r="AD502" s="3" t="n"/>
      <c r="AE502" s="3" t="n"/>
      <c r="AF502" s="3" t="n">
        <v>0</v>
      </c>
      <c r="AG502" s="3" t="n"/>
      <c r="AH502" s="3" t="n"/>
      <c r="AI502" s="3" t="n">
        <v>3.5741</v>
      </c>
      <c r="AJ502" s="3" t="n">
        <v>1.8319</v>
      </c>
      <c r="AK502" s="3" t="n">
        <v>-0.1877909124188637</v>
      </c>
      <c r="AL502" s="6" t="n">
        <v>0</v>
      </c>
      <c r="AM502" s="3" t="n">
        <v>0</v>
      </c>
      <c r="AN502" s="3" t="n">
        <v>0</v>
      </c>
      <c r="AO502" s="3" t="n">
        <v>0</v>
      </c>
      <c r="AP502" s="3">
        <f>N(X502)*N(BI502)</f>
        <v/>
      </c>
      <c r="AQ502" s="3" t="n">
        <v>0</v>
      </c>
      <c r="AR502" s="3" t="n">
        <v>0</v>
      </c>
      <c r="AS502" s="3" t="n">
        <v>-0</v>
      </c>
      <c r="AT502" s="3" t="n">
        <v>-0.1877909124188637</v>
      </c>
      <c r="AU502" s="3">
        <f>SUM(AN502:AT502)</f>
        <v/>
      </c>
      <c r="AV502" s="7">
        <f>IF(OR(N(W502)&lt;=0,N(BG502)=0),0,N(W502)*IF(N(R502)/N(W502)&gt;=60,N(BG502),1))</f>
        <v/>
      </c>
      <c r="AW502" s="7">
        <f>N(W502)*N(AF502)*N(BH502)</f>
        <v/>
      </c>
      <c r="AX502" s="7">
        <f>N(AL502)*(Assumptions!$B$13*N(BJ502)-(1-Assumptions!$B$13)*Assumptions!$B$14)+N(AM502)</f>
        <v/>
      </c>
      <c r="AY502" s="7">
        <f>N(AU502)*N(R502)/90+N(AV502)+N(AW502)+N(AX502)</f>
        <v/>
      </c>
      <c r="AZ502" s="3">
        <f>IF(N(R502)&lt;=0,0,(N(AY502)-N(AX502))*90/N(R502))</f>
        <v/>
      </c>
      <c r="BA502" s="7">
        <f>IFERROR(AY502-VLOOKUP($E502,Assumptions!$A$40:$C$43,3,FALSE),"")</f>
        <v/>
      </c>
      <c r="BB502" s="3">
        <f>IFERROR(BA502/H502,"")</f>
        <v/>
      </c>
      <c r="BC502">
        <f>IF(AND($G502=TRUE,$E502="GKP"),AY502,"")</f>
        <v/>
      </c>
      <c r="BD502">
        <f>IF(AND($G502=TRUE,$E502="DEF"),AY502,"")</f>
        <v/>
      </c>
      <c r="BE502">
        <f>IF(AND($G502=TRUE,$E502="MID"),AY502,"")</f>
        <v/>
      </c>
      <c r="BF502">
        <f>IF(AND($G502=TRUE,$E502="FWD"),AY502,"")</f>
        <v/>
      </c>
      <c r="BG502" t="n">
        <v>2</v>
      </c>
      <c r="BH502" t="n">
        <v>2</v>
      </c>
      <c r="BI502" t="n">
        <v>1</v>
      </c>
      <c r="BJ502" t="n">
        <v>5</v>
      </c>
    </row>
    <row r="503">
      <c r="A503" t="inlineStr">
        <is>
          <t>João Palhinha</t>
        </is>
      </c>
      <c r="C503" t="inlineStr">
        <is>
          <t>TOT</t>
        </is>
      </c>
      <c r="D503" t="b">
        <v>0</v>
      </c>
      <c r="F503" t="inlineStr">
        <is>
          <t>MID</t>
        </is>
      </c>
      <c r="G503" t="b">
        <v>0</v>
      </c>
      <c r="H503" s="2" t="n"/>
      <c r="K503" s="2" t="n">
        <v>2197</v>
      </c>
      <c r="M503" s="3" t="n"/>
      <c r="N503" s="8" t="n">
        <v>2197</v>
      </c>
      <c r="O503" s="8" t="n">
        <v>0</v>
      </c>
      <c r="R503" s="6" t="n">
        <v>2197</v>
      </c>
      <c r="S503" t="inlineStr">
        <is>
          <t>25/26 actual</t>
        </is>
      </c>
      <c r="U503" s="6" t="n">
        <v>83</v>
      </c>
      <c r="V503" s="2" t="n">
        <v>23</v>
      </c>
      <c r="W503" s="7">
        <f>IF(N(U503)&lt;=0,0,MIN(Assumptions!$B$15,N(R503)/N(U503)))</f>
        <v/>
      </c>
      <c r="X503" s="6" t="n"/>
      <c r="Y503" s="3" t="n">
        <v>0.121</v>
      </c>
      <c r="Z503" t="inlineStr">
        <is>
          <t>adjusted xGOT</t>
        </is>
      </c>
      <c r="AA503" s="3" t="n">
        <v>1</v>
      </c>
      <c r="AB503" s="3" t="n">
        <v>1.086</v>
      </c>
      <c r="AC503" s="3" t="n">
        <v>9</v>
      </c>
      <c r="AD503" s="3" t="n">
        <v>0.0315</v>
      </c>
      <c r="AE503" s="3" t="n">
        <v>11.454</v>
      </c>
      <c r="AF503" s="3" t="n">
        <v>0</v>
      </c>
      <c r="AG503" s="3" t="n">
        <v>0.7374000000000001</v>
      </c>
      <c r="AH503" s="3" t="n">
        <v>54</v>
      </c>
      <c r="AI503" s="3" t="n"/>
      <c r="AJ503" s="3" t="n"/>
      <c r="AK503" s="3" t="n"/>
      <c r="AL503" s="6" t="n">
        <v>0</v>
      </c>
      <c r="AM503" s="3" t="n">
        <v>0</v>
      </c>
      <c r="AN503" s="3" t="n">
        <v>0</v>
      </c>
      <c r="AO503" s="3" t="n">
        <v>0</v>
      </c>
      <c r="AP503" s="3">
        <f>N(X503)*N(BI503)</f>
        <v/>
      </c>
      <c r="AQ503" s="3" t="n">
        <v>0</v>
      </c>
      <c r="AR503" s="3" t="n">
        <v>0</v>
      </c>
      <c r="AS503" s="3" t="n">
        <v>0</v>
      </c>
      <c r="AT503" s="3" t="n">
        <v>0</v>
      </c>
      <c r="AU503" s="3">
        <f>SUM(AN503:AT503)</f>
        <v/>
      </c>
      <c r="AV503" s="7">
        <f>IF(OR(N(W503)&lt;=0,N(BG503)=0),0,N(W503)*IF(N(R503)/N(W503)&gt;=60,N(BG503),1))</f>
        <v/>
      </c>
      <c r="AW503" s="7">
        <f>N(W503)*N(AF503)*N(BH503)</f>
        <v/>
      </c>
      <c r="AX503" s="7">
        <f>N(AL503)*(Assumptions!$B$13*N(BJ503)-(1-Assumptions!$B$13)*Assumptions!$B$14)+N(AM503)</f>
        <v/>
      </c>
      <c r="AY503" s="7">
        <f>N(AU503)*N(R503)/90+N(AV503)+N(AW503)+N(AX503)</f>
        <v/>
      </c>
      <c r="AZ503" s="3">
        <f>IF(N(R503)&lt;=0,0,(N(AY503)-N(AX503))*90/N(R503))</f>
        <v/>
      </c>
      <c r="BA503" s="7">
        <f>IFERROR(AY503-VLOOKUP($E503,Assumptions!$A$40:$C$43,3,FALSE),"")</f>
        <v/>
      </c>
      <c r="BB503" s="3">
        <f>IFERROR(BA503/H503,"")</f>
        <v/>
      </c>
      <c r="BC503">
        <f>IF(AND($G503=TRUE,$E503="GKP"),AY503,"")</f>
        <v/>
      </c>
      <c r="BD503">
        <f>IF(AND($G503=TRUE,$E503="DEF"),AY503,"")</f>
        <v/>
      </c>
      <c r="BE503">
        <f>IF(AND($G503=TRUE,$E503="MID"),AY503,"")</f>
        <v/>
      </c>
      <c r="BF503">
        <f>IF(AND($G503=TRUE,$E503="FWD"),AY503,"")</f>
        <v/>
      </c>
      <c r="BG503" t="n">
        <v>0</v>
      </c>
      <c r="BH503" t="n">
        <v>0</v>
      </c>
      <c r="BI503" t="n">
        <v>0</v>
      </c>
      <c r="BJ503" t="n">
        <v>0</v>
      </c>
    </row>
    <row r="504">
      <c r="A504" t="inlineStr">
        <is>
          <t>Adam Armstrong</t>
        </is>
      </c>
      <c r="C504" t="inlineStr">
        <is>
          <t>WOL</t>
        </is>
      </c>
      <c r="D504" t="b">
        <v>0</v>
      </c>
      <c r="F504" t="inlineStr">
        <is>
          <t>FWD</t>
        </is>
      </c>
      <c r="G504" t="b">
        <v>0</v>
      </c>
      <c r="H504" s="2" t="n"/>
      <c r="K504" s="2" t="n">
        <v>1146</v>
      </c>
      <c r="M504" s="3" t="n"/>
      <c r="N504" s="8" t="n">
        <v>1146</v>
      </c>
      <c r="O504" s="8" t="n">
        <v>0</v>
      </c>
      <c r="R504" s="6" t="n">
        <v>1146</v>
      </c>
      <c r="S504" t="inlineStr">
        <is>
          <t>25/26 actual</t>
        </is>
      </c>
      <c r="U504" s="6" t="n">
        <v>80.2</v>
      </c>
      <c r="V504" s="2" t="n">
        <v>14</v>
      </c>
      <c r="W504" s="7">
        <f>IF(N(U504)&lt;=0,0,MIN(Assumptions!$B$15,N(R504)/N(U504)))</f>
        <v/>
      </c>
      <c r="X504" s="6" t="n"/>
      <c r="Y504" s="3" t="n">
        <v>0.1403</v>
      </c>
      <c r="Z504" t="inlineStr">
        <is>
          <t>adjusted xGOT</t>
        </is>
      </c>
      <c r="AA504" s="3" t="n">
        <v>0.729</v>
      </c>
      <c r="AB504" s="3" t="n">
        <v>0.884</v>
      </c>
      <c r="AC504" s="3" t="n">
        <v>8.300000000000001</v>
      </c>
      <c r="AD504" s="3" t="n">
        <v>0.1179</v>
      </c>
      <c r="AE504" s="3" t="n">
        <v>3.644</v>
      </c>
      <c r="AF504" s="3" t="n">
        <v>0</v>
      </c>
      <c r="AG504" s="3" t="n">
        <v>0.0785</v>
      </c>
      <c r="AH504" s="3" t="n">
        <v>27</v>
      </c>
      <c r="AI504" s="3" t="n"/>
      <c r="AJ504" s="3" t="n"/>
      <c r="AK504" s="3" t="n"/>
      <c r="AL504" s="6" t="n">
        <v>0</v>
      </c>
      <c r="AM504" s="3" t="n">
        <v>0</v>
      </c>
      <c r="AN504" s="3" t="n">
        <v>0</v>
      </c>
      <c r="AO504" s="3" t="n">
        <v>0</v>
      </c>
      <c r="AP504" s="3">
        <f>N(X504)*N(BI504)</f>
        <v/>
      </c>
      <c r="AQ504" s="3" t="n">
        <v>0</v>
      </c>
      <c r="AR504" s="3" t="n">
        <v>0</v>
      </c>
      <c r="AS504" s="3" t="n">
        <v>0</v>
      </c>
      <c r="AT504" s="3" t="n">
        <v>0</v>
      </c>
      <c r="AU504" s="3">
        <f>SUM(AN504:AT504)</f>
        <v/>
      </c>
      <c r="AV504" s="7">
        <f>IF(OR(N(W504)&lt;=0,N(BG504)=0),0,N(W504)*IF(N(R504)/N(W504)&gt;=60,N(BG504),1))</f>
        <v/>
      </c>
      <c r="AW504" s="7">
        <f>N(W504)*N(AF504)*N(BH504)</f>
        <v/>
      </c>
      <c r="AX504" s="7">
        <f>N(AL504)*(Assumptions!$B$13*N(BJ504)-(1-Assumptions!$B$13)*Assumptions!$B$14)+N(AM504)</f>
        <v/>
      </c>
      <c r="AY504" s="7">
        <f>N(AU504)*N(R504)/90+N(AV504)+N(AW504)+N(AX504)</f>
        <v/>
      </c>
      <c r="AZ504" s="3">
        <f>IF(N(R504)&lt;=0,0,(N(AY504)-N(AX504))*90/N(R504))</f>
        <v/>
      </c>
      <c r="BA504" s="7">
        <f>IFERROR(AY504-VLOOKUP($E504,Assumptions!$A$40:$C$43,3,FALSE),"")</f>
        <v/>
      </c>
      <c r="BB504" s="3">
        <f>IFERROR(BA504/H504,"")</f>
        <v/>
      </c>
      <c r="BC504">
        <f>IF(AND($G504=TRUE,$E504="GKP"),AY504,"")</f>
        <v/>
      </c>
      <c r="BD504">
        <f>IF(AND($G504=TRUE,$E504="DEF"),AY504,"")</f>
        <v/>
      </c>
      <c r="BE504">
        <f>IF(AND($G504=TRUE,$E504="MID"),AY504,"")</f>
        <v/>
      </c>
      <c r="BF504">
        <f>IF(AND($G504=TRUE,$E504="FWD"),AY504,"")</f>
        <v/>
      </c>
      <c r="BG504" t="n">
        <v>0</v>
      </c>
      <c r="BH504" t="n">
        <v>0</v>
      </c>
      <c r="BI504" t="n">
        <v>0</v>
      </c>
      <c r="BJ504" t="n">
        <v>0</v>
      </c>
    </row>
    <row r="505">
      <c r="A505" t="inlineStr">
        <is>
          <t>Kyle Walker-Peters</t>
        </is>
      </c>
      <c r="C505" t="inlineStr">
        <is>
          <t>WHU</t>
        </is>
      </c>
      <c r="D505" t="b">
        <v>0</v>
      </c>
      <c r="F505" t="inlineStr">
        <is>
          <t>DEF</t>
        </is>
      </c>
      <c r="G505" t="b">
        <v>0</v>
      </c>
      <c r="H505" s="2" t="n"/>
      <c r="K505" s="2" t="n">
        <v>1380</v>
      </c>
      <c r="M505" s="3" t="n"/>
      <c r="N505" s="8" t="n">
        <v>1380</v>
      </c>
      <c r="O505" s="8" t="n">
        <v>0</v>
      </c>
      <c r="R505" s="6" t="n">
        <v>1380</v>
      </c>
      <c r="S505" t="inlineStr">
        <is>
          <t>25/26 actual</t>
        </is>
      </c>
      <c r="U505" s="6" t="n">
        <v>85</v>
      </c>
      <c r="V505" s="2" t="n">
        <v>15</v>
      </c>
      <c r="W505" s="7">
        <f>IF(N(U505)&lt;=0,0,MIN(Assumptions!$B$15,N(R505)/N(U505)))</f>
        <v/>
      </c>
      <c r="X505" s="6" t="n"/>
      <c r="Y505" s="3" t="n">
        <v>0.07530000000000001</v>
      </c>
      <c r="Z505" t="inlineStr">
        <is>
          <t>adjusted xGOT</t>
        </is>
      </c>
      <c r="AA505" s="3" t="n">
        <v>1</v>
      </c>
      <c r="AB505" s="3" t="n">
        <v>1.022</v>
      </c>
      <c r="AC505" s="3" t="n">
        <v>3.1</v>
      </c>
      <c r="AD505" s="3" t="n">
        <v>0.0233</v>
      </c>
      <c r="AE505" s="3" t="n">
        <v>6.627</v>
      </c>
      <c r="AF505" s="3" t="n">
        <v>0</v>
      </c>
      <c r="AG505" s="3" t="n">
        <v>0</v>
      </c>
      <c r="AH505" s="3" t="n">
        <v>37</v>
      </c>
      <c r="AI505" s="3" t="n"/>
      <c r="AJ505" s="3" t="n"/>
      <c r="AK505" s="3" t="n"/>
      <c r="AL505" s="6" t="n">
        <v>0</v>
      </c>
      <c r="AM505" s="3" t="n">
        <v>0</v>
      </c>
      <c r="AN505" s="3" t="n">
        <v>0</v>
      </c>
      <c r="AO505" s="3" t="n">
        <v>0</v>
      </c>
      <c r="AP505" s="3">
        <f>N(X505)*N(BI505)</f>
        <v/>
      </c>
      <c r="AQ505" s="3" t="n">
        <v>0</v>
      </c>
      <c r="AR505" s="3" t="n">
        <v>0</v>
      </c>
      <c r="AS505" s="3" t="n">
        <v>0</v>
      </c>
      <c r="AT505" s="3" t="n">
        <v>0</v>
      </c>
      <c r="AU505" s="3">
        <f>SUM(AN505:AT505)</f>
        <v/>
      </c>
      <c r="AV505" s="7">
        <f>IF(OR(N(W505)&lt;=0,N(BG505)=0),0,N(W505)*IF(N(R505)/N(W505)&gt;=60,N(BG505),1))</f>
        <v/>
      </c>
      <c r="AW505" s="7">
        <f>N(W505)*N(AF505)*N(BH505)</f>
        <v/>
      </c>
      <c r="AX505" s="7">
        <f>N(AL505)*(Assumptions!$B$13*N(BJ505)-(1-Assumptions!$B$13)*Assumptions!$B$14)+N(AM505)</f>
        <v/>
      </c>
      <c r="AY505" s="7">
        <f>N(AU505)*N(R505)/90+N(AV505)+N(AW505)+N(AX505)</f>
        <v/>
      </c>
      <c r="AZ505" s="3">
        <f>IF(N(R505)&lt;=0,0,(N(AY505)-N(AX505))*90/N(R505))</f>
        <v/>
      </c>
      <c r="BA505" s="7">
        <f>IFERROR(AY505-VLOOKUP($E505,Assumptions!$A$40:$C$43,3,FALSE),"")</f>
        <v/>
      </c>
      <c r="BB505" s="3">
        <f>IFERROR(BA505/H505,"")</f>
        <v/>
      </c>
      <c r="BC505">
        <f>IF(AND($G505=TRUE,$E505="GKP"),AY505,"")</f>
        <v/>
      </c>
      <c r="BD505">
        <f>IF(AND($G505=TRUE,$E505="DEF"),AY505,"")</f>
        <v/>
      </c>
      <c r="BE505">
        <f>IF(AND($G505=TRUE,$E505="MID"),AY505,"")</f>
        <v/>
      </c>
      <c r="BF505">
        <f>IF(AND($G505=TRUE,$E505="FWD"),AY505,"")</f>
        <v/>
      </c>
      <c r="BG505" t="n">
        <v>0</v>
      </c>
      <c r="BH505" t="n">
        <v>0</v>
      </c>
      <c r="BI505" t="n">
        <v>0</v>
      </c>
      <c r="BJ505" t="n">
        <v>0</v>
      </c>
    </row>
    <row r="506">
      <c r="A506" t="inlineStr">
        <is>
          <t>Adama Traoré</t>
        </is>
      </c>
      <c r="C506" t="inlineStr">
        <is>
          <t>WHU</t>
        </is>
      </c>
      <c r="D506" t="b">
        <v>0</v>
      </c>
      <c r="F506" t="inlineStr">
        <is>
          <t>MID</t>
        </is>
      </c>
      <c r="G506" t="b">
        <v>0</v>
      </c>
      <c r="H506" s="2" t="n"/>
      <c r="K506" s="2" t="n">
        <v>377</v>
      </c>
      <c r="M506" s="3" t="n"/>
      <c r="N506" s="8" t="n">
        <v>377</v>
      </c>
      <c r="O506" s="8" t="n">
        <v>0</v>
      </c>
      <c r="R506" s="6" t="n">
        <v>377</v>
      </c>
      <c r="S506" t="inlineStr">
        <is>
          <t>25/26 actual</t>
        </is>
      </c>
      <c r="U506" s="6" t="n">
        <v>79.59999999999999</v>
      </c>
      <c r="V506" s="2" t="n">
        <v>1</v>
      </c>
      <c r="W506" s="7">
        <f>IF(N(U506)&lt;=0,0,MIN(Assumptions!$B$15,N(R506)/N(U506)))</f>
        <v/>
      </c>
      <c r="X506" s="6" t="n"/>
      <c r="Y506" s="3" t="n">
        <v>0.1671</v>
      </c>
      <c r="Z506" t="inlineStr">
        <is>
          <t>adjusted xGOT</t>
        </is>
      </c>
      <c r="AA506" s="3" t="n">
        <v>1</v>
      </c>
      <c r="AB506" s="3" t="n">
        <v>1.015</v>
      </c>
      <c r="AC506" s="3" t="n">
        <v>7.7</v>
      </c>
      <c r="AD506" s="3" t="n">
        <v>0.099</v>
      </c>
      <c r="AE506" s="3" t="n">
        <v>7.113</v>
      </c>
      <c r="AF506" s="3" t="n">
        <v>0</v>
      </c>
      <c r="AG506" s="3" t="n">
        <v>0</v>
      </c>
      <c r="AH506" s="3" t="n">
        <v>26</v>
      </c>
      <c r="AI506" s="3" t="n"/>
      <c r="AJ506" s="3" t="n"/>
      <c r="AK506" s="3" t="n"/>
      <c r="AL506" s="6" t="n">
        <v>0</v>
      </c>
      <c r="AM506" s="3" t="n">
        <v>0</v>
      </c>
      <c r="AN506" s="3" t="n">
        <v>0</v>
      </c>
      <c r="AO506" s="3" t="n">
        <v>0</v>
      </c>
      <c r="AP506" s="3">
        <f>N(X506)*N(BI506)</f>
        <v/>
      </c>
      <c r="AQ506" s="3" t="n">
        <v>0</v>
      </c>
      <c r="AR506" s="3" t="n">
        <v>0</v>
      </c>
      <c r="AS506" s="3" t="n">
        <v>0</v>
      </c>
      <c r="AT506" s="3" t="n">
        <v>0</v>
      </c>
      <c r="AU506" s="3">
        <f>SUM(AN506:AT506)</f>
        <v/>
      </c>
      <c r="AV506" s="7">
        <f>IF(OR(N(W506)&lt;=0,N(BG506)=0),0,N(W506)*IF(N(R506)/N(W506)&gt;=60,N(BG506),1))</f>
        <v/>
      </c>
      <c r="AW506" s="7">
        <f>N(W506)*N(AF506)*N(BH506)</f>
        <v/>
      </c>
      <c r="AX506" s="7">
        <f>N(AL506)*(Assumptions!$B$13*N(BJ506)-(1-Assumptions!$B$13)*Assumptions!$B$14)+N(AM506)</f>
        <v/>
      </c>
      <c r="AY506" s="7">
        <f>N(AU506)*N(R506)/90+N(AV506)+N(AW506)+N(AX506)</f>
        <v/>
      </c>
      <c r="AZ506" s="3">
        <f>IF(N(R506)&lt;=0,0,(N(AY506)-N(AX506))*90/N(R506))</f>
        <v/>
      </c>
      <c r="BA506" s="7">
        <f>IFERROR(AY506-VLOOKUP($E506,Assumptions!$A$40:$C$43,3,FALSE),"")</f>
        <v/>
      </c>
      <c r="BB506" s="3">
        <f>IFERROR(BA506/H506,"")</f>
        <v/>
      </c>
      <c r="BC506">
        <f>IF(AND($G506=TRUE,$E506="GKP"),AY506,"")</f>
        <v/>
      </c>
      <c r="BD506">
        <f>IF(AND($G506=TRUE,$E506="DEF"),AY506,"")</f>
        <v/>
      </c>
      <c r="BE506">
        <f>IF(AND($G506=TRUE,$E506="MID"),AY506,"")</f>
        <v/>
      </c>
      <c r="BF506">
        <f>IF(AND($G506=TRUE,$E506="FWD"),AY506,"")</f>
        <v/>
      </c>
      <c r="BG506" t="n">
        <v>0</v>
      </c>
      <c r="BH506" t="n">
        <v>0</v>
      </c>
      <c r="BI506" t="n">
        <v>0</v>
      </c>
      <c r="BJ506" t="n">
        <v>0</v>
      </c>
    </row>
    <row r="507">
      <c r="A507" t="inlineStr">
        <is>
          <t>Paddy McNair</t>
        </is>
      </c>
      <c r="B507" t="inlineStr">
        <is>
          <t>HUL</t>
        </is>
      </c>
      <c r="D507" t="b">
        <v>0</v>
      </c>
      <c r="E507" t="inlineStr">
        <is>
          <t>DEF</t>
        </is>
      </c>
      <c r="G507" t="b">
        <v>1</v>
      </c>
      <c r="H507" s="2" t="n">
        <v>4</v>
      </c>
      <c r="I507" t="inlineStr">
        <is>
          <t>a</t>
        </is>
      </c>
      <c r="K507" s="2" t="n"/>
      <c r="M507" s="3" t="n">
        <v>103</v>
      </c>
      <c r="N507" s="8" t="n">
        <v>103</v>
      </c>
      <c r="O507" s="8" t="n">
        <v>0</v>
      </c>
      <c r="Q507" t="inlineStr">
        <is>
          <t>flat</t>
        </is>
      </c>
      <c r="R507" s="6" t="n">
        <v>103</v>
      </c>
      <c r="S507" t="inlineStr">
        <is>
          <t>Solio</t>
        </is>
      </c>
      <c r="U507" s="6" t="n">
        <v>85</v>
      </c>
      <c r="V507" s="2" t="n"/>
      <c r="W507" s="7">
        <f>IF(N(U507)&lt;=0,0,MIN(Assumptions!$B$15,N(R507)/N(U507)))</f>
        <v/>
      </c>
      <c r="X507" s="6" t="n">
        <v>0.143</v>
      </c>
      <c r="Y507" s="3" t="n"/>
      <c r="Z507" t="inlineStr"/>
      <c r="AA507" s="3" t="n">
        <v>1</v>
      </c>
      <c r="AB507" s="3" t="n"/>
      <c r="AC507" s="3" t="n"/>
      <c r="AD507" s="3" t="n"/>
      <c r="AE507" s="3" t="n"/>
      <c r="AF507" s="3" t="n">
        <v>0</v>
      </c>
      <c r="AG507" s="3" t="n"/>
      <c r="AH507" s="3" t="n"/>
      <c r="AI507" s="3" t="n">
        <v>3.9421</v>
      </c>
      <c r="AJ507" s="3" t="n">
        <v>1.99</v>
      </c>
      <c r="AK507" s="3" t="n">
        <v>-0.2045226422080557</v>
      </c>
      <c r="AL507" s="6" t="n">
        <v>0</v>
      </c>
      <c r="AM507" s="3" t="n">
        <v>0</v>
      </c>
      <c r="AN507" s="3" t="n">
        <v>0</v>
      </c>
      <c r="AO507" s="3" t="n">
        <v>0</v>
      </c>
      <c r="AP507" s="3">
        <f>N(X507)*N(BI507)</f>
        <v/>
      </c>
      <c r="AQ507" s="3" t="n">
        <v>0</v>
      </c>
      <c r="AR507" s="3" t="n">
        <v>0</v>
      </c>
      <c r="AS507" s="3" t="n">
        <v>-0.7496714098286652</v>
      </c>
      <c r="AT507" s="3" t="n">
        <v>-0.2045226422080557</v>
      </c>
      <c r="AU507" s="3">
        <f>SUM(AN507:AT507)</f>
        <v/>
      </c>
      <c r="AV507" s="7">
        <f>IF(OR(N(W507)&lt;=0,N(BG507)=0),0,N(W507)*IF(N(R507)/N(W507)&gt;=60,N(BG507),1))</f>
        <v/>
      </c>
      <c r="AW507" s="7">
        <f>N(W507)*N(AF507)*N(BH507)</f>
        <v/>
      </c>
      <c r="AX507" s="7">
        <f>N(AL507)*(Assumptions!$B$13*N(BJ507)-(1-Assumptions!$B$13)*Assumptions!$B$14)+N(AM507)</f>
        <v/>
      </c>
      <c r="AY507" s="7">
        <f>N(AU507)*N(R507)/90+N(AV507)+N(AW507)+N(AX507)</f>
        <v/>
      </c>
      <c r="AZ507" s="3">
        <f>IF(N(R507)&lt;=0,0,(N(AY507)-N(AX507))*90/N(R507))</f>
        <v/>
      </c>
      <c r="BA507" s="7">
        <f>IFERROR(AY507-VLOOKUP($E507,Assumptions!$A$40:$C$43,3,FALSE),"")</f>
        <v/>
      </c>
      <c r="BB507" s="3">
        <f>IFERROR(BA507/H507,"")</f>
        <v/>
      </c>
      <c r="BC507">
        <f>IF(AND($G507=TRUE,$E507="GKP"),AY507,"")</f>
        <v/>
      </c>
      <c r="BD507">
        <f>IF(AND($G507=TRUE,$E507="DEF"),AY507,"")</f>
        <v/>
      </c>
      <c r="BE507">
        <f>IF(AND($G507=TRUE,$E507="MID"),AY507,"")</f>
        <v/>
      </c>
      <c r="BF507">
        <f>IF(AND($G507=TRUE,$E507="FWD"),AY507,"")</f>
        <v/>
      </c>
      <c r="BG507" t="n">
        <v>2</v>
      </c>
      <c r="BH507" t="n">
        <v>2</v>
      </c>
      <c r="BI507" t="n">
        <v>4</v>
      </c>
      <c r="BJ507" t="n">
        <v>6</v>
      </c>
    </row>
    <row r="508">
      <c r="A508" t="inlineStr">
        <is>
          <t>Bernardo Silva</t>
        </is>
      </c>
      <c r="C508" t="inlineStr">
        <is>
          <t>MCI</t>
        </is>
      </c>
      <c r="D508" t="b">
        <v>0</v>
      </c>
      <c r="F508" t="inlineStr">
        <is>
          <t>MID</t>
        </is>
      </c>
      <c r="G508" t="b">
        <v>0</v>
      </c>
      <c r="H508" s="2" t="n"/>
      <c r="K508" s="2" t="n">
        <v>2886</v>
      </c>
      <c r="M508" s="3" t="n"/>
      <c r="N508" s="8" t="n">
        <v>2886</v>
      </c>
      <c r="O508" s="8" t="n">
        <v>0</v>
      </c>
      <c r="R508" s="6" t="n">
        <v>2886</v>
      </c>
      <c r="S508" t="inlineStr">
        <is>
          <t>25/26 actual</t>
        </is>
      </c>
      <c r="U508" s="6" t="n">
        <v>81.40000000000001</v>
      </c>
      <c r="V508" s="2" t="n">
        <v>34</v>
      </c>
      <c r="W508" s="7">
        <f>IF(N(U508)&lt;=0,0,MIN(Assumptions!$B$15,N(R508)/N(U508)))</f>
        <v/>
      </c>
      <c r="X508" s="6" t="n"/>
      <c r="Y508" s="3" t="n">
        <v>0.0934</v>
      </c>
      <c r="Z508" t="inlineStr">
        <is>
          <t>adjusted xGOT</t>
        </is>
      </c>
      <c r="AA508" s="3" t="n">
        <v>1</v>
      </c>
      <c r="AB508" s="3" t="n">
        <v>1.105</v>
      </c>
      <c r="AC508" s="3" t="n">
        <v>12.2</v>
      </c>
      <c r="AD508" s="3" t="n">
        <v>0.1647</v>
      </c>
      <c r="AE508" s="3" t="n">
        <v>8.291</v>
      </c>
      <c r="AF508" s="3" t="n">
        <v>0</v>
      </c>
      <c r="AG508" s="3" t="n">
        <v>0.1247</v>
      </c>
      <c r="AH508" s="3" t="n">
        <v>69</v>
      </c>
      <c r="AI508" s="3" t="n"/>
      <c r="AJ508" s="3" t="n"/>
      <c r="AK508" s="3" t="n"/>
      <c r="AL508" s="6" t="n">
        <v>0</v>
      </c>
      <c r="AM508" s="3" t="n">
        <v>0</v>
      </c>
      <c r="AN508" s="3" t="n">
        <v>0</v>
      </c>
      <c r="AO508" s="3" t="n">
        <v>0</v>
      </c>
      <c r="AP508" s="3">
        <f>N(X508)*N(BI508)</f>
        <v/>
      </c>
      <c r="AQ508" s="3" t="n">
        <v>0</v>
      </c>
      <c r="AR508" s="3" t="n">
        <v>0</v>
      </c>
      <c r="AS508" s="3" t="n">
        <v>0</v>
      </c>
      <c r="AT508" s="3" t="n">
        <v>0</v>
      </c>
      <c r="AU508" s="3">
        <f>SUM(AN508:AT508)</f>
        <v/>
      </c>
      <c r="AV508" s="7">
        <f>IF(OR(N(W508)&lt;=0,N(BG508)=0),0,N(W508)*IF(N(R508)/N(W508)&gt;=60,N(BG508),1))</f>
        <v/>
      </c>
      <c r="AW508" s="7">
        <f>N(W508)*N(AF508)*N(BH508)</f>
        <v/>
      </c>
      <c r="AX508" s="7">
        <f>N(AL508)*(Assumptions!$B$13*N(BJ508)-(1-Assumptions!$B$13)*Assumptions!$B$14)+N(AM508)</f>
        <v/>
      </c>
      <c r="AY508" s="7">
        <f>N(AU508)*N(R508)/90+N(AV508)+N(AW508)+N(AX508)</f>
        <v/>
      </c>
      <c r="AZ508" s="3">
        <f>IF(N(R508)&lt;=0,0,(N(AY508)-N(AX508))*90/N(R508))</f>
        <v/>
      </c>
      <c r="BA508" s="7">
        <f>IFERROR(AY508-VLOOKUP($E508,Assumptions!$A$40:$C$43,3,FALSE),"")</f>
        <v/>
      </c>
      <c r="BB508" s="3">
        <f>IFERROR(BA508/H508,"")</f>
        <v/>
      </c>
      <c r="BC508">
        <f>IF(AND($G508=TRUE,$E508="GKP"),AY508,"")</f>
        <v/>
      </c>
      <c r="BD508">
        <f>IF(AND($G508=TRUE,$E508="DEF"),AY508,"")</f>
        <v/>
      </c>
      <c r="BE508">
        <f>IF(AND($G508=TRUE,$E508="MID"),AY508,"")</f>
        <v/>
      </c>
      <c r="BF508">
        <f>IF(AND($G508=TRUE,$E508="FWD"),AY508,"")</f>
        <v/>
      </c>
      <c r="BG508" t="n">
        <v>0</v>
      </c>
      <c r="BH508" t="n">
        <v>0</v>
      </c>
      <c r="BI508" t="n">
        <v>0</v>
      </c>
      <c r="BJ508" t="n">
        <v>0</v>
      </c>
    </row>
    <row r="509">
      <c r="A509" t="inlineStr">
        <is>
          <t>Dillon Phillips</t>
        </is>
      </c>
      <c r="B509" t="inlineStr">
        <is>
          <t>HUL</t>
        </is>
      </c>
      <c r="D509" t="b">
        <v>0</v>
      </c>
      <c r="E509" t="inlineStr">
        <is>
          <t>GKP</t>
        </is>
      </c>
      <c r="G509" t="b">
        <v>1</v>
      </c>
      <c r="H509" s="2" t="n">
        <v>4</v>
      </c>
      <c r="I509" t="inlineStr">
        <is>
          <t>a</t>
        </is>
      </c>
      <c r="K509" s="2" t="n"/>
      <c r="M509" s="3" t="n">
        <v>0</v>
      </c>
      <c r="N509" s="8" t="n">
        <v>0</v>
      </c>
      <c r="O509" s="8" t="n">
        <v>0</v>
      </c>
      <c r="Q509" t="inlineStr">
        <is>
          <t>flat</t>
        </is>
      </c>
      <c r="R509" s="6" t="n">
        <v>0</v>
      </c>
      <c r="S509" t="inlineStr">
        <is>
          <t>Solio</t>
        </is>
      </c>
      <c r="U509" s="6" t="n">
        <v>85</v>
      </c>
      <c r="V509" s="2" t="n"/>
      <c r="W509" s="7">
        <f>IF(N(U509)&lt;=0,0,MIN(Assumptions!$B$15,N(R509)/N(U509)))</f>
        <v/>
      </c>
      <c r="X509" s="6" t="n">
        <v>0.143</v>
      </c>
      <c r="Y509" s="3" t="n"/>
      <c r="Z509" t="inlineStr"/>
      <c r="AA509" s="3" t="n">
        <v>1</v>
      </c>
      <c r="AB509" s="3" t="n"/>
      <c r="AC509" s="3" t="n"/>
      <c r="AD509" s="3" t="n"/>
      <c r="AE509" s="3" t="n">
        <v>0</v>
      </c>
      <c r="AF509" s="3" t="n">
        <v>0</v>
      </c>
      <c r="AG509" s="3" t="n"/>
      <c r="AH509" s="3" t="n"/>
      <c r="AI509" s="3" t="n">
        <v>3.9421</v>
      </c>
      <c r="AJ509" s="3" t="n">
        <v>1.99</v>
      </c>
      <c r="AK509" s="3" t="n">
        <v>-0.0763216474948735</v>
      </c>
      <c r="AL509" s="6" t="n">
        <v>0</v>
      </c>
      <c r="AM509" s="3" t="n">
        <v>0</v>
      </c>
      <c r="AN509" s="3" t="n">
        <v>0</v>
      </c>
      <c r="AO509" s="3" t="n">
        <v>0</v>
      </c>
      <c r="AP509" s="3">
        <f>N(X509)*N(BI509)</f>
        <v/>
      </c>
      <c r="AQ509" s="3" t="n">
        <v>0</v>
      </c>
      <c r="AR509" s="3" t="n">
        <v>0.979692031005534</v>
      </c>
      <c r="AS509" s="3" t="n">
        <v>-0.7496714098286652</v>
      </c>
      <c r="AT509" s="3" t="n">
        <v>-0.0763216474948735</v>
      </c>
      <c r="AU509" s="3">
        <f>SUM(AN509:AT509)</f>
        <v/>
      </c>
      <c r="AV509" s="7">
        <f>IF(OR(N(W509)&lt;=0,N(BG509)=0),0,N(W509)*IF(N(R509)/N(W509)&gt;=60,N(BG509),1))</f>
        <v/>
      </c>
      <c r="AW509" s="7">
        <f>N(W509)*N(AF509)*N(BH509)</f>
        <v/>
      </c>
      <c r="AX509" s="7">
        <f>N(AL509)*(Assumptions!$B$13*N(BJ509)-(1-Assumptions!$B$13)*Assumptions!$B$14)+N(AM509)</f>
        <v/>
      </c>
      <c r="AY509" s="7">
        <f>N(AU509)*N(R509)/90+N(AV509)+N(AW509)+N(AX509)</f>
        <v/>
      </c>
      <c r="AZ509" s="3">
        <f>IF(N(R509)&lt;=0,0,(N(AY509)-N(AX509))*90/N(R509))</f>
        <v/>
      </c>
      <c r="BA509" s="7">
        <f>IFERROR(AY509-VLOOKUP($E509,Assumptions!$A$40:$C$43,3,FALSE),"")</f>
        <v/>
      </c>
      <c r="BB509" s="3">
        <f>IFERROR(BA509/H509,"")</f>
        <v/>
      </c>
      <c r="BC509">
        <f>IF(AND($G509=TRUE,$E509="GKP"),AY509,"")</f>
        <v/>
      </c>
      <c r="BD509">
        <f>IF(AND($G509=TRUE,$E509="DEF"),AY509,"")</f>
        <v/>
      </c>
      <c r="BE509">
        <f>IF(AND($G509=TRUE,$E509="MID"),AY509,"")</f>
        <v/>
      </c>
      <c r="BF509">
        <f>IF(AND($G509=TRUE,$E509="FWD"),AY509,"")</f>
        <v/>
      </c>
      <c r="BG509" t="n">
        <v>2</v>
      </c>
      <c r="BH509" t="n">
        <v>0</v>
      </c>
      <c r="BI509" t="n">
        <v>4</v>
      </c>
      <c r="BJ509" t="n">
        <v>10</v>
      </c>
    </row>
    <row r="510">
      <c r="A510" t="inlineStr">
        <is>
          <t>Josh Laurent</t>
        </is>
      </c>
      <c r="C510" t="inlineStr">
        <is>
          <t>BUR</t>
        </is>
      </c>
      <c r="D510" t="b">
        <v>0</v>
      </c>
      <c r="F510" t="inlineStr">
        <is>
          <t>MID</t>
        </is>
      </c>
      <c r="G510" t="b">
        <v>0</v>
      </c>
      <c r="H510" s="2" t="n"/>
      <c r="K510" s="2" t="n">
        <v>1759</v>
      </c>
      <c r="M510" s="3" t="n"/>
      <c r="N510" s="8" t="n">
        <v>1759</v>
      </c>
      <c r="O510" s="8" t="n">
        <v>0</v>
      </c>
      <c r="R510" s="6" t="n">
        <v>1759</v>
      </c>
      <c r="S510" t="inlineStr">
        <is>
          <t>25/26 actual</t>
        </is>
      </c>
      <c r="U510" s="6" t="n">
        <v>80.59999999999999</v>
      </c>
      <c r="V510" s="2" t="n">
        <v>17</v>
      </c>
      <c r="W510" s="7">
        <f>IF(N(U510)&lt;=0,0,MIN(Assumptions!$B$15,N(R510)/N(U510)))</f>
        <v/>
      </c>
      <c r="X510" s="6" t="n"/>
      <c r="Y510" s="3" t="n">
        <v>0.0457</v>
      </c>
      <c r="Z510" t="inlineStr">
        <is>
          <t>adjusted xGOT</t>
        </is>
      </c>
      <c r="AA510" s="3" t="n">
        <v>1</v>
      </c>
      <c r="AB510" s="3" t="n">
        <v>1.026</v>
      </c>
      <c r="AC510" s="3" t="n">
        <v>0.9</v>
      </c>
      <c r="AD510" s="3" t="n">
        <v>0.0376</v>
      </c>
      <c r="AE510" s="3" t="n">
        <v>9.27</v>
      </c>
      <c r="AF510" s="3" t="n">
        <v>0</v>
      </c>
      <c r="AG510" s="3" t="n">
        <v>0.0512</v>
      </c>
      <c r="AH510" s="3" t="n">
        <v>49</v>
      </c>
      <c r="AI510" s="3" t="n"/>
      <c r="AJ510" s="3" t="n"/>
      <c r="AK510" s="3" t="n"/>
      <c r="AL510" s="6" t="n">
        <v>0</v>
      </c>
      <c r="AM510" s="3" t="n">
        <v>0</v>
      </c>
      <c r="AN510" s="3" t="n">
        <v>0</v>
      </c>
      <c r="AO510" s="3" t="n">
        <v>0</v>
      </c>
      <c r="AP510" s="3">
        <f>N(X510)*N(BI510)</f>
        <v/>
      </c>
      <c r="AQ510" s="3" t="n">
        <v>0</v>
      </c>
      <c r="AR510" s="3" t="n">
        <v>0</v>
      </c>
      <c r="AS510" s="3" t="n">
        <v>0</v>
      </c>
      <c r="AT510" s="3" t="n">
        <v>0</v>
      </c>
      <c r="AU510" s="3">
        <f>SUM(AN510:AT510)</f>
        <v/>
      </c>
      <c r="AV510" s="7">
        <f>IF(OR(N(W510)&lt;=0,N(BG510)=0),0,N(W510)*IF(N(R510)/N(W510)&gt;=60,N(BG510),1))</f>
        <v/>
      </c>
      <c r="AW510" s="7">
        <f>N(W510)*N(AF510)*N(BH510)</f>
        <v/>
      </c>
      <c r="AX510" s="7">
        <f>N(AL510)*(Assumptions!$B$13*N(BJ510)-(1-Assumptions!$B$13)*Assumptions!$B$14)+N(AM510)</f>
        <v/>
      </c>
      <c r="AY510" s="7">
        <f>N(AU510)*N(R510)/90+N(AV510)+N(AW510)+N(AX510)</f>
        <v/>
      </c>
      <c r="AZ510" s="3">
        <f>IF(N(R510)&lt;=0,0,(N(AY510)-N(AX510))*90/N(R510))</f>
        <v/>
      </c>
      <c r="BA510" s="7">
        <f>IFERROR(AY510-VLOOKUP($E510,Assumptions!$A$40:$C$43,3,FALSE),"")</f>
        <v/>
      </c>
      <c r="BB510" s="3">
        <f>IFERROR(BA510/H510,"")</f>
        <v/>
      </c>
      <c r="BC510">
        <f>IF(AND($G510=TRUE,$E510="GKP"),AY510,"")</f>
        <v/>
      </c>
      <c r="BD510">
        <f>IF(AND($G510=TRUE,$E510="DEF"),AY510,"")</f>
        <v/>
      </c>
      <c r="BE510">
        <f>IF(AND($G510=TRUE,$E510="MID"),AY510,"")</f>
        <v/>
      </c>
      <c r="BF510">
        <f>IF(AND($G510=TRUE,$E510="FWD"),AY510,"")</f>
        <v/>
      </c>
      <c r="BG510" t="n">
        <v>0</v>
      </c>
      <c r="BH510" t="n">
        <v>0</v>
      </c>
      <c r="BI510" t="n">
        <v>0</v>
      </c>
      <c r="BJ510" t="n">
        <v>0</v>
      </c>
    </row>
    <row r="511">
      <c r="A511" t="inlineStr">
        <is>
          <t>Matt Grimes</t>
        </is>
      </c>
      <c r="B511" t="inlineStr">
        <is>
          <t>COV</t>
        </is>
      </c>
      <c r="D511" t="b">
        <v>0</v>
      </c>
      <c r="E511" t="inlineStr">
        <is>
          <t>MID</t>
        </is>
      </c>
      <c r="G511" t="b">
        <v>1</v>
      </c>
      <c r="H511" s="2" t="n">
        <v>5</v>
      </c>
      <c r="I511" t="inlineStr">
        <is>
          <t>a</t>
        </is>
      </c>
      <c r="K511" s="2" t="n"/>
      <c r="M511" s="3" t="n">
        <v>2668</v>
      </c>
      <c r="N511" s="8" t="n">
        <v>2668</v>
      </c>
      <c r="O511" s="8" t="n">
        <v>0</v>
      </c>
      <c r="Q511" t="inlineStr">
        <is>
          <t>flat</t>
        </is>
      </c>
      <c r="R511" s="6" t="n">
        <v>2668</v>
      </c>
      <c r="S511" t="inlineStr">
        <is>
          <t>Solio</t>
        </is>
      </c>
      <c r="U511" s="6" t="n">
        <v>85</v>
      </c>
      <c r="V511" s="2" t="n"/>
      <c r="W511" s="7">
        <f>IF(N(U511)&lt;=0,0,MIN(Assumptions!$B$15,N(R511)/N(U511)))</f>
        <v/>
      </c>
      <c r="X511" s="6" t="n">
        <v>0.17</v>
      </c>
      <c r="Y511" s="3" t="n"/>
      <c r="Z511" t="inlineStr"/>
      <c r="AA511" s="3" t="n">
        <v>1</v>
      </c>
      <c r="AB511" s="3" t="n"/>
      <c r="AC511" s="3" t="n"/>
      <c r="AD511" s="3" t="n"/>
      <c r="AE511" s="3" t="n"/>
      <c r="AF511" s="3" t="n">
        <v>0</v>
      </c>
      <c r="AG511" s="3" t="n"/>
      <c r="AH511" s="3" t="n"/>
      <c r="AI511" s="3" t="n">
        <v>3.6194</v>
      </c>
      <c r="AJ511" s="3" t="n">
        <v>1.8271</v>
      </c>
      <c r="AK511" s="3" t="n">
        <v>-0.2160434166173144</v>
      </c>
      <c r="AL511" s="6" t="n">
        <v>0.4588591229925738</v>
      </c>
      <c r="AM511" s="3" t="n">
        <v>0</v>
      </c>
      <c r="AN511" s="3" t="n">
        <v>0</v>
      </c>
      <c r="AO511" s="3" t="n">
        <v>0</v>
      </c>
      <c r="AP511" s="3">
        <f>N(X511)*N(BI511)</f>
        <v/>
      </c>
      <c r="AQ511" s="3" t="n">
        <v>0</v>
      </c>
      <c r="AR511" s="3" t="n">
        <v>0</v>
      </c>
      <c r="AS511" s="3" t="n">
        <v>-0</v>
      </c>
      <c r="AT511" s="3" t="n">
        <v>-0.2160434166173144</v>
      </c>
      <c r="AU511" s="3">
        <f>SUM(AN511:AT511)</f>
        <v/>
      </c>
      <c r="AV511" s="7">
        <f>IF(OR(N(W511)&lt;=0,N(BG511)=0),0,N(W511)*IF(N(R511)/N(W511)&gt;=60,N(BG511),1))</f>
        <v/>
      </c>
      <c r="AW511" s="7">
        <f>N(W511)*N(AF511)*N(BH511)</f>
        <v/>
      </c>
      <c r="AX511" s="7">
        <f>N(AL511)*(Assumptions!$B$13*N(BJ511)-(1-Assumptions!$B$13)*Assumptions!$B$14)+N(AM511)</f>
        <v/>
      </c>
      <c r="AY511" s="7">
        <f>N(AU511)*N(R511)/90+N(AV511)+N(AW511)+N(AX511)</f>
        <v/>
      </c>
      <c r="AZ511" s="3">
        <f>IF(N(R511)&lt;=0,0,(N(AY511)-N(AX511))*90/N(R511))</f>
        <v/>
      </c>
      <c r="BA511" s="7">
        <f>IFERROR(AY511-VLOOKUP($E511,Assumptions!$A$40:$C$43,3,FALSE),"")</f>
        <v/>
      </c>
      <c r="BB511" s="3">
        <f>IFERROR(BA511/H511,"")</f>
        <v/>
      </c>
      <c r="BC511">
        <f>IF(AND($G511=TRUE,$E511="GKP"),AY511,"")</f>
        <v/>
      </c>
      <c r="BD511">
        <f>IF(AND($G511=TRUE,$E511="DEF"),AY511,"")</f>
        <v/>
      </c>
      <c r="BE511">
        <f>IF(AND($G511=TRUE,$E511="MID"),AY511,"")</f>
        <v/>
      </c>
      <c r="BF511">
        <f>IF(AND($G511=TRUE,$E511="FWD"),AY511,"")</f>
        <v/>
      </c>
      <c r="BG511" t="n">
        <v>2</v>
      </c>
      <c r="BH511" t="n">
        <v>2</v>
      </c>
      <c r="BI511" t="n">
        <v>1</v>
      </c>
      <c r="BJ511" t="n">
        <v>5</v>
      </c>
    </row>
    <row r="512">
      <c r="A512" t="inlineStr">
        <is>
          <t>Oli McBurnie</t>
        </is>
      </c>
      <c r="B512" t="inlineStr">
        <is>
          <t>HUL</t>
        </is>
      </c>
      <c r="D512" t="b">
        <v>0</v>
      </c>
      <c r="E512" t="inlineStr">
        <is>
          <t>FWD</t>
        </is>
      </c>
      <c r="G512" t="b">
        <v>1</v>
      </c>
      <c r="H512" s="2" t="n">
        <v>5.5</v>
      </c>
      <c r="I512" t="inlineStr">
        <is>
          <t>a</t>
        </is>
      </c>
      <c r="K512" s="2" t="n"/>
      <c r="M512" s="3" t="n">
        <v>3260</v>
      </c>
      <c r="N512" s="8" t="n">
        <v>3260</v>
      </c>
      <c r="O512" s="8" t="n">
        <v>0</v>
      </c>
      <c r="Q512" t="inlineStr">
        <is>
          <t>flat</t>
        </is>
      </c>
      <c r="R512" s="6" t="n">
        <v>3260</v>
      </c>
      <c r="S512" t="inlineStr">
        <is>
          <t>Solio</t>
        </is>
      </c>
      <c r="U512" s="6" t="n">
        <v>85</v>
      </c>
      <c r="V512" s="2" t="n"/>
      <c r="W512" s="7">
        <f>IF(N(U512)&lt;=0,0,MIN(Assumptions!$B$15,N(R512)/N(U512)))</f>
        <v/>
      </c>
      <c r="X512" s="6" t="n">
        <v>0.143</v>
      </c>
      <c r="Y512" s="3" t="n"/>
      <c r="Z512" t="inlineStr"/>
      <c r="AA512" s="3" t="n">
        <v>1</v>
      </c>
      <c r="AB512" s="3" t="n"/>
      <c r="AC512" s="3" t="n"/>
      <c r="AD512" s="3" t="n"/>
      <c r="AE512" s="3" t="n"/>
      <c r="AF512" s="3" t="n">
        <v>0</v>
      </c>
      <c r="AG512" s="3" t="n"/>
      <c r="AH512" s="3" t="n"/>
      <c r="AI512" s="3" t="n">
        <v>3.9421</v>
      </c>
      <c r="AJ512" s="3" t="n">
        <v>1.99</v>
      </c>
      <c r="AK512" s="3" t="n">
        <v>-0.1872839882939133</v>
      </c>
      <c r="AL512" s="6" t="n">
        <v>2.576470200796949</v>
      </c>
      <c r="AM512" s="3" t="n">
        <v>0</v>
      </c>
      <c r="AN512" s="3" t="n">
        <v>0</v>
      </c>
      <c r="AO512" s="3" t="n">
        <v>0</v>
      </c>
      <c r="AP512" s="3">
        <f>N(X512)*N(BI512)</f>
        <v/>
      </c>
      <c r="AQ512" s="3" t="n">
        <v>0</v>
      </c>
      <c r="AR512" s="3" t="n">
        <v>0</v>
      </c>
      <c r="AS512" s="3" t="n">
        <v>-0</v>
      </c>
      <c r="AT512" s="3" t="n">
        <v>-0.1872839882939133</v>
      </c>
      <c r="AU512" s="3">
        <f>SUM(AN512:AT512)</f>
        <v/>
      </c>
      <c r="AV512" s="7">
        <f>IF(OR(N(W512)&lt;=0,N(BG512)=0),0,N(W512)*IF(N(R512)/N(W512)&gt;=60,N(BG512),1))</f>
        <v/>
      </c>
      <c r="AW512" s="7">
        <f>N(W512)*N(AF512)*N(BH512)</f>
        <v/>
      </c>
      <c r="AX512" s="7">
        <f>N(AL512)*(Assumptions!$B$13*N(BJ512)-(1-Assumptions!$B$13)*Assumptions!$B$14)+N(AM512)</f>
        <v/>
      </c>
      <c r="AY512" s="7">
        <f>N(AU512)*N(R512)/90+N(AV512)+N(AW512)+N(AX512)</f>
        <v/>
      </c>
      <c r="AZ512" s="3">
        <f>IF(N(R512)&lt;=0,0,(N(AY512)-N(AX512))*90/N(R512))</f>
        <v/>
      </c>
      <c r="BA512" s="7">
        <f>IFERROR(AY512-VLOOKUP($E512,Assumptions!$A$40:$C$43,3,FALSE),"")</f>
        <v/>
      </c>
      <c r="BB512" s="3">
        <f>IFERROR(BA512/H512,"")</f>
        <v/>
      </c>
      <c r="BC512">
        <f>IF(AND($G512=TRUE,$E512="GKP"),AY512,"")</f>
        <v/>
      </c>
      <c r="BD512">
        <f>IF(AND($G512=TRUE,$E512="DEF"),AY512,"")</f>
        <v/>
      </c>
      <c r="BE512">
        <f>IF(AND($G512=TRUE,$E512="MID"),AY512,"")</f>
        <v/>
      </c>
      <c r="BF512">
        <f>IF(AND($G512=TRUE,$E512="FWD"),AY512,"")</f>
        <v/>
      </c>
      <c r="BG512" t="n">
        <v>2</v>
      </c>
      <c r="BH512" t="n">
        <v>2</v>
      </c>
      <c r="BI512" t="n">
        <v>0</v>
      </c>
      <c r="BJ512" t="n">
        <v>4</v>
      </c>
    </row>
    <row r="513">
      <c r="A513" t="inlineStr">
        <is>
          <t>Kieran Dowell</t>
        </is>
      </c>
      <c r="B513" t="inlineStr">
        <is>
          <t>HUL</t>
        </is>
      </c>
      <c r="D513" t="b">
        <v>0</v>
      </c>
      <c r="E513" t="inlineStr">
        <is>
          <t>MID</t>
        </is>
      </c>
      <c r="G513" t="b">
        <v>1</v>
      </c>
      <c r="H513" s="2" t="n">
        <v>4.5</v>
      </c>
      <c r="I513" t="inlineStr">
        <is>
          <t>a</t>
        </is>
      </c>
      <c r="K513" s="2" t="n"/>
      <c r="M513" s="3" t="n">
        <v>51</v>
      </c>
      <c r="N513" s="8" t="n">
        <v>51</v>
      </c>
      <c r="O513" s="8" t="n">
        <v>0</v>
      </c>
      <c r="Q513" t="inlineStr">
        <is>
          <t>flat</t>
        </is>
      </c>
      <c r="R513" s="6" t="n">
        <v>51</v>
      </c>
      <c r="S513" t="inlineStr">
        <is>
          <t>Solio</t>
        </is>
      </c>
      <c r="U513" s="6" t="n">
        <v>85</v>
      </c>
      <c r="V513" s="2" t="n"/>
      <c r="W513" s="7">
        <f>IF(N(U513)&lt;=0,0,MIN(Assumptions!$B$15,N(R513)/N(U513)))</f>
        <v/>
      </c>
      <c r="X513" s="6" t="n">
        <v>0.143</v>
      </c>
      <c r="Y513" s="3" t="n"/>
      <c r="Z513" t="inlineStr"/>
      <c r="AA513" s="3" t="n">
        <v>1</v>
      </c>
      <c r="AB513" s="3" t="n"/>
      <c r="AC513" s="3" t="n"/>
      <c r="AD513" s="3" t="n"/>
      <c r="AE513" s="3" t="n"/>
      <c r="AF513" s="3" t="n">
        <v>0</v>
      </c>
      <c r="AG513" s="3" t="n"/>
      <c r="AH513" s="3" t="n"/>
      <c r="AI513" s="3" t="n">
        <v>3.9421</v>
      </c>
      <c r="AJ513" s="3" t="n">
        <v>1.99</v>
      </c>
      <c r="AK513" s="3" t="n">
        <v>-0.2160434166173144</v>
      </c>
      <c r="AL513" s="6" t="n">
        <v>0</v>
      </c>
      <c r="AM513" s="3" t="n">
        <v>0</v>
      </c>
      <c r="AN513" s="3" t="n">
        <v>0</v>
      </c>
      <c r="AO513" s="3" t="n">
        <v>0</v>
      </c>
      <c r="AP513" s="3">
        <f>N(X513)*N(BI513)</f>
        <v/>
      </c>
      <c r="AQ513" s="3" t="n">
        <v>0</v>
      </c>
      <c r="AR513" s="3" t="n">
        <v>0</v>
      </c>
      <c r="AS513" s="3" t="n">
        <v>-0</v>
      </c>
      <c r="AT513" s="3" t="n">
        <v>-0.2160434166173144</v>
      </c>
      <c r="AU513" s="3">
        <f>SUM(AN513:AT513)</f>
        <v/>
      </c>
      <c r="AV513" s="7">
        <f>IF(OR(N(W513)&lt;=0,N(BG513)=0),0,N(W513)*IF(N(R513)/N(W513)&gt;=60,N(BG513),1))</f>
        <v/>
      </c>
      <c r="AW513" s="7">
        <f>N(W513)*N(AF513)*N(BH513)</f>
        <v/>
      </c>
      <c r="AX513" s="7">
        <f>N(AL513)*(Assumptions!$B$13*N(BJ513)-(1-Assumptions!$B$13)*Assumptions!$B$14)+N(AM513)</f>
        <v/>
      </c>
      <c r="AY513" s="7">
        <f>N(AU513)*N(R513)/90+N(AV513)+N(AW513)+N(AX513)</f>
        <v/>
      </c>
      <c r="AZ513" s="3">
        <f>IF(N(R513)&lt;=0,0,(N(AY513)-N(AX513))*90/N(R513))</f>
        <v/>
      </c>
      <c r="BA513" s="7">
        <f>IFERROR(AY513-VLOOKUP($E513,Assumptions!$A$40:$C$43,3,FALSE),"")</f>
        <v/>
      </c>
      <c r="BB513" s="3">
        <f>IFERROR(BA513/H513,"")</f>
        <v/>
      </c>
      <c r="BC513">
        <f>IF(AND($G513=TRUE,$E513="GKP"),AY513,"")</f>
        <v/>
      </c>
      <c r="BD513">
        <f>IF(AND($G513=TRUE,$E513="DEF"),AY513,"")</f>
        <v/>
      </c>
      <c r="BE513">
        <f>IF(AND($G513=TRUE,$E513="MID"),AY513,"")</f>
        <v/>
      </c>
      <c r="BF513">
        <f>IF(AND($G513=TRUE,$E513="FWD"),AY513,"")</f>
        <v/>
      </c>
      <c r="BG513" t="n">
        <v>2</v>
      </c>
      <c r="BH513" t="n">
        <v>2</v>
      </c>
      <c r="BI513" t="n">
        <v>1</v>
      </c>
      <c r="BJ513" t="n">
        <v>5</v>
      </c>
    </row>
    <row r="514">
      <c r="A514" t="inlineStr">
        <is>
          <t>Sam Szmodics</t>
        </is>
      </c>
      <c r="B514" t="inlineStr">
        <is>
          <t>IPS</t>
        </is>
      </c>
      <c r="D514" t="b">
        <v>0</v>
      </c>
      <c r="E514" t="inlineStr">
        <is>
          <t>MID</t>
        </is>
      </c>
      <c r="G514" t="b">
        <v>1</v>
      </c>
      <c r="H514" s="2" t="n">
        <v>5</v>
      </c>
      <c r="I514" t="inlineStr">
        <is>
          <t>a</t>
        </is>
      </c>
      <c r="K514" s="2" t="n"/>
      <c r="M514" s="3" t="n">
        <v>0</v>
      </c>
      <c r="N514" s="8" t="n">
        <v>0</v>
      </c>
      <c r="O514" s="8" t="n">
        <v>0</v>
      </c>
      <c r="Q514" t="inlineStr">
        <is>
          <t>flat</t>
        </is>
      </c>
      <c r="R514" s="6" t="n">
        <v>0</v>
      </c>
      <c r="S514" t="inlineStr">
        <is>
          <t>Solio</t>
        </is>
      </c>
      <c r="U514" s="6" t="n">
        <v>85</v>
      </c>
      <c r="V514" s="2" t="n"/>
      <c r="W514" s="7">
        <f>IF(N(U514)&lt;=0,0,MIN(Assumptions!$B$15,N(R514)/N(U514)))</f>
        <v/>
      </c>
      <c r="X514" s="6" t="n">
        <v>0.17</v>
      </c>
      <c r="Y514" s="3" t="n"/>
      <c r="Z514" t="inlineStr"/>
      <c r="AA514" s="3" t="n">
        <v>1</v>
      </c>
      <c r="AB514" s="3" t="n"/>
      <c r="AC514" s="3" t="n"/>
      <c r="AD514" s="3" t="n"/>
      <c r="AE514" s="3" t="n"/>
      <c r="AF514" s="3" t="n">
        <v>0</v>
      </c>
      <c r="AG514" s="3" t="n"/>
      <c r="AH514" s="3" t="n"/>
      <c r="AI514" s="3" t="n">
        <v>3.5741</v>
      </c>
      <c r="AJ514" s="3" t="n">
        <v>1.8319</v>
      </c>
      <c r="AK514" s="3" t="n">
        <v>-0.2110210456103259</v>
      </c>
      <c r="AL514" s="6" t="n">
        <v>0</v>
      </c>
      <c r="AM514" s="3" t="n">
        <v>0</v>
      </c>
      <c r="AN514" s="3" t="n">
        <v>0</v>
      </c>
      <c r="AO514" s="3" t="n">
        <v>0</v>
      </c>
      <c r="AP514" s="3">
        <f>N(X514)*N(BI514)</f>
        <v/>
      </c>
      <c r="AQ514" s="3" t="n">
        <v>0</v>
      </c>
      <c r="AR514" s="3" t="n">
        <v>0</v>
      </c>
      <c r="AS514" s="3" t="n">
        <v>-0</v>
      </c>
      <c r="AT514" s="3" t="n">
        <v>-0.2110210456103259</v>
      </c>
      <c r="AU514" s="3">
        <f>SUM(AN514:AT514)</f>
        <v/>
      </c>
      <c r="AV514" s="7">
        <f>IF(OR(N(W514)&lt;=0,N(BG514)=0),0,N(W514)*IF(N(R514)/N(W514)&gt;=60,N(BG514),1))</f>
        <v/>
      </c>
      <c r="AW514" s="7">
        <f>N(W514)*N(AF514)*N(BH514)</f>
        <v/>
      </c>
      <c r="AX514" s="7">
        <f>N(AL514)*(Assumptions!$B$13*N(BJ514)-(1-Assumptions!$B$13)*Assumptions!$B$14)+N(AM514)</f>
        <v/>
      </c>
      <c r="AY514" s="7">
        <f>N(AU514)*N(R514)/90+N(AV514)+N(AW514)+N(AX514)</f>
        <v/>
      </c>
      <c r="AZ514" s="3">
        <f>IF(N(R514)&lt;=0,0,(N(AY514)-N(AX514))*90/N(R514))</f>
        <v/>
      </c>
      <c r="BA514" s="7">
        <f>IFERROR(AY514-VLOOKUP($E514,Assumptions!$A$40:$C$43,3,FALSE),"")</f>
        <v/>
      </c>
      <c r="BB514" s="3">
        <f>IFERROR(BA514/H514,"")</f>
        <v/>
      </c>
      <c r="BC514">
        <f>IF(AND($G514=TRUE,$E514="GKP"),AY514,"")</f>
        <v/>
      </c>
      <c r="BD514">
        <f>IF(AND($G514=TRUE,$E514="DEF"),AY514,"")</f>
        <v/>
      </c>
      <c r="BE514">
        <f>IF(AND($G514=TRUE,$E514="MID"),AY514,"")</f>
        <v/>
      </c>
      <c r="BF514">
        <f>IF(AND($G514=TRUE,$E514="FWD"),AY514,"")</f>
        <v/>
      </c>
      <c r="BG514" t="n">
        <v>2</v>
      </c>
      <c r="BH514" t="n">
        <v>2</v>
      </c>
      <c r="BI514" t="n">
        <v>1</v>
      </c>
      <c r="BJ514" t="n">
        <v>5</v>
      </c>
    </row>
    <row r="515">
      <c r="A515" t="inlineStr">
        <is>
          <t>Josh Cullen</t>
        </is>
      </c>
      <c r="C515" t="inlineStr">
        <is>
          <t>BUR</t>
        </is>
      </c>
      <c r="D515" t="b">
        <v>0</v>
      </c>
      <c r="F515" t="inlineStr">
        <is>
          <t>MID</t>
        </is>
      </c>
      <c r="G515" t="b">
        <v>0</v>
      </c>
      <c r="H515" s="2" t="n"/>
      <c r="K515" s="2" t="n">
        <v>1519</v>
      </c>
      <c r="M515" s="3" t="n"/>
      <c r="N515" s="8" t="n">
        <v>1519</v>
      </c>
      <c r="O515" s="8" t="n">
        <v>0</v>
      </c>
      <c r="R515" s="6" t="n">
        <v>1519</v>
      </c>
      <c r="S515" t="inlineStr">
        <is>
          <t>25/26 actual</t>
        </is>
      </c>
      <c r="U515" s="6" t="n">
        <v>82.59999999999999</v>
      </c>
      <c r="V515" s="2" t="n">
        <v>18</v>
      </c>
      <c r="W515" s="7">
        <f>IF(N(U515)&lt;=0,0,MIN(Assumptions!$B$15,N(R515)/N(U515)))</f>
        <v/>
      </c>
      <c r="X515" s="6" t="n"/>
      <c r="Y515" s="3" t="n">
        <v>0.0643</v>
      </c>
      <c r="Z515" t="inlineStr">
        <is>
          <t>adjusted xGOT</t>
        </is>
      </c>
      <c r="AA515" s="3" t="n">
        <v>1</v>
      </c>
      <c r="AB515" s="3" t="n">
        <v>1.154</v>
      </c>
      <c r="AC515" s="3" t="n">
        <v>1.5</v>
      </c>
      <c r="AD515" s="3" t="n">
        <v>0.1076</v>
      </c>
      <c r="AE515" s="3" t="n">
        <v>9.738</v>
      </c>
      <c r="AF515" s="3" t="n">
        <v>0</v>
      </c>
      <c r="AG515" s="3" t="n">
        <v>0.4147</v>
      </c>
      <c r="AH515" s="3" t="n">
        <v>35</v>
      </c>
      <c r="AI515" s="3" t="n"/>
      <c r="AJ515" s="3" t="n"/>
      <c r="AK515" s="3" t="n"/>
      <c r="AL515" s="6" t="n">
        <v>0</v>
      </c>
      <c r="AM515" s="3" t="n">
        <v>0</v>
      </c>
      <c r="AN515" s="3" t="n">
        <v>0</v>
      </c>
      <c r="AO515" s="3" t="n">
        <v>0</v>
      </c>
      <c r="AP515" s="3">
        <f>N(X515)*N(BI515)</f>
        <v/>
      </c>
      <c r="AQ515" s="3" t="n">
        <v>0</v>
      </c>
      <c r="AR515" s="3" t="n">
        <v>0</v>
      </c>
      <c r="AS515" s="3" t="n">
        <v>0</v>
      </c>
      <c r="AT515" s="3" t="n">
        <v>0</v>
      </c>
      <c r="AU515" s="3">
        <f>SUM(AN515:AT515)</f>
        <v/>
      </c>
      <c r="AV515" s="7">
        <f>IF(OR(N(W515)&lt;=0,N(BG515)=0),0,N(W515)*IF(N(R515)/N(W515)&gt;=60,N(BG515),1))</f>
        <v/>
      </c>
      <c r="AW515" s="7">
        <f>N(W515)*N(AF515)*N(BH515)</f>
        <v/>
      </c>
      <c r="AX515" s="7">
        <f>N(AL515)*(Assumptions!$B$13*N(BJ515)-(1-Assumptions!$B$13)*Assumptions!$B$14)+N(AM515)</f>
        <v/>
      </c>
      <c r="AY515" s="7">
        <f>N(AU515)*N(R515)/90+N(AV515)+N(AW515)+N(AX515)</f>
        <v/>
      </c>
      <c r="AZ515" s="3">
        <f>IF(N(R515)&lt;=0,0,(N(AY515)-N(AX515))*90/N(R515))</f>
        <v/>
      </c>
      <c r="BA515" s="7">
        <f>IFERROR(AY515-VLOOKUP($E515,Assumptions!$A$40:$C$43,3,FALSE),"")</f>
        <v/>
      </c>
      <c r="BB515" s="3">
        <f>IFERROR(BA515/H515,"")</f>
        <v/>
      </c>
      <c r="BC515">
        <f>IF(AND($G515=TRUE,$E515="GKP"),AY515,"")</f>
        <v/>
      </c>
      <c r="BD515">
        <f>IF(AND($G515=TRUE,$E515="DEF"),AY515,"")</f>
        <v/>
      </c>
      <c r="BE515">
        <f>IF(AND($G515=TRUE,$E515="MID"),AY515,"")</f>
        <v/>
      </c>
      <c r="BF515">
        <f>IF(AND($G515=TRUE,$E515="FWD"),AY515,"")</f>
        <v/>
      </c>
      <c r="BG515" t="n">
        <v>0</v>
      </c>
      <c r="BH515" t="n">
        <v>0</v>
      </c>
      <c r="BI515" t="n">
        <v>0</v>
      </c>
      <c r="BJ515" t="n">
        <v>0</v>
      </c>
    </row>
    <row r="516">
      <c r="A516" t="inlineStr">
        <is>
          <t>Jay Dasilva</t>
        </is>
      </c>
      <c r="B516" t="inlineStr">
        <is>
          <t>COV</t>
        </is>
      </c>
      <c r="D516" t="b">
        <v>0</v>
      </c>
      <c r="E516" t="inlineStr">
        <is>
          <t>DEF</t>
        </is>
      </c>
      <c r="G516" t="b">
        <v>1</v>
      </c>
      <c r="H516" s="2" t="n">
        <v>4</v>
      </c>
      <c r="I516" t="inlineStr">
        <is>
          <t>a</t>
        </is>
      </c>
      <c r="K516" s="2" t="n"/>
      <c r="M516" s="3" t="n">
        <v>2992</v>
      </c>
      <c r="N516" s="8" t="n">
        <v>2992</v>
      </c>
      <c r="O516" s="8" t="n">
        <v>0</v>
      </c>
      <c r="Q516" t="inlineStr">
        <is>
          <t>flat</t>
        </is>
      </c>
      <c r="R516" s="6" t="n">
        <v>2992</v>
      </c>
      <c r="S516" t="inlineStr">
        <is>
          <t>Solio</t>
        </is>
      </c>
      <c r="U516" s="6" t="n">
        <v>85</v>
      </c>
      <c r="V516" s="2" t="n"/>
      <c r="W516" s="7">
        <f>IF(N(U516)&lt;=0,0,MIN(Assumptions!$B$15,N(R516)/N(U516)))</f>
        <v/>
      </c>
      <c r="X516" s="6" t="n">
        <v>0.17</v>
      </c>
      <c r="Y516" s="3" t="n"/>
      <c r="Z516" t="inlineStr"/>
      <c r="AA516" s="3" t="n">
        <v>1</v>
      </c>
      <c r="AB516" s="3" t="n"/>
      <c r="AC516" s="3" t="n"/>
      <c r="AD516" s="3" t="n"/>
      <c r="AE516" s="3" t="n"/>
      <c r="AF516" s="3" t="n">
        <v>0</v>
      </c>
      <c r="AG516" s="3" t="n"/>
      <c r="AH516" s="3" t="n"/>
      <c r="AI516" s="3" t="n">
        <v>3.6194</v>
      </c>
      <c r="AJ516" s="3" t="n">
        <v>1.8271</v>
      </c>
      <c r="AK516" s="3" t="n">
        <v>-0.2045226422080557</v>
      </c>
      <c r="AL516" s="6" t="n">
        <v>0</v>
      </c>
      <c r="AM516" s="3" t="n">
        <v>0</v>
      </c>
      <c r="AN516" s="3" t="n">
        <v>0</v>
      </c>
      <c r="AO516" s="3" t="n">
        <v>0</v>
      </c>
      <c r="AP516" s="3">
        <f>N(X516)*N(BI516)</f>
        <v/>
      </c>
      <c r="AQ516" s="3" t="n">
        <v>0</v>
      </c>
      <c r="AR516" s="3" t="n">
        <v>0</v>
      </c>
      <c r="AS516" s="3" t="n">
        <v>-0.670020548738316</v>
      </c>
      <c r="AT516" s="3" t="n">
        <v>-0.2045226422080557</v>
      </c>
      <c r="AU516" s="3">
        <f>SUM(AN516:AT516)</f>
        <v/>
      </c>
      <c r="AV516" s="7">
        <f>IF(OR(N(W516)&lt;=0,N(BG516)=0),0,N(W516)*IF(N(R516)/N(W516)&gt;=60,N(BG516),1))</f>
        <v/>
      </c>
      <c r="AW516" s="7">
        <f>N(W516)*N(AF516)*N(BH516)</f>
        <v/>
      </c>
      <c r="AX516" s="7">
        <f>N(AL516)*(Assumptions!$B$13*N(BJ516)-(1-Assumptions!$B$13)*Assumptions!$B$14)+N(AM516)</f>
        <v/>
      </c>
      <c r="AY516" s="7">
        <f>N(AU516)*N(R516)/90+N(AV516)+N(AW516)+N(AX516)</f>
        <v/>
      </c>
      <c r="AZ516" s="3">
        <f>IF(N(R516)&lt;=0,0,(N(AY516)-N(AX516))*90/N(R516))</f>
        <v/>
      </c>
      <c r="BA516" s="7">
        <f>IFERROR(AY516-VLOOKUP($E516,Assumptions!$A$40:$C$43,3,FALSE),"")</f>
        <v/>
      </c>
      <c r="BB516" s="3">
        <f>IFERROR(BA516/H516,"")</f>
        <v/>
      </c>
      <c r="BC516">
        <f>IF(AND($G516=TRUE,$E516="GKP"),AY516,"")</f>
        <v/>
      </c>
      <c r="BD516">
        <f>IF(AND($G516=TRUE,$E516="DEF"),AY516,"")</f>
        <v/>
      </c>
      <c r="BE516">
        <f>IF(AND($G516=TRUE,$E516="MID"),AY516,"")</f>
        <v/>
      </c>
      <c r="BF516">
        <f>IF(AND($G516=TRUE,$E516="FWD"),AY516,"")</f>
        <v/>
      </c>
      <c r="BG516" t="n">
        <v>2</v>
      </c>
      <c r="BH516" t="n">
        <v>2</v>
      </c>
      <c r="BI516" t="n">
        <v>4</v>
      </c>
      <c r="BJ516" t="n">
        <v>6</v>
      </c>
    </row>
    <row r="517">
      <c r="A517" t="inlineStr">
        <is>
          <t>Marcus Edwards</t>
        </is>
      </c>
      <c r="C517" t="inlineStr">
        <is>
          <t>BUR</t>
        </is>
      </c>
      <c r="D517" t="b">
        <v>0</v>
      </c>
      <c r="F517" t="inlineStr">
        <is>
          <t>MID</t>
        </is>
      </c>
      <c r="G517" t="b">
        <v>0</v>
      </c>
      <c r="H517" s="2" t="n"/>
      <c r="K517" s="2" t="n">
        <v>1064</v>
      </c>
      <c r="M517" s="3" t="n"/>
      <c r="N517" s="8" t="n">
        <v>1064</v>
      </c>
      <c r="O517" s="8" t="n">
        <v>0</v>
      </c>
      <c r="R517" s="6" t="n">
        <v>1064</v>
      </c>
      <c r="S517" t="inlineStr">
        <is>
          <t>25/26 actual</t>
        </is>
      </c>
      <c r="U517" s="6" t="n">
        <v>79.7</v>
      </c>
      <c r="V517" s="2" t="n">
        <v>11</v>
      </c>
      <c r="W517" s="7">
        <f>IF(N(U517)&lt;=0,0,MIN(Assumptions!$B$15,N(R517)/N(U517)))</f>
        <v/>
      </c>
      <c r="X517" s="6" t="n"/>
      <c r="Y517" s="3" t="n">
        <v>0.1195</v>
      </c>
      <c r="Z517" t="inlineStr">
        <is>
          <t>adjusted xGOT</t>
        </is>
      </c>
      <c r="AA517" s="3" t="n">
        <v>1</v>
      </c>
      <c r="AB517" s="3" t="n">
        <v>0.948</v>
      </c>
      <c r="AC517" s="3" t="n">
        <v>1.5</v>
      </c>
      <c r="AD517" s="3" t="n">
        <v>0.2154</v>
      </c>
      <c r="AE517" s="3" t="n">
        <v>6.865</v>
      </c>
      <c r="AF517" s="3" t="n">
        <v>0</v>
      </c>
      <c r="AG517" s="3" t="n">
        <v>0.1692</v>
      </c>
      <c r="AH517" s="3" t="n">
        <v>34</v>
      </c>
      <c r="AI517" s="3" t="n"/>
      <c r="AJ517" s="3" t="n"/>
      <c r="AK517" s="3" t="n"/>
      <c r="AL517" s="6" t="n">
        <v>0</v>
      </c>
      <c r="AM517" s="3" t="n">
        <v>0</v>
      </c>
      <c r="AN517" s="3" t="n">
        <v>0</v>
      </c>
      <c r="AO517" s="3" t="n">
        <v>0</v>
      </c>
      <c r="AP517" s="3">
        <f>N(X517)*N(BI517)</f>
        <v/>
      </c>
      <c r="AQ517" s="3" t="n">
        <v>0</v>
      </c>
      <c r="AR517" s="3" t="n">
        <v>0</v>
      </c>
      <c r="AS517" s="3" t="n">
        <v>0</v>
      </c>
      <c r="AT517" s="3" t="n">
        <v>0</v>
      </c>
      <c r="AU517" s="3">
        <f>SUM(AN517:AT517)</f>
        <v/>
      </c>
      <c r="AV517" s="7">
        <f>IF(OR(N(W517)&lt;=0,N(BG517)=0),0,N(W517)*IF(N(R517)/N(W517)&gt;=60,N(BG517),1))</f>
        <v/>
      </c>
      <c r="AW517" s="7">
        <f>N(W517)*N(AF517)*N(BH517)</f>
        <v/>
      </c>
      <c r="AX517" s="7">
        <f>N(AL517)*(Assumptions!$B$13*N(BJ517)-(1-Assumptions!$B$13)*Assumptions!$B$14)+N(AM517)</f>
        <v/>
      </c>
      <c r="AY517" s="7">
        <f>N(AU517)*N(R517)/90+N(AV517)+N(AW517)+N(AX517)</f>
        <v/>
      </c>
      <c r="AZ517" s="3">
        <f>IF(N(R517)&lt;=0,0,(N(AY517)-N(AX517))*90/N(R517))</f>
        <v/>
      </c>
      <c r="BA517" s="7">
        <f>IFERROR(AY517-VLOOKUP($E517,Assumptions!$A$40:$C$43,3,FALSE),"")</f>
        <v/>
      </c>
      <c r="BB517" s="3">
        <f>IFERROR(BA517/H517,"")</f>
        <v/>
      </c>
      <c r="BC517">
        <f>IF(AND($G517=TRUE,$E517="GKP"),AY517,"")</f>
        <v/>
      </c>
      <c r="BD517">
        <f>IF(AND($G517=TRUE,$E517="DEF"),AY517,"")</f>
        <v/>
      </c>
      <c r="BE517">
        <f>IF(AND($G517=TRUE,$E517="MID"),AY517,"")</f>
        <v/>
      </c>
      <c r="BF517">
        <f>IF(AND($G517=TRUE,$E517="FWD"),AY517,"")</f>
        <v/>
      </c>
      <c r="BG517" t="n">
        <v>0</v>
      </c>
      <c r="BH517" t="n">
        <v>0</v>
      </c>
      <c r="BI517" t="n">
        <v>0</v>
      </c>
      <c r="BJ517" t="n">
        <v>0</v>
      </c>
    </row>
    <row r="518">
      <c r="A518" t="inlineStr">
        <is>
          <t>Haji Wright</t>
        </is>
      </c>
      <c r="B518" t="inlineStr">
        <is>
          <t>COV</t>
        </is>
      </c>
      <c r="D518" t="b">
        <v>0</v>
      </c>
      <c r="E518" t="inlineStr">
        <is>
          <t>FWD</t>
        </is>
      </c>
      <c r="G518" t="b">
        <v>1</v>
      </c>
      <c r="H518" s="2" t="n">
        <v>5.5</v>
      </c>
      <c r="I518" t="inlineStr">
        <is>
          <t>a</t>
        </is>
      </c>
      <c r="K518" s="2" t="n"/>
      <c r="M518" s="3" t="n">
        <v>2656</v>
      </c>
      <c r="N518" s="8" t="n">
        <v>2656</v>
      </c>
      <c r="O518" s="8" t="n">
        <v>0</v>
      </c>
      <c r="Q518" t="inlineStr">
        <is>
          <t>ramp-up (injury / late WC return)</t>
        </is>
      </c>
      <c r="R518" s="6" t="n">
        <v>2656</v>
      </c>
      <c r="S518" t="inlineStr">
        <is>
          <t>Solio</t>
        </is>
      </c>
      <c r="U518" s="6" t="n">
        <v>85</v>
      </c>
      <c r="V518" s="2" t="n"/>
      <c r="W518" s="7">
        <f>IF(N(U518)&lt;=0,0,MIN(Assumptions!$B$15,N(R518)/N(U518)))</f>
        <v/>
      </c>
      <c r="X518" s="6" t="n">
        <v>0.17</v>
      </c>
      <c r="Y518" s="3" t="n"/>
      <c r="Z518" t="inlineStr"/>
      <c r="AA518" s="3" t="n">
        <v>1</v>
      </c>
      <c r="AB518" s="3" t="n"/>
      <c r="AC518" s="3" t="n"/>
      <c r="AD518" s="3" t="n"/>
      <c r="AE518" s="3" t="n"/>
      <c r="AF518" s="3" t="n">
        <v>0</v>
      </c>
      <c r="AG518" s="3" t="n"/>
      <c r="AH518" s="3" t="n"/>
      <c r="AI518" s="3" t="n">
        <v>3.6194</v>
      </c>
      <c r="AJ518" s="3" t="n">
        <v>1.8271</v>
      </c>
      <c r="AK518" s="3" t="n">
        <v>-0.174691292596322</v>
      </c>
      <c r="AL518" s="6" t="n">
        <v>2.593943915640668</v>
      </c>
      <c r="AM518" s="3" t="n">
        <v>0</v>
      </c>
      <c r="AN518" s="3" t="n">
        <v>0</v>
      </c>
      <c r="AO518" s="3" t="n">
        <v>0</v>
      </c>
      <c r="AP518" s="3">
        <f>N(X518)*N(BI518)</f>
        <v/>
      </c>
      <c r="AQ518" s="3" t="n">
        <v>0</v>
      </c>
      <c r="AR518" s="3" t="n">
        <v>0</v>
      </c>
      <c r="AS518" s="3" t="n">
        <v>-0</v>
      </c>
      <c r="AT518" s="3" t="n">
        <v>-0.174691292596322</v>
      </c>
      <c r="AU518" s="3">
        <f>SUM(AN518:AT518)</f>
        <v/>
      </c>
      <c r="AV518" s="7">
        <f>IF(OR(N(W518)&lt;=0,N(BG518)=0),0,N(W518)*IF(N(R518)/N(W518)&gt;=60,N(BG518),1))</f>
        <v/>
      </c>
      <c r="AW518" s="7">
        <f>N(W518)*N(AF518)*N(BH518)</f>
        <v/>
      </c>
      <c r="AX518" s="7">
        <f>N(AL518)*(Assumptions!$B$13*N(BJ518)-(1-Assumptions!$B$13)*Assumptions!$B$14)+N(AM518)</f>
        <v/>
      </c>
      <c r="AY518" s="7">
        <f>N(AU518)*N(R518)/90+N(AV518)+N(AW518)+N(AX518)</f>
        <v/>
      </c>
      <c r="AZ518" s="3">
        <f>IF(N(R518)&lt;=0,0,(N(AY518)-N(AX518))*90/N(R518))</f>
        <v/>
      </c>
      <c r="BA518" s="7">
        <f>IFERROR(AY518-VLOOKUP($E518,Assumptions!$A$40:$C$43,3,FALSE),"")</f>
        <v/>
      </c>
      <c r="BB518" s="3">
        <f>IFERROR(BA518/H518,"")</f>
        <v/>
      </c>
      <c r="BC518">
        <f>IF(AND($G518=TRUE,$E518="GKP"),AY518,"")</f>
        <v/>
      </c>
      <c r="BD518">
        <f>IF(AND($G518=TRUE,$E518="DEF"),AY518,"")</f>
        <v/>
      </c>
      <c r="BE518">
        <f>IF(AND($G518=TRUE,$E518="MID"),AY518,"")</f>
        <v/>
      </c>
      <c r="BF518">
        <f>IF(AND($G518=TRUE,$E518="FWD"),AY518,"")</f>
        <v/>
      </c>
      <c r="BG518" t="n">
        <v>2</v>
      </c>
      <c r="BH518" t="n">
        <v>2</v>
      </c>
      <c r="BI518" t="n">
        <v>0</v>
      </c>
      <c r="BJ518" t="n">
        <v>4</v>
      </c>
    </row>
    <row r="519">
      <c r="A519" t="inlineStr">
        <is>
          <t>Darnell Furlong</t>
        </is>
      </c>
      <c r="B519" t="inlineStr">
        <is>
          <t>IPS</t>
        </is>
      </c>
      <c r="D519" t="b">
        <v>0</v>
      </c>
      <c r="E519" t="inlineStr">
        <is>
          <t>DEF</t>
        </is>
      </c>
      <c r="G519" t="b">
        <v>1</v>
      </c>
      <c r="H519" s="2" t="n">
        <v>4</v>
      </c>
      <c r="I519" t="inlineStr">
        <is>
          <t>a</t>
        </is>
      </c>
      <c r="K519" s="2" t="n"/>
      <c r="M519" s="3" t="n">
        <v>2775</v>
      </c>
      <c r="N519" s="8" t="n">
        <v>2775</v>
      </c>
      <c r="O519" s="8" t="n">
        <v>0</v>
      </c>
      <c r="Q519" t="inlineStr">
        <is>
          <t>flat</t>
        </is>
      </c>
      <c r="R519" s="6" t="n">
        <v>2775</v>
      </c>
      <c r="S519" t="inlineStr">
        <is>
          <t>Solio</t>
        </is>
      </c>
      <c r="U519" s="6" t="n">
        <v>85</v>
      </c>
      <c r="V519" s="2" t="n"/>
      <c r="W519" s="7">
        <f>IF(N(U519)&lt;=0,0,MIN(Assumptions!$B$15,N(R519)/N(U519)))</f>
        <v/>
      </c>
      <c r="X519" s="6" t="n">
        <v>0.17</v>
      </c>
      <c r="Y519" s="3" t="n"/>
      <c r="Z519" t="inlineStr"/>
      <c r="AA519" s="3" t="n">
        <v>1</v>
      </c>
      <c r="AB519" s="3" t="n"/>
      <c r="AC519" s="3" t="n"/>
      <c r="AD519" s="3" t="n"/>
      <c r="AE519" s="3" t="n"/>
      <c r="AF519" s="3" t="n">
        <v>0</v>
      </c>
      <c r="AG519" s="3" t="n"/>
      <c r="AH519" s="3" t="n"/>
      <c r="AI519" s="3" t="n">
        <v>3.5741</v>
      </c>
      <c r="AJ519" s="3" t="n">
        <v>1.8319</v>
      </c>
      <c r="AK519" s="3" t="n">
        <v>-0.2045226422080557</v>
      </c>
      <c r="AL519" s="6" t="n">
        <v>0</v>
      </c>
      <c r="AM519" s="3" t="n">
        <v>0</v>
      </c>
      <c r="AN519" s="3" t="n">
        <v>0</v>
      </c>
      <c r="AO519" s="3" t="n">
        <v>0</v>
      </c>
      <c r="AP519" s="3">
        <f>N(X519)*N(BI519)</f>
        <v/>
      </c>
      <c r="AQ519" s="3" t="n">
        <v>0</v>
      </c>
      <c r="AR519" s="3" t="n">
        <v>0</v>
      </c>
      <c r="AS519" s="3" t="n">
        <v>-0.6723587286814016</v>
      </c>
      <c r="AT519" s="3" t="n">
        <v>-0.2045226422080557</v>
      </c>
      <c r="AU519" s="3">
        <f>SUM(AN519:AT519)</f>
        <v/>
      </c>
      <c r="AV519" s="7">
        <f>IF(OR(N(W519)&lt;=0,N(BG519)=0),0,N(W519)*IF(N(R519)/N(W519)&gt;=60,N(BG519),1))</f>
        <v/>
      </c>
      <c r="AW519" s="7">
        <f>N(W519)*N(AF519)*N(BH519)</f>
        <v/>
      </c>
      <c r="AX519" s="7">
        <f>N(AL519)*(Assumptions!$B$13*N(BJ519)-(1-Assumptions!$B$13)*Assumptions!$B$14)+N(AM519)</f>
        <v/>
      </c>
      <c r="AY519" s="7">
        <f>N(AU519)*N(R519)/90+N(AV519)+N(AW519)+N(AX519)</f>
        <v/>
      </c>
      <c r="AZ519" s="3">
        <f>IF(N(R519)&lt;=0,0,(N(AY519)-N(AX519))*90/N(R519))</f>
        <v/>
      </c>
      <c r="BA519" s="7">
        <f>IFERROR(AY519-VLOOKUP($E519,Assumptions!$A$40:$C$43,3,FALSE),"")</f>
        <v/>
      </c>
      <c r="BB519" s="3">
        <f>IFERROR(BA519/H519,"")</f>
        <v/>
      </c>
      <c r="BC519">
        <f>IF(AND($G519=TRUE,$E519="GKP"),AY519,"")</f>
        <v/>
      </c>
      <c r="BD519">
        <f>IF(AND($G519=TRUE,$E519="DEF"),AY519,"")</f>
        <v/>
      </c>
      <c r="BE519">
        <f>IF(AND($G519=TRUE,$E519="MID"),AY519,"")</f>
        <v/>
      </c>
      <c r="BF519">
        <f>IF(AND($G519=TRUE,$E519="FWD"),AY519,"")</f>
        <v/>
      </c>
      <c r="BG519" t="n">
        <v>2</v>
      </c>
      <c r="BH519" t="n">
        <v>2</v>
      </c>
      <c r="BI519" t="n">
        <v>4</v>
      </c>
      <c r="BJ519" t="n">
        <v>6</v>
      </c>
    </row>
    <row r="520">
      <c r="A520" t="inlineStr">
        <is>
          <t>Jarrod Bowen</t>
        </is>
      </c>
      <c r="C520" t="inlineStr">
        <is>
          <t>WHU</t>
        </is>
      </c>
      <c r="D520" t="b">
        <v>0</v>
      </c>
      <c r="F520" t="inlineStr">
        <is>
          <t>FWD</t>
        </is>
      </c>
      <c r="G520" t="b">
        <v>0</v>
      </c>
      <c r="H520" s="2" t="n"/>
      <c r="K520" s="2" t="n">
        <v>3405</v>
      </c>
      <c r="M520" s="3" t="n"/>
      <c r="N520" s="8" t="n">
        <v>3405</v>
      </c>
      <c r="O520" s="8" t="n">
        <v>0</v>
      </c>
      <c r="R520" s="6" t="n">
        <v>3405</v>
      </c>
      <c r="S520" t="inlineStr">
        <is>
          <t>25/26 actual</t>
        </is>
      </c>
      <c r="U520" s="6" t="n">
        <v>87.3</v>
      </c>
      <c r="V520" s="2" t="n">
        <v>38</v>
      </c>
      <c r="W520" s="7">
        <f>IF(N(U520)&lt;=0,0,MIN(Assumptions!$B$15,N(R520)/N(U520)))</f>
        <v/>
      </c>
      <c r="X520" s="6" t="n"/>
      <c r="Y520" s="3" t="n">
        <v>0.1842</v>
      </c>
      <c r="Z520" t="inlineStr">
        <is>
          <t>adjusted xGOT</t>
        </is>
      </c>
      <c r="AA520" s="3" t="n">
        <v>0.908</v>
      </c>
      <c r="AB520" s="3" t="n">
        <v>1.063</v>
      </c>
      <c r="AC520" s="3" t="n">
        <v>37.2</v>
      </c>
      <c r="AD520" s="3" t="n">
        <v>0.2229</v>
      </c>
      <c r="AE520" s="3" t="n">
        <v>6.966</v>
      </c>
      <c r="AF520" s="3" t="n">
        <v>0</v>
      </c>
      <c r="AG520" s="3" t="n">
        <v>0.7401</v>
      </c>
      <c r="AH520" s="3" t="n">
        <v>76</v>
      </c>
      <c r="AI520" s="3" t="n"/>
      <c r="AJ520" s="3" t="n"/>
      <c r="AK520" s="3" t="n"/>
      <c r="AL520" s="6" t="n">
        <v>0</v>
      </c>
      <c r="AM520" s="3" t="n">
        <v>0</v>
      </c>
      <c r="AN520" s="3" t="n">
        <v>0</v>
      </c>
      <c r="AO520" s="3" t="n">
        <v>0</v>
      </c>
      <c r="AP520" s="3">
        <f>N(X520)*N(BI520)</f>
        <v/>
      </c>
      <c r="AQ520" s="3" t="n">
        <v>0</v>
      </c>
      <c r="AR520" s="3" t="n">
        <v>0</v>
      </c>
      <c r="AS520" s="3" t="n">
        <v>0</v>
      </c>
      <c r="AT520" s="3" t="n">
        <v>0</v>
      </c>
      <c r="AU520" s="3">
        <f>SUM(AN520:AT520)</f>
        <v/>
      </c>
      <c r="AV520" s="7">
        <f>IF(OR(N(W520)&lt;=0,N(BG520)=0),0,N(W520)*IF(N(R520)/N(W520)&gt;=60,N(BG520),1))</f>
        <v/>
      </c>
      <c r="AW520" s="7">
        <f>N(W520)*N(AF520)*N(BH520)</f>
        <v/>
      </c>
      <c r="AX520" s="7">
        <f>N(AL520)*(Assumptions!$B$13*N(BJ520)-(1-Assumptions!$B$13)*Assumptions!$B$14)+N(AM520)</f>
        <v/>
      </c>
      <c r="AY520" s="7">
        <f>N(AU520)*N(R520)/90+N(AV520)+N(AW520)+N(AX520)</f>
        <v/>
      </c>
      <c r="AZ520" s="3">
        <f>IF(N(R520)&lt;=0,0,(N(AY520)-N(AX520))*90/N(R520))</f>
        <v/>
      </c>
      <c r="BA520" s="7">
        <f>IFERROR(AY520-VLOOKUP($E520,Assumptions!$A$40:$C$43,3,FALSE),"")</f>
        <v/>
      </c>
      <c r="BB520" s="3">
        <f>IFERROR(BA520/H520,"")</f>
        <v/>
      </c>
      <c r="BC520">
        <f>IF(AND($G520=TRUE,$E520="GKP"),AY520,"")</f>
        <v/>
      </c>
      <c r="BD520">
        <f>IF(AND($G520=TRUE,$E520="DEF"),AY520,"")</f>
        <v/>
      </c>
      <c r="BE520">
        <f>IF(AND($G520=TRUE,$E520="MID"),AY520,"")</f>
        <v/>
      </c>
      <c r="BF520">
        <f>IF(AND($G520=TRUE,$E520="FWD"),AY520,"")</f>
        <v/>
      </c>
      <c r="BG520" t="n">
        <v>0</v>
      </c>
      <c r="BH520" t="n">
        <v>0</v>
      </c>
      <c r="BI520" t="n">
        <v>0</v>
      </c>
      <c r="BJ520" t="n">
        <v>0</v>
      </c>
    </row>
    <row r="521">
      <c r="A521" t="inlineStr">
        <is>
          <t>Marc Cucurella</t>
        </is>
      </c>
      <c r="C521" t="inlineStr">
        <is>
          <t>CHE</t>
        </is>
      </c>
      <c r="D521" t="b">
        <v>0</v>
      </c>
      <c r="F521" t="inlineStr">
        <is>
          <t>DEF</t>
        </is>
      </c>
      <c r="G521" t="b">
        <v>0</v>
      </c>
      <c r="H521" s="2" t="n"/>
      <c r="K521" s="2" t="n">
        <v>2710</v>
      </c>
      <c r="M521" s="3" t="n"/>
      <c r="N521" s="8" t="n">
        <v>2710</v>
      </c>
      <c r="O521" s="8" t="n">
        <v>0</v>
      </c>
      <c r="R521" s="6" t="n">
        <v>2710</v>
      </c>
      <c r="S521" t="inlineStr">
        <is>
          <t>25/26 actual</t>
        </is>
      </c>
      <c r="U521" s="6" t="n">
        <v>86</v>
      </c>
      <c r="V521" s="2" t="n">
        <v>30</v>
      </c>
      <c r="W521" s="7">
        <f>IF(N(U521)&lt;=0,0,MIN(Assumptions!$B$15,N(R521)/N(U521)))</f>
        <v/>
      </c>
      <c r="X521" s="6" t="n"/>
      <c r="Y521" s="3" t="n">
        <v>0.081</v>
      </c>
      <c r="Z521" t="inlineStr">
        <is>
          <t>adjusted xGOT</t>
        </is>
      </c>
      <c r="AA521" s="3" t="n">
        <v>1</v>
      </c>
      <c r="AB521" s="3" t="n">
        <v>1.043</v>
      </c>
      <c r="AC521" s="3" t="n">
        <v>6.7</v>
      </c>
      <c r="AD521" s="3" t="n">
        <v>0.1508</v>
      </c>
      <c r="AE521" s="3" t="n">
        <v>6.396</v>
      </c>
      <c r="AF521" s="3" t="n">
        <v>0</v>
      </c>
      <c r="AG521" s="3" t="n">
        <v>0.1328</v>
      </c>
      <c r="AH521" s="3" t="n">
        <v>63</v>
      </c>
      <c r="AI521" s="3" t="n"/>
      <c r="AJ521" s="3" t="n"/>
      <c r="AK521" s="3" t="n"/>
      <c r="AL521" s="6" t="n">
        <v>0</v>
      </c>
      <c r="AM521" s="3" t="n">
        <v>0</v>
      </c>
      <c r="AN521" s="3" t="n">
        <v>0</v>
      </c>
      <c r="AO521" s="3" t="n">
        <v>0</v>
      </c>
      <c r="AP521" s="3">
        <f>N(X521)*N(BI521)</f>
        <v/>
      </c>
      <c r="AQ521" s="3" t="n">
        <v>0</v>
      </c>
      <c r="AR521" s="3" t="n">
        <v>0</v>
      </c>
      <c r="AS521" s="3" t="n">
        <v>0</v>
      </c>
      <c r="AT521" s="3" t="n">
        <v>0</v>
      </c>
      <c r="AU521" s="3">
        <f>SUM(AN521:AT521)</f>
        <v/>
      </c>
      <c r="AV521" s="7">
        <f>IF(OR(N(W521)&lt;=0,N(BG521)=0),0,N(W521)*IF(N(R521)/N(W521)&gt;=60,N(BG521),1))</f>
        <v/>
      </c>
      <c r="AW521" s="7">
        <f>N(W521)*N(AF521)*N(BH521)</f>
        <v/>
      </c>
      <c r="AX521" s="7">
        <f>N(AL521)*(Assumptions!$B$13*N(BJ521)-(1-Assumptions!$B$13)*Assumptions!$B$14)+N(AM521)</f>
        <v/>
      </c>
      <c r="AY521" s="7">
        <f>N(AU521)*N(R521)/90+N(AV521)+N(AW521)+N(AX521)</f>
        <v/>
      </c>
      <c r="AZ521" s="3">
        <f>IF(N(R521)&lt;=0,0,(N(AY521)-N(AX521))*90/N(R521))</f>
        <v/>
      </c>
      <c r="BA521" s="7">
        <f>IFERROR(AY521-VLOOKUP($E521,Assumptions!$A$40:$C$43,3,FALSE),"")</f>
        <v/>
      </c>
      <c r="BB521" s="3">
        <f>IFERROR(BA521/H521,"")</f>
        <v/>
      </c>
      <c r="BC521">
        <f>IF(AND($G521=TRUE,$E521="GKP"),AY521,"")</f>
        <v/>
      </c>
      <c r="BD521">
        <f>IF(AND($G521=TRUE,$E521="DEF"),AY521,"")</f>
        <v/>
      </c>
      <c r="BE521">
        <f>IF(AND($G521=TRUE,$E521="MID"),AY521,"")</f>
        <v/>
      </c>
      <c r="BF521">
        <f>IF(AND($G521=TRUE,$E521="FWD"),AY521,"")</f>
        <v/>
      </c>
      <c r="BG521" t="n">
        <v>0</v>
      </c>
      <c r="BH521" t="n">
        <v>0</v>
      </c>
      <c r="BI521" t="n">
        <v>0</v>
      </c>
      <c r="BJ521" t="n">
        <v>0</v>
      </c>
    </row>
    <row r="522">
      <c r="A522" t="inlineStr">
        <is>
          <t>Jacob Bruun Larsen</t>
        </is>
      </c>
      <c r="C522" t="inlineStr">
        <is>
          <t>BUR</t>
        </is>
      </c>
      <c r="D522" t="b">
        <v>0</v>
      </c>
      <c r="F522" t="inlineStr">
        <is>
          <t>MID</t>
        </is>
      </c>
      <c r="G522" t="b">
        <v>0</v>
      </c>
      <c r="H522" s="2" t="n"/>
      <c r="K522" s="2" t="n">
        <v>1023</v>
      </c>
      <c r="M522" s="3" t="n"/>
      <c r="N522" s="8" t="n">
        <v>1023</v>
      </c>
      <c r="O522" s="8" t="n">
        <v>0</v>
      </c>
      <c r="R522" s="6" t="n">
        <v>1023</v>
      </c>
      <c r="S522" t="inlineStr">
        <is>
          <t>25/26 actual</t>
        </is>
      </c>
      <c r="U522" s="6" t="n">
        <v>73.59999999999999</v>
      </c>
      <c r="V522" s="2" t="n">
        <v>10</v>
      </c>
      <c r="W522" s="7">
        <f>IF(N(U522)&lt;=0,0,MIN(Assumptions!$B$15,N(R522)/N(U522)))</f>
        <v/>
      </c>
      <c r="X522" s="6" t="n"/>
      <c r="Y522" s="3" t="n">
        <v>0.1169</v>
      </c>
      <c r="Z522" t="inlineStr">
        <is>
          <t>adjusted xGOT</t>
        </is>
      </c>
      <c r="AA522" s="3" t="n">
        <v>1</v>
      </c>
      <c r="AB522" s="3" t="n">
        <v>0.97</v>
      </c>
      <c r="AC522" s="3" t="n">
        <v>6</v>
      </c>
      <c r="AD522" s="3" t="n">
        <v>0.1213</v>
      </c>
      <c r="AE522" s="3" t="n">
        <v>6.831</v>
      </c>
      <c r="AF522" s="3" t="n">
        <v>0</v>
      </c>
      <c r="AG522" s="3" t="n">
        <v>0</v>
      </c>
      <c r="AH522" s="3" t="n">
        <v>35</v>
      </c>
      <c r="AI522" s="3" t="n"/>
      <c r="AJ522" s="3" t="n"/>
      <c r="AK522" s="3" t="n"/>
      <c r="AL522" s="6" t="n">
        <v>0</v>
      </c>
      <c r="AM522" s="3" t="n">
        <v>0</v>
      </c>
      <c r="AN522" s="3" t="n">
        <v>0</v>
      </c>
      <c r="AO522" s="3" t="n">
        <v>0</v>
      </c>
      <c r="AP522" s="3">
        <f>N(X522)*N(BI522)</f>
        <v/>
      </c>
      <c r="AQ522" s="3" t="n">
        <v>0</v>
      </c>
      <c r="AR522" s="3" t="n">
        <v>0</v>
      </c>
      <c r="AS522" s="3" t="n">
        <v>0</v>
      </c>
      <c r="AT522" s="3" t="n">
        <v>0</v>
      </c>
      <c r="AU522" s="3">
        <f>SUM(AN522:AT522)</f>
        <v/>
      </c>
      <c r="AV522" s="7">
        <f>IF(OR(N(W522)&lt;=0,N(BG522)=0),0,N(W522)*IF(N(R522)/N(W522)&gt;=60,N(BG522),1))</f>
        <v/>
      </c>
      <c r="AW522" s="7">
        <f>N(W522)*N(AF522)*N(BH522)</f>
        <v/>
      </c>
      <c r="AX522" s="7">
        <f>N(AL522)*(Assumptions!$B$13*N(BJ522)-(1-Assumptions!$B$13)*Assumptions!$B$14)+N(AM522)</f>
        <v/>
      </c>
      <c r="AY522" s="7">
        <f>N(AU522)*N(R522)/90+N(AV522)+N(AW522)+N(AX522)</f>
        <v/>
      </c>
      <c r="AZ522" s="3">
        <f>IF(N(R522)&lt;=0,0,(N(AY522)-N(AX522))*90/N(R522))</f>
        <v/>
      </c>
      <c r="BA522" s="7">
        <f>IFERROR(AY522-VLOOKUP($E522,Assumptions!$A$40:$C$43,3,FALSE),"")</f>
        <v/>
      </c>
      <c r="BB522" s="3">
        <f>IFERROR(BA522/H522,"")</f>
        <v/>
      </c>
      <c r="BC522">
        <f>IF(AND($G522=TRUE,$E522="GKP"),AY522,"")</f>
        <v/>
      </c>
      <c r="BD522">
        <f>IF(AND($G522=TRUE,$E522="DEF"),AY522,"")</f>
        <v/>
      </c>
      <c r="BE522">
        <f>IF(AND($G522=TRUE,$E522="MID"),AY522,"")</f>
        <v/>
      </c>
      <c r="BF522">
        <f>IF(AND($G522=TRUE,$E522="FWD"),AY522,"")</f>
        <v/>
      </c>
      <c r="BG522" t="n">
        <v>0</v>
      </c>
      <c r="BH522" t="n">
        <v>0</v>
      </c>
      <c r="BI522" t="n">
        <v>0</v>
      </c>
      <c r="BJ522" t="n">
        <v>0</v>
      </c>
    </row>
    <row r="523">
      <c r="A523" t="inlineStr">
        <is>
          <t>Axel Tuanzebe</t>
        </is>
      </c>
      <c r="C523" t="inlineStr">
        <is>
          <t>BUR</t>
        </is>
      </c>
      <c r="D523" t="b">
        <v>0</v>
      </c>
      <c r="F523" t="inlineStr">
        <is>
          <t>DEF</t>
        </is>
      </c>
      <c r="G523" t="b">
        <v>0</v>
      </c>
      <c r="H523" s="2" t="n"/>
      <c r="K523" s="2" t="n">
        <v>1202</v>
      </c>
      <c r="M523" s="3" t="n"/>
      <c r="N523" s="8" t="n">
        <v>1202</v>
      </c>
      <c r="O523" s="8" t="n">
        <v>0</v>
      </c>
      <c r="R523" s="6" t="n">
        <v>1202</v>
      </c>
      <c r="S523" t="inlineStr">
        <is>
          <t>25/26 actual</t>
        </is>
      </c>
      <c r="U523" s="6" t="n">
        <v>85.7</v>
      </c>
      <c r="V523" s="2" t="n">
        <v>14</v>
      </c>
      <c r="W523" s="7">
        <f>IF(N(U523)&lt;=0,0,MIN(Assumptions!$B$15,N(R523)/N(U523)))</f>
        <v/>
      </c>
      <c r="X523" s="6" t="n"/>
      <c r="Y523" s="3" t="n">
        <v>0.0461</v>
      </c>
      <c r="Z523" t="inlineStr">
        <is>
          <t>adjusted xGOT</t>
        </is>
      </c>
      <c r="AA523" s="3" t="n">
        <v>1</v>
      </c>
      <c r="AB523" s="3" t="n">
        <v>1.009</v>
      </c>
      <c r="AC523" s="3" t="n">
        <v>0.8</v>
      </c>
      <c r="AD523" s="3" t="n">
        <v>0</v>
      </c>
      <c r="AE523" s="3" t="n">
        <v>8.502000000000001</v>
      </c>
      <c r="AF523" s="3" t="n">
        <v>0</v>
      </c>
      <c r="AG523" s="3" t="n">
        <v>0</v>
      </c>
      <c r="AH523" s="3" t="n">
        <v>27</v>
      </c>
      <c r="AI523" s="3" t="n"/>
      <c r="AJ523" s="3" t="n"/>
      <c r="AK523" s="3" t="n"/>
      <c r="AL523" s="6" t="n">
        <v>0</v>
      </c>
      <c r="AM523" s="3" t="n">
        <v>0</v>
      </c>
      <c r="AN523" s="3" t="n">
        <v>0</v>
      </c>
      <c r="AO523" s="3" t="n">
        <v>0</v>
      </c>
      <c r="AP523" s="3">
        <f>N(X523)*N(BI523)</f>
        <v/>
      </c>
      <c r="AQ523" s="3" t="n">
        <v>0</v>
      </c>
      <c r="AR523" s="3" t="n">
        <v>0</v>
      </c>
      <c r="AS523" s="3" t="n">
        <v>0</v>
      </c>
      <c r="AT523" s="3" t="n">
        <v>0</v>
      </c>
      <c r="AU523" s="3">
        <f>SUM(AN523:AT523)</f>
        <v/>
      </c>
      <c r="AV523" s="7">
        <f>IF(OR(N(W523)&lt;=0,N(BG523)=0),0,N(W523)*IF(N(R523)/N(W523)&gt;=60,N(BG523),1))</f>
        <v/>
      </c>
      <c r="AW523" s="7">
        <f>N(W523)*N(AF523)*N(BH523)</f>
        <v/>
      </c>
      <c r="AX523" s="7">
        <f>N(AL523)*(Assumptions!$B$13*N(BJ523)-(1-Assumptions!$B$13)*Assumptions!$B$14)+N(AM523)</f>
        <v/>
      </c>
      <c r="AY523" s="7">
        <f>N(AU523)*N(R523)/90+N(AV523)+N(AW523)+N(AX523)</f>
        <v/>
      </c>
      <c r="AZ523" s="3">
        <f>IF(N(R523)&lt;=0,0,(N(AY523)-N(AX523))*90/N(R523))</f>
        <v/>
      </c>
      <c r="BA523" s="7">
        <f>IFERROR(AY523-VLOOKUP($E523,Assumptions!$A$40:$C$43,3,FALSE),"")</f>
        <v/>
      </c>
      <c r="BB523" s="3">
        <f>IFERROR(BA523/H523,"")</f>
        <v/>
      </c>
      <c r="BC523">
        <f>IF(AND($G523=TRUE,$E523="GKP"),AY523,"")</f>
        <v/>
      </c>
      <c r="BD523">
        <f>IF(AND($G523=TRUE,$E523="DEF"),AY523,"")</f>
        <v/>
      </c>
      <c r="BE523">
        <f>IF(AND($G523=TRUE,$E523="MID"),AY523,"")</f>
        <v/>
      </c>
      <c r="BF523">
        <f>IF(AND($G523=TRUE,$E523="FWD"),AY523,"")</f>
        <v/>
      </c>
      <c r="BG523" t="n">
        <v>0</v>
      </c>
      <c r="BH523" t="n">
        <v>0</v>
      </c>
      <c r="BI523" t="n">
        <v>0</v>
      </c>
      <c r="BJ523" t="n">
        <v>0</v>
      </c>
    </row>
    <row r="524">
      <c r="A524" t="inlineStr">
        <is>
          <t>Cédric Kipré</t>
        </is>
      </c>
      <c r="B524" t="inlineStr">
        <is>
          <t>IPS</t>
        </is>
      </c>
      <c r="D524" t="b">
        <v>0</v>
      </c>
      <c r="E524" t="inlineStr">
        <is>
          <t>DEF</t>
        </is>
      </c>
      <c r="G524" t="b">
        <v>1</v>
      </c>
      <c r="H524" s="2" t="n">
        <v>4</v>
      </c>
      <c r="I524" t="inlineStr">
        <is>
          <t>a</t>
        </is>
      </c>
      <c r="K524" s="2" t="n"/>
      <c r="M524" s="3" t="n">
        <v>193</v>
      </c>
      <c r="N524" s="8" t="n">
        <v>193</v>
      </c>
      <c r="O524" s="8" t="n">
        <v>0</v>
      </c>
      <c r="Q524" t="inlineStr">
        <is>
          <t>flat</t>
        </is>
      </c>
      <c r="R524" s="6" t="n">
        <v>193</v>
      </c>
      <c r="S524" t="inlineStr">
        <is>
          <t>Solio</t>
        </is>
      </c>
      <c r="U524" s="6" t="n">
        <v>85</v>
      </c>
      <c r="V524" s="2" t="n"/>
      <c r="W524" s="7">
        <f>IF(N(U524)&lt;=0,0,MIN(Assumptions!$B$15,N(R524)/N(U524)))</f>
        <v/>
      </c>
      <c r="X524" s="6" t="n">
        <v>0.17</v>
      </c>
      <c r="Y524" s="3" t="n"/>
      <c r="Z524" t="inlineStr"/>
      <c r="AA524" s="3" t="n">
        <v>1</v>
      </c>
      <c r="AB524" s="3" t="n"/>
      <c r="AC524" s="3" t="n"/>
      <c r="AD524" s="3" t="n"/>
      <c r="AE524" s="3" t="n"/>
      <c r="AF524" s="3" t="n">
        <v>0</v>
      </c>
      <c r="AG524" s="3" t="n"/>
      <c r="AH524" s="3" t="n"/>
      <c r="AI524" s="3" t="n">
        <v>3.5741</v>
      </c>
      <c r="AJ524" s="3" t="n">
        <v>1.8319</v>
      </c>
      <c r="AK524" s="3" t="n">
        <v>-0.2045226422080557</v>
      </c>
      <c r="AL524" s="6" t="n">
        <v>0</v>
      </c>
      <c r="AM524" s="3" t="n">
        <v>0</v>
      </c>
      <c r="AN524" s="3" t="n">
        <v>0</v>
      </c>
      <c r="AO524" s="3" t="n">
        <v>0</v>
      </c>
      <c r="AP524" s="3">
        <f>N(X524)*N(BI524)</f>
        <v/>
      </c>
      <c r="AQ524" s="3" t="n">
        <v>0</v>
      </c>
      <c r="AR524" s="3" t="n">
        <v>0</v>
      </c>
      <c r="AS524" s="3" t="n">
        <v>-0.6723587286814016</v>
      </c>
      <c r="AT524" s="3" t="n">
        <v>-0.2045226422080557</v>
      </c>
      <c r="AU524" s="3">
        <f>SUM(AN524:AT524)</f>
        <v/>
      </c>
      <c r="AV524" s="7">
        <f>IF(OR(N(W524)&lt;=0,N(BG524)=0),0,N(W524)*IF(N(R524)/N(W524)&gt;=60,N(BG524),1))</f>
        <v/>
      </c>
      <c r="AW524" s="7">
        <f>N(W524)*N(AF524)*N(BH524)</f>
        <v/>
      </c>
      <c r="AX524" s="7">
        <f>N(AL524)*(Assumptions!$B$13*N(BJ524)-(1-Assumptions!$B$13)*Assumptions!$B$14)+N(AM524)</f>
        <v/>
      </c>
      <c r="AY524" s="7">
        <f>N(AU524)*N(R524)/90+N(AV524)+N(AW524)+N(AX524)</f>
        <v/>
      </c>
      <c r="AZ524" s="3">
        <f>IF(N(R524)&lt;=0,0,(N(AY524)-N(AX524))*90/N(R524))</f>
        <v/>
      </c>
      <c r="BA524" s="7">
        <f>IFERROR(AY524-VLOOKUP($E524,Assumptions!$A$40:$C$43,3,FALSE),"")</f>
        <v/>
      </c>
      <c r="BB524" s="3">
        <f>IFERROR(BA524/H524,"")</f>
        <v/>
      </c>
      <c r="BC524">
        <f>IF(AND($G524=TRUE,$E524="GKP"),AY524,"")</f>
        <v/>
      </c>
      <c r="BD524">
        <f>IF(AND($G524=TRUE,$E524="DEF"),AY524,"")</f>
        <v/>
      </c>
      <c r="BE524">
        <f>IF(AND($G524=TRUE,$E524="MID"),AY524,"")</f>
        <v/>
      </c>
      <c r="BF524">
        <f>IF(AND($G524=TRUE,$E524="FWD"),AY524,"")</f>
        <v/>
      </c>
      <c r="BG524" t="n">
        <v>2</v>
      </c>
      <c r="BH524" t="n">
        <v>2</v>
      </c>
      <c r="BI524" t="n">
        <v>4</v>
      </c>
      <c r="BJ524" t="n">
        <v>6</v>
      </c>
    </row>
    <row r="525">
      <c r="A525" t="inlineStr">
        <is>
          <t>Hwang Hee-Chan</t>
        </is>
      </c>
      <c r="C525" t="inlineStr">
        <is>
          <t>WOL</t>
        </is>
      </c>
      <c r="D525" t="b">
        <v>0</v>
      </c>
      <c r="F525" t="inlineStr">
        <is>
          <t>MID</t>
        </is>
      </c>
      <c r="G525" t="b">
        <v>0</v>
      </c>
      <c r="H525" s="2" t="n"/>
      <c r="K525" s="2" t="n">
        <v>1452</v>
      </c>
      <c r="M525" s="3" t="n"/>
      <c r="N525" s="8" t="n">
        <v>1452</v>
      </c>
      <c r="O525" s="8" t="n">
        <v>0</v>
      </c>
      <c r="R525" s="6" t="n">
        <v>1452</v>
      </c>
      <c r="S525" t="inlineStr">
        <is>
          <t>25/26 actual</t>
        </is>
      </c>
      <c r="U525" s="6" t="n">
        <v>75.40000000000001</v>
      </c>
      <c r="V525" s="2" t="n">
        <v>18</v>
      </c>
      <c r="W525" s="7">
        <f>IF(N(U525)&lt;=0,0,MIN(Assumptions!$B$15,N(R525)/N(U525)))</f>
        <v/>
      </c>
      <c r="X525" s="6" t="n"/>
      <c r="Y525" s="3" t="n">
        <v>0.1012</v>
      </c>
      <c r="Z525" t="inlineStr">
        <is>
          <t>adjusted xGOT</t>
        </is>
      </c>
      <c r="AA525" s="3" t="n">
        <v>0.714</v>
      </c>
      <c r="AB525" s="3" t="n">
        <v>0.965</v>
      </c>
      <c r="AC525" s="3" t="n">
        <v>13.7</v>
      </c>
      <c r="AD525" s="3" t="n">
        <v>0.1166</v>
      </c>
      <c r="AE525" s="3" t="n">
        <v>6.862</v>
      </c>
      <c r="AF525" s="3" t="n">
        <v>0</v>
      </c>
      <c r="AG525" s="3" t="n">
        <v>0</v>
      </c>
      <c r="AH525" s="3" t="n">
        <v>41</v>
      </c>
      <c r="AI525" s="3" t="n"/>
      <c r="AJ525" s="3" t="n"/>
      <c r="AK525" s="3" t="n"/>
      <c r="AL525" s="6" t="n">
        <v>0</v>
      </c>
      <c r="AM525" s="3" t="n">
        <v>0</v>
      </c>
      <c r="AN525" s="3" t="n">
        <v>0</v>
      </c>
      <c r="AO525" s="3" t="n">
        <v>0</v>
      </c>
      <c r="AP525" s="3">
        <f>N(X525)*N(BI525)</f>
        <v/>
      </c>
      <c r="AQ525" s="3" t="n">
        <v>0</v>
      </c>
      <c r="AR525" s="3" t="n">
        <v>0</v>
      </c>
      <c r="AS525" s="3" t="n">
        <v>0</v>
      </c>
      <c r="AT525" s="3" t="n">
        <v>0</v>
      </c>
      <c r="AU525" s="3">
        <f>SUM(AN525:AT525)</f>
        <v/>
      </c>
      <c r="AV525" s="7">
        <f>IF(OR(N(W525)&lt;=0,N(BG525)=0),0,N(W525)*IF(N(R525)/N(W525)&gt;=60,N(BG525),1))</f>
        <v/>
      </c>
      <c r="AW525" s="7">
        <f>N(W525)*N(AF525)*N(BH525)</f>
        <v/>
      </c>
      <c r="AX525" s="7">
        <f>N(AL525)*(Assumptions!$B$13*N(BJ525)-(1-Assumptions!$B$13)*Assumptions!$B$14)+N(AM525)</f>
        <v/>
      </c>
      <c r="AY525" s="7">
        <f>N(AU525)*N(R525)/90+N(AV525)+N(AW525)+N(AX525)</f>
        <v/>
      </c>
      <c r="AZ525" s="3">
        <f>IF(N(R525)&lt;=0,0,(N(AY525)-N(AX525))*90/N(R525))</f>
        <v/>
      </c>
      <c r="BA525" s="7">
        <f>IFERROR(AY525-VLOOKUP($E525,Assumptions!$A$40:$C$43,3,FALSE),"")</f>
        <v/>
      </c>
      <c r="BB525" s="3">
        <f>IFERROR(BA525/H525,"")</f>
        <v/>
      </c>
      <c r="BC525">
        <f>IF(AND($G525=TRUE,$E525="GKP"),AY525,"")</f>
        <v/>
      </c>
      <c r="BD525">
        <f>IF(AND($G525=TRUE,$E525="DEF"),AY525,"")</f>
        <v/>
      </c>
      <c r="BE525">
        <f>IF(AND($G525=TRUE,$E525="MID"),AY525,"")</f>
        <v/>
      </c>
      <c r="BF525">
        <f>IF(AND($G525=TRUE,$E525="FWD"),AY525,"")</f>
        <v/>
      </c>
      <c r="BG525" t="n">
        <v>0</v>
      </c>
      <c r="BH525" t="n">
        <v>0</v>
      </c>
      <c r="BI525" t="n">
        <v>0</v>
      </c>
      <c r="BJ525" t="n">
        <v>0</v>
      </c>
    </row>
    <row r="526">
      <c r="A526" t="inlineStr">
        <is>
          <t>Lewie Coyle</t>
        </is>
      </c>
      <c r="B526" t="inlineStr">
        <is>
          <t>HUL</t>
        </is>
      </c>
      <c r="D526" t="b">
        <v>0</v>
      </c>
      <c r="E526" t="inlineStr">
        <is>
          <t>DEF</t>
        </is>
      </c>
      <c r="G526" t="b">
        <v>1</v>
      </c>
      <c r="H526" s="2" t="n">
        <v>4</v>
      </c>
      <c r="I526" t="inlineStr">
        <is>
          <t>a</t>
        </is>
      </c>
      <c r="K526" s="2" t="n"/>
      <c r="M526" s="3" t="n">
        <v>2833</v>
      </c>
      <c r="N526" s="8" t="n">
        <v>2833</v>
      </c>
      <c r="O526" s="8" t="n">
        <v>0</v>
      </c>
      <c r="Q526" t="inlineStr">
        <is>
          <t>flat</t>
        </is>
      </c>
      <c r="R526" s="6" t="n">
        <v>2833</v>
      </c>
      <c r="S526" t="inlineStr">
        <is>
          <t>Solio</t>
        </is>
      </c>
      <c r="U526" s="6" t="n">
        <v>85</v>
      </c>
      <c r="V526" s="2" t="n"/>
      <c r="W526" s="7">
        <f>IF(N(U526)&lt;=0,0,MIN(Assumptions!$B$15,N(R526)/N(U526)))</f>
        <v/>
      </c>
      <c r="X526" s="6" t="n">
        <v>0.143</v>
      </c>
      <c r="Y526" s="3" t="n"/>
      <c r="Z526" t="inlineStr"/>
      <c r="AA526" s="3" t="n">
        <v>1</v>
      </c>
      <c r="AB526" s="3" t="n"/>
      <c r="AC526" s="3" t="n"/>
      <c r="AD526" s="3" t="n"/>
      <c r="AE526" s="3" t="n"/>
      <c r="AF526" s="3" t="n">
        <v>0</v>
      </c>
      <c r="AG526" s="3" t="n"/>
      <c r="AH526" s="3" t="n"/>
      <c r="AI526" s="3" t="n">
        <v>3.9421</v>
      </c>
      <c r="AJ526" s="3" t="n">
        <v>1.99</v>
      </c>
      <c r="AK526" s="3" t="n">
        <v>-0.2045226422080557</v>
      </c>
      <c r="AL526" s="6" t="n">
        <v>0</v>
      </c>
      <c r="AM526" s="3" t="n">
        <v>0</v>
      </c>
      <c r="AN526" s="3" t="n">
        <v>0</v>
      </c>
      <c r="AO526" s="3" t="n">
        <v>0</v>
      </c>
      <c r="AP526" s="3">
        <f>N(X526)*N(BI526)</f>
        <v/>
      </c>
      <c r="AQ526" s="3" t="n">
        <v>0</v>
      </c>
      <c r="AR526" s="3" t="n">
        <v>0</v>
      </c>
      <c r="AS526" s="3" t="n">
        <v>-0.7496714098286652</v>
      </c>
      <c r="AT526" s="3" t="n">
        <v>-0.2045226422080557</v>
      </c>
      <c r="AU526" s="3">
        <f>SUM(AN526:AT526)</f>
        <v/>
      </c>
      <c r="AV526" s="7">
        <f>IF(OR(N(W526)&lt;=0,N(BG526)=0),0,N(W526)*IF(N(R526)/N(W526)&gt;=60,N(BG526),1))</f>
        <v/>
      </c>
      <c r="AW526" s="7">
        <f>N(W526)*N(AF526)*N(BH526)</f>
        <v/>
      </c>
      <c r="AX526" s="7">
        <f>N(AL526)*(Assumptions!$B$13*N(BJ526)-(1-Assumptions!$B$13)*Assumptions!$B$14)+N(AM526)</f>
        <v/>
      </c>
      <c r="AY526" s="7">
        <f>N(AU526)*N(R526)/90+N(AV526)+N(AW526)+N(AX526)</f>
        <v/>
      </c>
      <c r="AZ526" s="3">
        <f>IF(N(R526)&lt;=0,0,(N(AY526)-N(AX526))*90/N(R526))</f>
        <v/>
      </c>
      <c r="BA526" s="7">
        <f>IFERROR(AY526-VLOOKUP($E526,Assumptions!$A$40:$C$43,3,FALSE),"")</f>
        <v/>
      </c>
      <c r="BB526" s="3">
        <f>IFERROR(BA526/H526,"")</f>
        <v/>
      </c>
      <c r="BC526">
        <f>IF(AND($G526=TRUE,$E526="GKP"),AY526,"")</f>
        <v/>
      </c>
      <c r="BD526">
        <f>IF(AND($G526=TRUE,$E526="DEF"),AY526,"")</f>
        <v/>
      </c>
      <c r="BE526">
        <f>IF(AND($G526=TRUE,$E526="MID"),AY526,"")</f>
        <v/>
      </c>
      <c r="BF526">
        <f>IF(AND($G526=TRUE,$E526="FWD"),AY526,"")</f>
        <v/>
      </c>
      <c r="BG526" t="n">
        <v>2</v>
      </c>
      <c r="BH526" t="n">
        <v>2</v>
      </c>
      <c r="BI526" t="n">
        <v>4</v>
      </c>
      <c r="BJ526" t="n">
        <v>6</v>
      </c>
    </row>
    <row r="527">
      <c r="A527" t="inlineStr">
        <is>
          <t>Gustavo Hamer</t>
        </is>
      </c>
      <c r="B527" t="inlineStr">
        <is>
          <t>COV</t>
        </is>
      </c>
      <c r="D527" t="b">
        <v>0</v>
      </c>
      <c r="E527" t="inlineStr">
        <is>
          <t>MID</t>
        </is>
      </c>
      <c r="G527" t="b">
        <v>1</v>
      </c>
      <c r="H527" s="2" t="n">
        <v>5.5</v>
      </c>
      <c r="I527" t="inlineStr">
        <is>
          <t>a</t>
        </is>
      </c>
      <c r="K527" s="2" t="n"/>
      <c r="M527" s="3" t="n">
        <v>1476</v>
      </c>
      <c r="N527" s="8" t="n">
        <v>1476</v>
      </c>
      <c r="O527" s="8" t="n">
        <v>0</v>
      </c>
      <c r="Q527" t="inlineStr">
        <is>
          <t>flat</t>
        </is>
      </c>
      <c r="R527" s="6" t="n">
        <v>1476</v>
      </c>
      <c r="S527" t="inlineStr">
        <is>
          <t>Solio</t>
        </is>
      </c>
      <c r="U527" s="6" t="n">
        <v>85</v>
      </c>
      <c r="V527" s="2" t="n"/>
      <c r="W527" s="7">
        <f>IF(N(U527)&lt;=0,0,MIN(Assumptions!$B$15,N(R527)/N(U527)))</f>
        <v/>
      </c>
      <c r="X527" s="6" t="n">
        <v>0.17</v>
      </c>
      <c r="Y527" s="3" t="n"/>
      <c r="Z527" t="inlineStr"/>
      <c r="AA527" s="3" t="n">
        <v>1</v>
      </c>
      <c r="AB527" s="3" t="n"/>
      <c r="AC527" s="3" t="n"/>
      <c r="AD527" s="3" t="n"/>
      <c r="AE527" s="3" t="n"/>
      <c r="AF527" s="3" t="n">
        <v>0</v>
      </c>
      <c r="AG527" s="3" t="n"/>
      <c r="AH527" s="3" t="n"/>
      <c r="AI527" s="3" t="n">
        <v>3.6194</v>
      </c>
      <c r="AJ527" s="3" t="n">
        <v>1.8271</v>
      </c>
      <c r="AK527" s="3" t="n">
        <v>-0.2514028985066805</v>
      </c>
      <c r="AL527" s="6" t="n">
        <v>0</v>
      </c>
      <c r="AM527" s="3" t="n">
        <v>0</v>
      </c>
      <c r="AN527" s="3" t="n">
        <v>0</v>
      </c>
      <c r="AO527" s="3" t="n">
        <v>0</v>
      </c>
      <c r="AP527" s="3">
        <f>N(X527)*N(BI527)</f>
        <v/>
      </c>
      <c r="AQ527" s="3" t="n">
        <v>0</v>
      </c>
      <c r="AR527" s="3" t="n">
        <v>0</v>
      </c>
      <c r="AS527" s="3" t="n">
        <v>-0</v>
      </c>
      <c r="AT527" s="3" t="n">
        <v>-0.2514028985066805</v>
      </c>
      <c r="AU527" s="3">
        <f>SUM(AN527:AT527)</f>
        <v/>
      </c>
      <c r="AV527" s="7">
        <f>IF(OR(N(W527)&lt;=0,N(BG527)=0),0,N(W527)*IF(N(R527)/N(W527)&gt;=60,N(BG527),1))</f>
        <v/>
      </c>
      <c r="AW527" s="7">
        <f>N(W527)*N(AF527)*N(BH527)</f>
        <v/>
      </c>
      <c r="AX527" s="7">
        <f>N(AL527)*(Assumptions!$B$13*N(BJ527)-(1-Assumptions!$B$13)*Assumptions!$B$14)+N(AM527)</f>
        <v/>
      </c>
      <c r="AY527" s="7">
        <f>N(AU527)*N(R527)/90+N(AV527)+N(AW527)+N(AX527)</f>
        <v/>
      </c>
      <c r="AZ527" s="3">
        <f>IF(N(R527)&lt;=0,0,(N(AY527)-N(AX527))*90/N(R527))</f>
        <v/>
      </c>
      <c r="BA527" s="7">
        <f>IFERROR(AY527-VLOOKUP($E527,Assumptions!$A$40:$C$43,3,FALSE),"")</f>
        <v/>
      </c>
      <c r="BB527" s="3">
        <f>IFERROR(BA527/H527,"")</f>
        <v/>
      </c>
      <c r="BC527">
        <f>IF(AND($G527=TRUE,$E527="GKP"),AY527,"")</f>
        <v/>
      </c>
      <c r="BD527">
        <f>IF(AND($G527=TRUE,$E527="DEF"),AY527,"")</f>
        <v/>
      </c>
      <c r="BE527">
        <f>IF(AND($G527=TRUE,$E527="MID"),AY527,"")</f>
        <v/>
      </c>
      <c r="BF527">
        <f>IF(AND($G527=TRUE,$E527="FWD"),AY527,"")</f>
        <v/>
      </c>
      <c r="BG527" t="n">
        <v>2</v>
      </c>
      <c r="BH527" t="n">
        <v>2</v>
      </c>
      <c r="BI527" t="n">
        <v>1</v>
      </c>
      <c r="BJ527" t="n">
        <v>5</v>
      </c>
    </row>
    <row r="528">
      <c r="A528" t="inlineStr">
        <is>
          <t>Guido Rodríguez</t>
        </is>
      </c>
      <c r="C528" t="inlineStr">
        <is>
          <t>WHU</t>
        </is>
      </c>
      <c r="D528" t="b">
        <v>0</v>
      </c>
      <c r="F528" t="inlineStr">
        <is>
          <t>MID</t>
        </is>
      </c>
      <c r="G528" t="b">
        <v>0</v>
      </c>
      <c r="H528" s="2" t="n"/>
      <c r="K528" s="2" t="n">
        <v>177</v>
      </c>
      <c r="M528" s="3" t="n"/>
      <c r="N528" s="8" t="n">
        <v>177</v>
      </c>
      <c r="O528" s="8" t="n">
        <v>0</v>
      </c>
      <c r="R528" s="6" t="n">
        <v>177</v>
      </c>
      <c r="S528" t="inlineStr">
        <is>
          <t>25/26 actual</t>
        </is>
      </c>
      <c r="U528" s="6" t="n">
        <v>77.8</v>
      </c>
      <c r="V528" s="2" t="n">
        <v>2</v>
      </c>
      <c r="W528" s="7">
        <f>IF(N(U528)&lt;=0,0,MIN(Assumptions!$B$15,N(R528)/N(U528)))</f>
        <v/>
      </c>
      <c r="X528" s="6" t="n"/>
      <c r="Y528" s="3" t="n">
        <v>0.0147</v>
      </c>
      <c r="Z528" t="inlineStr">
        <is>
          <t>adjusted xGOT</t>
        </is>
      </c>
      <c r="AA528" s="3" t="n">
        <v>1</v>
      </c>
      <c r="AB528" s="3" t="n">
        <v>0.97</v>
      </c>
      <c r="AC528" s="3" t="n">
        <v>0.2</v>
      </c>
      <c r="AD528" s="3" t="n">
        <v>0</v>
      </c>
      <c r="AE528" s="3" t="n">
        <v>8.407999999999999</v>
      </c>
      <c r="AF528" s="3" t="n">
        <v>0</v>
      </c>
      <c r="AG528" s="3" t="n">
        <v>0</v>
      </c>
      <c r="AH528" s="3" t="n">
        <v>8</v>
      </c>
      <c r="AI528" s="3" t="n"/>
      <c r="AJ528" s="3" t="n"/>
      <c r="AK528" s="3" t="n"/>
      <c r="AL528" s="6" t="n">
        <v>0</v>
      </c>
      <c r="AM528" s="3" t="n">
        <v>0</v>
      </c>
      <c r="AN528" s="3" t="n">
        <v>0</v>
      </c>
      <c r="AO528" s="3" t="n">
        <v>0</v>
      </c>
      <c r="AP528" s="3">
        <f>N(X528)*N(BI528)</f>
        <v/>
      </c>
      <c r="AQ528" s="3" t="n">
        <v>0</v>
      </c>
      <c r="AR528" s="3" t="n">
        <v>0</v>
      </c>
      <c r="AS528" s="3" t="n">
        <v>0</v>
      </c>
      <c r="AT528" s="3" t="n">
        <v>0</v>
      </c>
      <c r="AU528" s="3">
        <f>SUM(AN528:AT528)</f>
        <v/>
      </c>
      <c r="AV528" s="7">
        <f>IF(OR(N(W528)&lt;=0,N(BG528)=0),0,N(W528)*IF(N(R528)/N(W528)&gt;=60,N(BG528),1))</f>
        <v/>
      </c>
      <c r="AW528" s="7">
        <f>N(W528)*N(AF528)*N(BH528)</f>
        <v/>
      </c>
      <c r="AX528" s="7">
        <f>N(AL528)*(Assumptions!$B$13*N(BJ528)-(1-Assumptions!$B$13)*Assumptions!$B$14)+N(AM528)</f>
        <v/>
      </c>
      <c r="AY528" s="7">
        <f>N(AU528)*N(R528)/90+N(AV528)+N(AW528)+N(AX528)</f>
        <v/>
      </c>
      <c r="AZ528" s="3">
        <f>IF(N(R528)&lt;=0,0,(N(AY528)-N(AX528))*90/N(R528))</f>
        <v/>
      </c>
      <c r="BA528" s="7">
        <f>IFERROR(AY528-VLOOKUP($E528,Assumptions!$A$40:$C$43,3,FALSE),"")</f>
        <v/>
      </c>
      <c r="BB528" s="3">
        <f>IFERROR(BA528/H528,"")</f>
        <v/>
      </c>
      <c r="BC528">
        <f>IF(AND($G528=TRUE,$E528="GKP"),AY528,"")</f>
        <v/>
      </c>
      <c r="BD528">
        <f>IF(AND($G528=TRUE,$E528="DEF"),AY528,"")</f>
        <v/>
      </c>
      <c r="BE528">
        <f>IF(AND($G528=TRUE,$E528="MID"),AY528,"")</f>
        <v/>
      </c>
      <c r="BF528">
        <f>IF(AND($G528=TRUE,$E528="FWD"),AY528,"")</f>
        <v/>
      </c>
      <c r="BG528" t="n">
        <v>0</v>
      </c>
      <c r="BH528" t="n">
        <v>0</v>
      </c>
      <c r="BI528" t="n">
        <v>0</v>
      </c>
      <c r="BJ528" t="n">
        <v>0</v>
      </c>
    </row>
    <row r="529">
      <c r="A529" t="inlineStr">
        <is>
          <t>Odsonne Édouard</t>
        </is>
      </c>
      <c r="C529" t="inlineStr">
        <is>
          <t>CRY</t>
        </is>
      </c>
      <c r="D529" t="b">
        <v>0</v>
      </c>
      <c r="F529" t="inlineStr">
        <is>
          <t>FWD</t>
        </is>
      </c>
      <c r="G529" t="b">
        <v>0</v>
      </c>
      <c r="H529" s="2" t="n"/>
      <c r="K529" s="2" t="n">
        <v>2</v>
      </c>
      <c r="M529" s="3" t="n"/>
      <c r="N529" s="8" t="n">
        <v>2</v>
      </c>
      <c r="O529" s="8" t="n">
        <v>0</v>
      </c>
      <c r="R529" s="6" t="n">
        <v>2</v>
      </c>
      <c r="S529" t="inlineStr">
        <is>
          <t>25/26 actual</t>
        </is>
      </c>
      <c r="U529" s="6" t="n">
        <v>78.5</v>
      </c>
      <c r="V529" s="2" t="n">
        <v>0</v>
      </c>
      <c r="W529" s="7">
        <f>IF(N(U529)&lt;=0,0,MIN(Assumptions!$B$15,N(R529)/N(U529)))</f>
        <v/>
      </c>
      <c r="X529" s="6" t="n"/>
      <c r="Y529" s="3" t="n">
        <v>0</v>
      </c>
      <c r="Z529" t="inlineStr">
        <is>
          <t>adjusted xGOT</t>
        </is>
      </c>
      <c r="AA529" s="3" t="n">
        <v>1</v>
      </c>
      <c r="AB529" s="3" t="n">
        <v>1.124</v>
      </c>
      <c r="AC529" s="3" t="n">
        <v>10.9</v>
      </c>
      <c r="AD529" s="3" t="n"/>
      <c r="AE529" s="3" t="n">
        <v>4.904</v>
      </c>
      <c r="AF529" s="3" t="n">
        <v>0</v>
      </c>
      <c r="AG529" s="3" t="n">
        <v>0</v>
      </c>
      <c r="AH529" s="3" t="n">
        <v>1</v>
      </c>
      <c r="AI529" s="3" t="n"/>
      <c r="AJ529" s="3" t="n"/>
      <c r="AK529" s="3" t="n"/>
      <c r="AL529" s="6" t="n">
        <v>0</v>
      </c>
      <c r="AM529" s="3" t="n">
        <v>0</v>
      </c>
      <c r="AN529" s="3" t="n">
        <v>0</v>
      </c>
      <c r="AO529" s="3" t="n">
        <v>0</v>
      </c>
      <c r="AP529" s="3">
        <f>N(X529)*N(BI529)</f>
        <v/>
      </c>
      <c r="AQ529" s="3" t="n">
        <v>0</v>
      </c>
      <c r="AR529" s="3" t="n">
        <v>0</v>
      </c>
      <c r="AS529" s="3" t="n">
        <v>0</v>
      </c>
      <c r="AT529" s="3" t="n">
        <v>0</v>
      </c>
      <c r="AU529" s="3">
        <f>SUM(AN529:AT529)</f>
        <v/>
      </c>
      <c r="AV529" s="7">
        <f>IF(OR(N(W529)&lt;=0,N(BG529)=0),0,N(W529)*IF(N(R529)/N(W529)&gt;=60,N(BG529),1))</f>
        <v/>
      </c>
      <c r="AW529" s="7">
        <f>N(W529)*N(AF529)*N(BH529)</f>
        <v/>
      </c>
      <c r="AX529" s="7">
        <f>N(AL529)*(Assumptions!$B$13*N(BJ529)-(1-Assumptions!$B$13)*Assumptions!$B$14)+N(AM529)</f>
        <v/>
      </c>
      <c r="AY529" s="7">
        <f>N(AU529)*N(R529)/90+N(AV529)+N(AW529)+N(AX529)</f>
        <v/>
      </c>
      <c r="AZ529" s="3">
        <f>IF(N(R529)&lt;=0,0,(N(AY529)-N(AX529))*90/N(R529))</f>
        <v/>
      </c>
      <c r="BA529" s="7">
        <f>IFERROR(AY529-VLOOKUP($E529,Assumptions!$A$40:$C$43,3,FALSE),"")</f>
        <v/>
      </c>
      <c r="BB529" s="3">
        <f>IFERROR(BA529/H529,"")</f>
        <v/>
      </c>
      <c r="BC529">
        <f>IF(AND($G529=TRUE,$E529="GKP"),AY529,"")</f>
        <v/>
      </c>
      <c r="BD529">
        <f>IF(AND($G529=TRUE,$E529="DEF"),AY529,"")</f>
        <v/>
      </c>
      <c r="BE529">
        <f>IF(AND($G529=TRUE,$E529="MID"),AY529,"")</f>
        <v/>
      </c>
      <c r="BF529">
        <f>IF(AND($G529=TRUE,$E529="FWD"),AY529,"")</f>
        <v/>
      </c>
      <c r="BG529" t="n">
        <v>0</v>
      </c>
      <c r="BH529" t="n">
        <v>0</v>
      </c>
      <c r="BI529" t="n">
        <v>0</v>
      </c>
      <c r="BJ529" t="n">
        <v>0</v>
      </c>
    </row>
    <row r="530">
      <c r="A530" t="inlineStr">
        <is>
          <t>Xaver Schlager</t>
        </is>
      </c>
      <c r="B530" t="inlineStr">
        <is>
          <t>NFO</t>
        </is>
      </c>
      <c r="D530" t="b">
        <v>0</v>
      </c>
      <c r="E530" t="inlineStr">
        <is>
          <t>MID</t>
        </is>
      </c>
      <c r="G530" t="b">
        <v>1</v>
      </c>
      <c r="H530" s="2" t="n">
        <v>5</v>
      </c>
      <c r="I530" t="inlineStr">
        <is>
          <t>a</t>
        </is>
      </c>
      <c r="K530" s="2" t="n"/>
      <c r="M530" s="3" t="n">
        <v>2257</v>
      </c>
      <c r="N530" s="4" t="n">
        <v>2100</v>
      </c>
      <c r="O530" s="4" t="n">
        <v>-157</v>
      </c>
      <c r="P530" s="5" t="inlineStr">
        <is>
          <t>medium</t>
        </is>
      </c>
      <c r="Q530" t="inlineStr">
        <is>
          <t>flat</t>
        </is>
      </c>
      <c r="R530" s="6" t="n">
        <v>2100</v>
      </c>
      <c r="S530" t="inlineStr">
        <is>
          <t>research</t>
        </is>
      </c>
      <c r="T530" s="5" t="inlineStr">
        <is>
          <t>Free signing from RB Leipzig on 23 July 2026 with no Premier League record, holding the one slot that all sources treat as contested. Started vs Leverkusen, so the role is real, but Yates, Dominguez and McAtee are all realistic alternatives.</t>
        </is>
      </c>
      <c r="U530" s="6" t="n">
        <v>85</v>
      </c>
      <c r="V530" s="2" t="n"/>
      <c r="W530" s="7">
        <f>IF(N(U530)&lt;=0,0,MIN(Assumptions!$B$15,N(R530)/N(U530)))</f>
        <v/>
      </c>
      <c r="X530" s="6" t="n">
        <v>0.224</v>
      </c>
      <c r="Y530" s="3" t="n"/>
      <c r="Z530" t="inlineStr"/>
      <c r="AA530" s="3" t="n">
        <v>1</v>
      </c>
      <c r="AB530" s="3" t="n"/>
      <c r="AC530" s="3" t="n"/>
      <c r="AD530" s="3" t="n"/>
      <c r="AE530" s="3" t="n"/>
      <c r="AF530" s="3" t="n">
        <v>0</v>
      </c>
      <c r="AG530" s="3" t="n"/>
      <c r="AH530" s="3" t="n"/>
      <c r="AI530" s="3" t="n">
        <v>3.1134</v>
      </c>
      <c r="AJ530" s="3" t="n">
        <v>1.5588</v>
      </c>
      <c r="AK530" s="3" t="n">
        <v>-0.2160434166173144</v>
      </c>
      <c r="AL530" s="6" t="n">
        <v>0</v>
      </c>
      <c r="AM530" s="3" t="n">
        <v>0</v>
      </c>
      <c r="AN530" s="3" t="n">
        <v>0</v>
      </c>
      <c r="AO530" s="3" t="n">
        <v>0</v>
      </c>
      <c r="AP530" s="3">
        <f>N(X530)*N(BI530)</f>
        <v/>
      </c>
      <c r="AQ530" s="3" t="n">
        <v>0</v>
      </c>
      <c r="AR530" s="3" t="n">
        <v>0</v>
      </c>
      <c r="AS530" s="3" t="n">
        <v>-0</v>
      </c>
      <c r="AT530" s="3" t="n">
        <v>-0.2160434166173144</v>
      </c>
      <c r="AU530" s="3">
        <f>SUM(AN530:AT530)</f>
        <v/>
      </c>
      <c r="AV530" s="7">
        <f>IF(OR(N(W530)&lt;=0,N(BG530)=0),0,N(W530)*IF(N(R530)/N(W530)&gt;=60,N(BG530),1))</f>
        <v/>
      </c>
      <c r="AW530" s="7">
        <f>N(W530)*N(AF530)*N(BH530)</f>
        <v/>
      </c>
      <c r="AX530" s="7">
        <f>N(AL530)*(Assumptions!$B$13*N(BJ530)-(1-Assumptions!$B$13)*Assumptions!$B$14)+N(AM530)</f>
        <v/>
      </c>
      <c r="AY530" s="7">
        <f>N(AU530)*N(R530)/90+N(AV530)+N(AW530)+N(AX530)</f>
        <v/>
      </c>
      <c r="AZ530" s="3">
        <f>IF(N(R530)&lt;=0,0,(N(AY530)-N(AX530))*90/N(R530))</f>
        <v/>
      </c>
      <c r="BA530" s="7">
        <f>IFERROR(AY530-VLOOKUP($E530,Assumptions!$A$40:$C$43,3,FALSE),"")</f>
        <v/>
      </c>
      <c r="BB530" s="3">
        <f>IFERROR(BA530/H530,"")</f>
        <v/>
      </c>
      <c r="BC530">
        <f>IF(AND($G530=TRUE,$E530="GKP"),AY530,"")</f>
        <v/>
      </c>
      <c r="BD530">
        <f>IF(AND($G530=TRUE,$E530="DEF"),AY530,"")</f>
        <v/>
      </c>
      <c r="BE530">
        <f>IF(AND($G530=TRUE,$E530="MID"),AY530,"")</f>
        <v/>
      </c>
      <c r="BF530">
        <f>IF(AND($G530=TRUE,$E530="FWD"),AY530,"")</f>
        <v/>
      </c>
      <c r="BG530" t="n">
        <v>2</v>
      </c>
      <c r="BH530" t="n">
        <v>2</v>
      </c>
      <c r="BI530" t="n">
        <v>1</v>
      </c>
      <c r="BJ530" t="n">
        <v>5</v>
      </c>
    </row>
    <row r="531">
      <c r="A531" t="inlineStr">
        <is>
          <t>Donyell Malen</t>
        </is>
      </c>
      <c r="C531" t="inlineStr">
        <is>
          <t>AVL</t>
        </is>
      </c>
      <c r="D531" t="b">
        <v>0</v>
      </c>
      <c r="F531" t="inlineStr">
        <is>
          <t>MID</t>
        </is>
      </c>
      <c r="G531" t="b">
        <v>0</v>
      </c>
      <c r="H531" s="2" t="n"/>
      <c r="K531" s="2" t="n">
        <v>645</v>
      </c>
      <c r="M531" s="3" t="n"/>
      <c r="N531" s="8" t="n">
        <v>645</v>
      </c>
      <c r="O531" s="8" t="n">
        <v>0</v>
      </c>
      <c r="R531" s="6" t="n">
        <v>645</v>
      </c>
      <c r="S531" t="inlineStr">
        <is>
          <t>25/26 actual</t>
        </is>
      </c>
      <c r="U531" s="6" t="n">
        <v>77.2</v>
      </c>
      <c r="V531" s="2" t="n">
        <v>5</v>
      </c>
      <c r="W531" s="7">
        <f>IF(N(U531)&lt;=0,0,MIN(Assumptions!$B$15,N(R531)/N(U531)))</f>
        <v/>
      </c>
      <c r="X531" s="6" t="n"/>
      <c r="Y531" s="3" t="n">
        <v>0.5671</v>
      </c>
      <c r="Z531" t="inlineStr">
        <is>
          <t>adjusted xGOT</t>
        </is>
      </c>
      <c r="AA531" s="3" t="n">
        <v>1</v>
      </c>
      <c r="AB531" s="3" t="n">
        <v>1.008</v>
      </c>
      <c r="AC531" s="3" t="n">
        <v>6.2</v>
      </c>
      <c r="AD531" s="3" t="n">
        <v>0.0515</v>
      </c>
      <c r="AE531" s="3" t="n">
        <v>5.6</v>
      </c>
      <c r="AF531" s="3" t="n">
        <v>0</v>
      </c>
      <c r="AG531" s="3" t="n">
        <v>0.4186</v>
      </c>
      <c r="AH531" s="3" t="n">
        <v>25</v>
      </c>
      <c r="AI531" s="3" t="n"/>
      <c r="AJ531" s="3" t="n"/>
      <c r="AK531" s="3" t="n"/>
      <c r="AL531" s="6" t="n">
        <v>0</v>
      </c>
      <c r="AM531" s="3" t="n">
        <v>0</v>
      </c>
      <c r="AN531" s="3" t="n">
        <v>0</v>
      </c>
      <c r="AO531" s="3" t="n">
        <v>0</v>
      </c>
      <c r="AP531" s="3">
        <f>N(X531)*N(BI531)</f>
        <v/>
      </c>
      <c r="AQ531" s="3" t="n">
        <v>0</v>
      </c>
      <c r="AR531" s="3" t="n">
        <v>0</v>
      </c>
      <c r="AS531" s="3" t="n">
        <v>0</v>
      </c>
      <c r="AT531" s="3" t="n">
        <v>0</v>
      </c>
      <c r="AU531" s="3">
        <f>SUM(AN531:AT531)</f>
        <v/>
      </c>
      <c r="AV531" s="7">
        <f>IF(OR(N(W531)&lt;=0,N(BG531)=0),0,N(W531)*IF(N(R531)/N(W531)&gt;=60,N(BG531),1))</f>
        <v/>
      </c>
      <c r="AW531" s="7">
        <f>N(W531)*N(AF531)*N(BH531)</f>
        <v/>
      </c>
      <c r="AX531" s="7">
        <f>N(AL531)*(Assumptions!$B$13*N(BJ531)-(1-Assumptions!$B$13)*Assumptions!$B$14)+N(AM531)</f>
        <v/>
      </c>
      <c r="AY531" s="7">
        <f>N(AU531)*N(R531)/90+N(AV531)+N(AW531)+N(AX531)</f>
        <v/>
      </c>
      <c r="AZ531" s="3">
        <f>IF(N(R531)&lt;=0,0,(N(AY531)-N(AX531))*90/N(R531))</f>
        <v/>
      </c>
      <c r="BA531" s="7">
        <f>IFERROR(AY531-VLOOKUP($E531,Assumptions!$A$40:$C$43,3,FALSE),"")</f>
        <v/>
      </c>
      <c r="BB531" s="3">
        <f>IFERROR(BA531/H531,"")</f>
        <v/>
      </c>
      <c r="BC531">
        <f>IF(AND($G531=TRUE,$E531="GKP"),AY531,"")</f>
        <v/>
      </c>
      <c r="BD531">
        <f>IF(AND($G531=TRUE,$E531="DEF"),AY531,"")</f>
        <v/>
      </c>
      <c r="BE531">
        <f>IF(AND($G531=TRUE,$E531="MID"),AY531,"")</f>
        <v/>
      </c>
      <c r="BF531">
        <f>IF(AND($G531=TRUE,$E531="FWD"),AY531,"")</f>
        <v/>
      </c>
      <c r="BG531" t="n">
        <v>0</v>
      </c>
      <c r="BH531" t="n">
        <v>0</v>
      </c>
      <c r="BI531" t="n">
        <v>0</v>
      </c>
      <c r="BJ531" t="n">
        <v>0</v>
      </c>
    </row>
    <row r="532">
      <c r="A532" t="inlineStr">
        <is>
          <t>Ibrahima Konaté</t>
        </is>
      </c>
      <c r="C532" t="inlineStr">
        <is>
          <t>LIV</t>
        </is>
      </c>
      <c r="D532" t="b">
        <v>0</v>
      </c>
      <c r="F532" t="inlineStr">
        <is>
          <t>DEF</t>
        </is>
      </c>
      <c r="G532" t="b">
        <v>0</v>
      </c>
      <c r="H532" s="2" t="n"/>
      <c r="K532" s="2" t="n">
        <v>3100</v>
      </c>
      <c r="M532" s="3" t="n"/>
      <c r="N532" s="8" t="n">
        <v>3100</v>
      </c>
      <c r="O532" s="8" t="n">
        <v>0</v>
      </c>
      <c r="R532" s="6" t="n">
        <v>3100</v>
      </c>
      <c r="S532" t="inlineStr">
        <is>
          <t>25/26 actual</t>
        </is>
      </c>
      <c r="U532" s="6" t="n">
        <v>85.8</v>
      </c>
      <c r="V532" s="2" t="n">
        <v>36</v>
      </c>
      <c r="W532" s="7">
        <f>IF(N(U532)&lt;=0,0,MIN(Assumptions!$B$15,N(R532)/N(U532)))</f>
        <v/>
      </c>
      <c r="X532" s="6" t="n"/>
      <c r="Y532" s="3" t="n">
        <v>0.0295</v>
      </c>
      <c r="Z532" t="inlineStr">
        <is>
          <t>adjusted xGOT</t>
        </is>
      </c>
      <c r="AA532" s="3" t="n">
        <v>1</v>
      </c>
      <c r="AB532" s="3" t="n">
        <v>0.853</v>
      </c>
      <c r="AC532" s="3" t="n">
        <v>4.9</v>
      </c>
      <c r="AD532" s="3" t="n">
        <v>0.0211</v>
      </c>
      <c r="AE532" s="3" t="n">
        <v>8.374000000000001</v>
      </c>
      <c r="AF532" s="3" t="n">
        <v>0</v>
      </c>
      <c r="AG532" s="3" t="n">
        <v>0.1742</v>
      </c>
      <c r="AH532" s="3" t="n">
        <v>70</v>
      </c>
      <c r="AI532" s="3" t="n"/>
      <c r="AJ532" s="3" t="n"/>
      <c r="AK532" s="3" t="n"/>
      <c r="AL532" s="6" t="n">
        <v>0</v>
      </c>
      <c r="AM532" s="3" t="n">
        <v>0</v>
      </c>
      <c r="AN532" s="3" t="n">
        <v>0</v>
      </c>
      <c r="AO532" s="3" t="n">
        <v>0</v>
      </c>
      <c r="AP532" s="3">
        <f>N(X532)*N(BI532)</f>
        <v/>
      </c>
      <c r="AQ532" s="3" t="n">
        <v>0</v>
      </c>
      <c r="AR532" s="3" t="n">
        <v>0</v>
      </c>
      <c r="AS532" s="3" t="n">
        <v>0</v>
      </c>
      <c r="AT532" s="3" t="n">
        <v>0</v>
      </c>
      <c r="AU532" s="3">
        <f>SUM(AN532:AT532)</f>
        <v/>
      </c>
      <c r="AV532" s="7">
        <f>IF(OR(N(W532)&lt;=0,N(BG532)=0),0,N(W532)*IF(N(R532)/N(W532)&gt;=60,N(BG532),1))</f>
        <v/>
      </c>
      <c r="AW532" s="7">
        <f>N(W532)*N(AF532)*N(BH532)</f>
        <v/>
      </c>
      <c r="AX532" s="7">
        <f>N(AL532)*(Assumptions!$B$13*N(BJ532)-(1-Assumptions!$B$13)*Assumptions!$B$14)+N(AM532)</f>
        <v/>
      </c>
      <c r="AY532" s="7">
        <f>N(AU532)*N(R532)/90+N(AV532)+N(AW532)+N(AX532)</f>
        <v/>
      </c>
      <c r="AZ532" s="3">
        <f>IF(N(R532)&lt;=0,0,(N(AY532)-N(AX532))*90/N(R532))</f>
        <v/>
      </c>
      <c r="BA532" s="7">
        <f>IFERROR(AY532-VLOOKUP($E532,Assumptions!$A$40:$C$43,3,FALSE),"")</f>
        <v/>
      </c>
      <c r="BB532" s="3">
        <f>IFERROR(BA532/H532,"")</f>
        <v/>
      </c>
      <c r="BC532">
        <f>IF(AND($G532=TRUE,$E532="GKP"),AY532,"")</f>
        <v/>
      </c>
      <c r="BD532">
        <f>IF(AND($G532=TRUE,$E532="DEF"),AY532,"")</f>
        <v/>
      </c>
      <c r="BE532">
        <f>IF(AND($G532=TRUE,$E532="MID"),AY532,"")</f>
        <v/>
      </c>
      <c r="BF532">
        <f>IF(AND($G532=TRUE,$E532="FWD"),AY532,"")</f>
        <v/>
      </c>
      <c r="BG532" t="n">
        <v>0</v>
      </c>
      <c r="BH532" t="n">
        <v>0</v>
      </c>
      <c r="BI532" t="n">
        <v>0</v>
      </c>
      <c r="BJ532" t="n">
        <v>0</v>
      </c>
    </row>
    <row r="533">
      <c r="A533" t="inlineStr">
        <is>
          <t>Joel Latibeaudiere</t>
        </is>
      </c>
      <c r="B533" t="inlineStr">
        <is>
          <t>COV</t>
        </is>
      </c>
      <c r="D533" t="b">
        <v>0</v>
      </c>
      <c r="E533" t="inlineStr">
        <is>
          <t>DEF</t>
        </is>
      </c>
      <c r="G533" t="b">
        <v>1</v>
      </c>
      <c r="H533" s="2" t="n">
        <v>4</v>
      </c>
      <c r="I533" t="inlineStr">
        <is>
          <t>a</t>
        </is>
      </c>
      <c r="K533" s="2" t="n"/>
      <c r="M533" s="3" t="n">
        <v>30</v>
      </c>
      <c r="N533" s="8" t="n">
        <v>30</v>
      </c>
      <c r="O533" s="8" t="n">
        <v>0</v>
      </c>
      <c r="Q533" t="inlineStr">
        <is>
          <t>flat</t>
        </is>
      </c>
      <c r="R533" s="6" t="n">
        <v>30</v>
      </c>
      <c r="S533" t="inlineStr">
        <is>
          <t>Solio</t>
        </is>
      </c>
      <c r="U533" s="6" t="n">
        <v>85</v>
      </c>
      <c r="V533" s="2" t="n"/>
      <c r="W533" s="7">
        <f>IF(N(U533)&lt;=0,0,MIN(Assumptions!$B$15,N(R533)/N(U533)))</f>
        <v/>
      </c>
      <c r="X533" s="6" t="n">
        <v>0.17</v>
      </c>
      <c r="Y533" s="3" t="n"/>
      <c r="Z533" t="inlineStr"/>
      <c r="AA533" s="3" t="n">
        <v>1</v>
      </c>
      <c r="AB533" s="3" t="n"/>
      <c r="AC533" s="3" t="n"/>
      <c r="AD533" s="3" t="n"/>
      <c r="AE533" s="3" t="n"/>
      <c r="AF533" s="3" t="n">
        <v>0</v>
      </c>
      <c r="AG533" s="3" t="n"/>
      <c r="AH533" s="3" t="n"/>
      <c r="AI533" s="3" t="n">
        <v>3.6194</v>
      </c>
      <c r="AJ533" s="3" t="n">
        <v>1.8271</v>
      </c>
      <c r="AK533" s="3" t="n">
        <v>-0.2045226422080557</v>
      </c>
      <c r="AL533" s="6" t="n">
        <v>0</v>
      </c>
      <c r="AM533" s="3" t="n">
        <v>0</v>
      </c>
      <c r="AN533" s="3" t="n">
        <v>0</v>
      </c>
      <c r="AO533" s="3" t="n">
        <v>0</v>
      </c>
      <c r="AP533" s="3">
        <f>N(X533)*N(BI533)</f>
        <v/>
      </c>
      <c r="AQ533" s="3" t="n">
        <v>0</v>
      </c>
      <c r="AR533" s="3" t="n">
        <v>0</v>
      </c>
      <c r="AS533" s="3" t="n">
        <v>-0.670020548738316</v>
      </c>
      <c r="AT533" s="3" t="n">
        <v>-0.2045226422080557</v>
      </c>
      <c r="AU533" s="3">
        <f>SUM(AN533:AT533)</f>
        <v/>
      </c>
      <c r="AV533" s="7">
        <f>IF(OR(N(W533)&lt;=0,N(BG533)=0),0,N(W533)*IF(N(R533)/N(W533)&gt;=60,N(BG533),1))</f>
        <v/>
      </c>
      <c r="AW533" s="7">
        <f>N(W533)*N(AF533)*N(BH533)</f>
        <v/>
      </c>
      <c r="AX533" s="7">
        <f>N(AL533)*(Assumptions!$B$13*N(BJ533)-(1-Assumptions!$B$13)*Assumptions!$B$14)+N(AM533)</f>
        <v/>
      </c>
      <c r="AY533" s="7">
        <f>N(AU533)*N(R533)/90+N(AV533)+N(AW533)+N(AX533)</f>
        <v/>
      </c>
      <c r="AZ533" s="3">
        <f>IF(N(R533)&lt;=0,0,(N(AY533)-N(AX533))*90/N(R533))</f>
        <v/>
      </c>
      <c r="BA533" s="7">
        <f>IFERROR(AY533-VLOOKUP($E533,Assumptions!$A$40:$C$43,3,FALSE),"")</f>
        <v/>
      </c>
      <c r="BB533" s="3">
        <f>IFERROR(BA533/H533,"")</f>
        <v/>
      </c>
      <c r="BC533">
        <f>IF(AND($G533=TRUE,$E533="GKP"),AY533,"")</f>
        <v/>
      </c>
      <c r="BD533">
        <f>IF(AND($G533=TRUE,$E533="DEF"),AY533,"")</f>
        <v/>
      </c>
      <c r="BE533">
        <f>IF(AND($G533=TRUE,$E533="MID"),AY533,"")</f>
        <v/>
      </c>
      <c r="BF533">
        <f>IF(AND($G533=TRUE,$E533="FWD"),AY533,"")</f>
        <v/>
      </c>
      <c r="BG533" t="n">
        <v>2</v>
      </c>
      <c r="BH533" t="n">
        <v>2</v>
      </c>
      <c r="BI533" t="n">
        <v>4</v>
      </c>
      <c r="BJ533" t="n">
        <v>6</v>
      </c>
    </row>
    <row r="534">
      <c r="A534" t="inlineStr">
        <is>
          <t>Oleksandr Zinchenko</t>
        </is>
      </c>
      <c r="C534" t="inlineStr">
        <is>
          <t>NFO</t>
        </is>
      </c>
      <c r="D534" t="b">
        <v>0</v>
      </c>
      <c r="F534" t="inlineStr">
        <is>
          <t>DEF</t>
        </is>
      </c>
      <c r="G534" t="b">
        <v>0</v>
      </c>
      <c r="H534" s="2" t="n"/>
      <c r="K534" s="2" t="n">
        <v>353</v>
      </c>
      <c r="M534" s="3" t="n"/>
      <c r="N534" s="8" t="n">
        <v>353</v>
      </c>
      <c r="O534" s="8" t="n">
        <v>0</v>
      </c>
      <c r="R534" s="6" t="n">
        <v>353</v>
      </c>
      <c r="S534" t="inlineStr">
        <is>
          <t>25/26 actual</t>
        </is>
      </c>
      <c r="U534" s="6" t="n">
        <v>85.59999999999999</v>
      </c>
      <c r="V534" s="2" t="n">
        <v>4</v>
      </c>
      <c r="W534" s="7">
        <f>IF(N(U534)&lt;=0,0,MIN(Assumptions!$B$15,N(R534)/N(U534)))</f>
        <v/>
      </c>
      <c r="X534" s="6" t="n"/>
      <c r="Y534" s="3" t="n">
        <v>0.0178</v>
      </c>
      <c r="Z534" t="inlineStr">
        <is>
          <t>adjusted xGOT</t>
        </is>
      </c>
      <c r="AA534" s="3" t="n">
        <v>1</v>
      </c>
      <c r="AB534" s="3" t="n">
        <v>0.996</v>
      </c>
      <c r="AC534" s="3" t="n">
        <v>2.6</v>
      </c>
      <c r="AD534" s="3" t="n">
        <v>0.1149</v>
      </c>
      <c r="AE534" s="3" t="n">
        <v>7.176</v>
      </c>
      <c r="AF534" s="3" t="n">
        <v>0</v>
      </c>
      <c r="AG534" s="3" t="n">
        <v>0</v>
      </c>
      <c r="AH534" s="3" t="n">
        <v>9</v>
      </c>
      <c r="AI534" s="3" t="n"/>
      <c r="AJ534" s="3" t="n"/>
      <c r="AK534" s="3" t="n"/>
      <c r="AL534" s="6" t="n">
        <v>0</v>
      </c>
      <c r="AM534" s="3" t="n">
        <v>0</v>
      </c>
      <c r="AN534" s="3" t="n">
        <v>0</v>
      </c>
      <c r="AO534" s="3" t="n">
        <v>0</v>
      </c>
      <c r="AP534" s="3">
        <f>N(X534)*N(BI534)</f>
        <v/>
      </c>
      <c r="AQ534" s="3" t="n">
        <v>0</v>
      </c>
      <c r="AR534" s="3" t="n">
        <v>0</v>
      </c>
      <c r="AS534" s="3" t="n">
        <v>0</v>
      </c>
      <c r="AT534" s="3" t="n">
        <v>0</v>
      </c>
      <c r="AU534" s="3">
        <f>SUM(AN534:AT534)</f>
        <v/>
      </c>
      <c r="AV534" s="7">
        <f>IF(OR(N(W534)&lt;=0,N(BG534)=0),0,N(W534)*IF(N(R534)/N(W534)&gt;=60,N(BG534),1))</f>
        <v/>
      </c>
      <c r="AW534" s="7">
        <f>N(W534)*N(AF534)*N(BH534)</f>
        <v/>
      </c>
      <c r="AX534" s="7">
        <f>N(AL534)*(Assumptions!$B$13*N(BJ534)-(1-Assumptions!$B$13)*Assumptions!$B$14)+N(AM534)</f>
        <v/>
      </c>
      <c r="AY534" s="7">
        <f>N(AU534)*N(R534)/90+N(AV534)+N(AW534)+N(AX534)</f>
        <v/>
      </c>
      <c r="AZ534" s="3">
        <f>IF(N(R534)&lt;=0,0,(N(AY534)-N(AX534))*90/N(R534))</f>
        <v/>
      </c>
      <c r="BA534" s="7">
        <f>IFERROR(AY534-VLOOKUP($E534,Assumptions!$A$40:$C$43,3,FALSE),"")</f>
        <v/>
      </c>
      <c r="BB534" s="3">
        <f>IFERROR(BA534/H534,"")</f>
        <v/>
      </c>
      <c r="BC534">
        <f>IF(AND($G534=TRUE,$E534="GKP"),AY534,"")</f>
        <v/>
      </c>
      <c r="BD534">
        <f>IF(AND($G534=TRUE,$E534="DEF"),AY534,"")</f>
        <v/>
      </c>
      <c r="BE534">
        <f>IF(AND($G534=TRUE,$E534="MID"),AY534,"")</f>
        <v/>
      </c>
      <c r="BF534">
        <f>IF(AND($G534=TRUE,$E534="FWD"),AY534,"")</f>
        <v/>
      </c>
      <c r="BG534" t="n">
        <v>0</v>
      </c>
      <c r="BH534" t="n">
        <v>0</v>
      </c>
      <c r="BI534" t="n">
        <v>0</v>
      </c>
      <c r="BJ534" t="n">
        <v>0</v>
      </c>
    </row>
    <row r="535">
      <c r="A535" t="inlineStr">
        <is>
          <t>Abdülkadir Ömür</t>
        </is>
      </c>
      <c r="B535" t="inlineStr">
        <is>
          <t>HUL</t>
        </is>
      </c>
      <c r="D535" t="b">
        <v>0</v>
      </c>
      <c r="E535" t="inlineStr">
        <is>
          <t>MID</t>
        </is>
      </c>
      <c r="G535" t="b">
        <v>1</v>
      </c>
      <c r="H535" s="2" t="n">
        <v>5</v>
      </c>
      <c r="I535" t="inlineStr">
        <is>
          <t>a</t>
        </is>
      </c>
      <c r="K535" s="2" t="n"/>
      <c r="M535" s="3" t="n">
        <v>675</v>
      </c>
      <c r="N535" s="8" t="n">
        <v>675</v>
      </c>
      <c r="O535" s="8" t="n">
        <v>0</v>
      </c>
      <c r="Q535" t="inlineStr">
        <is>
          <t>flat</t>
        </is>
      </c>
      <c r="R535" s="6" t="n">
        <v>675</v>
      </c>
      <c r="S535" t="inlineStr">
        <is>
          <t>Solio</t>
        </is>
      </c>
      <c r="U535" s="6" t="n">
        <v>85</v>
      </c>
      <c r="V535" s="2" t="n"/>
      <c r="W535" s="7">
        <f>IF(N(U535)&lt;=0,0,MIN(Assumptions!$B$15,N(R535)/N(U535)))</f>
        <v/>
      </c>
      <c r="X535" s="6" t="n">
        <v>0.143</v>
      </c>
      <c r="Y535" s="3" t="n"/>
      <c r="Z535" t="inlineStr"/>
      <c r="AA535" s="3" t="n">
        <v>1</v>
      </c>
      <c r="AB535" s="3" t="n"/>
      <c r="AC535" s="3" t="n"/>
      <c r="AD535" s="3" t="n"/>
      <c r="AE535" s="3" t="n"/>
      <c r="AF535" s="3" t="n">
        <v>0</v>
      </c>
      <c r="AG535" s="3" t="n"/>
      <c r="AH535" s="3" t="n"/>
      <c r="AI535" s="3" t="n">
        <v>3.9421</v>
      </c>
      <c r="AJ535" s="3" t="n">
        <v>1.99</v>
      </c>
      <c r="AK535" s="3" t="n">
        <v>-0.2160434166173144</v>
      </c>
      <c r="AL535" s="6" t="n">
        <v>0</v>
      </c>
      <c r="AM535" s="3" t="n">
        <v>0</v>
      </c>
      <c r="AN535" s="3" t="n">
        <v>0</v>
      </c>
      <c r="AO535" s="3" t="n">
        <v>0</v>
      </c>
      <c r="AP535" s="3">
        <f>N(X535)*N(BI535)</f>
        <v/>
      </c>
      <c r="AQ535" s="3" t="n">
        <v>0</v>
      </c>
      <c r="AR535" s="3" t="n">
        <v>0</v>
      </c>
      <c r="AS535" s="3" t="n">
        <v>-0</v>
      </c>
      <c r="AT535" s="3" t="n">
        <v>-0.2160434166173144</v>
      </c>
      <c r="AU535" s="3">
        <f>SUM(AN535:AT535)</f>
        <v/>
      </c>
      <c r="AV535" s="7">
        <f>IF(OR(N(W535)&lt;=0,N(BG535)=0),0,N(W535)*IF(N(R535)/N(W535)&gt;=60,N(BG535),1))</f>
        <v/>
      </c>
      <c r="AW535" s="7">
        <f>N(W535)*N(AF535)*N(BH535)</f>
        <v/>
      </c>
      <c r="AX535" s="7">
        <f>N(AL535)*(Assumptions!$B$13*N(BJ535)-(1-Assumptions!$B$13)*Assumptions!$B$14)+N(AM535)</f>
        <v/>
      </c>
      <c r="AY535" s="7">
        <f>N(AU535)*N(R535)/90+N(AV535)+N(AW535)+N(AX535)</f>
        <v/>
      </c>
      <c r="AZ535" s="3">
        <f>IF(N(R535)&lt;=0,0,(N(AY535)-N(AX535))*90/N(R535))</f>
        <v/>
      </c>
      <c r="BA535" s="7">
        <f>IFERROR(AY535-VLOOKUP($E535,Assumptions!$A$40:$C$43,3,FALSE),"")</f>
        <v/>
      </c>
      <c r="BB535" s="3">
        <f>IFERROR(BA535/H535,"")</f>
        <v/>
      </c>
      <c r="BC535">
        <f>IF(AND($G535=TRUE,$E535="GKP"),AY535,"")</f>
        <v/>
      </c>
      <c r="BD535">
        <f>IF(AND($G535=TRUE,$E535="DEF"),AY535,"")</f>
        <v/>
      </c>
      <c r="BE535">
        <f>IF(AND($G535=TRUE,$E535="MID"),AY535,"")</f>
        <v/>
      </c>
      <c r="BF535">
        <f>IF(AND($G535=TRUE,$E535="FWD"),AY535,"")</f>
        <v/>
      </c>
      <c r="BG535" t="n">
        <v>2</v>
      </c>
      <c r="BH535" t="n">
        <v>2</v>
      </c>
      <c r="BI535" t="n">
        <v>1</v>
      </c>
      <c r="BJ535" t="n">
        <v>5</v>
      </c>
    </row>
    <row r="536">
      <c r="A536" t="inlineStr">
        <is>
          <t>Joe Worrall</t>
        </is>
      </c>
      <c r="C536" t="inlineStr">
        <is>
          <t>BUR</t>
        </is>
      </c>
      <c r="D536" t="b">
        <v>0</v>
      </c>
      <c r="F536" t="inlineStr">
        <is>
          <t>DEF</t>
        </is>
      </c>
      <c r="G536" t="b">
        <v>0</v>
      </c>
      <c r="H536" s="2" t="n"/>
      <c r="K536" s="2" t="n">
        <v>497</v>
      </c>
      <c r="M536" s="3" t="n"/>
      <c r="N536" s="8" t="n">
        <v>497</v>
      </c>
      <c r="O536" s="8" t="n">
        <v>0</v>
      </c>
      <c r="R536" s="6" t="n">
        <v>497</v>
      </c>
      <c r="S536" t="inlineStr">
        <is>
          <t>25/26 actual</t>
        </is>
      </c>
      <c r="U536" s="6" t="n">
        <v>84.7</v>
      </c>
      <c r="V536" s="2" t="n">
        <v>5</v>
      </c>
      <c r="W536" s="7">
        <f>IF(N(U536)&lt;=0,0,MIN(Assumptions!$B$15,N(R536)/N(U536)))</f>
        <v/>
      </c>
      <c r="X536" s="6" t="n"/>
      <c r="Y536" s="3" t="n">
        <v>0.0141</v>
      </c>
      <c r="Z536" t="inlineStr">
        <is>
          <t>adjusted xGOT</t>
        </is>
      </c>
      <c r="AA536" s="3" t="n">
        <v>1</v>
      </c>
      <c r="AB536" s="3" t="n">
        <v>0.974</v>
      </c>
      <c r="AC536" s="3" t="n">
        <v>1</v>
      </c>
      <c r="AD536" s="3" t="n">
        <v>0</v>
      </c>
      <c r="AE536" s="3" t="n">
        <v>10.175</v>
      </c>
      <c r="AF536" s="3" t="n">
        <v>0</v>
      </c>
      <c r="AG536" s="3" t="n">
        <v>0</v>
      </c>
      <c r="AH536" s="3" t="n">
        <v>15</v>
      </c>
      <c r="AI536" s="3" t="n"/>
      <c r="AJ536" s="3" t="n"/>
      <c r="AK536" s="3" t="n"/>
      <c r="AL536" s="6" t="n">
        <v>0</v>
      </c>
      <c r="AM536" s="3" t="n">
        <v>0</v>
      </c>
      <c r="AN536" s="3" t="n">
        <v>0</v>
      </c>
      <c r="AO536" s="3" t="n">
        <v>0</v>
      </c>
      <c r="AP536" s="3">
        <f>N(X536)*N(BI536)</f>
        <v/>
      </c>
      <c r="AQ536" s="3" t="n">
        <v>0</v>
      </c>
      <c r="AR536" s="3" t="n">
        <v>0</v>
      </c>
      <c r="AS536" s="3" t="n">
        <v>0</v>
      </c>
      <c r="AT536" s="3" t="n">
        <v>0</v>
      </c>
      <c r="AU536" s="3">
        <f>SUM(AN536:AT536)</f>
        <v/>
      </c>
      <c r="AV536" s="7">
        <f>IF(OR(N(W536)&lt;=0,N(BG536)=0),0,N(W536)*IF(N(R536)/N(W536)&gt;=60,N(BG536),1))</f>
        <v/>
      </c>
      <c r="AW536" s="7">
        <f>N(W536)*N(AF536)*N(BH536)</f>
        <v/>
      </c>
      <c r="AX536" s="7">
        <f>N(AL536)*(Assumptions!$B$13*N(BJ536)-(1-Assumptions!$B$13)*Assumptions!$B$14)+N(AM536)</f>
        <v/>
      </c>
      <c r="AY536" s="7">
        <f>N(AU536)*N(R536)/90+N(AV536)+N(AW536)+N(AX536)</f>
        <v/>
      </c>
      <c r="AZ536" s="3">
        <f>IF(N(R536)&lt;=0,0,(N(AY536)-N(AX536))*90/N(R536))</f>
        <v/>
      </c>
      <c r="BA536" s="7">
        <f>IFERROR(AY536-VLOOKUP($E536,Assumptions!$A$40:$C$43,3,FALSE),"")</f>
        <v/>
      </c>
      <c r="BB536" s="3">
        <f>IFERROR(BA536/H536,"")</f>
        <v/>
      </c>
      <c r="BC536">
        <f>IF(AND($G536=TRUE,$E536="GKP"),AY536,"")</f>
        <v/>
      </c>
      <c r="BD536">
        <f>IF(AND($G536=TRUE,$E536="DEF"),AY536,"")</f>
        <v/>
      </c>
      <c r="BE536">
        <f>IF(AND($G536=TRUE,$E536="MID"),AY536,"")</f>
        <v/>
      </c>
      <c r="BF536">
        <f>IF(AND($G536=TRUE,$E536="FWD"),AY536,"")</f>
        <v/>
      </c>
      <c r="BG536" t="n">
        <v>0</v>
      </c>
      <c r="BH536" t="n">
        <v>0</v>
      </c>
      <c r="BI536" t="n">
        <v>0</v>
      </c>
      <c r="BJ536" t="n">
        <v>0</v>
      </c>
    </row>
    <row r="537">
      <c r="A537" t="inlineStr">
        <is>
          <t>Angel Gomes</t>
        </is>
      </c>
      <c r="C537" t="inlineStr">
        <is>
          <t>WOL</t>
        </is>
      </c>
      <c r="D537" t="b">
        <v>0</v>
      </c>
      <c r="F537" t="inlineStr">
        <is>
          <t>MID</t>
        </is>
      </c>
      <c r="G537" t="b">
        <v>0</v>
      </c>
      <c r="H537" s="2" t="n"/>
      <c r="K537" s="2" t="n">
        <v>464</v>
      </c>
      <c r="M537" s="3" t="n"/>
      <c r="N537" s="8" t="n">
        <v>464</v>
      </c>
      <c r="O537" s="8" t="n">
        <v>0</v>
      </c>
      <c r="R537" s="6" t="n">
        <v>464</v>
      </c>
      <c r="S537" t="inlineStr">
        <is>
          <t>25/26 actual</t>
        </is>
      </c>
      <c r="U537" s="6" t="n">
        <v>70.5</v>
      </c>
      <c r="V537" s="2" t="n">
        <v>7</v>
      </c>
      <c r="W537" s="7">
        <f>IF(N(U537)&lt;=0,0,MIN(Assumptions!$B$15,N(R537)/N(U537)))</f>
        <v/>
      </c>
      <c r="X537" s="6" t="n"/>
      <c r="Y537" s="3" t="n">
        <v>0.0481</v>
      </c>
      <c r="Z537" t="inlineStr">
        <is>
          <t>adjusted xGOT</t>
        </is>
      </c>
      <c r="AA537" s="3" t="n">
        <v>1</v>
      </c>
      <c r="AB537" s="3" t="n">
        <v>0.994</v>
      </c>
      <c r="AC537" s="3" t="n">
        <v>0.2</v>
      </c>
      <c r="AD537" s="3" t="n">
        <v>0.058</v>
      </c>
      <c r="AE537" s="3" t="n">
        <v>7.77</v>
      </c>
      <c r="AF537" s="3" t="n">
        <v>0</v>
      </c>
      <c r="AG537" s="3" t="n">
        <v>0</v>
      </c>
      <c r="AH537" s="3" t="n">
        <v>16</v>
      </c>
      <c r="AI537" s="3" t="n"/>
      <c r="AJ537" s="3" t="n"/>
      <c r="AK537" s="3" t="n"/>
      <c r="AL537" s="6" t="n">
        <v>0</v>
      </c>
      <c r="AM537" s="3" t="n">
        <v>0</v>
      </c>
      <c r="AN537" s="3" t="n">
        <v>0</v>
      </c>
      <c r="AO537" s="3" t="n">
        <v>0</v>
      </c>
      <c r="AP537" s="3">
        <f>N(X537)*N(BI537)</f>
        <v/>
      </c>
      <c r="AQ537" s="3" t="n">
        <v>0</v>
      </c>
      <c r="AR537" s="3" t="n">
        <v>0</v>
      </c>
      <c r="AS537" s="3" t="n">
        <v>0</v>
      </c>
      <c r="AT537" s="3" t="n">
        <v>0</v>
      </c>
      <c r="AU537" s="3">
        <f>SUM(AN537:AT537)</f>
        <v/>
      </c>
      <c r="AV537" s="7">
        <f>IF(OR(N(W537)&lt;=0,N(BG537)=0),0,N(W537)*IF(N(R537)/N(W537)&gt;=60,N(BG537),1))</f>
        <v/>
      </c>
      <c r="AW537" s="7">
        <f>N(W537)*N(AF537)*N(BH537)</f>
        <v/>
      </c>
      <c r="AX537" s="7">
        <f>N(AL537)*(Assumptions!$B$13*N(BJ537)-(1-Assumptions!$B$13)*Assumptions!$B$14)+N(AM537)</f>
        <v/>
      </c>
      <c r="AY537" s="7">
        <f>N(AU537)*N(R537)/90+N(AV537)+N(AW537)+N(AX537)</f>
        <v/>
      </c>
      <c r="AZ537" s="3">
        <f>IF(N(R537)&lt;=0,0,(N(AY537)-N(AX537))*90/N(R537))</f>
        <v/>
      </c>
      <c r="BA537" s="7">
        <f>IFERROR(AY537-VLOOKUP($E537,Assumptions!$A$40:$C$43,3,FALSE),"")</f>
        <v/>
      </c>
      <c r="BB537" s="3">
        <f>IFERROR(BA537/H537,"")</f>
        <v/>
      </c>
      <c r="BC537">
        <f>IF(AND($G537=TRUE,$E537="GKP"),AY537,"")</f>
        <v/>
      </c>
      <c r="BD537">
        <f>IF(AND($G537=TRUE,$E537="DEF"),AY537,"")</f>
        <v/>
      </c>
      <c r="BE537">
        <f>IF(AND($G537=TRUE,$E537="MID"),AY537,"")</f>
        <v/>
      </c>
      <c r="BF537">
        <f>IF(AND($G537=TRUE,$E537="FWD"),AY537,"")</f>
        <v/>
      </c>
      <c r="BG537" t="n">
        <v>0</v>
      </c>
      <c r="BH537" t="n">
        <v>0</v>
      </c>
      <c r="BI537" t="n">
        <v>0</v>
      </c>
      <c r="BJ537" t="n">
        <v>0</v>
      </c>
    </row>
    <row r="538">
      <c r="A538" t="inlineStr">
        <is>
          <t>Jadon Sancho</t>
        </is>
      </c>
      <c r="C538" t="inlineStr">
        <is>
          <t>AVL</t>
        </is>
      </c>
      <c r="D538" t="b">
        <v>0</v>
      </c>
      <c r="F538" t="inlineStr">
        <is>
          <t>MID</t>
        </is>
      </c>
      <c r="G538" t="b">
        <v>0</v>
      </c>
      <c r="H538" s="2" t="n"/>
      <c r="K538" s="2" t="n">
        <v>873</v>
      </c>
      <c r="M538" s="3" t="n"/>
      <c r="N538" s="8" t="n">
        <v>873</v>
      </c>
      <c r="O538" s="8" t="n">
        <v>0</v>
      </c>
      <c r="R538" s="6" t="n">
        <v>873</v>
      </c>
      <c r="S538" t="inlineStr">
        <is>
          <t>25/26 actual</t>
        </is>
      </c>
      <c r="U538" s="6" t="n">
        <v>73.8</v>
      </c>
      <c r="V538" s="2" t="n">
        <v>9</v>
      </c>
      <c r="W538" s="7">
        <f>IF(N(U538)&lt;=0,0,MIN(Assumptions!$B$15,N(R538)/N(U538)))</f>
        <v/>
      </c>
      <c r="X538" s="6" t="n"/>
      <c r="Y538" s="3" t="n">
        <v>0.0677</v>
      </c>
      <c r="Z538" t="inlineStr">
        <is>
          <t>adjusted xGOT</t>
        </is>
      </c>
      <c r="AA538" s="3" t="n">
        <v>1</v>
      </c>
      <c r="AB538" s="3" t="n">
        <v>1.077</v>
      </c>
      <c r="AC538" s="3" t="n">
        <v>6.8</v>
      </c>
      <c r="AD538" s="3" t="n">
        <v>0.2115</v>
      </c>
      <c r="AE538" s="3" t="n">
        <v>6.403</v>
      </c>
      <c r="AF538" s="3" t="n">
        <v>0</v>
      </c>
      <c r="AG538" s="3" t="n">
        <v>0</v>
      </c>
      <c r="AH538" s="3" t="n">
        <v>29</v>
      </c>
      <c r="AI538" s="3" t="n"/>
      <c r="AJ538" s="3" t="n"/>
      <c r="AK538" s="3" t="n"/>
      <c r="AL538" s="6" t="n">
        <v>0</v>
      </c>
      <c r="AM538" s="3" t="n">
        <v>0</v>
      </c>
      <c r="AN538" s="3" t="n">
        <v>0</v>
      </c>
      <c r="AO538" s="3" t="n">
        <v>0</v>
      </c>
      <c r="AP538" s="3">
        <f>N(X538)*N(BI538)</f>
        <v/>
      </c>
      <c r="AQ538" s="3" t="n">
        <v>0</v>
      </c>
      <c r="AR538" s="3" t="n">
        <v>0</v>
      </c>
      <c r="AS538" s="3" t="n">
        <v>0</v>
      </c>
      <c r="AT538" s="3" t="n">
        <v>0</v>
      </c>
      <c r="AU538" s="3">
        <f>SUM(AN538:AT538)</f>
        <v/>
      </c>
      <c r="AV538" s="7">
        <f>IF(OR(N(W538)&lt;=0,N(BG538)=0),0,N(W538)*IF(N(R538)/N(W538)&gt;=60,N(BG538),1))</f>
        <v/>
      </c>
      <c r="AW538" s="7">
        <f>N(W538)*N(AF538)*N(BH538)</f>
        <v/>
      </c>
      <c r="AX538" s="7">
        <f>N(AL538)*(Assumptions!$B$13*N(BJ538)-(1-Assumptions!$B$13)*Assumptions!$B$14)+N(AM538)</f>
        <v/>
      </c>
      <c r="AY538" s="7">
        <f>N(AU538)*N(R538)/90+N(AV538)+N(AW538)+N(AX538)</f>
        <v/>
      </c>
      <c r="AZ538" s="3">
        <f>IF(N(R538)&lt;=0,0,(N(AY538)-N(AX538))*90/N(R538))</f>
        <v/>
      </c>
      <c r="BA538" s="7">
        <f>IFERROR(AY538-VLOOKUP($E538,Assumptions!$A$40:$C$43,3,FALSE),"")</f>
        <v/>
      </c>
      <c r="BB538" s="3">
        <f>IFERROR(BA538/H538,"")</f>
        <v/>
      </c>
      <c r="BC538">
        <f>IF(AND($G538=TRUE,$E538="GKP"),AY538,"")</f>
        <v/>
      </c>
      <c r="BD538">
        <f>IF(AND($G538=TRUE,$E538="DEF"),AY538,"")</f>
        <v/>
      </c>
      <c r="BE538">
        <f>IF(AND($G538=TRUE,$E538="MID"),AY538,"")</f>
        <v/>
      </c>
      <c r="BF538">
        <f>IF(AND($G538=TRUE,$E538="FWD"),AY538,"")</f>
        <v/>
      </c>
      <c r="BG538" t="n">
        <v>0</v>
      </c>
      <c r="BH538" t="n">
        <v>0</v>
      </c>
      <c r="BI538" t="n">
        <v>0</v>
      </c>
      <c r="BJ538" t="n">
        <v>0</v>
      </c>
    </row>
    <row r="539">
      <c r="A539" t="inlineStr">
        <is>
          <t>Nayef Aguerd</t>
        </is>
      </c>
      <c r="C539" t="inlineStr">
        <is>
          <t>WHU</t>
        </is>
      </c>
      <c r="D539" t="b">
        <v>0</v>
      </c>
      <c r="F539" t="inlineStr">
        <is>
          <t>DEF</t>
        </is>
      </c>
      <c r="G539" t="b">
        <v>0</v>
      </c>
      <c r="H539" s="2" t="n"/>
      <c r="K539" s="2" t="n">
        <v>180</v>
      </c>
      <c r="M539" s="3" t="n"/>
      <c r="N539" s="8" t="n">
        <v>180</v>
      </c>
      <c r="O539" s="8" t="n">
        <v>0</v>
      </c>
      <c r="R539" s="6" t="n">
        <v>180</v>
      </c>
      <c r="S539" t="inlineStr">
        <is>
          <t>25/26 actual</t>
        </is>
      </c>
      <c r="U539" s="6" t="n">
        <v>86.2</v>
      </c>
      <c r="V539" s="2" t="n">
        <v>2</v>
      </c>
      <c r="W539" s="7">
        <f>IF(N(U539)&lt;=0,0,MIN(Assumptions!$B$15,N(R539)/N(U539)))</f>
        <v/>
      </c>
      <c r="X539" s="6" t="n"/>
      <c r="Y539" s="3" t="n">
        <v>0.0455</v>
      </c>
      <c r="Z539" t="inlineStr">
        <is>
          <t>adjusted xGOT</t>
        </is>
      </c>
      <c r="AA539" s="3" t="n">
        <v>1</v>
      </c>
      <c r="AB539" s="3" t="n">
        <v>0.906</v>
      </c>
      <c r="AC539" s="3" t="n">
        <v>3.7</v>
      </c>
      <c r="AD539" s="3" t="n">
        <v>0</v>
      </c>
      <c r="AE539" s="3" t="n">
        <v>7.648</v>
      </c>
      <c r="AF539" s="3" t="n">
        <v>0</v>
      </c>
      <c r="AG539" s="3" t="n">
        <v>0</v>
      </c>
      <c r="AH539" s="3" t="n">
        <v>4</v>
      </c>
      <c r="AI539" s="3" t="n"/>
      <c r="AJ539" s="3" t="n"/>
      <c r="AK539" s="3" t="n"/>
      <c r="AL539" s="6" t="n">
        <v>0</v>
      </c>
      <c r="AM539" s="3" t="n">
        <v>0</v>
      </c>
      <c r="AN539" s="3" t="n">
        <v>0</v>
      </c>
      <c r="AO539" s="3" t="n">
        <v>0</v>
      </c>
      <c r="AP539" s="3">
        <f>N(X539)*N(BI539)</f>
        <v/>
      </c>
      <c r="AQ539" s="3" t="n">
        <v>0</v>
      </c>
      <c r="AR539" s="3" t="n">
        <v>0</v>
      </c>
      <c r="AS539" s="3" t="n">
        <v>0</v>
      </c>
      <c r="AT539" s="3" t="n">
        <v>0</v>
      </c>
      <c r="AU539" s="3">
        <f>SUM(AN539:AT539)</f>
        <v/>
      </c>
      <c r="AV539" s="7">
        <f>IF(OR(N(W539)&lt;=0,N(BG539)=0),0,N(W539)*IF(N(R539)/N(W539)&gt;=60,N(BG539),1))</f>
        <v/>
      </c>
      <c r="AW539" s="7">
        <f>N(W539)*N(AF539)*N(BH539)</f>
        <v/>
      </c>
      <c r="AX539" s="7">
        <f>N(AL539)*(Assumptions!$B$13*N(BJ539)-(1-Assumptions!$B$13)*Assumptions!$B$14)+N(AM539)</f>
        <v/>
      </c>
      <c r="AY539" s="7">
        <f>N(AU539)*N(R539)/90+N(AV539)+N(AW539)+N(AX539)</f>
        <v/>
      </c>
      <c r="AZ539" s="3">
        <f>IF(N(R539)&lt;=0,0,(N(AY539)-N(AX539))*90/N(R539))</f>
        <v/>
      </c>
      <c r="BA539" s="7">
        <f>IFERROR(AY539-VLOOKUP($E539,Assumptions!$A$40:$C$43,3,FALSE),"")</f>
        <v/>
      </c>
      <c r="BB539" s="3">
        <f>IFERROR(BA539/H539,"")</f>
        <v/>
      </c>
      <c r="BC539">
        <f>IF(AND($G539=TRUE,$E539="GKP"),AY539,"")</f>
        <v/>
      </c>
      <c r="BD539">
        <f>IF(AND($G539=TRUE,$E539="DEF"),AY539,"")</f>
        <v/>
      </c>
      <c r="BE539">
        <f>IF(AND($G539=TRUE,$E539="MID"),AY539,"")</f>
        <v/>
      </c>
      <c r="BF539">
        <f>IF(AND($G539=TRUE,$E539="FWD"),AY539,"")</f>
        <v/>
      </c>
      <c r="BG539" t="n">
        <v>0</v>
      </c>
      <c r="BH539" t="n">
        <v>0</v>
      </c>
      <c r="BI539" t="n">
        <v>0</v>
      </c>
      <c r="BJ539" t="n">
        <v>0</v>
      </c>
    </row>
    <row r="540">
      <c r="A540" t="inlineStr">
        <is>
          <t>David Akintola</t>
        </is>
      </c>
      <c r="B540" t="inlineStr">
        <is>
          <t>HUL</t>
        </is>
      </c>
      <c r="D540" t="b">
        <v>0</v>
      </c>
      <c r="E540" t="inlineStr">
        <is>
          <t>MID</t>
        </is>
      </c>
      <c r="G540" t="b">
        <v>1</v>
      </c>
      <c r="H540" s="2" t="n">
        <v>5</v>
      </c>
      <c r="I540" t="inlineStr">
        <is>
          <t>a</t>
        </is>
      </c>
      <c r="K540" s="2" t="n"/>
      <c r="M540" s="3" t="n">
        <v>281</v>
      </c>
      <c r="N540" s="8" t="n">
        <v>281</v>
      </c>
      <c r="O540" s="8" t="n">
        <v>0</v>
      </c>
      <c r="Q540" t="inlineStr">
        <is>
          <t>flat</t>
        </is>
      </c>
      <c r="R540" s="6" t="n">
        <v>281</v>
      </c>
      <c r="S540" t="inlineStr">
        <is>
          <t>Solio</t>
        </is>
      </c>
      <c r="U540" s="6" t="n">
        <v>85</v>
      </c>
      <c r="V540" s="2" t="n"/>
      <c r="W540" s="7">
        <f>IF(N(U540)&lt;=0,0,MIN(Assumptions!$B$15,N(R540)/N(U540)))</f>
        <v/>
      </c>
      <c r="X540" s="6" t="n">
        <v>0.143</v>
      </c>
      <c r="Y540" s="3" t="n"/>
      <c r="Z540" t="inlineStr"/>
      <c r="AA540" s="3" t="n">
        <v>1</v>
      </c>
      <c r="AB540" s="3" t="n"/>
      <c r="AC540" s="3" t="n"/>
      <c r="AD540" s="3" t="n"/>
      <c r="AE540" s="3" t="n"/>
      <c r="AF540" s="3" t="n">
        <v>0</v>
      </c>
      <c r="AG540" s="3" t="n"/>
      <c r="AH540" s="3" t="n"/>
      <c r="AI540" s="3" t="n">
        <v>3.9421</v>
      </c>
      <c r="AJ540" s="3" t="n">
        <v>1.99</v>
      </c>
      <c r="AK540" s="3" t="n">
        <v>-0.2160434166173144</v>
      </c>
      <c r="AL540" s="6" t="n">
        <v>0</v>
      </c>
      <c r="AM540" s="3" t="n">
        <v>0</v>
      </c>
      <c r="AN540" s="3" t="n">
        <v>0</v>
      </c>
      <c r="AO540" s="3" t="n">
        <v>0</v>
      </c>
      <c r="AP540" s="3">
        <f>N(X540)*N(BI540)</f>
        <v/>
      </c>
      <c r="AQ540" s="3" t="n">
        <v>0</v>
      </c>
      <c r="AR540" s="3" t="n">
        <v>0</v>
      </c>
      <c r="AS540" s="3" t="n">
        <v>-0</v>
      </c>
      <c r="AT540" s="3" t="n">
        <v>-0.2160434166173144</v>
      </c>
      <c r="AU540" s="3">
        <f>SUM(AN540:AT540)</f>
        <v/>
      </c>
      <c r="AV540" s="7">
        <f>IF(OR(N(W540)&lt;=0,N(BG540)=0),0,N(W540)*IF(N(R540)/N(W540)&gt;=60,N(BG540),1))</f>
        <v/>
      </c>
      <c r="AW540" s="7">
        <f>N(W540)*N(AF540)*N(BH540)</f>
        <v/>
      </c>
      <c r="AX540" s="7">
        <f>N(AL540)*(Assumptions!$B$13*N(BJ540)-(1-Assumptions!$B$13)*Assumptions!$B$14)+N(AM540)</f>
        <v/>
      </c>
      <c r="AY540" s="7">
        <f>N(AU540)*N(R540)/90+N(AV540)+N(AW540)+N(AX540)</f>
        <v/>
      </c>
      <c r="AZ540" s="3">
        <f>IF(N(R540)&lt;=0,0,(N(AY540)-N(AX540))*90/N(R540))</f>
        <v/>
      </c>
      <c r="BA540" s="7">
        <f>IFERROR(AY540-VLOOKUP($E540,Assumptions!$A$40:$C$43,3,FALSE),"")</f>
        <v/>
      </c>
      <c r="BB540" s="3">
        <f>IFERROR(BA540/H540,"")</f>
        <v/>
      </c>
      <c r="BC540">
        <f>IF(AND($G540=TRUE,$E540="GKP"),AY540,"")</f>
        <v/>
      </c>
      <c r="BD540">
        <f>IF(AND($G540=TRUE,$E540="DEF"),AY540,"")</f>
        <v/>
      </c>
      <c r="BE540">
        <f>IF(AND($G540=TRUE,$E540="MID"),AY540,"")</f>
        <v/>
      </c>
      <c r="BF540">
        <f>IF(AND($G540=TRUE,$E540="FWD"),AY540,"")</f>
        <v/>
      </c>
      <c r="BG540" t="n">
        <v>2</v>
      </c>
      <c r="BH540" t="n">
        <v>2</v>
      </c>
      <c r="BI540" t="n">
        <v>1</v>
      </c>
      <c r="BJ540" t="n">
        <v>5</v>
      </c>
    </row>
    <row r="541">
      <c r="A541" t="inlineStr">
        <is>
          <t>Maximilian Kilman</t>
        </is>
      </c>
      <c r="C541" t="inlineStr">
        <is>
          <t>WHU</t>
        </is>
      </c>
      <c r="D541" t="b">
        <v>0</v>
      </c>
      <c r="F541" t="inlineStr">
        <is>
          <t>DEF</t>
        </is>
      </c>
      <c r="G541" t="b">
        <v>0</v>
      </c>
      <c r="H541" s="2" t="n"/>
      <c r="K541" s="2" t="n">
        <v>1559</v>
      </c>
      <c r="M541" s="3" t="n"/>
      <c r="N541" s="8" t="n">
        <v>1559</v>
      </c>
      <c r="O541" s="8" t="n">
        <v>0</v>
      </c>
      <c r="R541" s="6" t="n">
        <v>1559</v>
      </c>
      <c r="S541" t="inlineStr">
        <is>
          <t>25/26 actual</t>
        </is>
      </c>
      <c r="U541" s="6" t="n">
        <v>88.3</v>
      </c>
      <c r="V541" s="2" t="n">
        <v>17</v>
      </c>
      <c r="W541" s="7">
        <f>IF(N(U541)&lt;=0,0,MIN(Assumptions!$B$15,N(R541)/N(U541)))</f>
        <v/>
      </c>
      <c r="X541" s="6" t="n"/>
      <c r="Y541" s="3" t="n">
        <v>0.0277</v>
      </c>
      <c r="Z541" t="inlineStr">
        <is>
          <t>adjusted xGOT</t>
        </is>
      </c>
      <c r="AA541" s="3" t="n">
        <v>1</v>
      </c>
      <c r="AB541" s="3" t="n">
        <v>0.856</v>
      </c>
      <c r="AC541" s="3" t="n">
        <v>5.2</v>
      </c>
      <c r="AD541" s="3" t="n">
        <v>0.012</v>
      </c>
      <c r="AE541" s="3" t="n">
        <v>8.746</v>
      </c>
      <c r="AF541" s="3" t="n">
        <v>0</v>
      </c>
      <c r="AG541" s="3" t="n">
        <v>0</v>
      </c>
      <c r="AH541" s="3" t="n">
        <v>38</v>
      </c>
      <c r="AI541" s="3" t="n"/>
      <c r="AJ541" s="3" t="n"/>
      <c r="AK541" s="3" t="n"/>
      <c r="AL541" s="6" t="n">
        <v>0</v>
      </c>
      <c r="AM541" s="3" t="n">
        <v>0</v>
      </c>
      <c r="AN541" s="3" t="n">
        <v>0</v>
      </c>
      <c r="AO541" s="3" t="n">
        <v>0</v>
      </c>
      <c r="AP541" s="3">
        <f>N(X541)*N(BI541)</f>
        <v/>
      </c>
      <c r="AQ541" s="3" t="n">
        <v>0</v>
      </c>
      <c r="AR541" s="3" t="n">
        <v>0</v>
      </c>
      <c r="AS541" s="3" t="n">
        <v>0</v>
      </c>
      <c r="AT541" s="3" t="n">
        <v>0</v>
      </c>
      <c r="AU541" s="3">
        <f>SUM(AN541:AT541)</f>
        <v/>
      </c>
      <c r="AV541" s="7">
        <f>IF(OR(N(W541)&lt;=0,N(BG541)=0),0,N(W541)*IF(N(R541)/N(W541)&gt;=60,N(BG541),1))</f>
        <v/>
      </c>
      <c r="AW541" s="7">
        <f>N(W541)*N(AF541)*N(BH541)</f>
        <v/>
      </c>
      <c r="AX541" s="7">
        <f>N(AL541)*(Assumptions!$B$13*N(BJ541)-(1-Assumptions!$B$13)*Assumptions!$B$14)+N(AM541)</f>
        <v/>
      </c>
      <c r="AY541" s="7">
        <f>N(AU541)*N(R541)/90+N(AV541)+N(AW541)+N(AX541)</f>
        <v/>
      </c>
      <c r="AZ541" s="3">
        <f>IF(N(R541)&lt;=0,0,(N(AY541)-N(AX541))*90/N(R541))</f>
        <v/>
      </c>
      <c r="BA541" s="7">
        <f>IFERROR(AY541-VLOOKUP($E541,Assumptions!$A$40:$C$43,3,FALSE),"")</f>
        <v/>
      </c>
      <c r="BB541" s="3">
        <f>IFERROR(BA541/H541,"")</f>
        <v/>
      </c>
      <c r="BC541">
        <f>IF(AND($G541=TRUE,$E541="GKP"),AY541,"")</f>
        <v/>
      </c>
      <c r="BD541">
        <f>IF(AND($G541=TRUE,$E541="DEF"),AY541,"")</f>
        <v/>
      </c>
      <c r="BE541">
        <f>IF(AND($G541=TRUE,$E541="MID"),AY541,"")</f>
        <v/>
      </c>
      <c r="BF541">
        <f>IF(AND($G541=TRUE,$E541="FWD"),AY541,"")</f>
        <v/>
      </c>
      <c r="BG541" t="n">
        <v>0</v>
      </c>
      <c r="BH541" t="n">
        <v>0</v>
      </c>
      <c r="BI541" t="n">
        <v>0</v>
      </c>
      <c r="BJ541" t="n">
        <v>0</v>
      </c>
    </row>
    <row r="542">
      <c r="A542" t="inlineStr">
        <is>
          <t>Aaron Wan-Bissaka</t>
        </is>
      </c>
      <c r="C542" t="inlineStr">
        <is>
          <t>WHU</t>
        </is>
      </c>
      <c r="D542" t="b">
        <v>0</v>
      </c>
      <c r="F542" t="inlineStr">
        <is>
          <t>DEF</t>
        </is>
      </c>
      <c r="G542" t="b">
        <v>0</v>
      </c>
      <c r="H542" s="2" t="n"/>
      <c r="K542" s="2" t="n">
        <v>2084</v>
      </c>
      <c r="M542" s="3" t="n"/>
      <c r="N542" s="8" t="n">
        <v>2084</v>
      </c>
      <c r="O542" s="8" t="n">
        <v>0</v>
      </c>
      <c r="R542" s="6" t="n">
        <v>2084</v>
      </c>
      <c r="S542" t="inlineStr">
        <is>
          <t>25/26 actual</t>
        </is>
      </c>
      <c r="U542" s="6" t="n">
        <v>86.8</v>
      </c>
      <c r="V542" s="2" t="n">
        <v>23</v>
      </c>
      <c r="W542" s="7">
        <f>IF(N(U542)&lt;=0,0,MIN(Assumptions!$B$15,N(R542)/N(U542)))</f>
        <v/>
      </c>
      <c r="X542" s="6" t="n"/>
      <c r="Y542" s="3" t="n">
        <v>0</v>
      </c>
      <c r="Z542" t="inlineStr">
        <is>
          <t>adjusted xGOT</t>
        </is>
      </c>
      <c r="AA542" s="3" t="n">
        <v>1</v>
      </c>
      <c r="AB542" s="3" t="n">
        <v>0.878</v>
      </c>
      <c r="AC542" s="3" t="n">
        <v>2.5</v>
      </c>
      <c r="AD542" s="3" t="n">
        <v>0.0617</v>
      </c>
      <c r="AE542" s="3" t="n">
        <v>7.569</v>
      </c>
      <c r="AF542" s="3" t="n">
        <v>0</v>
      </c>
      <c r="AG542" s="3" t="n">
        <v>0</v>
      </c>
      <c r="AH542" s="3" t="n">
        <v>48</v>
      </c>
      <c r="AI542" s="3" t="n"/>
      <c r="AJ542" s="3" t="n"/>
      <c r="AK542" s="3" t="n"/>
      <c r="AL542" s="6" t="n">
        <v>0</v>
      </c>
      <c r="AM542" s="3" t="n">
        <v>0</v>
      </c>
      <c r="AN542" s="3" t="n">
        <v>0</v>
      </c>
      <c r="AO542" s="3" t="n">
        <v>0</v>
      </c>
      <c r="AP542" s="3">
        <f>N(X542)*N(BI542)</f>
        <v/>
      </c>
      <c r="AQ542" s="3" t="n">
        <v>0</v>
      </c>
      <c r="AR542" s="3" t="n">
        <v>0</v>
      </c>
      <c r="AS542" s="3" t="n">
        <v>0</v>
      </c>
      <c r="AT542" s="3" t="n">
        <v>0</v>
      </c>
      <c r="AU542" s="3">
        <f>SUM(AN542:AT542)</f>
        <v/>
      </c>
      <c r="AV542" s="7">
        <f>IF(OR(N(W542)&lt;=0,N(BG542)=0),0,N(W542)*IF(N(R542)/N(W542)&gt;=60,N(BG542),1))</f>
        <v/>
      </c>
      <c r="AW542" s="7">
        <f>N(W542)*N(AF542)*N(BH542)</f>
        <v/>
      </c>
      <c r="AX542" s="7">
        <f>N(AL542)*(Assumptions!$B$13*N(BJ542)-(1-Assumptions!$B$13)*Assumptions!$B$14)+N(AM542)</f>
        <v/>
      </c>
      <c r="AY542" s="7">
        <f>N(AU542)*N(R542)/90+N(AV542)+N(AW542)+N(AX542)</f>
        <v/>
      </c>
      <c r="AZ542" s="3">
        <f>IF(N(R542)&lt;=0,0,(N(AY542)-N(AX542))*90/N(R542))</f>
        <v/>
      </c>
      <c r="BA542" s="7">
        <f>IFERROR(AY542-VLOOKUP($E542,Assumptions!$A$40:$C$43,3,FALSE),"")</f>
        <v/>
      </c>
      <c r="BB542" s="3">
        <f>IFERROR(BA542/H542,"")</f>
        <v/>
      </c>
      <c r="BC542">
        <f>IF(AND($G542=TRUE,$E542="GKP"),AY542,"")</f>
        <v/>
      </c>
      <c r="BD542">
        <f>IF(AND($G542=TRUE,$E542="DEF"),AY542,"")</f>
        <v/>
      </c>
      <c r="BE542">
        <f>IF(AND($G542=TRUE,$E542="MID"),AY542,"")</f>
        <v/>
      </c>
      <c r="BF542">
        <f>IF(AND($G542=TRUE,$E542="FWD"),AY542,"")</f>
        <v/>
      </c>
      <c r="BG542" t="n">
        <v>0</v>
      </c>
      <c r="BH542" t="n">
        <v>0</v>
      </c>
      <c r="BI542" t="n">
        <v>0</v>
      </c>
      <c r="BJ542" t="n">
        <v>0</v>
      </c>
    </row>
    <row r="543">
      <c r="A543" t="inlineStr">
        <is>
          <t>Tomás Soucek</t>
        </is>
      </c>
      <c r="C543" t="inlineStr">
        <is>
          <t>WHU</t>
        </is>
      </c>
      <c r="D543" t="b">
        <v>0</v>
      </c>
      <c r="F543" t="inlineStr">
        <is>
          <t>MID</t>
        </is>
      </c>
      <c r="G543" t="b">
        <v>0</v>
      </c>
      <c r="H543" s="2" t="n"/>
      <c r="K543" s="2" t="n">
        <v>2198</v>
      </c>
      <c r="M543" s="3" t="n"/>
      <c r="N543" s="8" t="n">
        <v>2198</v>
      </c>
      <c r="O543" s="8" t="n">
        <v>0</v>
      </c>
      <c r="R543" s="6" t="n">
        <v>2198</v>
      </c>
      <c r="S543" t="inlineStr">
        <is>
          <t>25/26 actual</t>
        </is>
      </c>
      <c r="U543" s="6" t="n">
        <v>83</v>
      </c>
      <c r="V543" s="2" t="n">
        <v>23</v>
      </c>
      <c r="W543" s="7">
        <f>IF(N(U543)&lt;=0,0,MIN(Assumptions!$B$15,N(R543)/N(U543)))</f>
        <v/>
      </c>
      <c r="X543" s="6" t="n"/>
      <c r="Y543" s="3" t="n">
        <v>0.2578</v>
      </c>
      <c r="Z543" t="inlineStr">
        <is>
          <t>adjusted xGOT</t>
        </is>
      </c>
      <c r="AA543" s="3" t="n">
        <v>1</v>
      </c>
      <c r="AB543" s="3" t="n">
        <v>1.099</v>
      </c>
      <c r="AC543" s="3" t="n">
        <v>23</v>
      </c>
      <c r="AD543" s="3" t="n">
        <v>0.0336</v>
      </c>
      <c r="AE543" s="3" t="n">
        <v>9.050000000000001</v>
      </c>
      <c r="AF543" s="3" t="n">
        <v>0</v>
      </c>
      <c r="AG543" s="3" t="n">
        <v>0.3685</v>
      </c>
      <c r="AH543" s="3" t="n">
        <v>58</v>
      </c>
      <c r="AI543" s="3" t="n"/>
      <c r="AJ543" s="3" t="n"/>
      <c r="AK543" s="3" t="n"/>
      <c r="AL543" s="6" t="n">
        <v>0</v>
      </c>
      <c r="AM543" s="3" t="n">
        <v>0</v>
      </c>
      <c r="AN543" s="3" t="n">
        <v>0</v>
      </c>
      <c r="AO543" s="3" t="n">
        <v>0</v>
      </c>
      <c r="AP543" s="3">
        <f>N(X543)*N(BI543)</f>
        <v/>
      </c>
      <c r="AQ543" s="3" t="n">
        <v>0</v>
      </c>
      <c r="AR543" s="3" t="n">
        <v>0</v>
      </c>
      <c r="AS543" s="3" t="n">
        <v>0</v>
      </c>
      <c r="AT543" s="3" t="n">
        <v>0</v>
      </c>
      <c r="AU543" s="3">
        <f>SUM(AN543:AT543)</f>
        <v/>
      </c>
      <c r="AV543" s="7">
        <f>IF(OR(N(W543)&lt;=0,N(BG543)=0),0,N(W543)*IF(N(R543)/N(W543)&gt;=60,N(BG543),1))</f>
        <v/>
      </c>
      <c r="AW543" s="7">
        <f>N(W543)*N(AF543)*N(BH543)</f>
        <v/>
      </c>
      <c r="AX543" s="7">
        <f>N(AL543)*(Assumptions!$B$13*N(BJ543)-(1-Assumptions!$B$13)*Assumptions!$B$14)+N(AM543)</f>
        <v/>
      </c>
      <c r="AY543" s="7">
        <f>N(AU543)*N(R543)/90+N(AV543)+N(AW543)+N(AX543)</f>
        <v/>
      </c>
      <c r="AZ543" s="3">
        <f>IF(N(R543)&lt;=0,0,(N(AY543)-N(AX543))*90/N(R543))</f>
        <v/>
      </c>
      <c r="BA543" s="7">
        <f>IFERROR(AY543-VLOOKUP($E543,Assumptions!$A$40:$C$43,3,FALSE),"")</f>
        <v/>
      </c>
      <c r="BB543" s="3">
        <f>IFERROR(BA543/H543,"")</f>
        <v/>
      </c>
      <c r="BC543">
        <f>IF(AND($G543=TRUE,$E543="GKP"),AY543,"")</f>
        <v/>
      </c>
      <c r="BD543">
        <f>IF(AND($G543=TRUE,$E543="DEF"),AY543,"")</f>
        <v/>
      </c>
      <c r="BE543">
        <f>IF(AND($G543=TRUE,$E543="MID"),AY543,"")</f>
        <v/>
      </c>
      <c r="BF543">
        <f>IF(AND($G543=TRUE,$E543="FWD"),AY543,"")</f>
        <v/>
      </c>
      <c r="BG543" t="n">
        <v>0</v>
      </c>
      <c r="BH543" t="n">
        <v>0</v>
      </c>
      <c r="BI543" t="n">
        <v>0</v>
      </c>
      <c r="BJ543" t="n">
        <v>0</v>
      </c>
    </row>
    <row r="544">
      <c r="A544" t="inlineStr">
        <is>
          <t>Dara O'Shea</t>
        </is>
      </c>
      <c r="B544" t="inlineStr">
        <is>
          <t>IPS</t>
        </is>
      </c>
      <c r="D544" t="b">
        <v>0</v>
      </c>
      <c r="E544" t="inlineStr">
        <is>
          <t>DEF</t>
        </is>
      </c>
      <c r="G544" t="b">
        <v>1</v>
      </c>
      <c r="H544" s="2" t="n">
        <v>4</v>
      </c>
      <c r="I544" t="inlineStr">
        <is>
          <t>a</t>
        </is>
      </c>
      <c r="K544" s="2" t="n"/>
      <c r="M544" s="3" t="n">
        <v>3232</v>
      </c>
      <c r="N544" s="8" t="n">
        <v>3232</v>
      </c>
      <c r="O544" s="8" t="n">
        <v>0</v>
      </c>
      <c r="Q544" t="inlineStr">
        <is>
          <t>flat</t>
        </is>
      </c>
      <c r="R544" s="6" t="n">
        <v>3232</v>
      </c>
      <c r="S544" t="inlineStr">
        <is>
          <t>Solio</t>
        </is>
      </c>
      <c r="U544" s="6" t="n">
        <v>85</v>
      </c>
      <c r="V544" s="2" t="n"/>
      <c r="W544" s="7">
        <f>IF(N(U544)&lt;=0,0,MIN(Assumptions!$B$15,N(R544)/N(U544)))</f>
        <v/>
      </c>
      <c r="X544" s="6" t="n">
        <v>0.17</v>
      </c>
      <c r="Y544" s="3" t="n"/>
      <c r="Z544" t="inlineStr"/>
      <c r="AA544" s="3" t="n">
        <v>1</v>
      </c>
      <c r="AB544" s="3" t="n"/>
      <c r="AC544" s="3" t="n"/>
      <c r="AD544" s="3" t="n"/>
      <c r="AE544" s="3" t="n"/>
      <c r="AF544" s="3" t="n">
        <v>0</v>
      </c>
      <c r="AG544" s="3" t="n"/>
      <c r="AH544" s="3" t="n"/>
      <c r="AI544" s="3" t="n">
        <v>3.5741</v>
      </c>
      <c r="AJ544" s="3" t="n">
        <v>1.8319</v>
      </c>
      <c r="AK544" s="3" t="n">
        <v>-0.1930079917092188</v>
      </c>
      <c r="AL544" s="6" t="n">
        <v>0</v>
      </c>
      <c r="AM544" s="3" t="n">
        <v>0</v>
      </c>
      <c r="AN544" s="3" t="n">
        <v>0</v>
      </c>
      <c r="AO544" s="3" t="n">
        <v>0</v>
      </c>
      <c r="AP544" s="3">
        <f>N(X544)*N(BI544)</f>
        <v/>
      </c>
      <c r="AQ544" s="3" t="n">
        <v>0</v>
      </c>
      <c r="AR544" s="3" t="n">
        <v>0</v>
      </c>
      <c r="AS544" s="3" t="n">
        <v>-0.6723587286814016</v>
      </c>
      <c r="AT544" s="3" t="n">
        <v>-0.1930079917092188</v>
      </c>
      <c r="AU544" s="3">
        <f>SUM(AN544:AT544)</f>
        <v/>
      </c>
      <c r="AV544" s="7">
        <f>IF(OR(N(W544)&lt;=0,N(BG544)=0),0,N(W544)*IF(N(R544)/N(W544)&gt;=60,N(BG544),1))</f>
        <v/>
      </c>
      <c r="AW544" s="7">
        <f>N(W544)*N(AF544)*N(BH544)</f>
        <v/>
      </c>
      <c r="AX544" s="7">
        <f>N(AL544)*(Assumptions!$B$13*N(BJ544)-(1-Assumptions!$B$13)*Assumptions!$B$14)+N(AM544)</f>
        <v/>
      </c>
      <c r="AY544" s="7">
        <f>N(AU544)*N(R544)/90+N(AV544)+N(AW544)+N(AX544)</f>
        <v/>
      </c>
      <c r="AZ544" s="3">
        <f>IF(N(R544)&lt;=0,0,(N(AY544)-N(AX544))*90/N(R544))</f>
        <v/>
      </c>
      <c r="BA544" s="7">
        <f>IFERROR(AY544-VLOOKUP($E544,Assumptions!$A$40:$C$43,3,FALSE),"")</f>
        <v/>
      </c>
      <c r="BB544" s="3">
        <f>IFERROR(BA544/H544,"")</f>
        <v/>
      </c>
      <c r="BC544">
        <f>IF(AND($G544=TRUE,$E544="GKP"),AY544,"")</f>
        <v/>
      </c>
      <c r="BD544">
        <f>IF(AND($G544=TRUE,$E544="DEF"),AY544,"")</f>
        <v/>
      </c>
      <c r="BE544">
        <f>IF(AND($G544=TRUE,$E544="MID"),AY544,"")</f>
        <v/>
      </c>
      <c r="BF544">
        <f>IF(AND($G544=TRUE,$E544="FWD"),AY544,"")</f>
        <v/>
      </c>
      <c r="BG544" t="n">
        <v>2</v>
      </c>
      <c r="BH544" t="n">
        <v>2</v>
      </c>
      <c r="BI544" t="n">
        <v>4</v>
      </c>
      <c r="BJ544" t="n">
        <v>6</v>
      </c>
    </row>
    <row r="545">
      <c r="A545" t="inlineStr">
        <is>
          <t>Samuel Chukwueze</t>
        </is>
      </c>
      <c r="C545" t="inlineStr">
        <is>
          <t>FUL</t>
        </is>
      </c>
      <c r="D545" t="b">
        <v>0</v>
      </c>
      <c r="F545" t="inlineStr">
        <is>
          <t>MID</t>
        </is>
      </c>
      <c r="G545" t="b">
        <v>0</v>
      </c>
      <c r="H545" s="2" t="n"/>
      <c r="K545" s="2" t="n">
        <v>1075</v>
      </c>
      <c r="M545" s="3" t="n"/>
      <c r="N545" s="8" t="n">
        <v>1075</v>
      </c>
      <c r="O545" s="8" t="n">
        <v>0</v>
      </c>
      <c r="R545" s="6" t="n">
        <v>1075</v>
      </c>
      <c r="S545" t="inlineStr">
        <is>
          <t>25/26 actual</t>
        </is>
      </c>
      <c r="U545" s="6" t="n">
        <v>77.3</v>
      </c>
      <c r="V545" s="2" t="n">
        <v>10</v>
      </c>
      <c r="W545" s="7">
        <f>IF(N(U545)&lt;=0,0,MIN(Assumptions!$B$15,N(R545)/N(U545)))</f>
        <v/>
      </c>
      <c r="X545" s="6" t="n"/>
      <c r="Y545" s="3" t="n">
        <v>0.1932</v>
      </c>
      <c r="Z545" t="inlineStr">
        <is>
          <t>adjusted xGOT</t>
        </is>
      </c>
      <c r="AA545" s="3" t="n">
        <v>1</v>
      </c>
      <c r="AB545" s="3" t="n">
        <v>1.099</v>
      </c>
      <c r="AC545" s="3" t="n">
        <v>2.1</v>
      </c>
      <c r="AD545" s="3" t="n">
        <v>0.2374</v>
      </c>
      <c r="AE545" s="3" t="n">
        <v>7.535</v>
      </c>
      <c r="AF545" s="3" t="n">
        <v>0</v>
      </c>
      <c r="AG545" s="3" t="n">
        <v>0.1674</v>
      </c>
      <c r="AH545" s="3" t="n">
        <v>32</v>
      </c>
      <c r="AI545" s="3" t="n"/>
      <c r="AJ545" s="3" t="n"/>
      <c r="AK545" s="3" t="n"/>
      <c r="AL545" s="6" t="n">
        <v>0</v>
      </c>
      <c r="AM545" s="3" t="n">
        <v>0</v>
      </c>
      <c r="AN545" s="3" t="n">
        <v>0</v>
      </c>
      <c r="AO545" s="3" t="n">
        <v>0</v>
      </c>
      <c r="AP545" s="3">
        <f>N(X545)*N(BI545)</f>
        <v/>
      </c>
      <c r="AQ545" s="3" t="n">
        <v>0</v>
      </c>
      <c r="AR545" s="3" t="n">
        <v>0</v>
      </c>
      <c r="AS545" s="3" t="n">
        <v>0</v>
      </c>
      <c r="AT545" s="3" t="n">
        <v>0</v>
      </c>
      <c r="AU545" s="3">
        <f>SUM(AN545:AT545)</f>
        <v/>
      </c>
      <c r="AV545" s="7">
        <f>IF(OR(N(W545)&lt;=0,N(BG545)=0),0,N(W545)*IF(N(R545)/N(W545)&gt;=60,N(BG545),1))</f>
        <v/>
      </c>
      <c r="AW545" s="7">
        <f>N(W545)*N(AF545)*N(BH545)</f>
        <v/>
      </c>
      <c r="AX545" s="7">
        <f>N(AL545)*(Assumptions!$B$13*N(BJ545)-(1-Assumptions!$B$13)*Assumptions!$B$14)+N(AM545)</f>
        <v/>
      </c>
      <c r="AY545" s="7">
        <f>N(AU545)*N(R545)/90+N(AV545)+N(AW545)+N(AX545)</f>
        <v/>
      </c>
      <c r="AZ545" s="3">
        <f>IF(N(R545)&lt;=0,0,(N(AY545)-N(AX545))*90/N(R545))</f>
        <v/>
      </c>
      <c r="BA545" s="7">
        <f>IFERROR(AY545-VLOOKUP($E545,Assumptions!$A$40:$C$43,3,FALSE),"")</f>
        <v/>
      </c>
      <c r="BB545" s="3">
        <f>IFERROR(BA545/H545,"")</f>
        <v/>
      </c>
      <c r="BC545">
        <f>IF(AND($G545=TRUE,$E545="GKP"),AY545,"")</f>
        <v/>
      </c>
      <c r="BD545">
        <f>IF(AND($G545=TRUE,$E545="DEF"),AY545,"")</f>
        <v/>
      </c>
      <c r="BE545">
        <f>IF(AND($G545=TRUE,$E545="MID"),AY545,"")</f>
        <v/>
      </c>
      <c r="BF545">
        <f>IF(AND($G545=TRUE,$E545="FWD"),AY545,"")</f>
        <v/>
      </c>
      <c r="BG545" t="n">
        <v>0</v>
      </c>
      <c r="BH545" t="n">
        <v>0</v>
      </c>
      <c r="BI545" t="n">
        <v>0</v>
      </c>
      <c r="BJ545" t="n">
        <v>0</v>
      </c>
    </row>
    <row r="546">
      <c r="A546" t="inlineStr">
        <is>
          <t>Ellis Simms</t>
        </is>
      </c>
      <c r="B546" t="inlineStr">
        <is>
          <t>COV</t>
        </is>
      </c>
      <c r="D546" t="b">
        <v>0</v>
      </c>
      <c r="E546" t="inlineStr">
        <is>
          <t>FWD</t>
        </is>
      </c>
      <c r="G546" t="b">
        <v>1</v>
      </c>
      <c r="H546" s="2" t="n">
        <v>5</v>
      </c>
      <c r="I546" t="inlineStr">
        <is>
          <t>a</t>
        </is>
      </c>
      <c r="K546" s="2" t="n"/>
      <c r="M546" s="3" t="n">
        <v>744</v>
      </c>
      <c r="N546" s="8" t="n">
        <v>744</v>
      </c>
      <c r="O546" s="8" t="n">
        <v>0</v>
      </c>
      <c r="Q546" t="inlineStr">
        <is>
          <t>fade (losing his place)</t>
        </is>
      </c>
      <c r="R546" s="6" t="n">
        <v>744</v>
      </c>
      <c r="S546" t="inlineStr">
        <is>
          <t>Solio</t>
        </is>
      </c>
      <c r="U546" s="6" t="n">
        <v>85</v>
      </c>
      <c r="V546" s="2" t="n"/>
      <c r="W546" s="7">
        <f>IF(N(U546)&lt;=0,0,MIN(Assumptions!$B$15,N(R546)/N(U546)))</f>
        <v/>
      </c>
      <c r="X546" s="6" t="n">
        <v>0.17</v>
      </c>
      <c r="Y546" s="3" t="n"/>
      <c r="Z546" t="inlineStr"/>
      <c r="AA546" s="3" t="n">
        <v>1</v>
      </c>
      <c r="AB546" s="3" t="n"/>
      <c r="AC546" s="3" t="n"/>
      <c r="AD546" s="3" t="n"/>
      <c r="AE546" s="3" t="n"/>
      <c r="AF546" s="3" t="n">
        <v>0</v>
      </c>
      <c r="AG546" s="3" t="n"/>
      <c r="AH546" s="3" t="n"/>
      <c r="AI546" s="3" t="n">
        <v>3.6194</v>
      </c>
      <c r="AJ546" s="3" t="n">
        <v>1.8271</v>
      </c>
      <c r="AK546" s="3" t="n">
        <v>-0.174691292596322</v>
      </c>
      <c r="AL546" s="6" t="n">
        <v>0</v>
      </c>
      <c r="AM546" s="3" t="n">
        <v>0</v>
      </c>
      <c r="AN546" s="3" t="n">
        <v>0</v>
      </c>
      <c r="AO546" s="3" t="n">
        <v>0</v>
      </c>
      <c r="AP546" s="3">
        <f>N(X546)*N(BI546)</f>
        <v/>
      </c>
      <c r="AQ546" s="3" t="n">
        <v>0</v>
      </c>
      <c r="AR546" s="3" t="n">
        <v>0</v>
      </c>
      <c r="AS546" s="3" t="n">
        <v>-0</v>
      </c>
      <c r="AT546" s="3" t="n">
        <v>-0.174691292596322</v>
      </c>
      <c r="AU546" s="3">
        <f>SUM(AN546:AT546)</f>
        <v/>
      </c>
      <c r="AV546" s="7">
        <f>IF(OR(N(W546)&lt;=0,N(BG546)=0),0,N(W546)*IF(N(R546)/N(W546)&gt;=60,N(BG546),1))</f>
        <v/>
      </c>
      <c r="AW546" s="7">
        <f>N(W546)*N(AF546)*N(BH546)</f>
        <v/>
      </c>
      <c r="AX546" s="7">
        <f>N(AL546)*(Assumptions!$B$13*N(BJ546)-(1-Assumptions!$B$13)*Assumptions!$B$14)+N(AM546)</f>
        <v/>
      </c>
      <c r="AY546" s="7">
        <f>N(AU546)*N(R546)/90+N(AV546)+N(AW546)+N(AX546)</f>
        <v/>
      </c>
      <c r="AZ546" s="3">
        <f>IF(N(R546)&lt;=0,0,(N(AY546)-N(AX546))*90/N(R546))</f>
        <v/>
      </c>
      <c r="BA546" s="7">
        <f>IFERROR(AY546-VLOOKUP($E546,Assumptions!$A$40:$C$43,3,FALSE),"")</f>
        <v/>
      </c>
      <c r="BB546" s="3">
        <f>IFERROR(BA546/H546,"")</f>
        <v/>
      </c>
      <c r="BC546">
        <f>IF(AND($G546=TRUE,$E546="GKP"),AY546,"")</f>
        <v/>
      </c>
      <c r="BD546">
        <f>IF(AND($G546=TRUE,$E546="DEF"),AY546,"")</f>
        <v/>
      </c>
      <c r="BE546">
        <f>IF(AND($G546=TRUE,$E546="MID"),AY546,"")</f>
        <v/>
      </c>
      <c r="BF546">
        <f>IF(AND($G546=TRUE,$E546="FWD"),AY546,"")</f>
        <v/>
      </c>
      <c r="BG546" t="n">
        <v>2</v>
      </c>
      <c r="BH546" t="n">
        <v>2</v>
      </c>
      <c r="BI546" t="n">
        <v>0</v>
      </c>
      <c r="BJ546" t="n">
        <v>4</v>
      </c>
    </row>
    <row r="547">
      <c r="A547" t="inlineStr">
        <is>
          <t>Luke Woolfenden</t>
        </is>
      </c>
      <c r="B547" t="inlineStr">
        <is>
          <t>COV</t>
        </is>
      </c>
      <c r="D547" t="b">
        <v>0</v>
      </c>
      <c r="E547" t="inlineStr">
        <is>
          <t>DEF</t>
        </is>
      </c>
      <c r="G547" t="b">
        <v>1</v>
      </c>
      <c r="H547" s="2" t="n">
        <v>4</v>
      </c>
      <c r="I547" t="inlineStr">
        <is>
          <t>a</t>
        </is>
      </c>
      <c r="K547" s="2" t="n"/>
      <c r="M547" s="3" t="n">
        <v>270</v>
      </c>
      <c r="N547" s="8" t="n">
        <v>270</v>
      </c>
      <c r="O547" s="8" t="n">
        <v>0</v>
      </c>
      <c r="Q547" t="inlineStr">
        <is>
          <t>flat</t>
        </is>
      </c>
      <c r="R547" s="6" t="n">
        <v>270</v>
      </c>
      <c r="S547" t="inlineStr">
        <is>
          <t>Solio</t>
        </is>
      </c>
      <c r="U547" s="6" t="n">
        <v>85</v>
      </c>
      <c r="V547" s="2" t="n"/>
      <c r="W547" s="7">
        <f>IF(N(U547)&lt;=0,0,MIN(Assumptions!$B$15,N(R547)/N(U547)))</f>
        <v/>
      </c>
      <c r="X547" s="6" t="n">
        <v>0.17</v>
      </c>
      <c r="Y547" s="3" t="n"/>
      <c r="Z547" t="inlineStr"/>
      <c r="AA547" s="3" t="n">
        <v>1</v>
      </c>
      <c r="AB547" s="3" t="n"/>
      <c r="AC547" s="3" t="n"/>
      <c r="AD547" s="3" t="n"/>
      <c r="AE547" s="3" t="n"/>
      <c r="AF547" s="3" t="n">
        <v>0</v>
      </c>
      <c r="AG547" s="3" t="n"/>
      <c r="AH547" s="3" t="n"/>
      <c r="AI547" s="3" t="n">
        <v>3.6194</v>
      </c>
      <c r="AJ547" s="3" t="n">
        <v>1.8271</v>
      </c>
      <c r="AK547" s="3" t="n">
        <v>-0.1940389217566572</v>
      </c>
      <c r="AL547" s="6" t="n">
        <v>0</v>
      </c>
      <c r="AM547" s="3" t="n">
        <v>0</v>
      </c>
      <c r="AN547" s="3" t="n">
        <v>0</v>
      </c>
      <c r="AO547" s="3" t="n">
        <v>0</v>
      </c>
      <c r="AP547" s="3">
        <f>N(X547)*N(BI547)</f>
        <v/>
      </c>
      <c r="AQ547" s="3" t="n">
        <v>0</v>
      </c>
      <c r="AR547" s="3" t="n">
        <v>0</v>
      </c>
      <c r="AS547" s="3" t="n">
        <v>-0.670020548738316</v>
      </c>
      <c r="AT547" s="3" t="n">
        <v>-0.1940389217566572</v>
      </c>
      <c r="AU547" s="3">
        <f>SUM(AN547:AT547)</f>
        <v/>
      </c>
      <c r="AV547" s="7">
        <f>IF(OR(N(W547)&lt;=0,N(BG547)=0),0,N(W547)*IF(N(R547)/N(W547)&gt;=60,N(BG547),1))</f>
        <v/>
      </c>
      <c r="AW547" s="7">
        <f>N(W547)*N(AF547)*N(BH547)</f>
        <v/>
      </c>
      <c r="AX547" s="7">
        <f>N(AL547)*(Assumptions!$B$13*N(BJ547)-(1-Assumptions!$B$13)*Assumptions!$B$14)+N(AM547)</f>
        <v/>
      </c>
      <c r="AY547" s="7">
        <f>N(AU547)*N(R547)/90+N(AV547)+N(AW547)+N(AX547)</f>
        <v/>
      </c>
      <c r="AZ547" s="3">
        <f>IF(N(R547)&lt;=0,0,(N(AY547)-N(AX547))*90/N(R547))</f>
        <v/>
      </c>
      <c r="BA547" s="7">
        <f>IFERROR(AY547-VLOOKUP($E547,Assumptions!$A$40:$C$43,3,FALSE),"")</f>
        <v/>
      </c>
      <c r="BB547" s="3">
        <f>IFERROR(BA547/H547,"")</f>
        <v/>
      </c>
      <c r="BC547">
        <f>IF(AND($G547=TRUE,$E547="GKP"),AY547,"")</f>
        <v/>
      </c>
      <c r="BD547">
        <f>IF(AND($G547=TRUE,$E547="DEF"),AY547,"")</f>
        <v/>
      </c>
      <c r="BE547">
        <f>IF(AND($G547=TRUE,$E547="MID"),AY547,"")</f>
        <v/>
      </c>
      <c r="BF547">
        <f>IF(AND($G547=TRUE,$E547="FWD"),AY547,"")</f>
        <v/>
      </c>
      <c r="BG547" t="n">
        <v>2</v>
      </c>
      <c r="BH547" t="n">
        <v>2</v>
      </c>
      <c r="BI547" t="n">
        <v>4</v>
      </c>
      <c r="BJ547" t="n">
        <v>6</v>
      </c>
    </row>
    <row r="548">
      <c r="A548" t="inlineStr">
        <is>
          <t>Ben Johnson</t>
        </is>
      </c>
      <c r="B548" t="inlineStr">
        <is>
          <t>IPS</t>
        </is>
      </c>
      <c r="D548" t="b">
        <v>0</v>
      </c>
      <c r="E548" t="inlineStr">
        <is>
          <t>DEF</t>
        </is>
      </c>
      <c r="G548" t="b">
        <v>1</v>
      </c>
      <c r="H548" s="2" t="n">
        <v>4</v>
      </c>
      <c r="I548" t="inlineStr">
        <is>
          <t>a</t>
        </is>
      </c>
      <c r="K548" s="2" t="n"/>
      <c r="M548" s="3" t="n">
        <v>382</v>
      </c>
      <c r="N548" s="8" t="n">
        <v>382</v>
      </c>
      <c r="O548" s="8" t="n">
        <v>0</v>
      </c>
      <c r="Q548" t="inlineStr">
        <is>
          <t>flat</t>
        </is>
      </c>
      <c r="R548" s="6" t="n">
        <v>382</v>
      </c>
      <c r="S548" t="inlineStr">
        <is>
          <t>Solio</t>
        </is>
      </c>
      <c r="U548" s="6" t="n">
        <v>85</v>
      </c>
      <c r="V548" s="2" t="n"/>
      <c r="W548" s="7">
        <f>IF(N(U548)&lt;=0,0,MIN(Assumptions!$B$15,N(R548)/N(U548)))</f>
        <v/>
      </c>
      <c r="X548" s="6" t="n">
        <v>0.17</v>
      </c>
      <c r="Y548" s="3" t="n"/>
      <c r="Z548" t="inlineStr"/>
      <c r="AA548" s="3" t="n">
        <v>1</v>
      </c>
      <c r="AB548" s="3" t="n"/>
      <c r="AC548" s="3" t="n"/>
      <c r="AD548" s="3" t="n"/>
      <c r="AE548" s="3" t="n"/>
      <c r="AF548" s="3" t="n">
        <v>0</v>
      </c>
      <c r="AG548" s="3" t="n"/>
      <c r="AH548" s="3" t="n"/>
      <c r="AI548" s="3" t="n">
        <v>3.5741</v>
      </c>
      <c r="AJ548" s="3" t="n">
        <v>1.8319</v>
      </c>
      <c r="AK548" s="3" t="n">
        <v>-0.2087847133313149</v>
      </c>
      <c r="AL548" s="6" t="n">
        <v>0</v>
      </c>
      <c r="AM548" s="3" t="n">
        <v>0</v>
      </c>
      <c r="AN548" s="3" t="n">
        <v>0</v>
      </c>
      <c r="AO548" s="3" t="n">
        <v>0</v>
      </c>
      <c r="AP548" s="3">
        <f>N(X548)*N(BI548)</f>
        <v/>
      </c>
      <c r="AQ548" s="3" t="n">
        <v>0</v>
      </c>
      <c r="AR548" s="3" t="n">
        <v>0</v>
      </c>
      <c r="AS548" s="3" t="n">
        <v>-0.6723587286814016</v>
      </c>
      <c r="AT548" s="3" t="n">
        <v>-0.2087847133313149</v>
      </c>
      <c r="AU548" s="3">
        <f>SUM(AN548:AT548)</f>
        <v/>
      </c>
      <c r="AV548" s="7">
        <f>IF(OR(N(W548)&lt;=0,N(BG548)=0),0,N(W548)*IF(N(R548)/N(W548)&gt;=60,N(BG548),1))</f>
        <v/>
      </c>
      <c r="AW548" s="7">
        <f>N(W548)*N(AF548)*N(BH548)</f>
        <v/>
      </c>
      <c r="AX548" s="7">
        <f>N(AL548)*(Assumptions!$B$13*N(BJ548)-(1-Assumptions!$B$13)*Assumptions!$B$14)+N(AM548)</f>
        <v/>
      </c>
      <c r="AY548" s="7">
        <f>N(AU548)*N(R548)/90+N(AV548)+N(AW548)+N(AX548)</f>
        <v/>
      </c>
      <c r="AZ548" s="3">
        <f>IF(N(R548)&lt;=0,0,(N(AY548)-N(AX548))*90/N(R548))</f>
        <v/>
      </c>
      <c r="BA548" s="7">
        <f>IFERROR(AY548-VLOOKUP($E548,Assumptions!$A$40:$C$43,3,FALSE),"")</f>
        <v/>
      </c>
      <c r="BB548" s="3">
        <f>IFERROR(BA548/H548,"")</f>
        <v/>
      </c>
      <c r="BC548">
        <f>IF(AND($G548=TRUE,$E548="GKP"),AY548,"")</f>
        <v/>
      </c>
      <c r="BD548">
        <f>IF(AND($G548=TRUE,$E548="DEF"),AY548,"")</f>
        <v/>
      </c>
      <c r="BE548">
        <f>IF(AND($G548=TRUE,$E548="MID"),AY548,"")</f>
        <v/>
      </c>
      <c r="BF548">
        <f>IF(AND($G548=TRUE,$E548="FWD"),AY548,"")</f>
        <v/>
      </c>
      <c r="BG548" t="n">
        <v>2</v>
      </c>
      <c r="BH548" t="n">
        <v>2</v>
      </c>
      <c r="BI548" t="n">
        <v>4</v>
      </c>
      <c r="BJ548" t="n">
        <v>6</v>
      </c>
    </row>
    <row r="549">
      <c r="A549" t="inlineStr">
        <is>
          <t>George Hirst</t>
        </is>
      </c>
      <c r="B549" t="inlineStr">
        <is>
          <t>IPS</t>
        </is>
      </c>
      <c r="D549" t="b">
        <v>0</v>
      </c>
      <c r="E549" t="inlineStr">
        <is>
          <t>FWD</t>
        </is>
      </c>
      <c r="G549" t="b">
        <v>1</v>
      </c>
      <c r="H549" s="2" t="n">
        <v>5</v>
      </c>
      <c r="I549" t="inlineStr">
        <is>
          <t>a</t>
        </is>
      </c>
      <c r="K549" s="2" t="n"/>
      <c r="M549" s="3" t="n">
        <v>448</v>
      </c>
      <c r="N549" s="8" t="n">
        <v>448</v>
      </c>
      <c r="O549" s="8" t="n">
        <v>0</v>
      </c>
      <c r="Q549" t="inlineStr">
        <is>
          <t>flat</t>
        </is>
      </c>
      <c r="R549" s="6" t="n">
        <v>448</v>
      </c>
      <c r="S549" t="inlineStr">
        <is>
          <t>Solio</t>
        </is>
      </c>
      <c r="U549" s="6" t="n">
        <v>85</v>
      </c>
      <c r="V549" s="2" t="n"/>
      <c r="W549" s="7">
        <f>IF(N(U549)&lt;=0,0,MIN(Assumptions!$B$15,N(R549)/N(U549)))</f>
        <v/>
      </c>
      <c r="X549" s="6" t="n">
        <v>0.17</v>
      </c>
      <c r="Y549" s="3" t="n"/>
      <c r="Z549" t="inlineStr"/>
      <c r="AA549" s="3" t="n">
        <v>1</v>
      </c>
      <c r="AB549" s="3" t="n"/>
      <c r="AC549" s="3" t="n"/>
      <c r="AD549" s="3" t="n"/>
      <c r="AE549" s="3" t="n"/>
      <c r="AF549" s="3" t="n">
        <v>0</v>
      </c>
      <c r="AG549" s="3" t="n"/>
      <c r="AH549" s="3" t="n"/>
      <c r="AI549" s="3" t="n">
        <v>3.5741</v>
      </c>
      <c r="AJ549" s="3" t="n">
        <v>1.8319</v>
      </c>
      <c r="AK549" s="3" t="n">
        <v>-0.2288203642589416</v>
      </c>
      <c r="AL549" s="6" t="n">
        <v>0.092526340607123</v>
      </c>
      <c r="AM549" s="3" t="n">
        <v>0</v>
      </c>
      <c r="AN549" s="3" t="n">
        <v>0</v>
      </c>
      <c r="AO549" s="3" t="n">
        <v>0</v>
      </c>
      <c r="AP549" s="3">
        <f>N(X549)*N(BI549)</f>
        <v/>
      </c>
      <c r="AQ549" s="3" t="n">
        <v>0</v>
      </c>
      <c r="AR549" s="3" t="n">
        <v>0</v>
      </c>
      <c r="AS549" s="3" t="n">
        <v>-0</v>
      </c>
      <c r="AT549" s="3" t="n">
        <v>-0.2288203642589416</v>
      </c>
      <c r="AU549" s="3">
        <f>SUM(AN549:AT549)</f>
        <v/>
      </c>
      <c r="AV549" s="7">
        <f>IF(OR(N(W549)&lt;=0,N(BG549)=0),0,N(W549)*IF(N(R549)/N(W549)&gt;=60,N(BG549),1))</f>
        <v/>
      </c>
      <c r="AW549" s="7">
        <f>N(W549)*N(AF549)*N(BH549)</f>
        <v/>
      </c>
      <c r="AX549" s="7">
        <f>N(AL549)*(Assumptions!$B$13*N(BJ549)-(1-Assumptions!$B$13)*Assumptions!$B$14)+N(AM549)</f>
        <v/>
      </c>
      <c r="AY549" s="7">
        <f>N(AU549)*N(R549)/90+N(AV549)+N(AW549)+N(AX549)</f>
        <v/>
      </c>
      <c r="AZ549" s="3">
        <f>IF(N(R549)&lt;=0,0,(N(AY549)-N(AX549))*90/N(R549))</f>
        <v/>
      </c>
      <c r="BA549" s="7">
        <f>IFERROR(AY549-VLOOKUP($E549,Assumptions!$A$40:$C$43,3,FALSE),"")</f>
        <v/>
      </c>
      <c r="BB549" s="3">
        <f>IFERROR(BA549/H549,"")</f>
        <v/>
      </c>
      <c r="BC549">
        <f>IF(AND($G549=TRUE,$E549="GKP"),AY549,"")</f>
        <v/>
      </c>
      <c r="BD549">
        <f>IF(AND($G549=TRUE,$E549="DEF"),AY549,"")</f>
        <v/>
      </c>
      <c r="BE549">
        <f>IF(AND($G549=TRUE,$E549="MID"),AY549,"")</f>
        <v/>
      </c>
      <c r="BF549">
        <f>IF(AND($G549=TRUE,$E549="FWD"),AY549,"")</f>
        <v/>
      </c>
      <c r="BG549" t="n">
        <v>2</v>
      </c>
      <c r="BH549" t="n">
        <v>2</v>
      </c>
      <c r="BI549" t="n">
        <v>0</v>
      </c>
      <c r="BJ549" t="n">
        <v>4</v>
      </c>
    </row>
    <row r="550">
      <c r="A550" t="inlineStr">
        <is>
          <t>Tyrell Malacia</t>
        </is>
      </c>
      <c r="C550" t="inlineStr">
        <is>
          <t>MUN</t>
        </is>
      </c>
      <c r="D550" t="b">
        <v>0</v>
      </c>
      <c r="F550" t="inlineStr">
        <is>
          <t>DEF</t>
        </is>
      </c>
      <c r="G550" t="b">
        <v>0</v>
      </c>
      <c r="H550" s="2" t="n"/>
      <c r="K550" s="2" t="n">
        <v>15</v>
      </c>
      <c r="M550" s="3" t="n"/>
      <c r="N550" s="8" t="n">
        <v>15</v>
      </c>
      <c r="O550" s="8" t="n">
        <v>0</v>
      </c>
      <c r="R550" s="6" t="n">
        <v>15</v>
      </c>
      <c r="S550" t="inlineStr">
        <is>
          <t>25/26 actual</t>
        </is>
      </c>
      <c r="U550" s="6" t="n">
        <v>85.5</v>
      </c>
      <c r="V550" s="2" t="n">
        <v>0</v>
      </c>
      <c r="W550" s="7">
        <f>IF(N(U550)&lt;=0,0,MIN(Assumptions!$B$15,N(R550)/N(U550)))</f>
        <v/>
      </c>
      <c r="X550" s="6" t="n"/>
      <c r="Y550" s="3" t="n">
        <v>0</v>
      </c>
      <c r="Z550" t="inlineStr">
        <is>
          <t>adjusted xGOT</t>
        </is>
      </c>
      <c r="AA550" s="3" t="n">
        <v>1</v>
      </c>
      <c r="AB550" s="3" t="n">
        <v>0.984</v>
      </c>
      <c r="AC550" s="3" t="n">
        <v>0.2</v>
      </c>
      <c r="AD550" s="3" t="n"/>
      <c r="AE550" s="3" t="n">
        <v>8.018000000000001</v>
      </c>
      <c r="AF550" s="3" t="n">
        <v>0</v>
      </c>
      <c r="AG550" s="3" t="n">
        <v>0</v>
      </c>
      <c r="AH550" s="3" t="n">
        <v>3</v>
      </c>
      <c r="AI550" s="3" t="n"/>
      <c r="AJ550" s="3" t="n"/>
      <c r="AK550" s="3" t="n"/>
      <c r="AL550" s="6" t="n">
        <v>0</v>
      </c>
      <c r="AM550" s="3" t="n">
        <v>0</v>
      </c>
      <c r="AN550" s="3" t="n">
        <v>0</v>
      </c>
      <c r="AO550" s="3" t="n">
        <v>0</v>
      </c>
      <c r="AP550" s="3">
        <f>N(X550)*N(BI550)</f>
        <v/>
      </c>
      <c r="AQ550" s="3" t="n">
        <v>0</v>
      </c>
      <c r="AR550" s="3" t="n">
        <v>0</v>
      </c>
      <c r="AS550" s="3" t="n">
        <v>0</v>
      </c>
      <c r="AT550" s="3" t="n">
        <v>0</v>
      </c>
      <c r="AU550" s="3">
        <f>SUM(AN550:AT550)</f>
        <v/>
      </c>
      <c r="AV550" s="7">
        <f>IF(OR(N(W550)&lt;=0,N(BG550)=0),0,N(W550)*IF(N(R550)/N(W550)&gt;=60,N(BG550),1))</f>
        <v/>
      </c>
      <c r="AW550" s="7">
        <f>N(W550)*N(AF550)*N(BH550)</f>
        <v/>
      </c>
      <c r="AX550" s="7">
        <f>N(AL550)*(Assumptions!$B$13*N(BJ550)-(1-Assumptions!$B$13)*Assumptions!$B$14)+N(AM550)</f>
        <v/>
      </c>
      <c r="AY550" s="7">
        <f>N(AU550)*N(R550)/90+N(AV550)+N(AW550)+N(AX550)</f>
        <v/>
      </c>
      <c r="AZ550" s="3">
        <f>IF(N(R550)&lt;=0,0,(N(AY550)-N(AX550))*90/N(R550))</f>
        <v/>
      </c>
      <c r="BA550" s="7">
        <f>IFERROR(AY550-VLOOKUP($E550,Assumptions!$A$40:$C$43,3,FALSE),"")</f>
        <v/>
      </c>
      <c r="BB550" s="3">
        <f>IFERROR(BA550/H550,"")</f>
        <v/>
      </c>
      <c r="BC550">
        <f>IF(AND($G550=TRUE,$E550="GKP"),AY550,"")</f>
        <v/>
      </c>
      <c r="BD550">
        <f>IF(AND($G550=TRUE,$E550="DEF"),AY550,"")</f>
        <v/>
      </c>
      <c r="BE550">
        <f>IF(AND($G550=TRUE,$E550="MID"),AY550,"")</f>
        <v/>
      </c>
      <c r="BF550">
        <f>IF(AND($G550=TRUE,$E550="FWD"),AY550,"")</f>
        <v/>
      </c>
      <c r="BG550" t="n">
        <v>0</v>
      </c>
      <c r="BH550" t="n">
        <v>0</v>
      </c>
      <c r="BI550" t="n">
        <v>0</v>
      </c>
      <c r="BJ550" t="n">
        <v>0</v>
      </c>
    </row>
    <row r="551">
      <c r="A551" t="inlineStr">
        <is>
          <t>Dan Neil</t>
        </is>
      </c>
      <c r="C551" t="inlineStr">
        <is>
          <t>SUN</t>
        </is>
      </c>
      <c r="D551" t="b">
        <v>0</v>
      </c>
      <c r="F551" t="inlineStr">
        <is>
          <t>MID</t>
        </is>
      </c>
      <c r="G551" t="b">
        <v>0</v>
      </c>
      <c r="H551" s="2" t="n"/>
      <c r="K551" s="2" t="n">
        <v>13</v>
      </c>
      <c r="M551" s="3" t="n"/>
      <c r="N551" s="8" t="n">
        <v>13</v>
      </c>
      <c r="O551" s="8" t="n">
        <v>0</v>
      </c>
      <c r="R551" s="6" t="n">
        <v>13</v>
      </c>
      <c r="S551" t="inlineStr">
        <is>
          <t>25/26 actual</t>
        </is>
      </c>
      <c r="U551" s="6" t="n">
        <v>80.09999999999999</v>
      </c>
      <c r="V551" s="2" t="n">
        <v>0</v>
      </c>
      <c r="W551" s="7">
        <f>IF(N(U551)&lt;=0,0,MIN(Assumptions!$B$15,N(R551)/N(U551)))</f>
        <v/>
      </c>
      <c r="X551" s="6" t="n"/>
      <c r="Y551" s="3" t="n">
        <v>0</v>
      </c>
      <c r="Z551" t="inlineStr">
        <is>
          <t>blended xG</t>
        </is>
      </c>
      <c r="AA551" s="3" t="n">
        <v>1</v>
      </c>
      <c r="AB551" s="3" t="n">
        <v>1</v>
      </c>
      <c r="AC551" s="3" t="n">
        <v>0</v>
      </c>
      <c r="AD551" s="3" t="n">
        <v>0</v>
      </c>
      <c r="AE551" s="3" t="n">
        <v>8.67</v>
      </c>
      <c r="AF551" s="3" t="n">
        <v>0</v>
      </c>
      <c r="AG551" s="3" t="n">
        <v>0</v>
      </c>
      <c r="AH551" s="3" t="n">
        <v>3</v>
      </c>
      <c r="AI551" s="3" t="n"/>
      <c r="AJ551" s="3" t="n"/>
      <c r="AK551" s="3" t="n"/>
      <c r="AL551" s="6" t="n">
        <v>0</v>
      </c>
      <c r="AM551" s="3" t="n">
        <v>0</v>
      </c>
      <c r="AN551" s="3" t="n">
        <v>0</v>
      </c>
      <c r="AO551" s="3" t="n">
        <v>0</v>
      </c>
      <c r="AP551" s="3">
        <f>N(X551)*N(BI551)</f>
        <v/>
      </c>
      <c r="AQ551" s="3" t="n">
        <v>0</v>
      </c>
      <c r="AR551" s="3" t="n">
        <v>0</v>
      </c>
      <c r="AS551" s="3" t="n">
        <v>0</v>
      </c>
      <c r="AT551" s="3" t="n">
        <v>0</v>
      </c>
      <c r="AU551" s="3">
        <f>SUM(AN551:AT551)</f>
        <v/>
      </c>
      <c r="AV551" s="7">
        <f>IF(OR(N(W551)&lt;=0,N(BG551)=0),0,N(W551)*IF(N(R551)/N(W551)&gt;=60,N(BG551),1))</f>
        <v/>
      </c>
      <c r="AW551" s="7">
        <f>N(W551)*N(AF551)*N(BH551)</f>
        <v/>
      </c>
      <c r="AX551" s="7">
        <f>N(AL551)*(Assumptions!$B$13*N(BJ551)-(1-Assumptions!$B$13)*Assumptions!$B$14)+N(AM551)</f>
        <v/>
      </c>
      <c r="AY551" s="7">
        <f>N(AU551)*N(R551)/90+N(AV551)+N(AW551)+N(AX551)</f>
        <v/>
      </c>
      <c r="AZ551" s="3">
        <f>IF(N(R551)&lt;=0,0,(N(AY551)-N(AX551))*90/N(R551))</f>
        <v/>
      </c>
      <c r="BA551" s="7">
        <f>IFERROR(AY551-VLOOKUP($E551,Assumptions!$A$40:$C$43,3,FALSE),"")</f>
        <v/>
      </c>
      <c r="BB551" s="3">
        <f>IFERROR(BA551/H551,"")</f>
        <v/>
      </c>
      <c r="BC551">
        <f>IF(AND($G551=TRUE,$E551="GKP"),AY551,"")</f>
        <v/>
      </c>
      <c r="BD551">
        <f>IF(AND($G551=TRUE,$E551="DEF"),AY551,"")</f>
        <v/>
      </c>
      <c r="BE551">
        <f>IF(AND($G551=TRUE,$E551="MID"),AY551,"")</f>
        <v/>
      </c>
      <c r="BF551">
        <f>IF(AND($G551=TRUE,$E551="FWD"),AY551,"")</f>
        <v/>
      </c>
      <c r="BG551" t="n">
        <v>0</v>
      </c>
      <c r="BH551" t="n">
        <v>0</v>
      </c>
      <c r="BI551" t="n">
        <v>0</v>
      </c>
      <c r="BJ551" t="n">
        <v>0</v>
      </c>
    </row>
    <row r="552">
      <c r="A552" t="inlineStr">
        <is>
          <t>Takehiro Tomiyasu</t>
        </is>
      </c>
      <c r="B552" t="inlineStr">
        <is>
          <t>CRY</t>
        </is>
      </c>
      <c r="D552" t="b">
        <v>0</v>
      </c>
      <c r="E552" t="inlineStr">
        <is>
          <t>DEF</t>
        </is>
      </c>
      <c r="G552" t="b">
        <v>1</v>
      </c>
      <c r="H552" s="2" t="n">
        <v>4.5</v>
      </c>
      <c r="I552" t="inlineStr">
        <is>
          <t>a</t>
        </is>
      </c>
      <c r="K552" s="2" t="n"/>
      <c r="M552" s="3" t="n">
        <v>2822</v>
      </c>
      <c r="N552" s="4" t="n">
        <v>1300</v>
      </c>
      <c r="O552" s="4" t="n">
        <v>-1522</v>
      </c>
      <c r="P552" s="5" t="inlineStr">
        <is>
          <t>high</t>
        </is>
      </c>
      <c r="Q552" t="inlineStr">
        <is>
          <t>flat</t>
        </is>
      </c>
      <c r="R552" s="6" t="n">
        <v>1300</v>
      </c>
      <c r="S552" t="inlineStr">
        <is>
          <t>research</t>
        </is>
      </c>
      <c r="T552" s="5" t="inlineStr">
        <is>
          <t>Solio projects roughly 31 full matches for a player signed on a free on 7 August after a trial in the Como Cup. His entire recent workload is eight Ajax appearances plus three World Cup games; he had not played between October 2024 and February 2026 because of a knee injury, and the reporting states Palace wanted to be sure about his fitness before signing. In the final friendly at Freiburg he did not start, coming on to replace Chadi Riad. Both the availability risk and the current pecking order point well below 2822.</t>
        </is>
      </c>
      <c r="U552" s="6" t="n">
        <v>85</v>
      </c>
      <c r="V552" s="2" t="n"/>
      <c r="W552" s="7">
        <f>IF(N(U552)&lt;=0,0,MIN(Assumptions!$B$15,N(R552)/N(U552)))</f>
        <v/>
      </c>
      <c r="X552" s="6" t="n">
        <v>0.216</v>
      </c>
      <c r="Y552" s="3" t="n"/>
      <c r="Z552" t="inlineStr"/>
      <c r="AA552" s="3" t="n">
        <v>1</v>
      </c>
      <c r="AB552" s="3" t="n"/>
      <c r="AC552" s="3" t="n"/>
      <c r="AD552" s="3" t="n"/>
      <c r="AE552" s="3" t="n"/>
      <c r="AF552" s="3" t="n">
        <v>0</v>
      </c>
      <c r="AG552" s="3" t="n"/>
      <c r="AH552" s="3" t="n"/>
      <c r="AI552" s="3" t="n">
        <v>3.2035</v>
      </c>
      <c r="AJ552" s="3" t="n">
        <v>1.5923</v>
      </c>
      <c r="AK552" s="3" t="n">
        <v>-0.1601682920894244</v>
      </c>
      <c r="AL552" s="6" t="n">
        <v>0</v>
      </c>
      <c r="AM552" s="3" t="n">
        <v>0</v>
      </c>
      <c r="AN552" s="3" t="n">
        <v>0</v>
      </c>
      <c r="AO552" s="3" t="n">
        <v>0</v>
      </c>
      <c r="AP552" s="3">
        <f>N(X552)*N(BI552)</f>
        <v/>
      </c>
      <c r="AQ552" s="3" t="n">
        <v>0</v>
      </c>
      <c r="AR552" s="3" t="n">
        <v>0</v>
      </c>
      <c r="AS552" s="3" t="n">
        <v>-0.5564987001023466</v>
      </c>
      <c r="AT552" s="3" t="n">
        <v>-0.1601682920894244</v>
      </c>
      <c r="AU552" s="3">
        <f>SUM(AN552:AT552)</f>
        <v/>
      </c>
      <c r="AV552" s="7">
        <f>IF(OR(N(W552)&lt;=0,N(BG552)=0),0,N(W552)*IF(N(R552)/N(W552)&gt;=60,N(BG552),1))</f>
        <v/>
      </c>
      <c r="AW552" s="7">
        <f>N(W552)*N(AF552)*N(BH552)</f>
        <v/>
      </c>
      <c r="AX552" s="7">
        <f>N(AL552)*(Assumptions!$B$13*N(BJ552)-(1-Assumptions!$B$13)*Assumptions!$B$14)+N(AM552)</f>
        <v/>
      </c>
      <c r="AY552" s="7">
        <f>N(AU552)*N(R552)/90+N(AV552)+N(AW552)+N(AX552)</f>
        <v/>
      </c>
      <c r="AZ552" s="3">
        <f>IF(N(R552)&lt;=0,0,(N(AY552)-N(AX552))*90/N(R552))</f>
        <v/>
      </c>
      <c r="BA552" s="7">
        <f>IFERROR(AY552-VLOOKUP($E552,Assumptions!$A$40:$C$43,3,FALSE),"")</f>
        <v/>
      </c>
      <c r="BB552" s="3">
        <f>IFERROR(BA552/H552,"")</f>
        <v/>
      </c>
      <c r="BC552">
        <f>IF(AND($G552=TRUE,$E552="GKP"),AY552,"")</f>
        <v/>
      </c>
      <c r="BD552">
        <f>IF(AND($G552=TRUE,$E552="DEF"),AY552,"")</f>
        <v/>
      </c>
      <c r="BE552">
        <f>IF(AND($G552=TRUE,$E552="MID"),AY552,"")</f>
        <v/>
      </c>
      <c r="BF552">
        <f>IF(AND($G552=TRUE,$E552="FWD"),AY552,"")</f>
        <v/>
      </c>
      <c r="BG552" t="n">
        <v>2</v>
      </c>
      <c r="BH552" t="n">
        <v>2</v>
      </c>
      <c r="BI552" t="n">
        <v>4</v>
      </c>
      <c r="BJ552" t="n">
        <v>6</v>
      </c>
    </row>
    <row r="553">
      <c r="A553" t="inlineStr">
        <is>
          <t>Lucas Paquetá</t>
        </is>
      </c>
      <c r="C553" t="inlineStr">
        <is>
          <t>WHU</t>
        </is>
      </c>
      <c r="D553" t="b">
        <v>0</v>
      </c>
      <c r="F553" t="inlineStr">
        <is>
          <t>MID</t>
        </is>
      </c>
      <c r="G553" t="b">
        <v>0</v>
      </c>
      <c r="H553" s="2" t="n"/>
      <c r="K553" s="2" t="n">
        <v>1521</v>
      </c>
      <c r="M553" s="3" t="n"/>
      <c r="N553" s="8" t="n">
        <v>1521</v>
      </c>
      <c r="O553" s="8" t="n">
        <v>0</v>
      </c>
      <c r="R553" s="6" t="n">
        <v>1521</v>
      </c>
      <c r="S553" t="inlineStr">
        <is>
          <t>25/26 actual</t>
        </is>
      </c>
      <c r="U553" s="6" t="n">
        <v>82.59999999999999</v>
      </c>
      <c r="V553" s="2" t="n">
        <v>17</v>
      </c>
      <c r="W553" s="7">
        <f>IF(N(U553)&lt;=0,0,MIN(Assumptions!$B$15,N(R553)/N(U553)))</f>
        <v/>
      </c>
      <c r="X553" s="6" t="n"/>
      <c r="Y553" s="3" t="n">
        <v>0.0554</v>
      </c>
      <c r="Z553" t="inlineStr">
        <is>
          <t>adjusted xGOT</t>
        </is>
      </c>
      <c r="AA553" s="3" t="n">
        <v>0.376</v>
      </c>
      <c r="AB553" s="3" t="n">
        <v>0.872</v>
      </c>
      <c r="AC553" s="3" t="n">
        <v>17.8</v>
      </c>
      <c r="AD553" s="3" t="n">
        <v>0.1782</v>
      </c>
      <c r="AE553" s="3" t="n">
        <v>8.65</v>
      </c>
      <c r="AF553" s="3" t="n">
        <v>0</v>
      </c>
      <c r="AG553" s="3" t="n">
        <v>0.4734</v>
      </c>
      <c r="AH553" s="3" t="n">
        <v>36</v>
      </c>
      <c r="AI553" s="3" t="n"/>
      <c r="AJ553" s="3" t="n"/>
      <c r="AK553" s="3" t="n"/>
      <c r="AL553" s="6" t="n">
        <v>0</v>
      </c>
      <c r="AM553" s="3" t="n">
        <v>0</v>
      </c>
      <c r="AN553" s="3" t="n">
        <v>0</v>
      </c>
      <c r="AO553" s="3" t="n">
        <v>0</v>
      </c>
      <c r="AP553" s="3">
        <f>N(X553)*N(BI553)</f>
        <v/>
      </c>
      <c r="AQ553" s="3" t="n">
        <v>0</v>
      </c>
      <c r="AR553" s="3" t="n">
        <v>0</v>
      </c>
      <c r="AS553" s="3" t="n">
        <v>0</v>
      </c>
      <c r="AT553" s="3" t="n">
        <v>0</v>
      </c>
      <c r="AU553" s="3">
        <f>SUM(AN553:AT553)</f>
        <v/>
      </c>
      <c r="AV553" s="7">
        <f>IF(OR(N(W553)&lt;=0,N(BG553)=0),0,N(W553)*IF(N(R553)/N(W553)&gt;=60,N(BG553),1))</f>
        <v/>
      </c>
      <c r="AW553" s="7">
        <f>N(W553)*N(AF553)*N(BH553)</f>
        <v/>
      </c>
      <c r="AX553" s="7">
        <f>N(AL553)*(Assumptions!$B$13*N(BJ553)-(1-Assumptions!$B$13)*Assumptions!$B$14)+N(AM553)</f>
        <v/>
      </c>
      <c r="AY553" s="7">
        <f>N(AU553)*N(R553)/90+N(AV553)+N(AW553)+N(AX553)</f>
        <v/>
      </c>
      <c r="AZ553" s="3">
        <f>IF(N(R553)&lt;=0,0,(N(AY553)-N(AX553))*90/N(R553))</f>
        <v/>
      </c>
      <c r="BA553" s="7">
        <f>IFERROR(AY553-VLOOKUP($E553,Assumptions!$A$40:$C$43,3,FALSE),"")</f>
        <v/>
      </c>
      <c r="BB553" s="3">
        <f>IFERROR(BA553/H553,"")</f>
        <v/>
      </c>
      <c r="BC553">
        <f>IF(AND($G553=TRUE,$E553="GKP"),AY553,"")</f>
        <v/>
      </c>
      <c r="BD553">
        <f>IF(AND($G553=TRUE,$E553="DEF"),AY553,"")</f>
        <v/>
      </c>
      <c r="BE553">
        <f>IF(AND($G553=TRUE,$E553="MID"),AY553,"")</f>
        <v/>
      </c>
      <c r="BF553">
        <f>IF(AND($G553=TRUE,$E553="FWD"),AY553,"")</f>
        <v/>
      </c>
      <c r="BG553" t="n">
        <v>0</v>
      </c>
      <c r="BH553" t="n">
        <v>0</v>
      </c>
      <c r="BI553" t="n">
        <v>0</v>
      </c>
      <c r="BJ553" t="n">
        <v>0</v>
      </c>
    </row>
    <row r="554">
      <c r="A554" t="inlineStr">
        <is>
          <t>Aaron Ramsdale</t>
        </is>
      </c>
      <c r="C554" t="inlineStr">
        <is>
          <t>NEW</t>
        </is>
      </c>
      <c r="D554" t="b">
        <v>0</v>
      </c>
      <c r="F554" t="inlineStr">
        <is>
          <t>GKP</t>
        </is>
      </c>
      <c r="G554" t="b">
        <v>0</v>
      </c>
      <c r="H554" s="2" t="n"/>
      <c r="K554" s="2" t="n">
        <v>1003</v>
      </c>
      <c r="M554" s="3" t="n"/>
      <c r="N554" s="8" t="n">
        <v>1003</v>
      </c>
      <c r="O554" s="8" t="n">
        <v>0</v>
      </c>
      <c r="R554" s="6" t="n">
        <v>1003</v>
      </c>
      <c r="S554" t="inlineStr">
        <is>
          <t>25/26 actual</t>
        </is>
      </c>
      <c r="U554" s="6" t="n">
        <v>89.90000000000001</v>
      </c>
      <c r="V554" s="2" t="n">
        <v>11</v>
      </c>
      <c r="W554" s="7">
        <f>IF(N(U554)&lt;=0,0,MIN(Assumptions!$B$15,N(R554)/N(U554)))</f>
        <v/>
      </c>
      <c r="X554" s="6" t="n"/>
      <c r="Y554" s="3" t="n">
        <v>0</v>
      </c>
      <c r="Z554" t="inlineStr">
        <is>
          <t>blended xG</t>
        </is>
      </c>
      <c r="AA554" s="3" t="n">
        <v>1</v>
      </c>
      <c r="AB554" s="3" t="n">
        <v>1</v>
      </c>
      <c r="AC554" s="3" t="n">
        <v>0</v>
      </c>
      <c r="AD554" s="3" t="n">
        <v>0.0064</v>
      </c>
      <c r="AE554" s="3" t="n">
        <v>0</v>
      </c>
      <c r="AF554" s="3" t="n">
        <v>0</v>
      </c>
      <c r="AG554" s="3" t="n">
        <v>0.0897</v>
      </c>
      <c r="AH554" s="3" t="n">
        <v>23</v>
      </c>
      <c r="AI554" s="3" t="n"/>
      <c r="AJ554" s="3" t="n"/>
      <c r="AK554" s="3" t="n"/>
      <c r="AL554" s="6" t="n">
        <v>0</v>
      </c>
      <c r="AM554" s="3" t="n">
        <v>0</v>
      </c>
      <c r="AN554" s="3" t="n">
        <v>0</v>
      </c>
      <c r="AO554" s="3" t="n">
        <v>0</v>
      </c>
      <c r="AP554" s="3">
        <f>N(X554)*N(BI554)</f>
        <v/>
      </c>
      <c r="AQ554" s="3" t="n">
        <v>0</v>
      </c>
      <c r="AR554" s="3" t="n">
        <v>0</v>
      </c>
      <c r="AS554" s="3" t="n">
        <v>0</v>
      </c>
      <c r="AT554" s="3" t="n">
        <v>0</v>
      </c>
      <c r="AU554" s="3">
        <f>SUM(AN554:AT554)</f>
        <v/>
      </c>
      <c r="AV554" s="7">
        <f>IF(OR(N(W554)&lt;=0,N(BG554)=0),0,N(W554)*IF(N(R554)/N(W554)&gt;=60,N(BG554),1))</f>
        <v/>
      </c>
      <c r="AW554" s="7">
        <f>N(W554)*N(AF554)*N(BH554)</f>
        <v/>
      </c>
      <c r="AX554" s="7">
        <f>N(AL554)*(Assumptions!$B$13*N(BJ554)-(1-Assumptions!$B$13)*Assumptions!$B$14)+N(AM554)</f>
        <v/>
      </c>
      <c r="AY554" s="7">
        <f>N(AU554)*N(R554)/90+N(AV554)+N(AW554)+N(AX554)</f>
        <v/>
      </c>
      <c r="AZ554" s="3">
        <f>IF(N(R554)&lt;=0,0,(N(AY554)-N(AX554))*90/N(R554))</f>
        <v/>
      </c>
      <c r="BA554" s="7">
        <f>IFERROR(AY554-VLOOKUP($E554,Assumptions!$A$40:$C$43,3,FALSE),"")</f>
        <v/>
      </c>
      <c r="BB554" s="3">
        <f>IFERROR(BA554/H554,"")</f>
        <v/>
      </c>
      <c r="BC554">
        <f>IF(AND($G554=TRUE,$E554="GKP"),AY554,"")</f>
        <v/>
      </c>
      <c r="BD554">
        <f>IF(AND($G554=TRUE,$E554="DEF"),AY554,"")</f>
        <v/>
      </c>
      <c r="BE554">
        <f>IF(AND($G554=TRUE,$E554="MID"),AY554,"")</f>
        <v/>
      </c>
      <c r="BF554">
        <f>IF(AND($G554=TRUE,$E554="FWD"),AY554,"")</f>
        <v/>
      </c>
      <c r="BG554" t="n">
        <v>0</v>
      </c>
      <c r="BH554" t="n">
        <v>0</v>
      </c>
      <c r="BI554" t="n">
        <v>0</v>
      </c>
      <c r="BJ554" t="n">
        <v>0</v>
      </c>
    </row>
    <row r="555">
      <c r="A555" t="inlineStr">
        <is>
          <t>Victor Torp</t>
        </is>
      </c>
      <c r="B555" t="inlineStr">
        <is>
          <t>COV</t>
        </is>
      </c>
      <c r="D555" t="b">
        <v>0</v>
      </c>
      <c r="E555" t="inlineStr">
        <is>
          <t>MID</t>
        </is>
      </c>
      <c r="G555" t="b">
        <v>1</v>
      </c>
      <c r="H555" s="2" t="n">
        <v>5.5</v>
      </c>
      <c r="I555" t="inlineStr">
        <is>
          <t>a</t>
        </is>
      </c>
      <c r="K555" s="2" t="n"/>
      <c r="M555" s="3" t="n">
        <v>724</v>
      </c>
      <c r="N555" s="8" t="n">
        <v>724</v>
      </c>
      <c r="O555" s="8" t="n">
        <v>0</v>
      </c>
      <c r="Q555" t="inlineStr">
        <is>
          <t>flat</t>
        </is>
      </c>
      <c r="R555" s="6" t="n">
        <v>724</v>
      </c>
      <c r="S555" t="inlineStr">
        <is>
          <t>Solio</t>
        </is>
      </c>
      <c r="U555" s="6" t="n">
        <v>85</v>
      </c>
      <c r="V555" s="2" t="n"/>
      <c r="W555" s="7">
        <f>IF(N(U555)&lt;=0,0,MIN(Assumptions!$B$15,N(R555)/N(U555)))</f>
        <v/>
      </c>
      <c r="X555" s="6" t="n">
        <v>0.17</v>
      </c>
      <c r="Y555" s="3" t="n"/>
      <c r="Z555" t="inlineStr"/>
      <c r="AA555" s="3" t="n">
        <v>1</v>
      </c>
      <c r="AB555" s="3" t="n"/>
      <c r="AC555" s="3" t="n"/>
      <c r="AD555" s="3" t="n"/>
      <c r="AE555" s="3" t="n"/>
      <c r="AF555" s="3" t="n">
        <v>0</v>
      </c>
      <c r="AG555" s="3" t="n"/>
      <c r="AH555" s="3" t="n"/>
      <c r="AI555" s="3" t="n">
        <v>3.6194</v>
      </c>
      <c r="AJ555" s="3" t="n">
        <v>1.8271</v>
      </c>
      <c r="AK555" s="3" t="n">
        <v>-0.2160434166173144</v>
      </c>
      <c r="AL555" s="6" t="n">
        <v>0.1579568010773154</v>
      </c>
      <c r="AM555" s="3" t="n">
        <v>0</v>
      </c>
      <c r="AN555" s="3" t="n">
        <v>0</v>
      </c>
      <c r="AO555" s="3" t="n">
        <v>0</v>
      </c>
      <c r="AP555" s="3">
        <f>N(X555)*N(BI555)</f>
        <v/>
      </c>
      <c r="AQ555" s="3" t="n">
        <v>0</v>
      </c>
      <c r="AR555" s="3" t="n">
        <v>0</v>
      </c>
      <c r="AS555" s="3" t="n">
        <v>-0</v>
      </c>
      <c r="AT555" s="3" t="n">
        <v>-0.2160434166173144</v>
      </c>
      <c r="AU555" s="3">
        <f>SUM(AN555:AT555)</f>
        <v/>
      </c>
      <c r="AV555" s="7">
        <f>IF(OR(N(W555)&lt;=0,N(BG555)=0),0,N(W555)*IF(N(R555)/N(W555)&gt;=60,N(BG555),1))</f>
        <v/>
      </c>
      <c r="AW555" s="7">
        <f>N(W555)*N(AF555)*N(BH555)</f>
        <v/>
      </c>
      <c r="AX555" s="7">
        <f>N(AL555)*(Assumptions!$B$13*N(BJ555)-(1-Assumptions!$B$13)*Assumptions!$B$14)+N(AM555)</f>
        <v/>
      </c>
      <c r="AY555" s="7">
        <f>N(AU555)*N(R555)/90+N(AV555)+N(AW555)+N(AX555)</f>
        <v/>
      </c>
      <c r="AZ555" s="3">
        <f>IF(N(R555)&lt;=0,0,(N(AY555)-N(AX555))*90/N(R555))</f>
        <v/>
      </c>
      <c r="BA555" s="7">
        <f>IFERROR(AY555-VLOOKUP($E555,Assumptions!$A$40:$C$43,3,FALSE),"")</f>
        <v/>
      </c>
      <c r="BB555" s="3">
        <f>IFERROR(BA555/H555,"")</f>
        <v/>
      </c>
      <c r="BC555">
        <f>IF(AND($G555=TRUE,$E555="GKP"),AY555,"")</f>
        <v/>
      </c>
      <c r="BD555">
        <f>IF(AND($G555=TRUE,$E555="DEF"),AY555,"")</f>
        <v/>
      </c>
      <c r="BE555">
        <f>IF(AND($G555=TRUE,$E555="MID"),AY555,"")</f>
        <v/>
      </c>
      <c r="BF555">
        <f>IF(AND($G555=TRUE,$E555="FWD"),AY555,"")</f>
        <v/>
      </c>
      <c r="BG555" t="n">
        <v>2</v>
      </c>
      <c r="BH555" t="n">
        <v>2</v>
      </c>
      <c r="BI555" t="n">
        <v>1</v>
      </c>
      <c r="BJ555" t="n">
        <v>5</v>
      </c>
    </row>
    <row r="556">
      <c r="A556" t="inlineStr">
        <is>
          <t>Yves Bissouma</t>
        </is>
      </c>
      <c r="C556" t="inlineStr">
        <is>
          <t>TOT</t>
        </is>
      </c>
      <c r="D556" t="b">
        <v>0</v>
      </c>
      <c r="F556" t="inlineStr">
        <is>
          <t>MID</t>
        </is>
      </c>
      <c r="G556" t="b">
        <v>0</v>
      </c>
      <c r="H556" s="2" t="n"/>
      <c r="K556" s="2" t="n">
        <v>605</v>
      </c>
      <c r="M556" s="3" t="n"/>
      <c r="N556" s="8" t="n">
        <v>605</v>
      </c>
      <c r="O556" s="8" t="n">
        <v>0</v>
      </c>
      <c r="R556" s="6" t="n">
        <v>605</v>
      </c>
      <c r="S556" t="inlineStr">
        <is>
          <t>25/26 actual</t>
        </is>
      </c>
      <c r="U556" s="6" t="n">
        <v>75.09999999999999</v>
      </c>
      <c r="V556" s="2" t="n">
        <v>7</v>
      </c>
      <c r="W556" s="7">
        <f>IF(N(U556)&lt;=0,0,MIN(Assumptions!$B$15,N(R556)/N(U556)))</f>
        <v/>
      </c>
      <c r="X556" s="6" t="n"/>
      <c r="Y556" s="3" t="n">
        <v>0.0533</v>
      </c>
      <c r="Z556" t="inlineStr">
        <is>
          <t>adjusted xGOT</t>
        </is>
      </c>
      <c r="AA556" s="3" t="n">
        <v>1</v>
      </c>
      <c r="AB556" s="3" t="n">
        <v>0.995</v>
      </c>
      <c r="AC556" s="3" t="n">
        <v>2.3</v>
      </c>
      <c r="AD556" s="3" t="n">
        <v>0</v>
      </c>
      <c r="AE556" s="3" t="n">
        <v>9.724</v>
      </c>
      <c r="AF556" s="3" t="n">
        <v>0</v>
      </c>
      <c r="AG556" s="3" t="n">
        <v>0</v>
      </c>
      <c r="AH556" s="3" t="n">
        <v>16</v>
      </c>
      <c r="AI556" s="3" t="n"/>
      <c r="AJ556" s="3" t="n"/>
      <c r="AK556" s="3" t="n"/>
      <c r="AL556" s="6" t="n">
        <v>0</v>
      </c>
      <c r="AM556" s="3" t="n">
        <v>0</v>
      </c>
      <c r="AN556" s="3" t="n">
        <v>0</v>
      </c>
      <c r="AO556" s="3" t="n">
        <v>0</v>
      </c>
      <c r="AP556" s="3">
        <f>N(X556)*N(BI556)</f>
        <v/>
      </c>
      <c r="AQ556" s="3" t="n">
        <v>0</v>
      </c>
      <c r="AR556" s="3" t="n">
        <v>0</v>
      </c>
      <c r="AS556" s="3" t="n">
        <v>0</v>
      </c>
      <c r="AT556" s="3" t="n">
        <v>0</v>
      </c>
      <c r="AU556" s="3">
        <f>SUM(AN556:AT556)</f>
        <v/>
      </c>
      <c r="AV556" s="7">
        <f>IF(OR(N(W556)&lt;=0,N(BG556)=0),0,N(W556)*IF(N(R556)/N(W556)&gt;=60,N(BG556),1))</f>
        <v/>
      </c>
      <c r="AW556" s="7">
        <f>N(W556)*N(AF556)*N(BH556)</f>
        <v/>
      </c>
      <c r="AX556" s="7">
        <f>N(AL556)*(Assumptions!$B$13*N(BJ556)-(1-Assumptions!$B$13)*Assumptions!$B$14)+N(AM556)</f>
        <v/>
      </c>
      <c r="AY556" s="7">
        <f>N(AU556)*N(R556)/90+N(AV556)+N(AW556)+N(AX556)</f>
        <v/>
      </c>
      <c r="AZ556" s="3">
        <f>IF(N(R556)&lt;=0,0,(N(AY556)-N(AX556))*90/N(R556))</f>
        <v/>
      </c>
      <c r="BA556" s="7">
        <f>IFERROR(AY556-VLOOKUP($E556,Assumptions!$A$40:$C$43,3,FALSE),"")</f>
        <v/>
      </c>
      <c r="BB556" s="3">
        <f>IFERROR(BA556/H556,"")</f>
        <v/>
      </c>
      <c r="BC556">
        <f>IF(AND($G556=TRUE,$E556="GKP"),AY556,"")</f>
        <v/>
      </c>
      <c r="BD556">
        <f>IF(AND($G556=TRUE,$E556="DEF"),AY556,"")</f>
        <v/>
      </c>
      <c r="BE556">
        <f>IF(AND($G556=TRUE,$E556="MID"),AY556,"")</f>
        <v/>
      </c>
      <c r="BF556">
        <f>IF(AND($G556=TRUE,$E556="FWD"),AY556,"")</f>
        <v/>
      </c>
      <c r="BG556" t="n">
        <v>0</v>
      </c>
      <c r="BH556" t="n">
        <v>0</v>
      </c>
      <c r="BI556" t="n">
        <v>0</v>
      </c>
      <c r="BJ556" t="n">
        <v>0</v>
      </c>
    </row>
    <row r="557">
      <c r="A557" t="inlineStr">
        <is>
          <t>Chiedozie Ogbene</t>
        </is>
      </c>
      <c r="B557" t="inlineStr">
        <is>
          <t>IPS</t>
        </is>
      </c>
      <c r="D557" t="b">
        <v>0</v>
      </c>
      <c r="E557" t="inlineStr">
        <is>
          <t>MID</t>
        </is>
      </c>
      <c r="G557" t="b">
        <v>1</v>
      </c>
      <c r="H557" s="2" t="n">
        <v>5</v>
      </c>
      <c r="I557" t="inlineStr">
        <is>
          <t>a</t>
        </is>
      </c>
      <c r="K557" s="2" t="n"/>
      <c r="M557" s="3" t="n">
        <v>0</v>
      </c>
      <c r="N557" s="8" t="n">
        <v>0</v>
      </c>
      <c r="O557" s="8" t="n">
        <v>0</v>
      </c>
      <c r="Q557" t="inlineStr">
        <is>
          <t>flat</t>
        </is>
      </c>
      <c r="R557" s="6" t="n">
        <v>0</v>
      </c>
      <c r="S557" t="inlineStr">
        <is>
          <t>Solio</t>
        </is>
      </c>
      <c r="U557" s="6" t="n">
        <v>85</v>
      </c>
      <c r="V557" s="2" t="n"/>
      <c r="W557" s="7">
        <f>IF(N(U557)&lt;=0,0,MIN(Assumptions!$B$15,N(R557)/N(U557)))</f>
        <v/>
      </c>
      <c r="X557" s="6" t="n">
        <v>0.17</v>
      </c>
      <c r="Y557" s="3" t="n"/>
      <c r="Z557" t="inlineStr"/>
      <c r="AA557" s="3" t="n">
        <v>1</v>
      </c>
      <c r="AB557" s="3" t="n"/>
      <c r="AC557" s="3" t="n"/>
      <c r="AD557" s="3" t="n"/>
      <c r="AE557" s="3" t="n"/>
      <c r="AF557" s="3" t="n">
        <v>0</v>
      </c>
      <c r="AG557" s="3" t="n"/>
      <c r="AH557" s="3" t="n"/>
      <c r="AI557" s="3" t="n">
        <v>3.5741</v>
      </c>
      <c r="AJ557" s="3" t="n">
        <v>1.8319</v>
      </c>
      <c r="AK557" s="3" t="n">
        <v>-0.1525827731981517</v>
      </c>
      <c r="AL557" s="6" t="n">
        <v>0</v>
      </c>
      <c r="AM557" s="3" t="n">
        <v>0</v>
      </c>
      <c r="AN557" s="3" t="n">
        <v>0</v>
      </c>
      <c r="AO557" s="3" t="n">
        <v>0</v>
      </c>
      <c r="AP557" s="3">
        <f>N(X557)*N(BI557)</f>
        <v/>
      </c>
      <c r="AQ557" s="3" t="n">
        <v>0</v>
      </c>
      <c r="AR557" s="3" t="n">
        <v>0</v>
      </c>
      <c r="AS557" s="3" t="n">
        <v>-0</v>
      </c>
      <c r="AT557" s="3" t="n">
        <v>-0.1525827731981517</v>
      </c>
      <c r="AU557" s="3">
        <f>SUM(AN557:AT557)</f>
        <v/>
      </c>
      <c r="AV557" s="7">
        <f>IF(OR(N(W557)&lt;=0,N(BG557)=0),0,N(W557)*IF(N(R557)/N(W557)&gt;=60,N(BG557),1))</f>
        <v/>
      </c>
      <c r="AW557" s="7">
        <f>N(W557)*N(AF557)*N(BH557)</f>
        <v/>
      </c>
      <c r="AX557" s="7">
        <f>N(AL557)*(Assumptions!$B$13*N(BJ557)-(1-Assumptions!$B$13)*Assumptions!$B$14)+N(AM557)</f>
        <v/>
      </c>
      <c r="AY557" s="7">
        <f>N(AU557)*N(R557)/90+N(AV557)+N(AW557)+N(AX557)</f>
        <v/>
      </c>
      <c r="AZ557" s="3">
        <f>IF(N(R557)&lt;=0,0,(N(AY557)-N(AX557))*90/N(R557))</f>
        <v/>
      </c>
      <c r="BA557" s="7">
        <f>IFERROR(AY557-VLOOKUP($E557,Assumptions!$A$40:$C$43,3,FALSE),"")</f>
        <v/>
      </c>
      <c r="BB557" s="3">
        <f>IFERROR(BA557/H557,"")</f>
        <v/>
      </c>
      <c r="BC557">
        <f>IF(AND($G557=TRUE,$E557="GKP"),AY557,"")</f>
        <v/>
      </c>
      <c r="BD557">
        <f>IF(AND($G557=TRUE,$E557="DEF"),AY557,"")</f>
        <v/>
      </c>
      <c r="BE557">
        <f>IF(AND($G557=TRUE,$E557="MID"),AY557,"")</f>
        <v/>
      </c>
      <c r="BF557">
        <f>IF(AND($G557=TRUE,$E557="FWD"),AY557,"")</f>
        <v/>
      </c>
      <c r="BG557" t="n">
        <v>2</v>
      </c>
      <c r="BH557" t="n">
        <v>2</v>
      </c>
      <c r="BI557" t="n">
        <v>1</v>
      </c>
      <c r="BJ557" t="n">
        <v>5</v>
      </c>
    </row>
    <row r="558">
      <c r="A558" t="inlineStr">
        <is>
          <t>Andy Irving</t>
        </is>
      </c>
      <c r="C558" t="inlineStr">
        <is>
          <t>WHU</t>
        </is>
      </c>
      <c r="D558" t="b">
        <v>0</v>
      </c>
      <c r="F558" t="inlineStr">
        <is>
          <t>MID</t>
        </is>
      </c>
      <c r="G558" t="b">
        <v>0</v>
      </c>
      <c r="H558" s="2" t="n"/>
      <c r="K558" s="2" t="n">
        <v>157</v>
      </c>
      <c r="M558" s="3" t="n"/>
      <c r="N558" s="8" t="n">
        <v>157</v>
      </c>
      <c r="O558" s="8" t="n">
        <v>0</v>
      </c>
      <c r="R558" s="6" t="n">
        <v>157</v>
      </c>
      <c r="S558" t="inlineStr">
        <is>
          <t>25/26 actual</t>
        </is>
      </c>
      <c r="U558" s="6" t="n">
        <v>77.09999999999999</v>
      </c>
      <c r="V558" s="2" t="n">
        <v>2</v>
      </c>
      <c r="W558" s="7">
        <f>IF(N(U558)&lt;=0,0,MIN(Assumptions!$B$15,N(R558)/N(U558)))</f>
        <v/>
      </c>
      <c r="X558" s="6" t="n"/>
      <c r="Y558" s="3" t="n">
        <v>0</v>
      </c>
      <c r="Z558" t="inlineStr">
        <is>
          <t>adjusted xGOT</t>
        </is>
      </c>
      <c r="AA558" s="3" t="n">
        <v>1</v>
      </c>
      <c r="AB558" s="3" t="n">
        <v>0.996</v>
      </c>
      <c r="AC558" s="3" t="n">
        <v>0.1</v>
      </c>
      <c r="AD558" s="3" t="n">
        <v>0.1159</v>
      </c>
      <c r="AE558" s="3" t="n">
        <v>9.31</v>
      </c>
      <c r="AF558" s="3" t="n">
        <v>0</v>
      </c>
      <c r="AG558" s="3" t="n">
        <v>0</v>
      </c>
      <c r="AH558" s="3" t="n">
        <v>9</v>
      </c>
      <c r="AI558" s="3" t="n"/>
      <c r="AJ558" s="3" t="n"/>
      <c r="AK558" s="3" t="n"/>
      <c r="AL558" s="6" t="n">
        <v>0</v>
      </c>
      <c r="AM558" s="3" t="n">
        <v>0</v>
      </c>
      <c r="AN558" s="3" t="n">
        <v>0</v>
      </c>
      <c r="AO558" s="3" t="n">
        <v>0</v>
      </c>
      <c r="AP558" s="3">
        <f>N(X558)*N(BI558)</f>
        <v/>
      </c>
      <c r="AQ558" s="3" t="n">
        <v>0</v>
      </c>
      <c r="AR558" s="3" t="n">
        <v>0</v>
      </c>
      <c r="AS558" s="3" t="n">
        <v>0</v>
      </c>
      <c r="AT558" s="3" t="n">
        <v>0</v>
      </c>
      <c r="AU558" s="3">
        <f>SUM(AN558:AT558)</f>
        <v/>
      </c>
      <c r="AV558" s="7">
        <f>IF(OR(N(W558)&lt;=0,N(BG558)=0),0,N(W558)*IF(N(R558)/N(W558)&gt;=60,N(BG558),1))</f>
        <v/>
      </c>
      <c r="AW558" s="7">
        <f>N(W558)*N(AF558)*N(BH558)</f>
        <v/>
      </c>
      <c r="AX558" s="7">
        <f>N(AL558)*(Assumptions!$B$13*N(BJ558)-(1-Assumptions!$B$13)*Assumptions!$B$14)+N(AM558)</f>
        <v/>
      </c>
      <c r="AY558" s="7">
        <f>N(AU558)*N(R558)/90+N(AV558)+N(AW558)+N(AX558)</f>
        <v/>
      </c>
      <c r="AZ558" s="3">
        <f>IF(N(R558)&lt;=0,0,(N(AY558)-N(AX558))*90/N(R558))</f>
        <v/>
      </c>
      <c r="BA558" s="7">
        <f>IFERROR(AY558-VLOOKUP($E558,Assumptions!$A$40:$C$43,3,FALSE),"")</f>
        <v/>
      </c>
      <c r="BB558" s="3">
        <f>IFERROR(BA558/H558,"")</f>
        <v/>
      </c>
      <c r="BC558">
        <f>IF(AND($G558=TRUE,$E558="GKP"),AY558,"")</f>
        <v/>
      </c>
      <c r="BD558">
        <f>IF(AND($G558=TRUE,$E558="DEF"),AY558,"")</f>
        <v/>
      </c>
      <c r="BE558">
        <f>IF(AND($G558=TRUE,$E558="MID"),AY558,"")</f>
        <v/>
      </c>
      <c r="BF558">
        <f>IF(AND($G558=TRUE,$E558="FWD"),AY558,"")</f>
        <v/>
      </c>
      <c r="BG558" t="n">
        <v>0</v>
      </c>
      <c r="BH558" t="n">
        <v>0</v>
      </c>
      <c r="BI558" t="n">
        <v>0</v>
      </c>
      <c r="BJ558" t="n">
        <v>0</v>
      </c>
    </row>
    <row r="559">
      <c r="A559" t="inlineStr">
        <is>
          <t>Douglas Luiz</t>
        </is>
      </c>
      <c r="C559" t="inlineStr">
        <is>
          <t>AVL</t>
        </is>
      </c>
      <c r="D559" t="b">
        <v>0</v>
      </c>
      <c r="F559" t="inlineStr">
        <is>
          <t>MID</t>
        </is>
      </c>
      <c r="G559" t="b">
        <v>0</v>
      </c>
      <c r="H559" s="2" t="n"/>
      <c r="K559" s="2" t="n">
        <v>923</v>
      </c>
      <c r="M559" s="3" t="n"/>
      <c r="N559" s="8" t="n">
        <v>923</v>
      </c>
      <c r="O559" s="8" t="n">
        <v>0</v>
      </c>
      <c r="R559" s="6" t="n">
        <v>923</v>
      </c>
      <c r="S559" t="inlineStr">
        <is>
          <t>25/26 actual</t>
        </is>
      </c>
      <c r="U559" s="6" t="n">
        <v>72.09999999999999</v>
      </c>
      <c r="V559" s="2" t="n">
        <v>12</v>
      </c>
      <c r="W559" s="7">
        <f>IF(N(U559)&lt;=0,0,MIN(Assumptions!$B$15,N(R559)/N(U559)))</f>
        <v/>
      </c>
      <c r="X559" s="6" t="n"/>
      <c r="Y559" s="3" t="n">
        <v>0.0626</v>
      </c>
      <c r="Z559" t="inlineStr">
        <is>
          <t>adjusted xGOT</t>
        </is>
      </c>
      <c r="AA559" s="3" t="n">
        <v>1</v>
      </c>
      <c r="AB559" s="3" t="n">
        <v>1.21</v>
      </c>
      <c r="AC559" s="3" t="n">
        <v>10</v>
      </c>
      <c r="AD559" s="3" t="n">
        <v>0.1778</v>
      </c>
      <c r="AE559" s="3" t="n">
        <v>9.569000000000001</v>
      </c>
      <c r="AF559" s="3" t="n">
        <v>0</v>
      </c>
      <c r="AG559" s="3" t="n">
        <v>0.0975</v>
      </c>
      <c r="AH559" s="3" t="n">
        <v>29</v>
      </c>
      <c r="AI559" s="3" t="n"/>
      <c r="AJ559" s="3" t="n"/>
      <c r="AK559" s="3" t="n"/>
      <c r="AL559" s="6" t="n">
        <v>0</v>
      </c>
      <c r="AM559" s="3" t="n">
        <v>0</v>
      </c>
      <c r="AN559" s="3" t="n">
        <v>0</v>
      </c>
      <c r="AO559" s="3" t="n">
        <v>0</v>
      </c>
      <c r="AP559" s="3">
        <f>N(X559)*N(BI559)</f>
        <v/>
      </c>
      <c r="AQ559" s="3" t="n">
        <v>0</v>
      </c>
      <c r="AR559" s="3" t="n">
        <v>0</v>
      </c>
      <c r="AS559" s="3" t="n">
        <v>0</v>
      </c>
      <c r="AT559" s="3" t="n">
        <v>0</v>
      </c>
      <c r="AU559" s="3">
        <f>SUM(AN559:AT559)</f>
        <v/>
      </c>
      <c r="AV559" s="7">
        <f>IF(OR(N(W559)&lt;=0,N(BG559)=0),0,N(W559)*IF(N(R559)/N(W559)&gt;=60,N(BG559),1))</f>
        <v/>
      </c>
      <c r="AW559" s="7">
        <f>N(W559)*N(AF559)*N(BH559)</f>
        <v/>
      </c>
      <c r="AX559" s="7">
        <f>N(AL559)*(Assumptions!$B$13*N(BJ559)-(1-Assumptions!$B$13)*Assumptions!$B$14)+N(AM559)</f>
        <v/>
      </c>
      <c r="AY559" s="7">
        <f>N(AU559)*N(R559)/90+N(AV559)+N(AW559)+N(AX559)</f>
        <v/>
      </c>
      <c r="AZ559" s="3">
        <f>IF(N(R559)&lt;=0,0,(N(AY559)-N(AX559))*90/N(R559))</f>
        <v/>
      </c>
      <c r="BA559" s="7">
        <f>IFERROR(AY559-VLOOKUP($E559,Assumptions!$A$40:$C$43,3,FALSE),"")</f>
        <v/>
      </c>
      <c r="BB559" s="3">
        <f>IFERROR(BA559/H559,"")</f>
        <v/>
      </c>
      <c r="BC559">
        <f>IF(AND($G559=TRUE,$E559="GKP"),AY559,"")</f>
        <v/>
      </c>
      <c r="BD559">
        <f>IF(AND($G559=TRUE,$E559="DEF"),AY559,"")</f>
        <v/>
      </c>
      <c r="BE559">
        <f>IF(AND($G559=TRUE,$E559="MID"),AY559,"")</f>
        <v/>
      </c>
      <c r="BF559">
        <f>IF(AND($G559=TRUE,$E559="FWD"),AY559,"")</f>
        <v/>
      </c>
      <c r="BG559" t="n">
        <v>0</v>
      </c>
      <c r="BH559" t="n">
        <v>0</v>
      </c>
      <c r="BI559" t="n">
        <v>0</v>
      </c>
      <c r="BJ559" t="n">
        <v>0</v>
      </c>
    </row>
    <row r="560">
      <c r="A560" t="inlineStr">
        <is>
          <t>Jhon Arias</t>
        </is>
      </c>
      <c r="C560" t="inlineStr">
        <is>
          <t>WOL</t>
        </is>
      </c>
      <c r="D560" t="b">
        <v>0</v>
      </c>
      <c r="F560" t="inlineStr">
        <is>
          <t>MID</t>
        </is>
      </c>
      <c r="G560" t="b">
        <v>0</v>
      </c>
      <c r="H560" s="2" t="n"/>
      <c r="K560" s="2" t="n">
        <v>1121</v>
      </c>
      <c r="M560" s="3" t="n"/>
      <c r="N560" s="8" t="n">
        <v>1121</v>
      </c>
      <c r="O560" s="8" t="n">
        <v>0</v>
      </c>
      <c r="R560" s="6" t="n">
        <v>1121</v>
      </c>
      <c r="S560" t="inlineStr">
        <is>
          <t>25/26 actual</t>
        </is>
      </c>
      <c r="U560" s="6" t="n">
        <v>74.7</v>
      </c>
      <c r="V560" s="2" t="n">
        <v>14</v>
      </c>
      <c r="W560" s="7">
        <f>IF(N(U560)&lt;=0,0,MIN(Assumptions!$B$15,N(R560)/N(U560)))</f>
        <v/>
      </c>
      <c r="X560" s="6" t="n"/>
      <c r="Y560" s="3" t="n">
        <v>0.2099</v>
      </c>
      <c r="Z560" t="inlineStr">
        <is>
          <t>adjusted xGOT</t>
        </is>
      </c>
      <c r="AA560" s="3" t="n">
        <v>1</v>
      </c>
      <c r="AB560" s="3" t="n">
        <v>0.773</v>
      </c>
      <c r="AC560" s="3" t="n">
        <v>3.4</v>
      </c>
      <c r="AD560" s="3" t="n">
        <v>0.07199999999999999</v>
      </c>
      <c r="AE560" s="3" t="n">
        <v>9.486000000000001</v>
      </c>
      <c r="AF560" s="3" t="n">
        <v>0</v>
      </c>
      <c r="AG560" s="3" t="n">
        <v>0.2409</v>
      </c>
      <c r="AH560" s="3" t="n">
        <v>33</v>
      </c>
      <c r="AI560" s="3" t="n"/>
      <c r="AJ560" s="3" t="n"/>
      <c r="AK560" s="3" t="n"/>
      <c r="AL560" s="6" t="n">
        <v>0</v>
      </c>
      <c r="AM560" s="3" t="n">
        <v>0</v>
      </c>
      <c r="AN560" s="3" t="n">
        <v>0</v>
      </c>
      <c r="AO560" s="3" t="n">
        <v>0</v>
      </c>
      <c r="AP560" s="3">
        <f>N(X560)*N(BI560)</f>
        <v/>
      </c>
      <c r="AQ560" s="3" t="n">
        <v>0</v>
      </c>
      <c r="AR560" s="3" t="n">
        <v>0</v>
      </c>
      <c r="AS560" s="3" t="n">
        <v>0</v>
      </c>
      <c r="AT560" s="3" t="n">
        <v>0</v>
      </c>
      <c r="AU560" s="3">
        <f>SUM(AN560:AT560)</f>
        <v/>
      </c>
      <c r="AV560" s="7">
        <f>IF(OR(N(W560)&lt;=0,N(BG560)=0),0,N(W560)*IF(N(R560)/N(W560)&gt;=60,N(BG560),1))</f>
        <v/>
      </c>
      <c r="AW560" s="7">
        <f>N(W560)*N(AF560)*N(BH560)</f>
        <v/>
      </c>
      <c r="AX560" s="7">
        <f>N(AL560)*(Assumptions!$B$13*N(BJ560)-(1-Assumptions!$B$13)*Assumptions!$B$14)+N(AM560)</f>
        <v/>
      </c>
      <c r="AY560" s="7">
        <f>N(AU560)*N(R560)/90+N(AV560)+N(AW560)+N(AX560)</f>
        <v/>
      </c>
      <c r="AZ560" s="3">
        <f>IF(N(R560)&lt;=0,0,(N(AY560)-N(AX560))*90/N(R560))</f>
        <v/>
      </c>
      <c r="BA560" s="7">
        <f>IFERROR(AY560-VLOOKUP($E560,Assumptions!$A$40:$C$43,3,FALSE),"")</f>
        <v/>
      </c>
      <c r="BB560" s="3">
        <f>IFERROR(BA560/H560,"")</f>
        <v/>
      </c>
      <c r="BC560">
        <f>IF(AND($G560=TRUE,$E560="GKP"),AY560,"")</f>
        <v/>
      </c>
      <c r="BD560">
        <f>IF(AND($G560=TRUE,$E560="DEF"),AY560,"")</f>
        <v/>
      </c>
      <c r="BE560">
        <f>IF(AND($G560=TRUE,$E560="MID"),AY560,"")</f>
        <v/>
      </c>
      <c r="BF560">
        <f>IF(AND($G560=TRUE,$E560="FWD"),AY560,"")</f>
        <v/>
      </c>
      <c r="BG560" t="n">
        <v>0</v>
      </c>
      <c r="BH560" t="n">
        <v>0</v>
      </c>
      <c r="BI560" t="n">
        <v>0</v>
      </c>
      <c r="BJ560" t="n">
        <v>0</v>
      </c>
    </row>
    <row r="561">
      <c r="A561" t="inlineStr">
        <is>
          <t>Brandon Thomas-Asante</t>
        </is>
      </c>
      <c r="B561" t="inlineStr">
        <is>
          <t>COV</t>
        </is>
      </c>
      <c r="D561" t="b">
        <v>0</v>
      </c>
      <c r="E561" t="inlineStr">
        <is>
          <t>FWD</t>
        </is>
      </c>
      <c r="G561" t="b">
        <v>1</v>
      </c>
      <c r="H561" s="2" t="n">
        <v>5</v>
      </c>
      <c r="I561" t="inlineStr">
        <is>
          <t>a</t>
        </is>
      </c>
      <c r="K561" s="2" t="n"/>
      <c r="M561" s="3" t="n">
        <v>1282</v>
      </c>
      <c r="N561" s="8" t="n">
        <v>1282</v>
      </c>
      <c r="O561" s="8" t="n">
        <v>0</v>
      </c>
      <c r="Q561" t="inlineStr">
        <is>
          <t>flat</t>
        </is>
      </c>
      <c r="R561" s="6" t="n">
        <v>1282</v>
      </c>
      <c r="S561" t="inlineStr">
        <is>
          <t>Solio</t>
        </is>
      </c>
      <c r="U561" s="6" t="n">
        <v>85</v>
      </c>
      <c r="V561" s="2" t="n"/>
      <c r="W561" s="7">
        <f>IF(N(U561)&lt;=0,0,MIN(Assumptions!$B$15,N(R561)/N(U561)))</f>
        <v/>
      </c>
      <c r="X561" s="6" t="n">
        <v>0.17</v>
      </c>
      <c r="Y561" s="3" t="n"/>
      <c r="Z561" t="inlineStr"/>
      <c r="AA561" s="3" t="n">
        <v>1</v>
      </c>
      <c r="AB561" s="3" t="n"/>
      <c r="AC561" s="3" t="n"/>
      <c r="AD561" s="3" t="n"/>
      <c r="AE561" s="3" t="n"/>
      <c r="AF561" s="3" t="n">
        <v>0</v>
      </c>
      <c r="AG561" s="3" t="n"/>
      <c r="AH561" s="3" t="n"/>
      <c r="AI561" s="3" t="n">
        <v>3.6194</v>
      </c>
      <c r="AJ561" s="3" t="n">
        <v>1.8271</v>
      </c>
      <c r="AK561" s="3" t="n">
        <v>-0.174691292596322</v>
      </c>
      <c r="AL561" s="6" t="n">
        <v>0.0484811937834495</v>
      </c>
      <c r="AM561" s="3" t="n">
        <v>0</v>
      </c>
      <c r="AN561" s="3" t="n">
        <v>0</v>
      </c>
      <c r="AO561" s="3" t="n">
        <v>0</v>
      </c>
      <c r="AP561" s="3">
        <f>N(X561)*N(BI561)</f>
        <v/>
      </c>
      <c r="AQ561" s="3" t="n">
        <v>0</v>
      </c>
      <c r="AR561" s="3" t="n">
        <v>0</v>
      </c>
      <c r="AS561" s="3" t="n">
        <v>-0</v>
      </c>
      <c r="AT561" s="3" t="n">
        <v>-0.174691292596322</v>
      </c>
      <c r="AU561" s="3">
        <f>SUM(AN561:AT561)</f>
        <v/>
      </c>
      <c r="AV561" s="7">
        <f>IF(OR(N(W561)&lt;=0,N(BG561)=0),0,N(W561)*IF(N(R561)/N(W561)&gt;=60,N(BG561),1))</f>
        <v/>
      </c>
      <c r="AW561" s="7">
        <f>N(W561)*N(AF561)*N(BH561)</f>
        <v/>
      </c>
      <c r="AX561" s="7">
        <f>N(AL561)*(Assumptions!$B$13*N(BJ561)-(1-Assumptions!$B$13)*Assumptions!$B$14)+N(AM561)</f>
        <v/>
      </c>
      <c r="AY561" s="7">
        <f>N(AU561)*N(R561)/90+N(AV561)+N(AW561)+N(AX561)</f>
        <v/>
      </c>
      <c r="AZ561" s="3">
        <f>IF(N(R561)&lt;=0,0,(N(AY561)-N(AX561))*90/N(R561))</f>
        <v/>
      </c>
      <c r="BA561" s="7">
        <f>IFERROR(AY561-VLOOKUP($E561,Assumptions!$A$40:$C$43,3,FALSE),"")</f>
        <v/>
      </c>
      <c r="BB561" s="3">
        <f>IFERROR(BA561/H561,"")</f>
        <v/>
      </c>
      <c r="BC561">
        <f>IF(AND($G561=TRUE,$E561="GKP"),AY561,"")</f>
        <v/>
      </c>
      <c r="BD561">
        <f>IF(AND($G561=TRUE,$E561="DEF"),AY561,"")</f>
        <v/>
      </c>
      <c r="BE561">
        <f>IF(AND($G561=TRUE,$E561="MID"),AY561,"")</f>
        <v/>
      </c>
      <c r="BF561">
        <f>IF(AND($G561=TRUE,$E561="FWD"),AY561,"")</f>
        <v/>
      </c>
      <c r="BG561" t="n">
        <v>2</v>
      </c>
      <c r="BH561" t="n">
        <v>2</v>
      </c>
      <c r="BI561" t="n">
        <v>0</v>
      </c>
      <c r="BJ561" t="n">
        <v>4</v>
      </c>
    </row>
    <row r="562">
      <c r="A562" t="inlineStr">
        <is>
          <t>Jean-Ricner Bellegarde</t>
        </is>
      </c>
      <c r="C562" t="inlineStr">
        <is>
          <t>WOL</t>
        </is>
      </c>
      <c r="D562" t="b">
        <v>0</v>
      </c>
      <c r="F562" t="inlineStr">
        <is>
          <t>MID</t>
        </is>
      </c>
      <c r="G562" t="b">
        <v>0</v>
      </c>
      <c r="H562" s="2" t="n"/>
      <c r="K562" s="2" t="n">
        <v>1251</v>
      </c>
      <c r="M562" s="3" t="n"/>
      <c r="N562" s="8" t="n">
        <v>1251</v>
      </c>
      <c r="O562" s="8" t="n">
        <v>0</v>
      </c>
      <c r="R562" s="6" t="n">
        <v>1251</v>
      </c>
      <c r="S562" t="inlineStr">
        <is>
          <t>25/26 actual</t>
        </is>
      </c>
      <c r="U562" s="6" t="n">
        <v>72.8</v>
      </c>
      <c r="V562" s="2" t="n">
        <v>15</v>
      </c>
      <c r="W562" s="7">
        <f>IF(N(U562)&lt;=0,0,MIN(Assumptions!$B$15,N(R562)/N(U562)))</f>
        <v/>
      </c>
      <c r="X562" s="6" t="n"/>
      <c r="Y562" s="3" t="n">
        <v>0.07580000000000001</v>
      </c>
      <c r="Z562" t="inlineStr">
        <is>
          <t>adjusted xGOT</t>
        </is>
      </c>
      <c r="AA562" s="3" t="n">
        <v>1</v>
      </c>
      <c r="AB562" s="3" t="n">
        <v>1.013</v>
      </c>
      <c r="AC562" s="3" t="n">
        <v>3.8</v>
      </c>
      <c r="AD562" s="3" t="n">
        <v>0.08749999999999999</v>
      </c>
      <c r="AE562" s="3" t="n">
        <v>7.976</v>
      </c>
      <c r="AF562" s="3" t="n">
        <v>0</v>
      </c>
      <c r="AG562" s="3" t="n">
        <v>0</v>
      </c>
      <c r="AH562" s="3" t="n">
        <v>38</v>
      </c>
      <c r="AI562" s="3" t="n"/>
      <c r="AJ562" s="3" t="n"/>
      <c r="AK562" s="3" t="n"/>
      <c r="AL562" s="6" t="n">
        <v>0</v>
      </c>
      <c r="AM562" s="3" t="n">
        <v>0</v>
      </c>
      <c r="AN562" s="3" t="n">
        <v>0</v>
      </c>
      <c r="AO562" s="3" t="n">
        <v>0</v>
      </c>
      <c r="AP562" s="3">
        <f>N(X562)*N(BI562)</f>
        <v/>
      </c>
      <c r="AQ562" s="3" t="n">
        <v>0</v>
      </c>
      <c r="AR562" s="3" t="n">
        <v>0</v>
      </c>
      <c r="AS562" s="3" t="n">
        <v>0</v>
      </c>
      <c r="AT562" s="3" t="n">
        <v>0</v>
      </c>
      <c r="AU562" s="3">
        <f>SUM(AN562:AT562)</f>
        <v/>
      </c>
      <c r="AV562" s="7">
        <f>IF(OR(N(W562)&lt;=0,N(BG562)=0),0,N(W562)*IF(N(R562)/N(W562)&gt;=60,N(BG562),1))</f>
        <v/>
      </c>
      <c r="AW562" s="7">
        <f>N(W562)*N(AF562)*N(BH562)</f>
        <v/>
      </c>
      <c r="AX562" s="7">
        <f>N(AL562)*(Assumptions!$B$13*N(BJ562)-(1-Assumptions!$B$13)*Assumptions!$B$14)+N(AM562)</f>
        <v/>
      </c>
      <c r="AY562" s="7">
        <f>N(AU562)*N(R562)/90+N(AV562)+N(AW562)+N(AX562)</f>
        <v/>
      </c>
      <c r="AZ562" s="3">
        <f>IF(N(R562)&lt;=0,0,(N(AY562)-N(AX562))*90/N(R562))</f>
        <v/>
      </c>
      <c r="BA562" s="7">
        <f>IFERROR(AY562-VLOOKUP($E562,Assumptions!$A$40:$C$43,3,FALSE),"")</f>
        <v/>
      </c>
      <c r="BB562" s="3">
        <f>IFERROR(BA562/H562,"")</f>
        <v/>
      </c>
      <c r="BC562">
        <f>IF(AND($G562=TRUE,$E562="GKP"),AY562,"")</f>
        <v/>
      </c>
      <c r="BD562">
        <f>IF(AND($G562=TRUE,$E562="DEF"),AY562,"")</f>
        <v/>
      </c>
      <c r="BE562">
        <f>IF(AND($G562=TRUE,$E562="MID"),AY562,"")</f>
        <v/>
      </c>
      <c r="BF562">
        <f>IF(AND($G562=TRUE,$E562="FWD"),AY562,"")</f>
        <v/>
      </c>
      <c r="BG562" t="n">
        <v>0</v>
      </c>
      <c r="BH562" t="n">
        <v>0</v>
      </c>
      <c r="BI562" t="n">
        <v>0</v>
      </c>
      <c r="BJ562" t="n">
        <v>0</v>
      </c>
    </row>
    <row r="563">
      <c r="A563" t="inlineStr">
        <is>
          <t>Santiago Bueno</t>
        </is>
      </c>
      <c r="C563" t="inlineStr">
        <is>
          <t>WOL</t>
        </is>
      </c>
      <c r="D563" t="b">
        <v>0</v>
      </c>
      <c r="F563" t="inlineStr">
        <is>
          <t>DEF</t>
        </is>
      </c>
      <c r="G563" t="b">
        <v>0</v>
      </c>
      <c r="H563" s="2" t="n"/>
      <c r="K563" s="2" t="n">
        <v>2553</v>
      </c>
      <c r="M563" s="3" t="n"/>
      <c r="N563" s="8" t="n">
        <v>2553</v>
      </c>
      <c r="O563" s="8" t="n">
        <v>0</v>
      </c>
      <c r="R563" s="6" t="n">
        <v>2553</v>
      </c>
      <c r="S563" t="inlineStr">
        <is>
          <t>25/26 actual</t>
        </is>
      </c>
      <c r="U563" s="6" t="n">
        <v>88.8</v>
      </c>
      <c r="V563" s="2" t="n">
        <v>28</v>
      </c>
      <c r="W563" s="7">
        <f>IF(N(U563)&lt;=0,0,MIN(Assumptions!$B$15,N(R563)/N(U563)))</f>
        <v/>
      </c>
      <c r="X563" s="6" t="n"/>
      <c r="Y563" s="3" t="n">
        <v>0.0876</v>
      </c>
      <c r="Z563" t="inlineStr">
        <is>
          <t>adjusted xGOT</t>
        </is>
      </c>
      <c r="AA563" s="3" t="n">
        <v>1</v>
      </c>
      <c r="AB563" s="3" t="n">
        <v>1.09</v>
      </c>
      <c r="AC563" s="3" t="n">
        <v>2.7</v>
      </c>
      <c r="AD563" s="3" t="n">
        <v>0.0318</v>
      </c>
      <c r="AE563" s="3" t="n">
        <v>7.632</v>
      </c>
      <c r="AF563" s="3" t="n">
        <v>0</v>
      </c>
      <c r="AG563" s="3" t="n">
        <v>0.141</v>
      </c>
      <c r="AH563" s="3" t="n">
        <v>57</v>
      </c>
      <c r="AI563" s="3" t="n"/>
      <c r="AJ563" s="3" t="n"/>
      <c r="AK563" s="3" t="n"/>
      <c r="AL563" s="6" t="n">
        <v>0</v>
      </c>
      <c r="AM563" s="3" t="n">
        <v>0</v>
      </c>
      <c r="AN563" s="3" t="n">
        <v>0</v>
      </c>
      <c r="AO563" s="3" t="n">
        <v>0</v>
      </c>
      <c r="AP563" s="3">
        <f>N(X563)*N(BI563)</f>
        <v/>
      </c>
      <c r="AQ563" s="3" t="n">
        <v>0</v>
      </c>
      <c r="AR563" s="3" t="n">
        <v>0</v>
      </c>
      <c r="AS563" s="3" t="n">
        <v>0</v>
      </c>
      <c r="AT563" s="3" t="n">
        <v>0</v>
      </c>
      <c r="AU563" s="3">
        <f>SUM(AN563:AT563)</f>
        <v/>
      </c>
      <c r="AV563" s="7">
        <f>IF(OR(N(W563)&lt;=0,N(BG563)=0),0,N(W563)*IF(N(R563)/N(W563)&gt;=60,N(BG563),1))</f>
        <v/>
      </c>
      <c r="AW563" s="7">
        <f>N(W563)*N(AF563)*N(BH563)</f>
        <v/>
      </c>
      <c r="AX563" s="7">
        <f>N(AL563)*(Assumptions!$B$13*N(BJ563)-(1-Assumptions!$B$13)*Assumptions!$B$14)+N(AM563)</f>
        <v/>
      </c>
      <c r="AY563" s="7">
        <f>N(AU563)*N(R563)/90+N(AV563)+N(AW563)+N(AX563)</f>
        <v/>
      </c>
      <c r="AZ563" s="3">
        <f>IF(N(R563)&lt;=0,0,(N(AY563)-N(AX563))*90/N(R563))</f>
        <v/>
      </c>
      <c r="BA563" s="7">
        <f>IFERROR(AY563-VLOOKUP($E563,Assumptions!$A$40:$C$43,3,FALSE),"")</f>
        <v/>
      </c>
      <c r="BB563" s="3">
        <f>IFERROR(BA563/H563,"")</f>
        <v/>
      </c>
      <c r="BC563">
        <f>IF(AND($G563=TRUE,$E563="GKP"),AY563,"")</f>
        <v/>
      </c>
      <c r="BD563">
        <f>IF(AND($G563=TRUE,$E563="DEF"),AY563,"")</f>
        <v/>
      </c>
      <c r="BE563">
        <f>IF(AND($G563=TRUE,$E563="MID"),AY563,"")</f>
        <v/>
      </c>
      <c r="BF563">
        <f>IF(AND($G563=TRUE,$E563="FWD"),AY563,"")</f>
        <v/>
      </c>
      <c r="BG563" t="n">
        <v>0</v>
      </c>
      <c r="BH563" t="n">
        <v>0</v>
      </c>
      <c r="BI563" t="n">
        <v>0</v>
      </c>
      <c r="BJ563" t="n">
        <v>0</v>
      </c>
    </row>
    <row r="564">
      <c r="A564" t="inlineStr">
        <is>
          <t>Jack Taylor</t>
        </is>
      </c>
      <c r="B564" t="inlineStr">
        <is>
          <t>IPS</t>
        </is>
      </c>
      <c r="D564" t="b">
        <v>0</v>
      </c>
      <c r="E564" t="inlineStr">
        <is>
          <t>MID</t>
        </is>
      </c>
      <c r="G564" t="b">
        <v>1</v>
      </c>
      <c r="H564" s="2" t="n">
        <v>4.5</v>
      </c>
      <c r="I564" t="inlineStr">
        <is>
          <t>i</t>
        </is>
      </c>
      <c r="J564" t="inlineStr">
        <is>
          <t>Knee injury - Unknown return date</t>
        </is>
      </c>
      <c r="K564" s="2" t="n"/>
      <c r="M564" s="3" t="n">
        <v>1317</v>
      </c>
      <c r="N564" s="8" t="n">
        <v>1317</v>
      </c>
      <c r="O564" s="8" t="n">
        <v>0</v>
      </c>
      <c r="Q564" t="inlineStr">
        <is>
          <t>flat</t>
        </is>
      </c>
      <c r="R564" s="6" t="n">
        <v>1317</v>
      </c>
      <c r="S564" t="inlineStr">
        <is>
          <t>Solio</t>
        </is>
      </c>
      <c r="U564" s="6" t="n">
        <v>85</v>
      </c>
      <c r="V564" s="2" t="n"/>
      <c r="W564" s="7">
        <f>IF(N(U564)&lt;=0,0,MIN(Assumptions!$B$15,N(R564)/N(U564)))</f>
        <v/>
      </c>
      <c r="X564" s="6" t="n">
        <v>0.17</v>
      </c>
      <c r="Y564" s="3" t="n"/>
      <c r="Z564" t="inlineStr"/>
      <c r="AA564" s="3" t="n">
        <v>1</v>
      </c>
      <c r="AB564" s="3" t="n"/>
      <c r="AC564" s="3" t="n"/>
      <c r="AD564" s="3" t="n"/>
      <c r="AE564" s="3" t="n"/>
      <c r="AF564" s="3" t="n">
        <v>0</v>
      </c>
      <c r="AG564" s="3" t="n"/>
      <c r="AH564" s="3" t="n"/>
      <c r="AI564" s="3" t="n">
        <v>3.5741</v>
      </c>
      <c r="AJ564" s="3" t="n">
        <v>1.8319</v>
      </c>
      <c r="AK564" s="3" t="n">
        <v>-0.2756958479817338</v>
      </c>
      <c r="AL564" s="6" t="n">
        <v>0</v>
      </c>
      <c r="AM564" s="3" t="n">
        <v>0</v>
      </c>
      <c r="AN564" s="3" t="n">
        <v>0</v>
      </c>
      <c r="AO564" s="3" t="n">
        <v>0</v>
      </c>
      <c r="AP564" s="3">
        <f>N(X564)*N(BI564)</f>
        <v/>
      </c>
      <c r="AQ564" s="3" t="n">
        <v>0</v>
      </c>
      <c r="AR564" s="3" t="n">
        <v>0</v>
      </c>
      <c r="AS564" s="3" t="n">
        <v>-0</v>
      </c>
      <c r="AT564" s="3" t="n">
        <v>-0.2756958479817338</v>
      </c>
      <c r="AU564" s="3">
        <f>SUM(AN564:AT564)</f>
        <v/>
      </c>
      <c r="AV564" s="7">
        <f>IF(OR(N(W564)&lt;=0,N(BG564)=0),0,N(W564)*IF(N(R564)/N(W564)&gt;=60,N(BG564),1))</f>
        <v/>
      </c>
      <c r="AW564" s="7">
        <f>N(W564)*N(AF564)*N(BH564)</f>
        <v/>
      </c>
      <c r="AX564" s="7">
        <f>N(AL564)*(Assumptions!$B$13*N(BJ564)-(1-Assumptions!$B$13)*Assumptions!$B$14)+N(AM564)</f>
        <v/>
      </c>
      <c r="AY564" s="7">
        <f>N(AU564)*N(R564)/90+N(AV564)+N(AW564)+N(AX564)</f>
        <v/>
      </c>
      <c r="AZ564" s="3">
        <f>IF(N(R564)&lt;=0,0,(N(AY564)-N(AX564))*90/N(R564))</f>
        <v/>
      </c>
      <c r="BA564" s="7">
        <f>IFERROR(AY564-VLOOKUP($E564,Assumptions!$A$40:$C$43,3,FALSE),"")</f>
        <v/>
      </c>
      <c r="BB564" s="3">
        <f>IFERROR(BA564/H564,"")</f>
        <v/>
      </c>
      <c r="BC564">
        <f>IF(AND($G564=TRUE,$E564="GKP"),AY564,"")</f>
        <v/>
      </c>
      <c r="BD564">
        <f>IF(AND($G564=TRUE,$E564="DEF"),AY564,"")</f>
        <v/>
      </c>
      <c r="BE564">
        <f>IF(AND($G564=TRUE,$E564="MID"),AY564,"")</f>
        <v/>
      </c>
      <c r="BF564">
        <f>IF(AND($G564=TRUE,$E564="FWD"),AY564,"")</f>
        <v/>
      </c>
      <c r="BG564" t="n">
        <v>2</v>
      </c>
      <c r="BH564" t="n">
        <v>2</v>
      </c>
      <c r="BI564" t="n">
        <v>1</v>
      </c>
      <c r="BJ564" t="n">
        <v>5</v>
      </c>
    </row>
    <row r="565">
      <c r="A565" t="inlineStr">
        <is>
          <t>Ryan Giles</t>
        </is>
      </c>
      <c r="B565" t="inlineStr">
        <is>
          <t>HUL</t>
        </is>
      </c>
      <c r="D565" t="b">
        <v>0</v>
      </c>
      <c r="E565" t="inlineStr">
        <is>
          <t>DEF</t>
        </is>
      </c>
      <c r="G565" t="b">
        <v>1</v>
      </c>
      <c r="H565" s="2" t="n">
        <v>4</v>
      </c>
      <c r="I565" t="inlineStr">
        <is>
          <t>a</t>
        </is>
      </c>
      <c r="K565" s="2" t="n"/>
      <c r="M565" s="3" t="n">
        <v>2787</v>
      </c>
      <c r="N565" s="8" t="n">
        <v>2787</v>
      </c>
      <c r="O565" s="8" t="n">
        <v>0</v>
      </c>
      <c r="Q565" t="inlineStr">
        <is>
          <t>flat</t>
        </is>
      </c>
      <c r="R565" s="6" t="n">
        <v>2787</v>
      </c>
      <c r="S565" t="inlineStr">
        <is>
          <t>Solio</t>
        </is>
      </c>
      <c r="U565" s="6" t="n">
        <v>85</v>
      </c>
      <c r="V565" s="2" t="n"/>
      <c r="W565" s="7">
        <f>IF(N(U565)&lt;=0,0,MIN(Assumptions!$B$15,N(R565)/N(U565)))</f>
        <v/>
      </c>
      <c r="X565" s="6" t="n">
        <v>0.143</v>
      </c>
      <c r="Y565" s="3" t="n"/>
      <c r="Z565" t="inlineStr"/>
      <c r="AA565" s="3" t="n">
        <v>1</v>
      </c>
      <c r="AB565" s="3" t="n"/>
      <c r="AC565" s="3" t="n"/>
      <c r="AD565" s="3" t="n"/>
      <c r="AE565" s="3" t="n"/>
      <c r="AF565" s="3" t="n">
        <v>0</v>
      </c>
      <c r="AG565" s="3" t="n"/>
      <c r="AH565" s="3" t="n"/>
      <c r="AI565" s="3" t="n">
        <v>3.9421</v>
      </c>
      <c r="AJ565" s="3" t="n">
        <v>1.99</v>
      </c>
      <c r="AK565" s="3" t="n">
        <v>-0.1822446652757809</v>
      </c>
      <c r="AL565" s="6" t="n">
        <v>0</v>
      </c>
      <c r="AM565" s="3" t="n">
        <v>0</v>
      </c>
      <c r="AN565" s="3" t="n">
        <v>0</v>
      </c>
      <c r="AO565" s="3" t="n">
        <v>0</v>
      </c>
      <c r="AP565" s="3">
        <f>N(X565)*N(BI565)</f>
        <v/>
      </c>
      <c r="AQ565" s="3" t="n">
        <v>0</v>
      </c>
      <c r="AR565" s="3" t="n">
        <v>0</v>
      </c>
      <c r="AS565" s="3" t="n">
        <v>-0.7496714098286652</v>
      </c>
      <c r="AT565" s="3" t="n">
        <v>-0.1822446652757809</v>
      </c>
      <c r="AU565" s="3">
        <f>SUM(AN565:AT565)</f>
        <v/>
      </c>
      <c r="AV565" s="7">
        <f>IF(OR(N(W565)&lt;=0,N(BG565)=0),0,N(W565)*IF(N(R565)/N(W565)&gt;=60,N(BG565),1))</f>
        <v/>
      </c>
      <c r="AW565" s="7">
        <f>N(W565)*N(AF565)*N(BH565)</f>
        <v/>
      </c>
      <c r="AX565" s="7">
        <f>N(AL565)*(Assumptions!$B$13*N(BJ565)-(1-Assumptions!$B$13)*Assumptions!$B$14)+N(AM565)</f>
        <v/>
      </c>
      <c r="AY565" s="7">
        <f>N(AU565)*N(R565)/90+N(AV565)+N(AW565)+N(AX565)</f>
        <v/>
      </c>
      <c r="AZ565" s="3">
        <f>IF(N(R565)&lt;=0,0,(N(AY565)-N(AX565))*90/N(R565))</f>
        <v/>
      </c>
      <c r="BA565" s="7">
        <f>IFERROR(AY565-VLOOKUP($E565,Assumptions!$A$40:$C$43,3,FALSE),"")</f>
        <v/>
      </c>
      <c r="BB565" s="3">
        <f>IFERROR(BA565/H565,"")</f>
        <v/>
      </c>
      <c r="BC565">
        <f>IF(AND($G565=TRUE,$E565="GKP"),AY565,"")</f>
        <v/>
      </c>
      <c r="BD565">
        <f>IF(AND($G565=TRUE,$E565="DEF"),AY565,"")</f>
        <v/>
      </c>
      <c r="BE565">
        <f>IF(AND($G565=TRUE,$E565="MID"),AY565,"")</f>
        <v/>
      </c>
      <c r="BF565">
        <f>IF(AND($G565=TRUE,$E565="FWD"),AY565,"")</f>
        <v/>
      </c>
      <c r="BG565" t="n">
        <v>2</v>
      </c>
      <c r="BH565" t="n">
        <v>2</v>
      </c>
      <c r="BI565" t="n">
        <v>4</v>
      </c>
      <c r="BJ565" t="n">
        <v>6</v>
      </c>
    </row>
    <row r="566">
      <c r="A566" t="inlineStr">
        <is>
          <t>Anis Mehmeti</t>
        </is>
      </c>
      <c r="B566" t="inlineStr">
        <is>
          <t>IPS</t>
        </is>
      </c>
      <c r="D566" t="b">
        <v>0</v>
      </c>
      <c r="E566" t="inlineStr">
        <is>
          <t>MID</t>
        </is>
      </c>
      <c r="G566" t="b">
        <v>1</v>
      </c>
      <c r="H566" s="2" t="n">
        <v>5</v>
      </c>
      <c r="I566" t="inlineStr">
        <is>
          <t>a</t>
        </is>
      </c>
      <c r="K566" s="2" t="n"/>
      <c r="M566" s="3" t="n">
        <v>1146</v>
      </c>
      <c r="N566" s="8" t="n">
        <v>1146</v>
      </c>
      <c r="O566" s="8" t="n">
        <v>0</v>
      </c>
      <c r="Q566" t="inlineStr">
        <is>
          <t>flat</t>
        </is>
      </c>
      <c r="R566" s="6" t="n">
        <v>1146</v>
      </c>
      <c r="S566" t="inlineStr">
        <is>
          <t>Solio</t>
        </is>
      </c>
      <c r="U566" s="6" t="n">
        <v>85</v>
      </c>
      <c r="V566" s="2" t="n"/>
      <c r="W566" s="7">
        <f>IF(N(U566)&lt;=0,0,MIN(Assumptions!$B$15,N(R566)/N(U566)))</f>
        <v/>
      </c>
      <c r="X566" s="6" t="n">
        <v>0.17</v>
      </c>
      <c r="Y566" s="3" t="n"/>
      <c r="Z566" t="inlineStr"/>
      <c r="AA566" s="3" t="n">
        <v>1</v>
      </c>
      <c r="AB566" s="3" t="n"/>
      <c r="AC566" s="3" t="n"/>
      <c r="AD566" s="3" t="n"/>
      <c r="AE566" s="3" t="n"/>
      <c r="AF566" s="3" t="n">
        <v>0</v>
      </c>
      <c r="AG566" s="3" t="n"/>
      <c r="AH566" s="3" t="n"/>
      <c r="AI566" s="3" t="n">
        <v>3.5741</v>
      </c>
      <c r="AJ566" s="3" t="n">
        <v>1.8319</v>
      </c>
      <c r="AK566" s="3" t="n">
        <v>-0.2160434166173144</v>
      </c>
      <c r="AL566" s="6" t="n">
        <v>0</v>
      </c>
      <c r="AM566" s="3" t="n">
        <v>0</v>
      </c>
      <c r="AN566" s="3" t="n">
        <v>0</v>
      </c>
      <c r="AO566" s="3" t="n">
        <v>0</v>
      </c>
      <c r="AP566" s="3">
        <f>N(X566)*N(BI566)</f>
        <v/>
      </c>
      <c r="AQ566" s="3" t="n">
        <v>0</v>
      </c>
      <c r="AR566" s="3" t="n">
        <v>0</v>
      </c>
      <c r="AS566" s="3" t="n">
        <v>-0</v>
      </c>
      <c r="AT566" s="3" t="n">
        <v>-0.2160434166173144</v>
      </c>
      <c r="AU566" s="3">
        <f>SUM(AN566:AT566)</f>
        <v/>
      </c>
      <c r="AV566" s="7">
        <f>IF(OR(N(W566)&lt;=0,N(BG566)=0),0,N(W566)*IF(N(R566)/N(W566)&gt;=60,N(BG566),1))</f>
        <v/>
      </c>
      <c r="AW566" s="7">
        <f>N(W566)*N(AF566)*N(BH566)</f>
        <v/>
      </c>
      <c r="AX566" s="7">
        <f>N(AL566)*(Assumptions!$B$13*N(BJ566)-(1-Assumptions!$B$13)*Assumptions!$B$14)+N(AM566)</f>
        <v/>
      </c>
      <c r="AY566" s="7">
        <f>N(AU566)*N(R566)/90+N(AV566)+N(AW566)+N(AX566)</f>
        <v/>
      </c>
      <c r="AZ566" s="3">
        <f>IF(N(R566)&lt;=0,0,(N(AY566)-N(AX566))*90/N(R566))</f>
        <v/>
      </c>
      <c r="BA566" s="7">
        <f>IFERROR(AY566-VLOOKUP($E566,Assumptions!$A$40:$C$43,3,FALSE),"")</f>
        <v/>
      </c>
      <c r="BB566" s="3">
        <f>IFERROR(BA566/H566,"")</f>
        <v/>
      </c>
      <c r="BC566">
        <f>IF(AND($G566=TRUE,$E566="GKP"),AY566,"")</f>
        <v/>
      </c>
      <c r="BD566">
        <f>IF(AND($G566=TRUE,$E566="DEF"),AY566,"")</f>
        <v/>
      </c>
      <c r="BE566">
        <f>IF(AND($G566=TRUE,$E566="MID"),AY566,"")</f>
        <v/>
      </c>
      <c r="BF566">
        <f>IF(AND($G566=TRUE,$E566="FWD"),AY566,"")</f>
        <v/>
      </c>
      <c r="BG566" t="n">
        <v>2</v>
      </c>
      <c r="BH566" t="n">
        <v>2</v>
      </c>
      <c r="BI566" t="n">
        <v>1</v>
      </c>
      <c r="BJ566" t="n">
        <v>5</v>
      </c>
    </row>
    <row r="567">
      <c r="A567" t="inlineStr">
        <is>
          <t>Anthony Gordon</t>
        </is>
      </c>
      <c r="C567" t="inlineStr">
        <is>
          <t>NEW</t>
        </is>
      </c>
      <c r="D567" t="b">
        <v>0</v>
      </c>
      <c r="F567" t="inlineStr">
        <is>
          <t>MID</t>
        </is>
      </c>
      <c r="G567" t="b">
        <v>0</v>
      </c>
      <c r="H567" s="2" t="n"/>
      <c r="K567" s="2" t="n">
        <v>1814</v>
      </c>
      <c r="M567" s="3" t="n"/>
      <c r="N567" s="8" t="n">
        <v>1814</v>
      </c>
      <c r="O567" s="8" t="n">
        <v>0</v>
      </c>
      <c r="R567" s="6" t="n">
        <v>1814</v>
      </c>
      <c r="S567" t="inlineStr">
        <is>
          <t>25/26 actual</t>
        </is>
      </c>
      <c r="U567" s="6" t="n">
        <v>76.59999999999999</v>
      </c>
      <c r="V567" s="2" t="n">
        <v>23</v>
      </c>
      <c r="W567" s="7">
        <f>IF(N(U567)&lt;=0,0,MIN(Assumptions!$B$15,N(R567)/N(U567)))</f>
        <v/>
      </c>
      <c r="X567" s="6" t="n"/>
      <c r="Y567" s="3" t="n">
        <v>0.2923</v>
      </c>
      <c r="Z567" t="inlineStr">
        <is>
          <t>adjusted xGOT</t>
        </is>
      </c>
      <c r="AA567" s="3" t="n">
        <v>0.739</v>
      </c>
      <c r="AB567" s="3" t="n">
        <v>0.909</v>
      </c>
      <c r="AC567" s="3" t="n">
        <v>31.7</v>
      </c>
      <c r="AD567" s="3" t="n">
        <v>0.1843</v>
      </c>
      <c r="AE567" s="3" t="n">
        <v>5.705</v>
      </c>
      <c r="AF567" s="3" t="n">
        <v>0</v>
      </c>
      <c r="AG567" s="3" t="n">
        <v>0.4465</v>
      </c>
      <c r="AH567" s="3" t="n">
        <v>47</v>
      </c>
      <c r="AI567" s="3" t="n"/>
      <c r="AJ567" s="3" t="n"/>
      <c r="AK567" s="3" t="n"/>
      <c r="AL567" s="6" t="n">
        <v>0</v>
      </c>
      <c r="AM567" s="3" t="n">
        <v>0</v>
      </c>
      <c r="AN567" s="3" t="n">
        <v>0</v>
      </c>
      <c r="AO567" s="3" t="n">
        <v>0</v>
      </c>
      <c r="AP567" s="3">
        <f>N(X567)*N(BI567)</f>
        <v/>
      </c>
      <c r="AQ567" s="3" t="n">
        <v>0</v>
      </c>
      <c r="AR567" s="3" t="n">
        <v>0</v>
      </c>
      <c r="AS567" s="3" t="n">
        <v>0</v>
      </c>
      <c r="AT567" s="3" t="n">
        <v>0</v>
      </c>
      <c r="AU567" s="3">
        <f>SUM(AN567:AT567)</f>
        <v/>
      </c>
      <c r="AV567" s="7">
        <f>IF(OR(N(W567)&lt;=0,N(BG567)=0),0,N(W567)*IF(N(R567)/N(W567)&gt;=60,N(BG567),1))</f>
        <v/>
      </c>
      <c r="AW567" s="7">
        <f>N(W567)*N(AF567)*N(BH567)</f>
        <v/>
      </c>
      <c r="AX567" s="7">
        <f>N(AL567)*(Assumptions!$B$13*N(BJ567)-(1-Assumptions!$B$13)*Assumptions!$B$14)+N(AM567)</f>
        <v/>
      </c>
      <c r="AY567" s="7">
        <f>N(AU567)*N(R567)/90+N(AV567)+N(AW567)+N(AX567)</f>
        <v/>
      </c>
      <c r="AZ567" s="3">
        <f>IF(N(R567)&lt;=0,0,(N(AY567)-N(AX567))*90/N(R567))</f>
        <v/>
      </c>
      <c r="BA567" s="7">
        <f>IFERROR(AY567-VLOOKUP($E567,Assumptions!$A$40:$C$43,3,FALSE),"")</f>
        <v/>
      </c>
      <c r="BB567" s="3">
        <f>IFERROR(BA567/H567,"")</f>
        <v/>
      </c>
      <c r="BC567">
        <f>IF(AND($G567=TRUE,$E567="GKP"),AY567,"")</f>
        <v/>
      </c>
      <c r="BD567">
        <f>IF(AND($G567=TRUE,$E567="DEF"),AY567,"")</f>
        <v/>
      </c>
      <c r="BE567">
        <f>IF(AND($G567=TRUE,$E567="MID"),AY567,"")</f>
        <v/>
      </c>
      <c r="BF567">
        <f>IF(AND($G567=TRUE,$E567="FWD"),AY567,"")</f>
        <v/>
      </c>
      <c r="BG567" t="n">
        <v>0</v>
      </c>
      <c r="BH567" t="n">
        <v>0</v>
      </c>
      <c r="BI567" t="n">
        <v>0</v>
      </c>
      <c r="BJ567" t="n">
        <v>0</v>
      </c>
    </row>
    <row r="568">
      <c r="A568" t="inlineStr">
        <is>
          <t>Liam Millar</t>
        </is>
      </c>
      <c r="B568" t="inlineStr">
        <is>
          <t>HUL</t>
        </is>
      </c>
      <c r="D568" t="b">
        <v>0</v>
      </c>
      <c r="E568" t="inlineStr">
        <is>
          <t>MID</t>
        </is>
      </c>
      <c r="G568" t="b">
        <v>1</v>
      </c>
      <c r="H568" s="2" t="n">
        <v>5</v>
      </c>
      <c r="I568" t="inlineStr">
        <is>
          <t>a</t>
        </is>
      </c>
      <c r="K568" s="2" t="n"/>
      <c r="M568" s="3" t="n">
        <v>1978</v>
      </c>
      <c r="N568" s="8" t="n">
        <v>1978</v>
      </c>
      <c r="O568" s="8" t="n">
        <v>0</v>
      </c>
      <c r="Q568" t="inlineStr">
        <is>
          <t>flat</t>
        </is>
      </c>
      <c r="R568" s="6" t="n">
        <v>1978</v>
      </c>
      <c r="S568" t="inlineStr">
        <is>
          <t>Solio</t>
        </is>
      </c>
      <c r="U568" s="6" t="n">
        <v>85</v>
      </c>
      <c r="V568" s="2" t="n"/>
      <c r="W568" s="7">
        <f>IF(N(U568)&lt;=0,0,MIN(Assumptions!$B$15,N(R568)/N(U568)))</f>
        <v/>
      </c>
      <c r="X568" s="6" t="n">
        <v>0.143</v>
      </c>
      <c r="Y568" s="3" t="n"/>
      <c r="Z568" t="inlineStr"/>
      <c r="AA568" s="3" t="n">
        <v>1</v>
      </c>
      <c r="AB568" s="3" t="n"/>
      <c r="AC568" s="3" t="n"/>
      <c r="AD568" s="3" t="n"/>
      <c r="AE568" s="3" t="n"/>
      <c r="AF568" s="3" t="n">
        <v>0</v>
      </c>
      <c r="AG568" s="3" t="n"/>
      <c r="AH568" s="3" t="n"/>
      <c r="AI568" s="3" t="n">
        <v>3.9421</v>
      </c>
      <c r="AJ568" s="3" t="n">
        <v>1.99</v>
      </c>
      <c r="AK568" s="3" t="n">
        <v>-0.2160434166173144</v>
      </c>
      <c r="AL568" s="6" t="n">
        <v>0</v>
      </c>
      <c r="AM568" s="3" t="n">
        <v>0</v>
      </c>
      <c r="AN568" s="3" t="n">
        <v>0</v>
      </c>
      <c r="AO568" s="3" t="n">
        <v>0</v>
      </c>
      <c r="AP568" s="3">
        <f>N(X568)*N(BI568)</f>
        <v/>
      </c>
      <c r="AQ568" s="3" t="n">
        <v>0</v>
      </c>
      <c r="AR568" s="3" t="n">
        <v>0</v>
      </c>
      <c r="AS568" s="3" t="n">
        <v>-0</v>
      </c>
      <c r="AT568" s="3" t="n">
        <v>-0.2160434166173144</v>
      </c>
      <c r="AU568" s="3">
        <f>SUM(AN568:AT568)</f>
        <v/>
      </c>
      <c r="AV568" s="7">
        <f>IF(OR(N(W568)&lt;=0,N(BG568)=0),0,N(W568)*IF(N(R568)/N(W568)&gt;=60,N(BG568),1))</f>
        <v/>
      </c>
      <c r="AW568" s="7">
        <f>N(W568)*N(AF568)*N(BH568)</f>
        <v/>
      </c>
      <c r="AX568" s="7">
        <f>N(AL568)*(Assumptions!$B$13*N(BJ568)-(1-Assumptions!$B$13)*Assumptions!$B$14)+N(AM568)</f>
        <v/>
      </c>
      <c r="AY568" s="7">
        <f>N(AU568)*N(R568)/90+N(AV568)+N(AW568)+N(AX568)</f>
        <v/>
      </c>
      <c r="AZ568" s="3">
        <f>IF(N(R568)&lt;=0,0,(N(AY568)-N(AX568))*90/N(R568))</f>
        <v/>
      </c>
      <c r="BA568" s="7">
        <f>IFERROR(AY568-VLOOKUP($E568,Assumptions!$A$40:$C$43,3,FALSE),"")</f>
        <v/>
      </c>
      <c r="BB568" s="3">
        <f>IFERROR(BA568/H568,"")</f>
        <v/>
      </c>
      <c r="BC568">
        <f>IF(AND($G568=TRUE,$E568="GKP"),AY568,"")</f>
        <v/>
      </c>
      <c r="BD568">
        <f>IF(AND($G568=TRUE,$E568="DEF"),AY568,"")</f>
        <v/>
      </c>
      <c r="BE568">
        <f>IF(AND($G568=TRUE,$E568="MID"),AY568,"")</f>
        <v/>
      </c>
      <c r="BF568">
        <f>IF(AND($G568=TRUE,$E568="FWD"),AY568,"")</f>
        <v/>
      </c>
      <c r="BG568" t="n">
        <v>2</v>
      </c>
      <c r="BH568" t="n">
        <v>2</v>
      </c>
      <c r="BI568" t="n">
        <v>1</v>
      </c>
      <c r="BJ568" t="n">
        <v>5</v>
      </c>
    </row>
    <row r="569">
      <c r="A569" t="inlineStr">
        <is>
          <t>Konstantinos Mavropanos</t>
        </is>
      </c>
      <c r="C569" t="inlineStr">
        <is>
          <t>WHU</t>
        </is>
      </c>
      <c r="D569" t="b">
        <v>0</v>
      </c>
      <c r="F569" t="inlineStr">
        <is>
          <t>DEF</t>
        </is>
      </c>
      <c r="G569" t="b">
        <v>0</v>
      </c>
      <c r="H569" s="2" t="n"/>
      <c r="K569" s="2" t="n">
        <v>2528</v>
      </c>
      <c r="M569" s="3" t="n"/>
      <c r="N569" s="8" t="n">
        <v>2528</v>
      </c>
      <c r="O569" s="8" t="n">
        <v>0</v>
      </c>
      <c r="R569" s="6" t="n">
        <v>2528</v>
      </c>
      <c r="S569" t="inlineStr">
        <is>
          <t>25/26 actual</t>
        </is>
      </c>
      <c r="U569" s="6" t="n">
        <v>88.8</v>
      </c>
      <c r="V569" s="2" t="n">
        <v>27</v>
      </c>
      <c r="W569" s="7">
        <f>IF(N(U569)&lt;=0,0,MIN(Assumptions!$B$15,N(R569)/N(U569)))</f>
        <v/>
      </c>
      <c r="X569" s="6" t="n"/>
      <c r="Y569" s="3" t="n">
        <v>0.09080000000000001</v>
      </c>
      <c r="Z569" t="inlineStr">
        <is>
          <t>adjusted xGOT</t>
        </is>
      </c>
      <c r="AA569" s="3" t="n">
        <v>1</v>
      </c>
      <c r="AB569" s="3" t="n">
        <v>1.032</v>
      </c>
      <c r="AC569" s="3" t="n">
        <v>5.3</v>
      </c>
      <c r="AD569" s="3" t="n">
        <v>0.0174</v>
      </c>
      <c r="AE569" s="3" t="n">
        <v>10.364</v>
      </c>
      <c r="AF569" s="3" t="n">
        <v>0</v>
      </c>
      <c r="AG569" s="3" t="n">
        <v>0.178</v>
      </c>
      <c r="AH569" s="3" t="n">
        <v>58</v>
      </c>
      <c r="AI569" s="3" t="n"/>
      <c r="AJ569" s="3" t="n"/>
      <c r="AK569" s="3" t="n"/>
      <c r="AL569" s="6" t="n">
        <v>0</v>
      </c>
      <c r="AM569" s="3" t="n">
        <v>0</v>
      </c>
      <c r="AN569" s="3" t="n">
        <v>0</v>
      </c>
      <c r="AO569" s="3" t="n">
        <v>0</v>
      </c>
      <c r="AP569" s="3">
        <f>N(X569)*N(BI569)</f>
        <v/>
      </c>
      <c r="AQ569" s="3" t="n">
        <v>0</v>
      </c>
      <c r="AR569" s="3" t="n">
        <v>0</v>
      </c>
      <c r="AS569" s="3" t="n">
        <v>0</v>
      </c>
      <c r="AT569" s="3" t="n">
        <v>0</v>
      </c>
      <c r="AU569" s="3">
        <f>SUM(AN569:AT569)</f>
        <v/>
      </c>
      <c r="AV569" s="7">
        <f>IF(OR(N(W569)&lt;=0,N(BG569)=0),0,N(W569)*IF(N(R569)/N(W569)&gt;=60,N(BG569),1))</f>
        <v/>
      </c>
      <c r="AW569" s="7">
        <f>N(W569)*N(AF569)*N(BH569)</f>
        <v/>
      </c>
      <c r="AX569" s="7">
        <f>N(AL569)*(Assumptions!$B$13*N(BJ569)-(1-Assumptions!$B$13)*Assumptions!$B$14)+N(AM569)</f>
        <v/>
      </c>
      <c r="AY569" s="7">
        <f>N(AU569)*N(R569)/90+N(AV569)+N(AW569)+N(AX569)</f>
        <v/>
      </c>
      <c r="AZ569" s="3">
        <f>IF(N(R569)&lt;=0,0,(N(AY569)-N(AX569))*90/N(R569))</f>
        <v/>
      </c>
      <c r="BA569" s="7">
        <f>IFERROR(AY569-VLOOKUP($E569,Assumptions!$A$40:$C$43,3,FALSE),"")</f>
        <v/>
      </c>
      <c r="BB569" s="3">
        <f>IFERROR(BA569/H569,"")</f>
        <v/>
      </c>
      <c r="BC569">
        <f>IF(AND($G569=TRUE,$E569="GKP"),AY569,"")</f>
        <v/>
      </c>
      <c r="BD569">
        <f>IF(AND($G569=TRUE,$E569="DEF"),AY569,"")</f>
        <v/>
      </c>
      <c r="BE569">
        <f>IF(AND($G569=TRUE,$E569="MID"),AY569,"")</f>
        <v/>
      </c>
      <c r="BF569">
        <f>IF(AND($G569=TRUE,$E569="FWD"),AY569,"")</f>
        <v/>
      </c>
      <c r="BG569" t="n">
        <v>0</v>
      </c>
      <c r="BH569" t="n">
        <v>0</v>
      </c>
      <c r="BI569" t="n">
        <v>0</v>
      </c>
      <c r="BJ569" t="n">
        <v>0</v>
      </c>
    </row>
    <row r="570">
      <c r="A570" t="inlineStr">
        <is>
          <t>Azor Matusiwa</t>
        </is>
      </c>
      <c r="B570" t="inlineStr">
        <is>
          <t>IPS</t>
        </is>
      </c>
      <c r="D570" t="b">
        <v>0</v>
      </c>
      <c r="E570" t="inlineStr">
        <is>
          <t>MID</t>
        </is>
      </c>
      <c r="G570" t="b">
        <v>1</v>
      </c>
      <c r="H570" s="2" t="n">
        <v>5</v>
      </c>
      <c r="I570" t="inlineStr">
        <is>
          <t>i</t>
        </is>
      </c>
      <c r="J570" t="inlineStr">
        <is>
          <t>Muscular injury - Unknown return date</t>
        </is>
      </c>
      <c r="K570" s="2" t="n"/>
      <c r="M570" s="3" t="n">
        <v>800</v>
      </c>
      <c r="N570" s="8" t="n">
        <v>800</v>
      </c>
      <c r="O570" s="8" t="n">
        <v>0</v>
      </c>
      <c r="Q570" t="inlineStr">
        <is>
          <t>flat</t>
        </is>
      </c>
      <c r="R570" s="6" t="n">
        <v>800</v>
      </c>
      <c r="S570" t="inlineStr">
        <is>
          <t>Solio</t>
        </is>
      </c>
      <c r="U570" s="6" t="n">
        <v>85</v>
      </c>
      <c r="V570" s="2" t="n"/>
      <c r="W570" s="7">
        <f>IF(N(U570)&lt;=0,0,MIN(Assumptions!$B$15,N(R570)/N(U570)))</f>
        <v/>
      </c>
      <c r="X570" s="6" t="n">
        <v>0.17</v>
      </c>
      <c r="Y570" s="3" t="n"/>
      <c r="Z570" t="inlineStr"/>
      <c r="AA570" s="3" t="n">
        <v>1</v>
      </c>
      <c r="AB570" s="3" t="n"/>
      <c r="AC570" s="3" t="n"/>
      <c r="AD570" s="3" t="n"/>
      <c r="AE570" s="3" t="n"/>
      <c r="AF570" s="3" t="n">
        <v>0</v>
      </c>
      <c r="AG570" s="3" t="n"/>
      <c r="AH570" s="3" t="n"/>
      <c r="AI570" s="3" t="n">
        <v>3.5741</v>
      </c>
      <c r="AJ570" s="3" t="n">
        <v>1.8319</v>
      </c>
      <c r="AK570" s="3" t="n">
        <v>-0.2160434166173144</v>
      </c>
      <c r="AL570" s="6" t="n">
        <v>0</v>
      </c>
      <c r="AM570" s="3" t="n">
        <v>0</v>
      </c>
      <c r="AN570" s="3" t="n">
        <v>0</v>
      </c>
      <c r="AO570" s="3" t="n">
        <v>0</v>
      </c>
      <c r="AP570" s="3">
        <f>N(X570)*N(BI570)</f>
        <v/>
      </c>
      <c r="AQ570" s="3" t="n">
        <v>0</v>
      </c>
      <c r="AR570" s="3" t="n">
        <v>0</v>
      </c>
      <c r="AS570" s="3" t="n">
        <v>-0</v>
      </c>
      <c r="AT570" s="3" t="n">
        <v>-0.2160434166173144</v>
      </c>
      <c r="AU570" s="3">
        <f>SUM(AN570:AT570)</f>
        <v/>
      </c>
      <c r="AV570" s="7">
        <f>IF(OR(N(W570)&lt;=0,N(BG570)=0),0,N(W570)*IF(N(R570)/N(W570)&gt;=60,N(BG570),1))</f>
        <v/>
      </c>
      <c r="AW570" s="7">
        <f>N(W570)*N(AF570)*N(BH570)</f>
        <v/>
      </c>
      <c r="AX570" s="7">
        <f>N(AL570)*(Assumptions!$B$13*N(BJ570)-(1-Assumptions!$B$13)*Assumptions!$B$14)+N(AM570)</f>
        <v/>
      </c>
      <c r="AY570" s="7">
        <f>N(AU570)*N(R570)/90+N(AV570)+N(AW570)+N(AX570)</f>
        <v/>
      </c>
      <c r="AZ570" s="3">
        <f>IF(N(R570)&lt;=0,0,(N(AY570)-N(AX570))*90/N(R570))</f>
        <v/>
      </c>
      <c r="BA570" s="7">
        <f>IFERROR(AY570-VLOOKUP($E570,Assumptions!$A$40:$C$43,3,FALSE),"")</f>
        <v/>
      </c>
      <c r="BB570" s="3">
        <f>IFERROR(BA570/H570,"")</f>
        <v/>
      </c>
      <c r="BC570">
        <f>IF(AND($G570=TRUE,$E570="GKP"),AY570,"")</f>
        <v/>
      </c>
      <c r="BD570">
        <f>IF(AND($G570=TRUE,$E570="DEF"),AY570,"")</f>
        <v/>
      </c>
      <c r="BE570">
        <f>IF(AND($G570=TRUE,$E570="MID"),AY570,"")</f>
        <v/>
      </c>
      <c r="BF570">
        <f>IF(AND($G570=TRUE,$E570="FWD"),AY570,"")</f>
        <v/>
      </c>
      <c r="BG570" t="n">
        <v>2</v>
      </c>
      <c r="BH570" t="n">
        <v>2</v>
      </c>
      <c r="BI570" t="n">
        <v>1</v>
      </c>
      <c r="BJ570" t="n">
        <v>5</v>
      </c>
    </row>
    <row r="571">
      <c r="A571" t="inlineStr">
        <is>
          <t>Ephron Mason-Clark</t>
        </is>
      </c>
      <c r="B571" t="inlineStr">
        <is>
          <t>COV</t>
        </is>
      </c>
      <c r="D571" t="b">
        <v>0</v>
      </c>
      <c r="E571" t="inlineStr">
        <is>
          <t>MID</t>
        </is>
      </c>
      <c r="G571" t="b">
        <v>1</v>
      </c>
      <c r="H571" s="2" t="n">
        <v>5.5</v>
      </c>
      <c r="I571" t="inlineStr">
        <is>
          <t>a</t>
        </is>
      </c>
      <c r="K571" s="2" t="n"/>
      <c r="M571" s="3" t="n">
        <v>2440</v>
      </c>
      <c r="N571" s="8" t="n">
        <v>2440</v>
      </c>
      <c r="O571" s="8" t="n">
        <v>0</v>
      </c>
      <c r="Q571" t="inlineStr">
        <is>
          <t>flat</t>
        </is>
      </c>
      <c r="R571" s="6" t="n">
        <v>2440</v>
      </c>
      <c r="S571" t="inlineStr">
        <is>
          <t>Solio</t>
        </is>
      </c>
      <c r="U571" s="6" t="n">
        <v>85</v>
      </c>
      <c r="V571" s="2" t="n"/>
      <c r="W571" s="7">
        <f>IF(N(U571)&lt;=0,0,MIN(Assumptions!$B$15,N(R571)/N(U571)))</f>
        <v/>
      </c>
      <c r="X571" s="6" t="n">
        <v>0.17</v>
      </c>
      <c r="Y571" s="3" t="n"/>
      <c r="Z571" t="inlineStr"/>
      <c r="AA571" s="3" t="n">
        <v>1</v>
      </c>
      <c r="AB571" s="3" t="n"/>
      <c r="AC571" s="3" t="n"/>
      <c r="AD571" s="3" t="n"/>
      <c r="AE571" s="3" t="n"/>
      <c r="AF571" s="3" t="n">
        <v>0</v>
      </c>
      <c r="AG571" s="3" t="n"/>
      <c r="AH571" s="3" t="n"/>
      <c r="AI571" s="3" t="n">
        <v>3.6194</v>
      </c>
      <c r="AJ571" s="3" t="n">
        <v>1.8271</v>
      </c>
      <c r="AK571" s="3" t="n">
        <v>-0.2160434166173144</v>
      </c>
      <c r="AL571" s="6" t="n">
        <v>0</v>
      </c>
      <c r="AM571" s="3" t="n">
        <v>0</v>
      </c>
      <c r="AN571" s="3" t="n">
        <v>0</v>
      </c>
      <c r="AO571" s="3" t="n">
        <v>0</v>
      </c>
      <c r="AP571" s="3">
        <f>N(X571)*N(BI571)</f>
        <v/>
      </c>
      <c r="AQ571" s="3" t="n">
        <v>0</v>
      </c>
      <c r="AR571" s="3" t="n">
        <v>0</v>
      </c>
      <c r="AS571" s="3" t="n">
        <v>-0</v>
      </c>
      <c r="AT571" s="3" t="n">
        <v>-0.2160434166173144</v>
      </c>
      <c r="AU571" s="3">
        <f>SUM(AN571:AT571)</f>
        <v/>
      </c>
      <c r="AV571" s="7">
        <f>IF(OR(N(W571)&lt;=0,N(BG571)=0),0,N(W571)*IF(N(R571)/N(W571)&gt;=60,N(BG571),1))</f>
        <v/>
      </c>
      <c r="AW571" s="7">
        <f>N(W571)*N(AF571)*N(BH571)</f>
        <v/>
      </c>
      <c r="AX571" s="7">
        <f>N(AL571)*(Assumptions!$B$13*N(BJ571)-(1-Assumptions!$B$13)*Assumptions!$B$14)+N(AM571)</f>
        <v/>
      </c>
      <c r="AY571" s="7">
        <f>N(AU571)*N(R571)/90+N(AV571)+N(AW571)+N(AX571)</f>
        <v/>
      </c>
      <c r="AZ571" s="3">
        <f>IF(N(R571)&lt;=0,0,(N(AY571)-N(AX571))*90/N(R571))</f>
        <v/>
      </c>
      <c r="BA571" s="7">
        <f>IFERROR(AY571-VLOOKUP($E571,Assumptions!$A$40:$C$43,3,FALSE),"")</f>
        <v/>
      </c>
      <c r="BB571" s="3">
        <f>IFERROR(BA571/H571,"")</f>
        <v/>
      </c>
      <c r="BC571">
        <f>IF(AND($G571=TRUE,$E571="GKP"),AY571,"")</f>
        <v/>
      </c>
      <c r="BD571">
        <f>IF(AND($G571=TRUE,$E571="DEF"),AY571,"")</f>
        <v/>
      </c>
      <c r="BE571">
        <f>IF(AND($G571=TRUE,$E571="MID"),AY571,"")</f>
        <v/>
      </c>
      <c r="BF571">
        <f>IF(AND($G571=TRUE,$E571="FWD"),AY571,"")</f>
        <v/>
      </c>
      <c r="BG571" t="n">
        <v>2</v>
      </c>
      <c r="BH571" t="n">
        <v>2</v>
      </c>
      <c r="BI571" t="n">
        <v>1</v>
      </c>
      <c r="BJ571" t="n">
        <v>5</v>
      </c>
    </row>
    <row r="572">
      <c r="A572" t="inlineStr">
        <is>
          <t>Oscar Mingueza</t>
        </is>
      </c>
      <c r="B572" t="inlineStr">
        <is>
          <t>CRY</t>
        </is>
      </c>
      <c r="D572" t="b">
        <v>0</v>
      </c>
      <c r="E572" t="inlineStr">
        <is>
          <t>DEF</t>
        </is>
      </c>
      <c r="G572" t="b">
        <v>1</v>
      </c>
      <c r="H572" s="2" t="n">
        <v>4.5</v>
      </c>
      <c r="I572" t="inlineStr">
        <is>
          <t>a</t>
        </is>
      </c>
      <c r="K572" s="2" t="n"/>
      <c r="M572" s="3" t="n">
        <v>1197</v>
      </c>
      <c r="N572" s="4" t="n">
        <v>1600</v>
      </c>
      <c r="O572" s="4" t="n">
        <v>403</v>
      </c>
      <c r="P572" s="5" t="inlineStr">
        <is>
          <t>medium</t>
        </is>
      </c>
      <c r="Q572" t="inlineStr">
        <is>
          <t>flat</t>
        </is>
      </c>
      <c r="R572" s="6" t="n">
        <v>1600</v>
      </c>
      <c r="S572" t="inlineStr">
        <is>
          <t>research</t>
        </is>
      </c>
      <c r="T572" s="5" t="inlineStr">
        <is>
          <t>Signed on a free from Celta Vigo on 9 July and started both bookend pre-season friendlies, at Swindon in July and at Freiburg on 15 August, playing right wing-back and also being used in the back three. That versatility plus Lacroix's departure makes him a heavier-usage squad player than Solio's 1197, though Khalaili's arrival on 15 August caps how far this can go.</t>
        </is>
      </c>
      <c r="U572" s="6" t="n">
        <v>85</v>
      </c>
      <c r="V572" s="2" t="n"/>
      <c r="W572" s="7">
        <f>IF(N(U572)&lt;=0,0,MIN(Assumptions!$B$15,N(R572)/N(U572)))</f>
        <v/>
      </c>
      <c r="X572" s="6" t="n">
        <v>0.216</v>
      </c>
      <c r="Y572" s="3" t="n"/>
      <c r="Z572" t="inlineStr"/>
      <c r="AA572" s="3" t="n">
        <v>1</v>
      </c>
      <c r="AB572" s="3" t="n"/>
      <c r="AC572" s="3" t="n"/>
      <c r="AD572" s="3" t="n"/>
      <c r="AE572" s="3" t="n"/>
      <c r="AF572" s="3" t="n">
        <v>0</v>
      </c>
      <c r="AG572" s="3" t="n"/>
      <c r="AH572" s="3" t="n"/>
      <c r="AI572" s="3" t="n">
        <v>3.2035</v>
      </c>
      <c r="AJ572" s="3" t="n">
        <v>1.5923</v>
      </c>
      <c r="AK572" s="3" t="n">
        <v>-0.2045226422080557</v>
      </c>
      <c r="AL572" s="6" t="n">
        <v>0</v>
      </c>
      <c r="AM572" s="3" t="n">
        <v>0</v>
      </c>
      <c r="AN572" s="3" t="n">
        <v>0</v>
      </c>
      <c r="AO572" s="3" t="n">
        <v>0</v>
      </c>
      <c r="AP572" s="3">
        <f>N(X572)*N(BI572)</f>
        <v/>
      </c>
      <c r="AQ572" s="3" t="n">
        <v>0</v>
      </c>
      <c r="AR572" s="3" t="n">
        <v>0</v>
      </c>
      <c r="AS572" s="3" t="n">
        <v>-0.5564987001023466</v>
      </c>
      <c r="AT572" s="3" t="n">
        <v>-0.2045226422080557</v>
      </c>
      <c r="AU572" s="3">
        <f>SUM(AN572:AT572)</f>
        <v/>
      </c>
      <c r="AV572" s="7">
        <f>IF(OR(N(W572)&lt;=0,N(BG572)=0),0,N(W572)*IF(N(R572)/N(W572)&gt;=60,N(BG572),1))</f>
        <v/>
      </c>
      <c r="AW572" s="7">
        <f>N(W572)*N(AF572)*N(BH572)</f>
        <v/>
      </c>
      <c r="AX572" s="7">
        <f>N(AL572)*(Assumptions!$B$13*N(BJ572)-(1-Assumptions!$B$13)*Assumptions!$B$14)+N(AM572)</f>
        <v/>
      </c>
      <c r="AY572" s="7">
        <f>N(AU572)*N(R572)/90+N(AV572)+N(AW572)+N(AX572)</f>
        <v/>
      </c>
      <c r="AZ572" s="3">
        <f>IF(N(R572)&lt;=0,0,(N(AY572)-N(AX572))*90/N(R572))</f>
        <v/>
      </c>
      <c r="BA572" s="7">
        <f>IFERROR(AY572-VLOOKUP($E572,Assumptions!$A$40:$C$43,3,FALSE),"")</f>
        <v/>
      </c>
      <c r="BB572" s="3">
        <f>IFERROR(BA572/H572,"")</f>
        <v/>
      </c>
      <c r="BC572">
        <f>IF(AND($G572=TRUE,$E572="GKP"),AY572,"")</f>
        <v/>
      </c>
      <c r="BD572">
        <f>IF(AND($G572=TRUE,$E572="DEF"),AY572,"")</f>
        <v/>
      </c>
      <c r="BE572">
        <f>IF(AND($G572=TRUE,$E572="MID"),AY572,"")</f>
        <v/>
      </c>
      <c r="BF572">
        <f>IF(AND($G572=TRUE,$E572="FWD"),AY572,"")</f>
        <v/>
      </c>
      <c r="BG572" t="n">
        <v>2</v>
      </c>
      <c r="BH572" t="n">
        <v>2</v>
      </c>
      <c r="BI572" t="n">
        <v>4</v>
      </c>
      <c r="BJ572" t="n">
        <v>6</v>
      </c>
    </row>
    <row r="573">
      <c r="A573" t="inlineStr">
        <is>
          <t>Regan Slater</t>
        </is>
      </c>
      <c r="B573" t="inlineStr">
        <is>
          <t>HUL</t>
        </is>
      </c>
      <c r="D573" t="b">
        <v>0</v>
      </c>
      <c r="E573" t="inlineStr">
        <is>
          <t>MID</t>
        </is>
      </c>
      <c r="G573" t="b">
        <v>1</v>
      </c>
      <c r="H573" s="2" t="n">
        <v>4.5</v>
      </c>
      <c r="I573" t="inlineStr">
        <is>
          <t>a</t>
        </is>
      </c>
      <c r="K573" s="2" t="n"/>
      <c r="M573" s="3" t="n">
        <v>2770</v>
      </c>
      <c r="N573" s="8" t="n">
        <v>2770</v>
      </c>
      <c r="O573" s="8" t="n">
        <v>0</v>
      </c>
      <c r="Q573" t="inlineStr">
        <is>
          <t>flat</t>
        </is>
      </c>
      <c r="R573" s="6" t="n">
        <v>2770</v>
      </c>
      <c r="S573" t="inlineStr">
        <is>
          <t>Solio</t>
        </is>
      </c>
      <c r="U573" s="6" t="n">
        <v>85</v>
      </c>
      <c r="V573" s="2" t="n"/>
      <c r="W573" s="7">
        <f>IF(N(U573)&lt;=0,0,MIN(Assumptions!$B$15,N(R573)/N(U573)))</f>
        <v/>
      </c>
      <c r="X573" s="6" t="n">
        <v>0.143</v>
      </c>
      <c r="Y573" s="3" t="n"/>
      <c r="Z573" t="inlineStr"/>
      <c r="AA573" s="3" t="n">
        <v>1</v>
      </c>
      <c r="AB573" s="3" t="n"/>
      <c r="AC573" s="3" t="n"/>
      <c r="AD573" s="3" t="n"/>
      <c r="AE573" s="3" t="n"/>
      <c r="AF573" s="3" t="n">
        <v>0</v>
      </c>
      <c r="AG573" s="3" t="n"/>
      <c r="AH573" s="3" t="n"/>
      <c r="AI573" s="3" t="n">
        <v>3.9421</v>
      </c>
      <c r="AJ573" s="3" t="n">
        <v>1.99</v>
      </c>
      <c r="AK573" s="3" t="n">
        <v>-0.2160434166173144</v>
      </c>
      <c r="AL573" s="6" t="n">
        <v>0</v>
      </c>
      <c r="AM573" s="3" t="n">
        <v>0</v>
      </c>
      <c r="AN573" s="3" t="n">
        <v>0</v>
      </c>
      <c r="AO573" s="3" t="n">
        <v>0</v>
      </c>
      <c r="AP573" s="3">
        <f>N(X573)*N(BI573)</f>
        <v/>
      </c>
      <c r="AQ573" s="3" t="n">
        <v>0</v>
      </c>
      <c r="AR573" s="3" t="n">
        <v>0</v>
      </c>
      <c r="AS573" s="3" t="n">
        <v>-0</v>
      </c>
      <c r="AT573" s="3" t="n">
        <v>-0.2160434166173144</v>
      </c>
      <c r="AU573" s="3">
        <f>SUM(AN573:AT573)</f>
        <v/>
      </c>
      <c r="AV573" s="7">
        <f>IF(OR(N(W573)&lt;=0,N(BG573)=0),0,N(W573)*IF(N(R573)/N(W573)&gt;=60,N(BG573),1))</f>
        <v/>
      </c>
      <c r="AW573" s="7">
        <f>N(W573)*N(AF573)*N(BH573)</f>
        <v/>
      </c>
      <c r="AX573" s="7">
        <f>N(AL573)*(Assumptions!$B$13*N(BJ573)-(1-Assumptions!$B$13)*Assumptions!$B$14)+N(AM573)</f>
        <v/>
      </c>
      <c r="AY573" s="7">
        <f>N(AU573)*N(R573)/90+N(AV573)+N(AW573)+N(AX573)</f>
        <v/>
      </c>
      <c r="AZ573" s="3">
        <f>IF(N(R573)&lt;=0,0,(N(AY573)-N(AX573))*90/N(R573))</f>
        <v/>
      </c>
      <c r="BA573" s="7">
        <f>IFERROR(AY573-VLOOKUP($E573,Assumptions!$A$40:$C$43,3,FALSE),"")</f>
        <v/>
      </c>
      <c r="BB573" s="3">
        <f>IFERROR(BA573/H573,"")</f>
        <v/>
      </c>
      <c r="BC573">
        <f>IF(AND($G573=TRUE,$E573="GKP"),AY573,"")</f>
        <v/>
      </c>
      <c r="BD573">
        <f>IF(AND($G573=TRUE,$E573="DEF"),AY573,"")</f>
        <v/>
      </c>
      <c r="BE573">
        <f>IF(AND($G573=TRUE,$E573="MID"),AY573,"")</f>
        <v/>
      </c>
      <c r="BF573">
        <f>IF(AND($G573=TRUE,$E573="FWD"),AY573,"")</f>
        <v/>
      </c>
      <c r="BG573" t="n">
        <v>2</v>
      </c>
      <c r="BH573" t="n">
        <v>2</v>
      </c>
      <c r="BI573" t="n">
        <v>1</v>
      </c>
      <c r="BJ573" t="n">
        <v>5</v>
      </c>
    </row>
    <row r="574">
      <c r="A574" t="inlineStr">
        <is>
          <t>Hayden Hackney</t>
        </is>
      </c>
      <c r="B574" t="inlineStr">
        <is>
          <t>EVE</t>
        </is>
      </c>
      <c r="D574" t="b">
        <v>0</v>
      </c>
      <c r="E574" t="inlineStr">
        <is>
          <t>MID</t>
        </is>
      </c>
      <c r="G574" t="b">
        <v>1</v>
      </c>
      <c r="H574" s="2" t="n">
        <v>5.5</v>
      </c>
      <c r="I574" t="inlineStr">
        <is>
          <t>a</t>
        </is>
      </c>
      <c r="K574" s="2" t="n"/>
      <c r="M574" s="3" t="n">
        <v>1053</v>
      </c>
      <c r="N574" s="4" t="n">
        <v>1900</v>
      </c>
      <c r="O574" s="4" t="n">
        <v>847</v>
      </c>
      <c r="P574" s="5" t="inlineStr">
        <is>
          <t>medium</t>
        </is>
      </c>
      <c r="Q574" t="inlineStr">
        <is>
          <t>fade (losing his place)</t>
        </is>
      </c>
      <c r="R574" s="6" t="n">
        <v>1900</v>
      </c>
      <c r="S574" t="inlineStr">
        <is>
          <t>research</t>
        </is>
      </c>
      <c r="T574" s="5" t="inlineStr">
        <is>
          <t>The mirror image of the Nørgaard cut. Everton's biggest cash outlay of the summer at GBP 16.5m rising to about GBP 25m, and Read Everton's injury tracker on 14 August says he is 'being worked into regular rotation'. He started central midfield in both of the last two friendlies - alongside Dewsbury-Hall against Newcastle on 12 August and in the three against Lille on 15 August - while Garner was out and Nørgaard was not in the squad. Solio's 1,053 is a fringe number for a player who has started the run-in to the season.</t>
        </is>
      </c>
      <c r="U574" s="6" t="n">
        <v>85</v>
      </c>
      <c r="V574" s="2" t="n"/>
      <c r="W574" s="7">
        <f>IF(N(U574)&lt;=0,0,MIN(Assumptions!$B$15,N(R574)/N(U574)))</f>
        <v/>
      </c>
      <c r="X574" s="6" t="n">
        <v>0.231</v>
      </c>
      <c r="Y574" s="3" t="n"/>
      <c r="Z574" t="inlineStr"/>
      <c r="AA574" s="3" t="n">
        <v>1</v>
      </c>
      <c r="AB574" s="3" t="n"/>
      <c r="AC574" s="3" t="n"/>
      <c r="AD574" s="3" t="n"/>
      <c r="AE574" s="3" t="n"/>
      <c r="AF574" s="3" t="n">
        <v>0</v>
      </c>
      <c r="AG574" s="3" t="n"/>
      <c r="AH574" s="3" t="n"/>
      <c r="AI574" s="3" t="n">
        <v>3.0311</v>
      </c>
      <c r="AJ574" s="3" t="n">
        <v>1.5252</v>
      </c>
      <c r="AK574" s="3" t="n">
        <v>-0.2160434166173144</v>
      </c>
      <c r="AL574" s="6" t="n">
        <v>0</v>
      </c>
      <c r="AM574" s="3" t="n">
        <v>0</v>
      </c>
      <c r="AN574" s="3" t="n">
        <v>0</v>
      </c>
      <c r="AO574" s="3" t="n">
        <v>0</v>
      </c>
      <c r="AP574" s="3">
        <f>N(X574)*N(BI574)</f>
        <v/>
      </c>
      <c r="AQ574" s="3" t="n">
        <v>0</v>
      </c>
      <c r="AR574" s="3" t="n">
        <v>0</v>
      </c>
      <c r="AS574" s="3" t="n">
        <v>-0</v>
      </c>
      <c r="AT574" s="3" t="n">
        <v>-0.2160434166173144</v>
      </c>
      <c r="AU574" s="3">
        <f>SUM(AN574:AT574)</f>
        <v/>
      </c>
      <c r="AV574" s="7">
        <f>IF(OR(N(W574)&lt;=0,N(BG574)=0),0,N(W574)*IF(N(R574)/N(W574)&gt;=60,N(BG574),1))</f>
        <v/>
      </c>
      <c r="AW574" s="7">
        <f>N(W574)*N(AF574)*N(BH574)</f>
        <v/>
      </c>
      <c r="AX574" s="7">
        <f>N(AL574)*(Assumptions!$B$13*N(BJ574)-(1-Assumptions!$B$13)*Assumptions!$B$14)+N(AM574)</f>
        <v/>
      </c>
      <c r="AY574" s="7">
        <f>N(AU574)*N(R574)/90+N(AV574)+N(AW574)+N(AX574)</f>
        <v/>
      </c>
      <c r="AZ574" s="3">
        <f>IF(N(R574)&lt;=0,0,(N(AY574)-N(AX574))*90/N(R574))</f>
        <v/>
      </c>
      <c r="BA574" s="7">
        <f>IFERROR(AY574-VLOOKUP($E574,Assumptions!$A$40:$C$43,3,FALSE),"")</f>
        <v/>
      </c>
      <c r="BB574" s="3">
        <f>IFERROR(BA574/H574,"")</f>
        <v/>
      </c>
      <c r="BC574">
        <f>IF(AND($G574=TRUE,$E574="GKP"),AY574,"")</f>
        <v/>
      </c>
      <c r="BD574">
        <f>IF(AND($G574=TRUE,$E574="DEF"),AY574,"")</f>
        <v/>
      </c>
      <c r="BE574">
        <f>IF(AND($G574=TRUE,$E574="MID"),AY574,"")</f>
        <v/>
      </c>
      <c r="BF574">
        <f>IF(AND($G574=TRUE,$E574="FWD"),AY574,"")</f>
        <v/>
      </c>
      <c r="BG574" t="n">
        <v>2</v>
      </c>
      <c r="BH574" t="n">
        <v>2</v>
      </c>
      <c r="BI574" t="n">
        <v>1</v>
      </c>
      <c r="BJ574" t="n">
        <v>5</v>
      </c>
    </row>
    <row r="575">
      <c r="A575" t="inlineStr">
        <is>
          <t>Valentín Castellanos</t>
        </is>
      </c>
      <c r="C575" t="inlineStr">
        <is>
          <t>WHU</t>
        </is>
      </c>
      <c r="D575" t="b">
        <v>0</v>
      </c>
      <c r="F575" t="inlineStr">
        <is>
          <t>FWD</t>
        </is>
      </c>
      <c r="G575" t="b">
        <v>0</v>
      </c>
      <c r="H575" s="2" t="n"/>
      <c r="K575" s="2" t="n">
        <v>1395</v>
      </c>
      <c r="M575" s="3" t="n"/>
      <c r="N575" s="8" t="n">
        <v>1395</v>
      </c>
      <c r="O575" s="8" t="n">
        <v>0</v>
      </c>
      <c r="R575" s="6" t="n">
        <v>1395</v>
      </c>
      <c r="S575" t="inlineStr">
        <is>
          <t>25/26 actual</t>
        </is>
      </c>
      <c r="U575" s="6" t="n">
        <v>78</v>
      </c>
      <c r="V575" s="2" t="n">
        <v>17</v>
      </c>
      <c r="W575" s="7">
        <f>IF(N(U575)&lt;=0,0,MIN(Assumptions!$B$15,N(R575)/N(U575)))</f>
        <v/>
      </c>
      <c r="X575" s="6" t="n"/>
      <c r="Y575" s="3" t="n">
        <v>0.3858</v>
      </c>
      <c r="Z575" t="inlineStr">
        <is>
          <t>adjusted xGOT</t>
        </is>
      </c>
      <c r="AA575" s="3" t="n">
        <v>1</v>
      </c>
      <c r="AB575" s="3" t="n">
        <v>1.04</v>
      </c>
      <c r="AC575" s="3" t="n">
        <v>5.8</v>
      </c>
      <c r="AD575" s="3" t="n">
        <v>0.0482</v>
      </c>
      <c r="AE575" s="3" t="n">
        <v>4.677</v>
      </c>
      <c r="AF575" s="3" t="n">
        <v>0</v>
      </c>
      <c r="AG575" s="3" t="n">
        <v>0.3226</v>
      </c>
      <c r="AH575" s="3" t="n">
        <v>35</v>
      </c>
      <c r="AI575" s="3" t="n"/>
      <c r="AJ575" s="3" t="n"/>
      <c r="AK575" s="3" t="n"/>
      <c r="AL575" s="6" t="n">
        <v>0</v>
      </c>
      <c r="AM575" s="3" t="n">
        <v>0</v>
      </c>
      <c r="AN575" s="3" t="n">
        <v>0</v>
      </c>
      <c r="AO575" s="3" t="n">
        <v>0</v>
      </c>
      <c r="AP575" s="3">
        <f>N(X575)*N(BI575)</f>
        <v/>
      </c>
      <c r="AQ575" s="3" t="n">
        <v>0</v>
      </c>
      <c r="AR575" s="3" t="n">
        <v>0</v>
      </c>
      <c r="AS575" s="3" t="n">
        <v>0</v>
      </c>
      <c r="AT575" s="3" t="n">
        <v>0</v>
      </c>
      <c r="AU575" s="3">
        <f>SUM(AN575:AT575)</f>
        <v/>
      </c>
      <c r="AV575" s="7">
        <f>IF(OR(N(W575)&lt;=0,N(BG575)=0),0,N(W575)*IF(N(R575)/N(W575)&gt;=60,N(BG575),1))</f>
        <v/>
      </c>
      <c r="AW575" s="7">
        <f>N(W575)*N(AF575)*N(BH575)</f>
        <v/>
      </c>
      <c r="AX575" s="7">
        <f>N(AL575)*(Assumptions!$B$13*N(BJ575)-(1-Assumptions!$B$13)*Assumptions!$B$14)+N(AM575)</f>
        <v/>
      </c>
      <c r="AY575" s="7">
        <f>N(AU575)*N(R575)/90+N(AV575)+N(AW575)+N(AX575)</f>
        <v/>
      </c>
      <c r="AZ575" s="3">
        <f>IF(N(R575)&lt;=0,0,(N(AY575)-N(AX575))*90/N(R575))</f>
        <v/>
      </c>
      <c r="BA575" s="7">
        <f>IFERROR(AY575-VLOOKUP($E575,Assumptions!$A$40:$C$43,3,FALSE),"")</f>
        <v/>
      </c>
      <c r="BB575" s="3">
        <f>IFERROR(BA575/H575,"")</f>
        <v/>
      </c>
      <c r="BC575">
        <f>IF(AND($G575=TRUE,$E575="GKP"),AY575,"")</f>
        <v/>
      </c>
      <c r="BD575">
        <f>IF(AND($G575=TRUE,$E575="DEF"),AY575,"")</f>
        <v/>
      </c>
      <c r="BE575">
        <f>IF(AND($G575=TRUE,$E575="MID"),AY575,"")</f>
        <v/>
      </c>
      <c r="BF575">
        <f>IF(AND($G575=TRUE,$E575="FWD"),AY575,"")</f>
        <v/>
      </c>
      <c r="BG575" t="n">
        <v>0</v>
      </c>
      <c r="BH575" t="n">
        <v>0</v>
      </c>
      <c r="BI575" t="n">
        <v>0</v>
      </c>
      <c r="BJ575" t="n">
        <v>0</v>
      </c>
    </row>
    <row r="576">
      <c r="A576" t="inlineStr">
        <is>
          <t>Randal Kolo Muani</t>
        </is>
      </c>
      <c r="C576" t="inlineStr">
        <is>
          <t>TOT</t>
        </is>
      </c>
      <c r="D576" t="b">
        <v>0</v>
      </c>
      <c r="F576" t="inlineStr">
        <is>
          <t>FWD</t>
        </is>
      </c>
      <c r="G576" t="b">
        <v>0</v>
      </c>
      <c r="H576" s="2" t="n"/>
      <c r="K576" s="2" t="n">
        <v>1670</v>
      </c>
      <c r="M576" s="3" t="n"/>
      <c r="N576" s="8" t="n">
        <v>1670</v>
      </c>
      <c r="O576" s="8" t="n">
        <v>0</v>
      </c>
      <c r="R576" s="6" t="n">
        <v>1670</v>
      </c>
      <c r="S576" t="inlineStr">
        <is>
          <t>25/26 actual</t>
        </is>
      </c>
      <c r="U576" s="6" t="n">
        <v>71.8</v>
      </c>
      <c r="V576" s="2" t="n">
        <v>21</v>
      </c>
      <c r="W576" s="7">
        <f>IF(N(U576)&lt;=0,0,MIN(Assumptions!$B$15,N(R576)/N(U576)))</f>
        <v/>
      </c>
      <c r="X576" s="6" t="n"/>
      <c r="Y576" s="3" t="n">
        <v>0.1097</v>
      </c>
      <c r="Z576" t="inlineStr">
        <is>
          <t>adjusted xGOT</t>
        </is>
      </c>
      <c r="AA576" s="3" t="n">
        <v>1</v>
      </c>
      <c r="AB576" s="3" t="n">
        <v>0.983</v>
      </c>
      <c r="AC576" s="3" t="n">
        <v>2.1</v>
      </c>
      <c r="AD576" s="3" t="n">
        <v>0.09959999999999999</v>
      </c>
      <c r="AE576" s="3" t="n">
        <v>5.773</v>
      </c>
      <c r="AF576" s="3" t="n">
        <v>0</v>
      </c>
      <c r="AG576" s="3" t="n">
        <v>0.0539</v>
      </c>
      <c r="AH576" s="3" t="n">
        <v>47</v>
      </c>
      <c r="AI576" s="3" t="n"/>
      <c r="AJ576" s="3" t="n"/>
      <c r="AK576" s="3" t="n"/>
      <c r="AL576" s="6" t="n">
        <v>0</v>
      </c>
      <c r="AM576" s="3" t="n">
        <v>0</v>
      </c>
      <c r="AN576" s="3" t="n">
        <v>0</v>
      </c>
      <c r="AO576" s="3" t="n">
        <v>0</v>
      </c>
      <c r="AP576" s="3">
        <f>N(X576)*N(BI576)</f>
        <v/>
      </c>
      <c r="AQ576" s="3" t="n">
        <v>0</v>
      </c>
      <c r="AR576" s="3" t="n">
        <v>0</v>
      </c>
      <c r="AS576" s="3" t="n">
        <v>0</v>
      </c>
      <c r="AT576" s="3" t="n">
        <v>0</v>
      </c>
      <c r="AU576" s="3">
        <f>SUM(AN576:AT576)</f>
        <v/>
      </c>
      <c r="AV576" s="7">
        <f>IF(OR(N(W576)&lt;=0,N(BG576)=0),0,N(W576)*IF(N(R576)/N(W576)&gt;=60,N(BG576),1))</f>
        <v/>
      </c>
      <c r="AW576" s="7">
        <f>N(W576)*N(AF576)*N(BH576)</f>
        <v/>
      </c>
      <c r="AX576" s="7">
        <f>N(AL576)*(Assumptions!$B$13*N(BJ576)-(1-Assumptions!$B$13)*Assumptions!$B$14)+N(AM576)</f>
        <v/>
      </c>
      <c r="AY576" s="7">
        <f>N(AU576)*N(R576)/90+N(AV576)+N(AW576)+N(AX576)</f>
        <v/>
      </c>
      <c r="AZ576" s="3">
        <f>IF(N(R576)&lt;=0,0,(N(AY576)-N(AX576))*90/N(R576))</f>
        <v/>
      </c>
      <c r="BA576" s="7">
        <f>IFERROR(AY576-VLOOKUP($E576,Assumptions!$A$40:$C$43,3,FALSE),"")</f>
        <v/>
      </c>
      <c r="BB576" s="3">
        <f>IFERROR(BA576/H576,"")</f>
        <v/>
      </c>
      <c r="BC576">
        <f>IF(AND($G576=TRUE,$E576="GKP"),AY576,"")</f>
        <v/>
      </c>
      <c r="BD576">
        <f>IF(AND($G576=TRUE,$E576="DEF"),AY576,"")</f>
        <v/>
      </c>
      <c r="BE576">
        <f>IF(AND($G576=TRUE,$E576="MID"),AY576,"")</f>
        <v/>
      </c>
      <c r="BF576">
        <f>IF(AND($G576=TRUE,$E576="FWD"),AY576,"")</f>
        <v/>
      </c>
      <c r="BG576" t="n">
        <v>0</v>
      </c>
      <c r="BH576" t="n">
        <v>0</v>
      </c>
      <c r="BI576" t="n">
        <v>0</v>
      </c>
      <c r="BJ576" t="n">
        <v>0</v>
      </c>
    </row>
    <row r="577">
      <c r="A577" t="inlineStr">
        <is>
          <t>Lutsharel Geertruida</t>
        </is>
      </c>
      <c r="C577" t="inlineStr">
        <is>
          <t>SUN</t>
        </is>
      </c>
      <c r="D577" t="b">
        <v>0</v>
      </c>
      <c r="F577" t="inlineStr">
        <is>
          <t>DEF</t>
        </is>
      </c>
      <c r="G577" t="b">
        <v>0</v>
      </c>
      <c r="H577" s="2" t="n"/>
      <c r="K577" s="2" t="n">
        <v>1685</v>
      </c>
      <c r="M577" s="3" t="n"/>
      <c r="N577" s="8" t="n">
        <v>1685</v>
      </c>
      <c r="O577" s="8" t="n">
        <v>0</v>
      </c>
      <c r="R577" s="6" t="n">
        <v>1685</v>
      </c>
      <c r="S577" t="inlineStr">
        <is>
          <t>25/26 actual</t>
        </is>
      </c>
      <c r="U577" s="6" t="n">
        <v>86.40000000000001</v>
      </c>
      <c r="V577" s="2" t="n">
        <v>17</v>
      </c>
      <c r="W577" s="7">
        <f>IF(N(U577)&lt;=0,0,MIN(Assumptions!$B$15,N(R577)/N(U577)))</f>
        <v/>
      </c>
      <c r="X577" s="6" t="n"/>
      <c r="Y577" s="3" t="n">
        <v>0.0422</v>
      </c>
      <c r="Z577" t="inlineStr">
        <is>
          <t>adjusted xGOT</t>
        </is>
      </c>
      <c r="AA577" s="3" t="n">
        <v>1</v>
      </c>
      <c r="AB577" s="3" t="n">
        <v>1.001</v>
      </c>
      <c r="AC577" s="3" t="n">
        <v>0.8</v>
      </c>
      <c r="AD577" s="3" t="n">
        <v>0.0413</v>
      </c>
      <c r="AE577" s="3" t="n">
        <v>6.54</v>
      </c>
      <c r="AF577" s="3" t="n">
        <v>0</v>
      </c>
      <c r="AG577" s="3" t="n">
        <v>0</v>
      </c>
      <c r="AH577" s="3" t="n">
        <v>45</v>
      </c>
      <c r="AI577" s="3" t="n"/>
      <c r="AJ577" s="3" t="n"/>
      <c r="AK577" s="3" t="n"/>
      <c r="AL577" s="6" t="n">
        <v>0</v>
      </c>
      <c r="AM577" s="3" t="n">
        <v>0</v>
      </c>
      <c r="AN577" s="3" t="n">
        <v>0</v>
      </c>
      <c r="AO577" s="3" t="n">
        <v>0</v>
      </c>
      <c r="AP577" s="3">
        <f>N(X577)*N(BI577)</f>
        <v/>
      </c>
      <c r="AQ577" s="3" t="n">
        <v>0</v>
      </c>
      <c r="AR577" s="3" t="n">
        <v>0</v>
      </c>
      <c r="AS577" s="3" t="n">
        <v>0</v>
      </c>
      <c r="AT577" s="3" t="n">
        <v>0</v>
      </c>
      <c r="AU577" s="3">
        <f>SUM(AN577:AT577)</f>
        <v/>
      </c>
      <c r="AV577" s="7">
        <f>IF(OR(N(W577)&lt;=0,N(BG577)=0),0,N(W577)*IF(N(R577)/N(W577)&gt;=60,N(BG577),1))</f>
        <v/>
      </c>
      <c r="AW577" s="7">
        <f>N(W577)*N(AF577)*N(BH577)</f>
        <v/>
      </c>
      <c r="AX577" s="7">
        <f>N(AL577)*(Assumptions!$B$13*N(BJ577)-(1-Assumptions!$B$13)*Assumptions!$B$14)+N(AM577)</f>
        <v/>
      </c>
      <c r="AY577" s="7">
        <f>N(AU577)*N(R577)/90+N(AV577)+N(AW577)+N(AX577)</f>
        <v/>
      </c>
      <c r="AZ577" s="3">
        <f>IF(N(R577)&lt;=0,0,(N(AY577)-N(AX577))*90/N(R577))</f>
        <v/>
      </c>
      <c r="BA577" s="7">
        <f>IFERROR(AY577-VLOOKUP($E577,Assumptions!$A$40:$C$43,3,FALSE),"")</f>
        <v/>
      </c>
      <c r="BB577" s="3">
        <f>IFERROR(BA577/H577,"")</f>
        <v/>
      </c>
      <c r="BC577">
        <f>IF(AND($G577=TRUE,$E577="GKP"),AY577,"")</f>
        <v/>
      </c>
      <c r="BD577">
        <f>IF(AND($G577=TRUE,$E577="DEF"),AY577,"")</f>
        <v/>
      </c>
      <c r="BE577">
        <f>IF(AND($G577=TRUE,$E577="MID"),AY577,"")</f>
        <v/>
      </c>
      <c r="BF577">
        <f>IF(AND($G577=TRUE,$E577="FWD"),AY577,"")</f>
        <v/>
      </c>
      <c r="BG577" t="n">
        <v>0</v>
      </c>
      <c r="BH577" t="n">
        <v>0</v>
      </c>
      <c r="BI577" t="n">
        <v>0</v>
      </c>
      <c r="BJ577" t="n">
        <v>0</v>
      </c>
    </row>
    <row r="578">
      <c r="A578" t="inlineStr">
        <is>
          <t>Hamed Traoré</t>
        </is>
      </c>
      <c r="C578" t="inlineStr">
        <is>
          <t>BOU</t>
        </is>
      </c>
      <c r="D578" t="b">
        <v>0</v>
      </c>
      <c r="F578" t="inlineStr">
        <is>
          <t>MID</t>
        </is>
      </c>
      <c r="G578" t="b">
        <v>0</v>
      </c>
      <c r="H578" s="2" t="n"/>
      <c r="K578" s="2" t="n">
        <v>16</v>
      </c>
      <c r="M578" s="3" t="n"/>
      <c r="N578" s="8" t="n">
        <v>16</v>
      </c>
      <c r="O578" s="8" t="n">
        <v>0</v>
      </c>
      <c r="R578" s="6" t="n">
        <v>16</v>
      </c>
      <c r="S578" t="inlineStr">
        <is>
          <t>25/26 actual</t>
        </is>
      </c>
      <c r="U578" s="6" t="n">
        <v>80.09999999999999</v>
      </c>
      <c r="V578" s="2" t="n">
        <v>0</v>
      </c>
      <c r="W578" s="7">
        <f>IF(N(U578)&lt;=0,0,MIN(Assumptions!$B$15,N(R578)/N(U578)))</f>
        <v/>
      </c>
      <c r="X578" s="6" t="n"/>
      <c r="Y578" s="3" t="n">
        <v>0</v>
      </c>
      <c r="Z578" t="inlineStr">
        <is>
          <t>adjusted xGOT</t>
        </is>
      </c>
      <c r="AA578" s="3" t="n">
        <v>1</v>
      </c>
      <c r="AB578" s="3" t="n">
        <v>0.869</v>
      </c>
      <c r="AC578" s="3" t="n">
        <v>1.2</v>
      </c>
      <c r="AD578" s="3" t="n">
        <v>0.5377</v>
      </c>
      <c r="AE578" s="3" t="n">
        <v>8.880000000000001</v>
      </c>
      <c r="AF578" s="3" t="n">
        <v>0</v>
      </c>
      <c r="AG578" s="3" t="n">
        <v>0</v>
      </c>
      <c r="AH578" s="3" t="n">
        <v>1</v>
      </c>
      <c r="AI578" s="3" t="n"/>
      <c r="AJ578" s="3" t="n"/>
      <c r="AK578" s="3" t="n"/>
      <c r="AL578" s="6" t="n">
        <v>0</v>
      </c>
      <c r="AM578" s="3" t="n">
        <v>0</v>
      </c>
      <c r="AN578" s="3" t="n">
        <v>0</v>
      </c>
      <c r="AO578" s="3" t="n">
        <v>0</v>
      </c>
      <c r="AP578" s="3">
        <f>N(X578)*N(BI578)</f>
        <v/>
      </c>
      <c r="AQ578" s="3" t="n">
        <v>0</v>
      </c>
      <c r="AR578" s="3" t="n">
        <v>0</v>
      </c>
      <c r="AS578" s="3" t="n">
        <v>0</v>
      </c>
      <c r="AT578" s="3" t="n">
        <v>0</v>
      </c>
      <c r="AU578" s="3">
        <f>SUM(AN578:AT578)</f>
        <v/>
      </c>
      <c r="AV578" s="7">
        <f>IF(OR(N(W578)&lt;=0,N(BG578)=0),0,N(W578)*IF(N(R578)/N(W578)&gt;=60,N(BG578),1))</f>
        <v/>
      </c>
      <c r="AW578" s="7">
        <f>N(W578)*N(AF578)*N(BH578)</f>
        <v/>
      </c>
      <c r="AX578" s="7">
        <f>N(AL578)*(Assumptions!$B$13*N(BJ578)-(1-Assumptions!$B$13)*Assumptions!$B$14)+N(AM578)</f>
        <v/>
      </c>
      <c r="AY578" s="7">
        <f>N(AU578)*N(R578)/90+N(AV578)+N(AW578)+N(AX578)</f>
        <v/>
      </c>
      <c r="AZ578" s="3">
        <f>IF(N(R578)&lt;=0,0,(N(AY578)-N(AX578))*90/N(R578))</f>
        <v/>
      </c>
      <c r="BA578" s="7">
        <f>IFERROR(AY578-VLOOKUP($E578,Assumptions!$A$40:$C$43,3,FALSE),"")</f>
        <v/>
      </c>
      <c r="BB578" s="3">
        <f>IFERROR(BA578/H578,"")</f>
        <v/>
      </c>
      <c r="BC578">
        <f>IF(AND($G578=TRUE,$E578="GKP"),AY578,"")</f>
        <v/>
      </c>
      <c r="BD578">
        <f>IF(AND($G578=TRUE,$E578="DEF"),AY578,"")</f>
        <v/>
      </c>
      <c r="BE578">
        <f>IF(AND($G578=TRUE,$E578="MID"),AY578,"")</f>
        <v/>
      </c>
      <c r="BF578">
        <f>IF(AND($G578=TRUE,$E578="FWD"),AY578,"")</f>
        <v/>
      </c>
      <c r="BG578" t="n">
        <v>0</v>
      </c>
      <c r="BH578" t="n">
        <v>0</v>
      </c>
      <c r="BI578" t="n">
        <v>0</v>
      </c>
      <c r="BJ578" t="n">
        <v>0</v>
      </c>
    </row>
    <row r="579">
      <c r="A579" t="inlineStr">
        <is>
          <t>Sasa Kalajdzic</t>
        </is>
      </c>
      <c r="C579" t="inlineStr">
        <is>
          <t>WOL</t>
        </is>
      </c>
      <c r="D579" t="b">
        <v>0</v>
      </c>
      <c r="F579" t="inlineStr">
        <is>
          <t>FWD</t>
        </is>
      </c>
      <c r="G579" t="b">
        <v>0</v>
      </c>
      <c r="H579" s="2" t="n"/>
      <c r="K579" s="2" t="n">
        <v>14</v>
      </c>
      <c r="M579" s="3" t="n"/>
      <c r="N579" s="8" t="n">
        <v>14</v>
      </c>
      <c r="O579" s="8" t="n">
        <v>0</v>
      </c>
      <c r="R579" s="6" t="n">
        <v>14</v>
      </c>
      <c r="S579" t="inlineStr">
        <is>
          <t>25/26 actual</t>
        </is>
      </c>
      <c r="U579" s="6" t="n">
        <v>78.5</v>
      </c>
      <c r="V579" s="2" t="n">
        <v>0</v>
      </c>
      <c r="W579" s="7">
        <f>IF(N(U579)&lt;=0,0,MIN(Assumptions!$B$15,N(R579)/N(U579)))</f>
        <v/>
      </c>
      <c r="X579" s="6" t="n"/>
      <c r="Y579" s="3" t="n">
        <v>0</v>
      </c>
      <c r="Z579" t="inlineStr">
        <is>
          <t>adjusted xGOT</t>
        </is>
      </c>
      <c r="AA579" s="3" t="n">
        <v>1</v>
      </c>
      <c r="AB579" s="3" t="n">
        <v>1.034</v>
      </c>
      <c r="AC579" s="3" t="n">
        <v>1.3</v>
      </c>
      <c r="AD579" s="3" t="n">
        <v>0</v>
      </c>
      <c r="AE579" s="3" t="n">
        <v>4.947</v>
      </c>
      <c r="AF579" s="3" t="n">
        <v>0</v>
      </c>
      <c r="AG579" s="3" t="n">
        <v>0</v>
      </c>
      <c r="AH579" s="3" t="n">
        <v>1</v>
      </c>
      <c r="AI579" s="3" t="n"/>
      <c r="AJ579" s="3" t="n"/>
      <c r="AK579" s="3" t="n"/>
      <c r="AL579" s="6" t="n">
        <v>0</v>
      </c>
      <c r="AM579" s="3" t="n">
        <v>0</v>
      </c>
      <c r="AN579" s="3" t="n">
        <v>0</v>
      </c>
      <c r="AO579" s="3" t="n">
        <v>0</v>
      </c>
      <c r="AP579" s="3">
        <f>N(X579)*N(BI579)</f>
        <v/>
      </c>
      <c r="AQ579" s="3" t="n">
        <v>0</v>
      </c>
      <c r="AR579" s="3" t="n">
        <v>0</v>
      </c>
      <c r="AS579" s="3" t="n">
        <v>0</v>
      </c>
      <c r="AT579" s="3" t="n">
        <v>0</v>
      </c>
      <c r="AU579" s="3">
        <f>SUM(AN579:AT579)</f>
        <v/>
      </c>
      <c r="AV579" s="7">
        <f>IF(OR(N(W579)&lt;=0,N(BG579)=0),0,N(W579)*IF(N(R579)/N(W579)&gt;=60,N(BG579),1))</f>
        <v/>
      </c>
      <c r="AW579" s="7">
        <f>N(W579)*N(AF579)*N(BH579)</f>
        <v/>
      </c>
      <c r="AX579" s="7">
        <f>N(AL579)*(Assumptions!$B$13*N(BJ579)-(1-Assumptions!$B$13)*Assumptions!$B$14)+N(AM579)</f>
        <v/>
      </c>
      <c r="AY579" s="7">
        <f>N(AU579)*N(R579)/90+N(AV579)+N(AW579)+N(AX579)</f>
        <v/>
      </c>
      <c r="AZ579" s="3">
        <f>IF(N(R579)&lt;=0,0,(N(AY579)-N(AX579))*90/N(R579))</f>
        <v/>
      </c>
      <c r="BA579" s="7">
        <f>IFERROR(AY579-VLOOKUP($E579,Assumptions!$A$40:$C$43,3,FALSE),"")</f>
        <v/>
      </c>
      <c r="BB579" s="3">
        <f>IFERROR(BA579/H579,"")</f>
        <v/>
      </c>
      <c r="BC579">
        <f>IF(AND($G579=TRUE,$E579="GKP"),AY579,"")</f>
        <v/>
      </c>
      <c r="BD579">
        <f>IF(AND($G579=TRUE,$E579="DEF"),AY579,"")</f>
        <v/>
      </c>
      <c r="BE579">
        <f>IF(AND($G579=TRUE,$E579="MID"),AY579,"")</f>
        <v/>
      </c>
      <c r="BF579">
        <f>IF(AND($G579=TRUE,$E579="FWD"),AY579,"")</f>
        <v/>
      </c>
      <c r="BG579" t="n">
        <v>0</v>
      </c>
      <c r="BH579" t="n">
        <v>0</v>
      </c>
      <c r="BI579" t="n">
        <v>0</v>
      </c>
      <c r="BJ579" t="n">
        <v>0</v>
      </c>
    </row>
    <row r="580">
      <c r="A580" t="inlineStr">
        <is>
          <t>Ladislav Krejcí</t>
        </is>
      </c>
      <c r="C580" t="inlineStr">
        <is>
          <t>WOL</t>
        </is>
      </c>
      <c r="D580" t="b">
        <v>0</v>
      </c>
      <c r="F580" t="inlineStr">
        <is>
          <t>DEF</t>
        </is>
      </c>
      <c r="G580" t="b">
        <v>0</v>
      </c>
      <c r="H580" s="2" t="n"/>
      <c r="K580" s="2" t="n">
        <v>2361</v>
      </c>
      <c r="M580" s="3" t="n"/>
      <c r="N580" s="8" t="n">
        <v>2361</v>
      </c>
      <c r="O580" s="8" t="n">
        <v>0</v>
      </c>
      <c r="R580" s="6" t="n">
        <v>2361</v>
      </c>
      <c r="S580" t="inlineStr">
        <is>
          <t>25/26 actual</t>
        </is>
      </c>
      <c r="U580" s="6" t="n">
        <v>86.2</v>
      </c>
      <c r="V580" s="2" t="n">
        <v>26</v>
      </c>
      <c r="W580" s="7">
        <f>IF(N(U580)&lt;=0,0,MIN(Assumptions!$B$15,N(R580)/N(U580)))</f>
        <v/>
      </c>
      <c r="X580" s="6" t="n"/>
      <c r="Y580" s="3" t="n">
        <v>0.0897</v>
      </c>
      <c r="Z580" t="inlineStr">
        <is>
          <t>adjusted xGOT</t>
        </is>
      </c>
      <c r="AA580" s="3" t="n">
        <v>1</v>
      </c>
      <c r="AB580" s="3" t="n">
        <v>1.056</v>
      </c>
      <c r="AC580" s="3" t="n">
        <v>2.2</v>
      </c>
      <c r="AD580" s="3" t="n">
        <v>0.0568</v>
      </c>
      <c r="AE580" s="3" t="n">
        <v>7.563</v>
      </c>
      <c r="AF580" s="3" t="n">
        <v>0</v>
      </c>
      <c r="AG580" s="3" t="n">
        <v>0</v>
      </c>
      <c r="AH580" s="3" t="n">
        <v>55</v>
      </c>
      <c r="AI580" s="3" t="n"/>
      <c r="AJ580" s="3" t="n"/>
      <c r="AK580" s="3" t="n"/>
      <c r="AL580" s="6" t="n">
        <v>0</v>
      </c>
      <c r="AM580" s="3" t="n">
        <v>0</v>
      </c>
      <c r="AN580" s="3" t="n">
        <v>0</v>
      </c>
      <c r="AO580" s="3" t="n">
        <v>0</v>
      </c>
      <c r="AP580" s="3">
        <f>N(X580)*N(BI580)</f>
        <v/>
      </c>
      <c r="AQ580" s="3" t="n">
        <v>0</v>
      </c>
      <c r="AR580" s="3" t="n">
        <v>0</v>
      </c>
      <c r="AS580" s="3" t="n">
        <v>0</v>
      </c>
      <c r="AT580" s="3" t="n">
        <v>0</v>
      </c>
      <c r="AU580" s="3">
        <f>SUM(AN580:AT580)</f>
        <v/>
      </c>
      <c r="AV580" s="7">
        <f>IF(OR(N(W580)&lt;=0,N(BG580)=0),0,N(W580)*IF(N(R580)/N(W580)&gt;=60,N(BG580),1))</f>
        <v/>
      </c>
      <c r="AW580" s="7">
        <f>N(W580)*N(AF580)*N(BH580)</f>
        <v/>
      </c>
      <c r="AX580" s="7">
        <f>N(AL580)*(Assumptions!$B$13*N(BJ580)-(1-Assumptions!$B$13)*Assumptions!$B$14)+N(AM580)</f>
        <v/>
      </c>
      <c r="AY580" s="7">
        <f>N(AU580)*N(R580)/90+N(AV580)+N(AW580)+N(AX580)</f>
        <v/>
      </c>
      <c r="AZ580" s="3">
        <f>IF(N(R580)&lt;=0,0,(N(AY580)-N(AX580))*90/N(R580))</f>
        <v/>
      </c>
      <c r="BA580" s="7">
        <f>IFERROR(AY580-VLOOKUP($E580,Assumptions!$A$40:$C$43,3,FALSE),"")</f>
        <v/>
      </c>
      <c r="BB580" s="3">
        <f>IFERROR(BA580/H580,"")</f>
        <v/>
      </c>
      <c r="BC580">
        <f>IF(AND($G580=TRUE,$E580="GKP"),AY580,"")</f>
        <v/>
      </c>
      <c r="BD580">
        <f>IF(AND($G580=TRUE,$E580="DEF"),AY580,"")</f>
        <v/>
      </c>
      <c r="BE580">
        <f>IF(AND($G580=TRUE,$E580="MID"),AY580,"")</f>
        <v/>
      </c>
      <c r="BF580">
        <f>IF(AND($G580=TRUE,$E580="FWD"),AY580,"")</f>
        <v/>
      </c>
      <c r="BG580" t="n">
        <v>0</v>
      </c>
      <c r="BH580" t="n">
        <v>0</v>
      </c>
      <c r="BI580" t="n">
        <v>0</v>
      </c>
      <c r="BJ580" t="n">
        <v>0</v>
      </c>
    </row>
    <row r="581">
      <c r="A581" t="inlineStr">
        <is>
          <t>Zian Flemming</t>
        </is>
      </c>
      <c r="C581" t="inlineStr">
        <is>
          <t>BUR</t>
        </is>
      </c>
      <c r="D581" t="b">
        <v>0</v>
      </c>
      <c r="F581" t="inlineStr">
        <is>
          <t>FWD</t>
        </is>
      </c>
      <c r="G581" t="b">
        <v>0</v>
      </c>
      <c r="H581" s="2" t="n"/>
      <c r="K581" s="2" t="n">
        <v>1776</v>
      </c>
      <c r="M581" s="3" t="n"/>
      <c r="N581" s="8" t="n">
        <v>1776</v>
      </c>
      <c r="O581" s="8" t="n">
        <v>0</v>
      </c>
      <c r="R581" s="6" t="n">
        <v>1776</v>
      </c>
      <c r="S581" t="inlineStr">
        <is>
          <t>25/26 actual</t>
        </is>
      </c>
      <c r="U581" s="6" t="n">
        <v>79.2</v>
      </c>
      <c r="V581" s="2" t="n">
        <v>21</v>
      </c>
      <c r="W581" s="7">
        <f>IF(N(U581)&lt;=0,0,MIN(Assumptions!$B$15,N(R581)/N(U581)))</f>
        <v/>
      </c>
      <c r="X581" s="6" t="n"/>
      <c r="Y581" s="3" t="n">
        <v>0.3331</v>
      </c>
      <c r="Z581" t="inlineStr">
        <is>
          <t>adjusted xGOT</t>
        </is>
      </c>
      <c r="AA581" s="3" t="n">
        <v>0.841</v>
      </c>
      <c r="AB581" s="3" t="n">
        <v>0.985</v>
      </c>
      <c r="AC581" s="3" t="n">
        <v>7.9</v>
      </c>
      <c r="AD581" s="3" t="n">
        <v>0.0347</v>
      </c>
      <c r="AE581" s="3" t="n">
        <v>4.976</v>
      </c>
      <c r="AF581" s="3" t="n">
        <v>0</v>
      </c>
      <c r="AG581" s="3" t="n">
        <v>0.5574</v>
      </c>
      <c r="AH581" s="3" t="n">
        <v>49</v>
      </c>
      <c r="AI581" s="3" t="n"/>
      <c r="AJ581" s="3" t="n"/>
      <c r="AK581" s="3" t="n"/>
      <c r="AL581" s="6" t="n">
        <v>0</v>
      </c>
      <c r="AM581" s="3" t="n">
        <v>0</v>
      </c>
      <c r="AN581" s="3" t="n">
        <v>0</v>
      </c>
      <c r="AO581" s="3" t="n">
        <v>0</v>
      </c>
      <c r="AP581" s="3">
        <f>N(X581)*N(BI581)</f>
        <v/>
      </c>
      <c r="AQ581" s="3" t="n">
        <v>0</v>
      </c>
      <c r="AR581" s="3" t="n">
        <v>0</v>
      </c>
      <c r="AS581" s="3" t="n">
        <v>0</v>
      </c>
      <c r="AT581" s="3" t="n">
        <v>0</v>
      </c>
      <c r="AU581" s="3">
        <f>SUM(AN581:AT581)</f>
        <v/>
      </c>
      <c r="AV581" s="7">
        <f>IF(OR(N(W581)&lt;=0,N(BG581)=0),0,N(W581)*IF(N(R581)/N(W581)&gt;=60,N(BG581),1))</f>
        <v/>
      </c>
      <c r="AW581" s="7">
        <f>N(W581)*N(AF581)*N(BH581)</f>
        <v/>
      </c>
      <c r="AX581" s="7">
        <f>N(AL581)*(Assumptions!$B$13*N(BJ581)-(1-Assumptions!$B$13)*Assumptions!$B$14)+N(AM581)</f>
        <v/>
      </c>
      <c r="AY581" s="7">
        <f>N(AU581)*N(R581)/90+N(AV581)+N(AW581)+N(AX581)</f>
        <v/>
      </c>
      <c r="AZ581" s="3">
        <f>IF(N(R581)&lt;=0,0,(N(AY581)-N(AX581))*90/N(R581))</f>
        <v/>
      </c>
      <c r="BA581" s="7">
        <f>IFERROR(AY581-VLOOKUP($E581,Assumptions!$A$40:$C$43,3,FALSE),"")</f>
        <v/>
      </c>
      <c r="BB581" s="3">
        <f>IFERROR(BA581/H581,"")</f>
        <v/>
      </c>
      <c r="BC581">
        <f>IF(AND($G581=TRUE,$E581="GKP"),AY581,"")</f>
        <v/>
      </c>
      <c r="BD581">
        <f>IF(AND($G581=TRUE,$E581="DEF"),AY581,"")</f>
        <v/>
      </c>
      <c r="BE581">
        <f>IF(AND($G581=TRUE,$E581="MID"),AY581,"")</f>
        <v/>
      </c>
      <c r="BF581">
        <f>IF(AND($G581=TRUE,$E581="FWD"),AY581,"")</f>
        <v/>
      </c>
      <c r="BG581" t="n">
        <v>0</v>
      </c>
      <c r="BH581" t="n">
        <v>0</v>
      </c>
      <c r="BI581" t="n">
        <v>0</v>
      </c>
      <c r="BJ581" t="n">
        <v>0</v>
      </c>
    </row>
    <row r="582">
      <c r="A582" t="inlineStr">
        <is>
          <t>Vitezslav Jaros</t>
        </is>
      </c>
      <c r="B582" t="inlineStr">
        <is>
          <t>LIV</t>
        </is>
      </c>
      <c r="D582" t="b">
        <v>0</v>
      </c>
      <c r="E582" t="inlineStr">
        <is>
          <t>GKP</t>
        </is>
      </c>
      <c r="G582" t="b">
        <v>1</v>
      </c>
      <c r="H582" s="2" t="n">
        <v>4</v>
      </c>
      <c r="I582" t="inlineStr">
        <is>
          <t>i</t>
        </is>
      </c>
      <c r="J582" t="inlineStr">
        <is>
          <t>Knee injury - Unknown return date</t>
        </is>
      </c>
      <c r="K582" s="2" t="n"/>
      <c r="M582" s="3" t="n">
        <v>0</v>
      </c>
      <c r="N582" s="8" t="n">
        <v>0</v>
      </c>
      <c r="O582" s="8" t="n">
        <v>0</v>
      </c>
      <c r="Q582" t="inlineStr">
        <is>
          <t>flat</t>
        </is>
      </c>
      <c r="R582" s="6" t="n">
        <v>0</v>
      </c>
      <c r="S582" t="inlineStr">
        <is>
          <t>Solio</t>
        </is>
      </c>
      <c r="U582" s="6" t="n">
        <v>85</v>
      </c>
      <c r="V582" s="2" t="n"/>
      <c r="W582" s="7">
        <f>IF(N(U582)&lt;=0,0,MIN(Assumptions!$B$15,N(R582)/N(U582)))</f>
        <v/>
      </c>
      <c r="X582" s="6" t="n">
        <v>0.342</v>
      </c>
      <c r="Y582" s="3" t="n"/>
      <c r="Z582" t="inlineStr"/>
      <c r="AA582" s="3" t="n">
        <v>1</v>
      </c>
      <c r="AB582" s="3" t="n"/>
      <c r="AC582" s="3" t="n"/>
      <c r="AD582" s="3" t="n"/>
      <c r="AE582" s="3" t="n">
        <v>0</v>
      </c>
      <c r="AF582" s="3" t="n">
        <v>0</v>
      </c>
      <c r="AG582" s="3" t="n"/>
      <c r="AH582" s="3" t="n"/>
      <c r="AI582" s="3" t="n">
        <v>2.409</v>
      </c>
      <c r="AJ582" s="3" t="n">
        <v>1.1228</v>
      </c>
      <c r="AK582" s="3" t="n">
        <v>-0.0759869441214969</v>
      </c>
      <c r="AL582" s="6" t="n">
        <v>0</v>
      </c>
      <c r="AM582" s="3" t="n">
        <v>0</v>
      </c>
      <c r="AN582" s="3" t="n">
        <v>0</v>
      </c>
      <c r="AO582" s="3" t="n">
        <v>0</v>
      </c>
      <c r="AP582" s="3">
        <f>N(X582)*N(BI582)</f>
        <v/>
      </c>
      <c r="AQ582" s="3" t="n">
        <v>0</v>
      </c>
      <c r="AR582" s="3" t="n">
        <v>0.4697511244203511</v>
      </c>
      <c r="AS582" s="3" t="n">
        <v>-0.3378660007281162</v>
      </c>
      <c r="AT582" s="3" t="n">
        <v>-0.0759869441214969</v>
      </c>
      <c r="AU582" s="3">
        <f>SUM(AN582:AT582)</f>
        <v/>
      </c>
      <c r="AV582" s="7">
        <f>IF(OR(N(W582)&lt;=0,N(BG582)=0),0,N(W582)*IF(N(R582)/N(W582)&gt;=60,N(BG582),1))</f>
        <v/>
      </c>
      <c r="AW582" s="7">
        <f>N(W582)*N(AF582)*N(BH582)</f>
        <v/>
      </c>
      <c r="AX582" s="7">
        <f>N(AL582)*(Assumptions!$B$13*N(BJ582)-(1-Assumptions!$B$13)*Assumptions!$B$14)+N(AM582)</f>
        <v/>
      </c>
      <c r="AY582" s="7">
        <f>N(AU582)*N(R582)/90+N(AV582)+N(AW582)+N(AX582)</f>
        <v/>
      </c>
      <c r="AZ582" s="3">
        <f>IF(N(R582)&lt;=0,0,(N(AY582)-N(AX582))*90/N(R582))</f>
        <v/>
      </c>
      <c r="BA582" s="7">
        <f>IFERROR(AY582-VLOOKUP($E582,Assumptions!$A$40:$C$43,3,FALSE),"")</f>
        <v/>
      </c>
      <c r="BB582" s="3">
        <f>IFERROR(BA582/H582,"")</f>
        <v/>
      </c>
      <c r="BC582">
        <f>IF(AND($G582=TRUE,$E582="GKP"),AY582,"")</f>
        <v/>
      </c>
      <c r="BD582">
        <f>IF(AND($G582=TRUE,$E582="DEF"),AY582,"")</f>
        <v/>
      </c>
      <c r="BE582">
        <f>IF(AND($G582=TRUE,$E582="MID"),AY582,"")</f>
        <v/>
      </c>
      <c r="BF582">
        <f>IF(AND($G582=TRUE,$E582="FWD"),AY582,"")</f>
        <v/>
      </c>
      <c r="BG582" t="n">
        <v>2</v>
      </c>
      <c r="BH582" t="n">
        <v>0</v>
      </c>
      <c r="BI582" t="n">
        <v>4</v>
      </c>
      <c r="BJ582" t="n">
        <v>10</v>
      </c>
    </row>
    <row r="583">
      <c r="A583" t="inlineStr">
        <is>
          <t>Marshall Munetsi</t>
        </is>
      </c>
      <c r="C583" t="inlineStr">
        <is>
          <t>WOL</t>
        </is>
      </c>
      <c r="D583" t="b">
        <v>0</v>
      </c>
      <c r="F583" t="inlineStr">
        <is>
          <t>MID</t>
        </is>
      </c>
      <c r="G583" t="b">
        <v>0</v>
      </c>
      <c r="H583" s="2" t="n"/>
      <c r="K583" s="2" t="n">
        <v>873</v>
      </c>
      <c r="M583" s="3" t="n"/>
      <c r="N583" s="8" t="n">
        <v>873</v>
      </c>
      <c r="O583" s="8" t="n">
        <v>0</v>
      </c>
      <c r="R583" s="6" t="n">
        <v>873</v>
      </c>
      <c r="S583" t="inlineStr">
        <is>
          <t>25/26 actual</t>
        </is>
      </c>
      <c r="U583" s="6" t="n">
        <v>83.09999999999999</v>
      </c>
      <c r="V583" s="2" t="n">
        <v>9</v>
      </c>
      <c r="W583" s="7">
        <f>IF(N(U583)&lt;=0,0,MIN(Assumptions!$B$15,N(R583)/N(U583)))</f>
        <v/>
      </c>
      <c r="X583" s="6" t="n"/>
      <c r="Y583" s="3" t="n">
        <v>0.1618</v>
      </c>
      <c r="Z583" t="inlineStr">
        <is>
          <t>adjusted xGOT</t>
        </is>
      </c>
      <c r="AA583" s="3" t="n">
        <v>1</v>
      </c>
      <c r="AB583" s="3" t="n">
        <v>0.957</v>
      </c>
      <c r="AC583" s="3" t="n">
        <v>5</v>
      </c>
      <c r="AD583" s="3" t="n">
        <v>0.0393</v>
      </c>
      <c r="AE583" s="3" t="n">
        <v>8.401999999999999</v>
      </c>
      <c r="AF583" s="3" t="n">
        <v>0</v>
      </c>
      <c r="AG583" s="3" t="n">
        <v>0.1031</v>
      </c>
      <c r="AH583" s="3" t="n">
        <v>22</v>
      </c>
      <c r="AI583" s="3" t="n"/>
      <c r="AJ583" s="3" t="n"/>
      <c r="AK583" s="3" t="n"/>
      <c r="AL583" s="6" t="n">
        <v>0</v>
      </c>
      <c r="AM583" s="3" t="n">
        <v>0</v>
      </c>
      <c r="AN583" s="3" t="n">
        <v>0</v>
      </c>
      <c r="AO583" s="3" t="n">
        <v>0</v>
      </c>
      <c r="AP583" s="3">
        <f>N(X583)*N(BI583)</f>
        <v/>
      </c>
      <c r="AQ583" s="3" t="n">
        <v>0</v>
      </c>
      <c r="AR583" s="3" t="n">
        <v>0</v>
      </c>
      <c r="AS583" s="3" t="n">
        <v>0</v>
      </c>
      <c r="AT583" s="3" t="n">
        <v>0</v>
      </c>
      <c r="AU583" s="3">
        <f>SUM(AN583:AT583)</f>
        <v/>
      </c>
      <c r="AV583" s="7">
        <f>IF(OR(N(W583)&lt;=0,N(BG583)=0),0,N(W583)*IF(N(R583)/N(W583)&gt;=60,N(BG583),1))</f>
        <v/>
      </c>
      <c r="AW583" s="7">
        <f>N(W583)*N(AF583)*N(BH583)</f>
        <v/>
      </c>
      <c r="AX583" s="7">
        <f>N(AL583)*(Assumptions!$B$13*N(BJ583)-(1-Assumptions!$B$13)*Assumptions!$B$14)+N(AM583)</f>
        <v/>
      </c>
      <c r="AY583" s="7">
        <f>N(AU583)*N(R583)/90+N(AV583)+N(AW583)+N(AX583)</f>
        <v/>
      </c>
      <c r="AZ583" s="3">
        <f>IF(N(R583)&lt;=0,0,(N(AY583)-N(AX583))*90/N(R583))</f>
        <v/>
      </c>
      <c r="BA583" s="7">
        <f>IFERROR(AY583-VLOOKUP($E583,Assumptions!$A$40:$C$43,3,FALSE),"")</f>
        <v/>
      </c>
      <c r="BB583" s="3">
        <f>IFERROR(BA583/H583,"")</f>
        <v/>
      </c>
      <c r="BC583">
        <f>IF(AND($G583=TRUE,$E583="GKP"),AY583,"")</f>
        <v/>
      </c>
      <c r="BD583">
        <f>IF(AND($G583=TRUE,$E583="DEF"),AY583,"")</f>
        <v/>
      </c>
      <c r="BE583">
        <f>IF(AND($G583=TRUE,$E583="MID"),AY583,"")</f>
        <v/>
      </c>
      <c r="BF583">
        <f>IF(AND($G583=TRUE,$E583="FWD"),AY583,"")</f>
        <v/>
      </c>
      <c r="BG583" t="n">
        <v>0</v>
      </c>
      <c r="BH583" t="n">
        <v>0</v>
      </c>
      <c r="BI583" t="n">
        <v>0</v>
      </c>
      <c r="BJ583" t="n">
        <v>0</v>
      </c>
    </row>
    <row r="584">
      <c r="A584" t="inlineStr">
        <is>
          <t>Cody Drameh</t>
        </is>
      </c>
      <c r="B584" t="inlineStr">
        <is>
          <t>HUL</t>
        </is>
      </c>
      <c r="D584" t="b">
        <v>0</v>
      </c>
      <c r="E584" t="inlineStr">
        <is>
          <t>DEF</t>
        </is>
      </c>
      <c r="G584" t="b">
        <v>1</v>
      </c>
      <c r="H584" s="2" t="n">
        <v>4</v>
      </c>
      <c r="I584" t="inlineStr">
        <is>
          <t>i</t>
        </is>
      </c>
      <c r="J584" t="inlineStr">
        <is>
          <t>Hamstring injury - Expected back 29 Aug</t>
        </is>
      </c>
      <c r="K584" s="2" t="n"/>
      <c r="M584" s="3" t="n">
        <v>619</v>
      </c>
      <c r="N584" s="8" t="n">
        <v>619</v>
      </c>
      <c r="O584" s="8" t="n">
        <v>0</v>
      </c>
      <c r="Q584" t="inlineStr">
        <is>
          <t>flat</t>
        </is>
      </c>
      <c r="R584" s="6" t="n">
        <v>619</v>
      </c>
      <c r="S584" t="inlineStr">
        <is>
          <t>Solio</t>
        </is>
      </c>
      <c r="U584" s="6" t="n">
        <v>85</v>
      </c>
      <c r="V584" s="2" t="n"/>
      <c r="W584" s="7">
        <f>IF(N(U584)&lt;=0,0,MIN(Assumptions!$B$15,N(R584)/N(U584)))</f>
        <v/>
      </c>
      <c r="X584" s="6" t="n">
        <v>0.143</v>
      </c>
      <c r="Y584" s="3" t="n"/>
      <c r="Z584" t="inlineStr"/>
      <c r="AA584" s="3" t="n">
        <v>1</v>
      </c>
      <c r="AB584" s="3" t="n"/>
      <c r="AC584" s="3" t="n"/>
      <c r="AD584" s="3" t="n"/>
      <c r="AE584" s="3" t="n"/>
      <c r="AF584" s="3" t="n">
        <v>0</v>
      </c>
      <c r="AG584" s="3" t="n"/>
      <c r="AH584" s="3" t="n"/>
      <c r="AI584" s="3" t="n">
        <v>3.9421</v>
      </c>
      <c r="AJ584" s="3" t="n">
        <v>1.99</v>
      </c>
      <c r="AK584" s="3" t="n">
        <v>-0.2045226422080557</v>
      </c>
      <c r="AL584" s="6" t="n">
        <v>0</v>
      </c>
      <c r="AM584" s="3" t="n">
        <v>0</v>
      </c>
      <c r="AN584" s="3" t="n">
        <v>0</v>
      </c>
      <c r="AO584" s="3" t="n">
        <v>0</v>
      </c>
      <c r="AP584" s="3">
        <f>N(X584)*N(BI584)</f>
        <v/>
      </c>
      <c r="AQ584" s="3" t="n">
        <v>0</v>
      </c>
      <c r="AR584" s="3" t="n">
        <v>0</v>
      </c>
      <c r="AS584" s="3" t="n">
        <v>-0.7496714098286652</v>
      </c>
      <c r="AT584" s="3" t="n">
        <v>-0.2045226422080557</v>
      </c>
      <c r="AU584" s="3">
        <f>SUM(AN584:AT584)</f>
        <v/>
      </c>
      <c r="AV584" s="7">
        <f>IF(OR(N(W584)&lt;=0,N(BG584)=0),0,N(W584)*IF(N(R584)/N(W584)&gt;=60,N(BG584),1))</f>
        <v/>
      </c>
      <c r="AW584" s="7">
        <f>N(W584)*N(AF584)*N(BH584)</f>
        <v/>
      </c>
      <c r="AX584" s="7">
        <f>N(AL584)*(Assumptions!$B$13*N(BJ584)-(1-Assumptions!$B$13)*Assumptions!$B$14)+N(AM584)</f>
        <v/>
      </c>
      <c r="AY584" s="7">
        <f>N(AU584)*N(R584)/90+N(AV584)+N(AW584)+N(AX584)</f>
        <v/>
      </c>
      <c r="AZ584" s="3">
        <f>IF(N(R584)&lt;=0,0,(N(AY584)-N(AX584))*90/N(R584))</f>
        <v/>
      </c>
      <c r="BA584" s="7">
        <f>IFERROR(AY584-VLOOKUP($E584,Assumptions!$A$40:$C$43,3,FALSE),"")</f>
        <v/>
      </c>
      <c r="BB584" s="3">
        <f>IFERROR(BA584/H584,"")</f>
        <v/>
      </c>
      <c r="BC584">
        <f>IF(AND($G584=TRUE,$E584="GKP"),AY584,"")</f>
        <v/>
      </c>
      <c r="BD584">
        <f>IF(AND($G584=TRUE,$E584="DEF"),AY584,"")</f>
        <v/>
      </c>
      <c r="BE584">
        <f>IF(AND($G584=TRUE,$E584="MID"),AY584,"")</f>
        <v/>
      </c>
      <c r="BF584">
        <f>IF(AND($G584=TRUE,$E584="FWD"),AY584,"")</f>
        <v/>
      </c>
      <c r="BG584" t="n">
        <v>2</v>
      </c>
      <c r="BH584" t="n">
        <v>2</v>
      </c>
      <c r="BI584" t="n">
        <v>4</v>
      </c>
      <c r="BJ584" t="n">
        <v>6</v>
      </c>
    </row>
    <row r="585">
      <c r="A585" t="inlineStr">
        <is>
          <t>Lyle Foster</t>
        </is>
      </c>
      <c r="C585" t="inlineStr">
        <is>
          <t>BUR</t>
        </is>
      </c>
      <c r="D585" t="b">
        <v>0</v>
      </c>
      <c r="F585" t="inlineStr">
        <is>
          <t>FWD</t>
        </is>
      </c>
      <c r="G585" t="b">
        <v>0</v>
      </c>
      <c r="H585" s="2" t="n"/>
      <c r="K585" s="2" t="n">
        <v>1372</v>
      </c>
      <c r="M585" s="3" t="n"/>
      <c r="N585" s="8" t="n">
        <v>1372</v>
      </c>
      <c r="O585" s="8" t="n">
        <v>0</v>
      </c>
      <c r="R585" s="6" t="n">
        <v>1372</v>
      </c>
      <c r="S585" t="inlineStr">
        <is>
          <t>25/26 actual</t>
        </is>
      </c>
      <c r="U585" s="6" t="n">
        <v>76.59999999999999</v>
      </c>
      <c r="V585" s="2" t="n">
        <v>15</v>
      </c>
      <c r="W585" s="7">
        <f>IF(N(U585)&lt;=0,0,MIN(Assumptions!$B$15,N(R585)/N(U585)))</f>
        <v/>
      </c>
      <c r="X585" s="6" t="n"/>
      <c r="Y585" s="3" t="n">
        <v>0.2373</v>
      </c>
      <c r="Z585" t="inlineStr">
        <is>
          <t>adjusted xGOT</t>
        </is>
      </c>
      <c r="AA585" s="3" t="n">
        <v>1</v>
      </c>
      <c r="AB585" s="3" t="n">
        <v>1.123</v>
      </c>
      <c r="AC585" s="3" t="n">
        <v>7.6</v>
      </c>
      <c r="AD585" s="3" t="n">
        <v>0.0752</v>
      </c>
      <c r="AE585" s="3" t="n">
        <v>5.334</v>
      </c>
      <c r="AF585" s="3" t="n">
        <v>0</v>
      </c>
      <c r="AG585" s="3" t="n">
        <v>0.2624</v>
      </c>
      <c r="AH585" s="3" t="n">
        <v>40</v>
      </c>
      <c r="AI585" s="3" t="n"/>
      <c r="AJ585" s="3" t="n"/>
      <c r="AK585" s="3" t="n"/>
      <c r="AL585" s="6" t="n">
        <v>0</v>
      </c>
      <c r="AM585" s="3" t="n">
        <v>0</v>
      </c>
      <c r="AN585" s="3" t="n">
        <v>0</v>
      </c>
      <c r="AO585" s="3" t="n">
        <v>0</v>
      </c>
      <c r="AP585" s="3">
        <f>N(X585)*N(BI585)</f>
        <v/>
      </c>
      <c r="AQ585" s="3" t="n">
        <v>0</v>
      </c>
      <c r="AR585" s="3" t="n">
        <v>0</v>
      </c>
      <c r="AS585" s="3" t="n">
        <v>0</v>
      </c>
      <c r="AT585" s="3" t="n">
        <v>0</v>
      </c>
      <c r="AU585" s="3">
        <f>SUM(AN585:AT585)</f>
        <v/>
      </c>
      <c r="AV585" s="7">
        <f>IF(OR(N(W585)&lt;=0,N(BG585)=0),0,N(W585)*IF(N(R585)/N(W585)&gt;=60,N(BG585),1))</f>
        <v/>
      </c>
      <c r="AW585" s="7">
        <f>N(W585)*N(AF585)*N(BH585)</f>
        <v/>
      </c>
      <c r="AX585" s="7">
        <f>N(AL585)*(Assumptions!$B$13*N(BJ585)-(1-Assumptions!$B$13)*Assumptions!$B$14)+N(AM585)</f>
        <v/>
      </c>
      <c r="AY585" s="7">
        <f>N(AU585)*N(R585)/90+N(AV585)+N(AW585)+N(AX585)</f>
        <v/>
      </c>
      <c r="AZ585" s="3">
        <f>IF(N(R585)&lt;=0,0,(N(AY585)-N(AX585))*90/N(R585))</f>
        <v/>
      </c>
      <c r="BA585" s="7">
        <f>IFERROR(AY585-VLOOKUP($E585,Assumptions!$A$40:$C$43,3,FALSE),"")</f>
        <v/>
      </c>
      <c r="BB585" s="3">
        <f>IFERROR(BA585/H585,"")</f>
        <v/>
      </c>
      <c r="BC585">
        <f>IF(AND($G585=TRUE,$E585="GKP"),AY585,"")</f>
        <v/>
      </c>
      <c r="BD585">
        <f>IF(AND($G585=TRUE,$E585="DEF"),AY585,"")</f>
        <v/>
      </c>
      <c r="BE585">
        <f>IF(AND($G585=TRUE,$E585="MID"),AY585,"")</f>
        <v/>
      </c>
      <c r="BF585">
        <f>IF(AND($G585=TRUE,$E585="FWD"),AY585,"")</f>
        <v/>
      </c>
      <c r="BG585" t="n">
        <v>0</v>
      </c>
      <c r="BH585" t="n">
        <v>0</v>
      </c>
      <c r="BI585" t="n">
        <v>0</v>
      </c>
      <c r="BJ585" t="n">
        <v>0</v>
      </c>
    </row>
    <row r="586">
      <c r="A586" t="inlineStr">
        <is>
          <t>Liam Kitching</t>
        </is>
      </c>
      <c r="B586" t="inlineStr">
        <is>
          <t>COV</t>
        </is>
      </c>
      <c r="D586" t="b">
        <v>0</v>
      </c>
      <c r="E586" t="inlineStr">
        <is>
          <t>DEF</t>
        </is>
      </c>
      <c r="G586" t="b">
        <v>1</v>
      </c>
      <c r="H586" s="2" t="n">
        <v>4</v>
      </c>
      <c r="I586" t="inlineStr">
        <is>
          <t>a</t>
        </is>
      </c>
      <c r="K586" s="2" t="n"/>
      <c r="M586" s="3" t="n">
        <v>847</v>
      </c>
      <c r="N586" s="8" t="n">
        <v>847</v>
      </c>
      <c r="O586" s="8" t="n">
        <v>0</v>
      </c>
      <c r="Q586" t="inlineStr">
        <is>
          <t>flat</t>
        </is>
      </c>
      <c r="R586" s="6" t="n">
        <v>847</v>
      </c>
      <c r="S586" t="inlineStr">
        <is>
          <t>Solio</t>
        </is>
      </c>
      <c r="U586" s="6" t="n">
        <v>85</v>
      </c>
      <c r="V586" s="2" t="n"/>
      <c r="W586" s="7">
        <f>IF(N(U586)&lt;=0,0,MIN(Assumptions!$B$15,N(R586)/N(U586)))</f>
        <v/>
      </c>
      <c r="X586" s="6" t="n">
        <v>0.17</v>
      </c>
      <c r="Y586" s="3" t="n"/>
      <c r="Z586" t="inlineStr"/>
      <c r="AA586" s="3" t="n">
        <v>1</v>
      </c>
      <c r="AB586" s="3" t="n"/>
      <c r="AC586" s="3" t="n"/>
      <c r="AD586" s="3" t="n"/>
      <c r="AE586" s="3" t="n"/>
      <c r="AF586" s="3" t="n">
        <v>0</v>
      </c>
      <c r="AG586" s="3" t="n"/>
      <c r="AH586" s="3" t="n"/>
      <c r="AI586" s="3" t="n">
        <v>3.6194</v>
      </c>
      <c r="AJ586" s="3" t="n">
        <v>1.8271</v>
      </c>
      <c r="AK586" s="3" t="n">
        <v>-0.2045226422080557</v>
      </c>
      <c r="AL586" s="6" t="n">
        <v>0</v>
      </c>
      <c r="AM586" s="3" t="n">
        <v>0</v>
      </c>
      <c r="AN586" s="3" t="n">
        <v>0</v>
      </c>
      <c r="AO586" s="3" t="n">
        <v>0</v>
      </c>
      <c r="AP586" s="3">
        <f>N(X586)*N(BI586)</f>
        <v/>
      </c>
      <c r="AQ586" s="3" t="n">
        <v>0</v>
      </c>
      <c r="AR586" s="3" t="n">
        <v>0</v>
      </c>
      <c r="AS586" s="3" t="n">
        <v>-0.670020548738316</v>
      </c>
      <c r="AT586" s="3" t="n">
        <v>-0.2045226422080557</v>
      </c>
      <c r="AU586" s="3">
        <f>SUM(AN586:AT586)</f>
        <v/>
      </c>
      <c r="AV586" s="7">
        <f>IF(OR(N(W586)&lt;=0,N(BG586)=0),0,N(W586)*IF(N(R586)/N(W586)&gt;=60,N(BG586),1))</f>
        <v/>
      </c>
      <c r="AW586" s="7">
        <f>N(W586)*N(AF586)*N(BH586)</f>
        <v/>
      </c>
      <c r="AX586" s="7">
        <f>N(AL586)*(Assumptions!$B$13*N(BJ586)-(1-Assumptions!$B$13)*Assumptions!$B$14)+N(AM586)</f>
        <v/>
      </c>
      <c r="AY586" s="7">
        <f>N(AU586)*N(R586)/90+N(AV586)+N(AW586)+N(AX586)</f>
        <v/>
      </c>
      <c r="AZ586" s="3">
        <f>IF(N(R586)&lt;=0,0,(N(AY586)-N(AX586))*90/N(R586))</f>
        <v/>
      </c>
      <c r="BA586" s="7">
        <f>IFERROR(AY586-VLOOKUP($E586,Assumptions!$A$40:$C$43,3,FALSE),"")</f>
        <v/>
      </c>
      <c r="BB586" s="3">
        <f>IFERROR(BA586/H586,"")</f>
        <v/>
      </c>
      <c r="BC586">
        <f>IF(AND($G586=TRUE,$E586="GKP"),AY586,"")</f>
        <v/>
      </c>
      <c r="BD586">
        <f>IF(AND($G586=TRUE,$E586="DEF"),AY586,"")</f>
        <v/>
      </c>
      <c r="BE586">
        <f>IF(AND($G586=TRUE,$E586="MID"),AY586,"")</f>
        <v/>
      </c>
      <c r="BF586">
        <f>IF(AND($G586=TRUE,$E586="FWD"),AY586,"")</f>
        <v/>
      </c>
      <c r="BG586" t="n">
        <v>2</v>
      </c>
      <c r="BH586" t="n">
        <v>2</v>
      </c>
      <c r="BI586" t="n">
        <v>4</v>
      </c>
      <c r="BJ586" t="n">
        <v>6</v>
      </c>
    </row>
    <row r="587">
      <c r="A587" t="inlineStr">
        <is>
          <t>Mike Trésor</t>
        </is>
      </c>
      <c r="C587" t="inlineStr">
        <is>
          <t>BUR</t>
        </is>
      </c>
      <c r="D587" t="b">
        <v>0</v>
      </c>
      <c r="F587" t="inlineStr">
        <is>
          <t>MID</t>
        </is>
      </c>
      <c r="G587" t="b">
        <v>0</v>
      </c>
      <c r="H587" s="2" t="n"/>
      <c r="K587" s="2" t="n">
        <v>37</v>
      </c>
      <c r="M587" s="3" t="n"/>
      <c r="N587" s="8" t="n">
        <v>37</v>
      </c>
      <c r="O587" s="8" t="n">
        <v>0</v>
      </c>
      <c r="R587" s="6" t="n">
        <v>37</v>
      </c>
      <c r="S587" t="inlineStr">
        <is>
          <t>25/26 actual</t>
        </is>
      </c>
      <c r="U587" s="6" t="n">
        <v>80.09999999999999</v>
      </c>
      <c r="V587" s="2" t="n">
        <v>0</v>
      </c>
      <c r="W587" s="7">
        <f>IF(N(U587)&lt;=0,0,MIN(Assumptions!$B$15,N(R587)/N(U587)))</f>
        <v/>
      </c>
      <c r="X587" s="6" t="n"/>
      <c r="Y587" s="3" t="n">
        <v>0</v>
      </c>
      <c r="Z587" t="inlineStr">
        <is>
          <t>adjusted xGOT</t>
        </is>
      </c>
      <c r="AA587" s="3" t="n">
        <v>1</v>
      </c>
      <c r="AB587" s="3" t="n">
        <v>0.956</v>
      </c>
      <c r="AC587" s="3" t="n">
        <v>0.4</v>
      </c>
      <c r="AD587" s="3" t="n">
        <v>0</v>
      </c>
      <c r="AE587" s="3" t="n">
        <v>8.752000000000001</v>
      </c>
      <c r="AF587" s="3" t="n">
        <v>0</v>
      </c>
      <c r="AG587" s="3" t="n">
        <v>0</v>
      </c>
      <c r="AH587" s="3" t="n">
        <v>6</v>
      </c>
      <c r="AI587" s="3" t="n"/>
      <c r="AJ587" s="3" t="n"/>
      <c r="AK587" s="3" t="n"/>
      <c r="AL587" s="6" t="n">
        <v>0</v>
      </c>
      <c r="AM587" s="3" t="n">
        <v>0</v>
      </c>
      <c r="AN587" s="3" t="n">
        <v>0</v>
      </c>
      <c r="AO587" s="3" t="n">
        <v>0</v>
      </c>
      <c r="AP587" s="3">
        <f>N(X587)*N(BI587)</f>
        <v/>
      </c>
      <c r="AQ587" s="3" t="n">
        <v>0</v>
      </c>
      <c r="AR587" s="3" t="n">
        <v>0</v>
      </c>
      <c r="AS587" s="3" t="n">
        <v>0</v>
      </c>
      <c r="AT587" s="3" t="n">
        <v>0</v>
      </c>
      <c r="AU587" s="3">
        <f>SUM(AN587:AT587)</f>
        <v/>
      </c>
      <c r="AV587" s="7">
        <f>IF(OR(N(W587)&lt;=0,N(BG587)=0),0,N(W587)*IF(N(R587)/N(W587)&gt;=60,N(BG587),1))</f>
        <v/>
      </c>
      <c r="AW587" s="7">
        <f>N(W587)*N(AF587)*N(BH587)</f>
        <v/>
      </c>
      <c r="AX587" s="7">
        <f>N(AL587)*(Assumptions!$B$13*N(BJ587)-(1-Assumptions!$B$13)*Assumptions!$B$14)+N(AM587)</f>
        <v/>
      </c>
      <c r="AY587" s="7">
        <f>N(AU587)*N(R587)/90+N(AV587)+N(AW587)+N(AX587)</f>
        <v/>
      </c>
      <c r="AZ587" s="3">
        <f>IF(N(R587)&lt;=0,0,(N(AY587)-N(AX587))*90/N(R587))</f>
        <v/>
      </c>
      <c r="BA587" s="7">
        <f>IFERROR(AY587-VLOOKUP($E587,Assumptions!$A$40:$C$43,3,FALSE),"")</f>
        <v/>
      </c>
      <c r="BB587" s="3">
        <f>IFERROR(BA587/H587,"")</f>
        <v/>
      </c>
      <c r="BC587">
        <f>IF(AND($G587=TRUE,$E587="GKP"),AY587,"")</f>
        <v/>
      </c>
      <c r="BD587">
        <f>IF(AND($G587=TRUE,$E587="DEF"),AY587,"")</f>
        <v/>
      </c>
      <c r="BE587">
        <f>IF(AND($G587=TRUE,$E587="MID"),AY587,"")</f>
        <v/>
      </c>
      <c r="BF587">
        <f>IF(AND($G587=TRUE,$E587="FWD"),AY587,"")</f>
        <v/>
      </c>
      <c r="BG587" t="n">
        <v>0</v>
      </c>
      <c r="BH587" t="n">
        <v>0</v>
      </c>
      <c r="BI587" t="n">
        <v>0</v>
      </c>
      <c r="BJ587" t="n">
        <v>0</v>
      </c>
    </row>
    <row r="588">
      <c r="A588" t="inlineStr">
        <is>
          <t>Christos Tzolis</t>
        </is>
      </c>
      <c r="B588" t="inlineStr">
        <is>
          <t>ARS</t>
        </is>
      </c>
      <c r="D588" t="b">
        <v>0</v>
      </c>
      <c r="E588" t="inlineStr">
        <is>
          <t>MID</t>
        </is>
      </c>
      <c r="G588" t="b">
        <v>1</v>
      </c>
      <c r="H588" s="2" t="n">
        <v>6.5</v>
      </c>
      <c r="I588" t="inlineStr">
        <is>
          <t>a</t>
        </is>
      </c>
      <c r="K588" s="2" t="n"/>
      <c r="M588" s="3" t="n">
        <v>2155</v>
      </c>
      <c r="N588" s="8" t="n">
        <v>2155</v>
      </c>
      <c r="O588" s="8" t="n">
        <v>0</v>
      </c>
      <c r="Q588" t="inlineStr">
        <is>
          <t>flat</t>
        </is>
      </c>
      <c r="R588" s="6" t="n">
        <v>2155</v>
      </c>
      <c r="S588" t="inlineStr">
        <is>
          <t>Solio</t>
        </is>
      </c>
      <c r="U588" s="6" t="n">
        <v>85</v>
      </c>
      <c r="V588" s="2" t="n"/>
      <c r="W588" s="7">
        <f>IF(N(U588)&lt;=0,0,MIN(Assumptions!$B$15,N(R588)/N(U588)))</f>
        <v/>
      </c>
      <c r="X588" s="6" t="n">
        <v>0.391</v>
      </c>
      <c r="Y588" s="3" t="n"/>
      <c r="Z588" t="inlineStr"/>
      <c r="AA588" s="3" t="n">
        <v>1</v>
      </c>
      <c r="AB588" s="3" t="n"/>
      <c r="AC588" s="3" t="n"/>
      <c r="AD588" s="3" t="n"/>
      <c r="AE588" s="3" t="n"/>
      <c r="AF588" s="3" t="n">
        <v>0</v>
      </c>
      <c r="AG588" s="3" t="n"/>
      <c r="AH588" s="3" t="n"/>
      <c r="AI588" s="3" t="n">
        <v>2.067</v>
      </c>
      <c r="AJ588" s="3" t="n">
        <v>0.9838</v>
      </c>
      <c r="AK588" s="3" t="n">
        <v>-0.2160434166173144</v>
      </c>
      <c r="AL588" s="6" t="n">
        <v>0</v>
      </c>
      <c r="AM588" s="3" t="n">
        <v>0</v>
      </c>
      <c r="AN588" s="3" t="n">
        <v>0</v>
      </c>
      <c r="AO588" s="3" t="n">
        <v>0</v>
      </c>
      <c r="AP588" s="3">
        <f>N(X588)*N(BI588)</f>
        <v/>
      </c>
      <c r="AQ588" s="3" t="n">
        <v>0</v>
      </c>
      <c r="AR588" s="3" t="n">
        <v>0</v>
      </c>
      <c r="AS588" s="3" t="n">
        <v>-0</v>
      </c>
      <c r="AT588" s="3" t="n">
        <v>-0.2160434166173144</v>
      </c>
      <c r="AU588" s="3">
        <f>SUM(AN588:AT588)</f>
        <v/>
      </c>
      <c r="AV588" s="7">
        <f>IF(OR(N(W588)&lt;=0,N(BG588)=0),0,N(W588)*IF(N(R588)/N(W588)&gt;=60,N(BG588),1))</f>
        <v/>
      </c>
      <c r="AW588" s="7">
        <f>N(W588)*N(AF588)*N(BH588)</f>
        <v/>
      </c>
      <c r="AX588" s="7">
        <f>N(AL588)*(Assumptions!$B$13*N(BJ588)-(1-Assumptions!$B$13)*Assumptions!$B$14)+N(AM588)</f>
        <v/>
      </c>
      <c r="AY588" s="7">
        <f>N(AU588)*N(R588)/90+N(AV588)+N(AW588)+N(AX588)</f>
        <v/>
      </c>
      <c r="AZ588" s="3">
        <f>IF(N(R588)&lt;=0,0,(N(AY588)-N(AX588))*90/N(R588))</f>
        <v/>
      </c>
      <c r="BA588" s="7">
        <f>IFERROR(AY588-VLOOKUP($E588,Assumptions!$A$40:$C$43,3,FALSE),"")</f>
        <v/>
      </c>
      <c r="BB588" s="3">
        <f>IFERROR(BA588/H588,"")</f>
        <v/>
      </c>
      <c r="BC588">
        <f>IF(AND($G588=TRUE,$E588="GKP"),AY588,"")</f>
        <v/>
      </c>
      <c r="BD588">
        <f>IF(AND($G588=TRUE,$E588="DEF"),AY588,"")</f>
        <v/>
      </c>
      <c r="BE588">
        <f>IF(AND($G588=TRUE,$E588="MID"),AY588,"")</f>
        <v/>
      </c>
      <c r="BF588">
        <f>IF(AND($G588=TRUE,$E588="FWD"),AY588,"")</f>
        <v/>
      </c>
      <c r="BG588" t="n">
        <v>2</v>
      </c>
      <c r="BH588" t="n">
        <v>2</v>
      </c>
      <c r="BI588" t="n">
        <v>1</v>
      </c>
      <c r="BJ588" t="n">
        <v>5</v>
      </c>
    </row>
    <row r="589">
      <c r="A589" t="inlineStr">
        <is>
          <t>Josh Eccles</t>
        </is>
      </c>
      <c r="B589" t="inlineStr">
        <is>
          <t>COV</t>
        </is>
      </c>
      <c r="D589" t="b">
        <v>0</v>
      </c>
      <c r="E589" t="inlineStr">
        <is>
          <t>MID</t>
        </is>
      </c>
      <c r="G589" t="b">
        <v>1</v>
      </c>
      <c r="H589" s="2" t="n">
        <v>5</v>
      </c>
      <c r="I589" t="inlineStr">
        <is>
          <t>a</t>
        </is>
      </c>
      <c r="K589" s="2" t="n"/>
      <c r="M589" s="3" t="n">
        <v>192</v>
      </c>
      <c r="N589" s="8" t="n">
        <v>192</v>
      </c>
      <c r="O589" s="8" t="n">
        <v>0</v>
      </c>
      <c r="Q589" t="inlineStr">
        <is>
          <t>flat</t>
        </is>
      </c>
      <c r="R589" s="6" t="n">
        <v>192</v>
      </c>
      <c r="S589" t="inlineStr">
        <is>
          <t>Solio</t>
        </is>
      </c>
      <c r="U589" s="6" t="n">
        <v>85</v>
      </c>
      <c r="V589" s="2" t="n"/>
      <c r="W589" s="7">
        <f>IF(N(U589)&lt;=0,0,MIN(Assumptions!$B$15,N(R589)/N(U589)))</f>
        <v/>
      </c>
      <c r="X589" s="6" t="n">
        <v>0.17</v>
      </c>
      <c r="Y589" s="3" t="n"/>
      <c r="Z589" t="inlineStr"/>
      <c r="AA589" s="3" t="n">
        <v>1</v>
      </c>
      <c r="AB589" s="3" t="n"/>
      <c r="AC589" s="3" t="n"/>
      <c r="AD589" s="3" t="n"/>
      <c r="AE589" s="3" t="n"/>
      <c r="AF589" s="3" t="n">
        <v>0</v>
      </c>
      <c r="AG589" s="3" t="n"/>
      <c r="AH589" s="3" t="n"/>
      <c r="AI589" s="3" t="n">
        <v>3.6194</v>
      </c>
      <c r="AJ589" s="3" t="n">
        <v>1.8271</v>
      </c>
      <c r="AK589" s="3" t="n">
        <v>-0.2160434166173144</v>
      </c>
      <c r="AL589" s="6" t="n">
        <v>0</v>
      </c>
      <c r="AM589" s="3" t="n">
        <v>0</v>
      </c>
      <c r="AN589" s="3" t="n">
        <v>0</v>
      </c>
      <c r="AO589" s="3" t="n">
        <v>0</v>
      </c>
      <c r="AP589" s="3">
        <f>N(X589)*N(BI589)</f>
        <v/>
      </c>
      <c r="AQ589" s="3" t="n">
        <v>0</v>
      </c>
      <c r="AR589" s="3" t="n">
        <v>0</v>
      </c>
      <c r="AS589" s="3" t="n">
        <v>-0</v>
      </c>
      <c r="AT589" s="3" t="n">
        <v>-0.2160434166173144</v>
      </c>
      <c r="AU589" s="3">
        <f>SUM(AN589:AT589)</f>
        <v/>
      </c>
      <c r="AV589" s="7">
        <f>IF(OR(N(W589)&lt;=0,N(BG589)=0),0,N(W589)*IF(N(R589)/N(W589)&gt;=60,N(BG589),1))</f>
        <v/>
      </c>
      <c r="AW589" s="7">
        <f>N(W589)*N(AF589)*N(BH589)</f>
        <v/>
      </c>
      <c r="AX589" s="7">
        <f>N(AL589)*(Assumptions!$B$13*N(BJ589)-(1-Assumptions!$B$13)*Assumptions!$B$14)+N(AM589)</f>
        <v/>
      </c>
      <c r="AY589" s="7">
        <f>N(AU589)*N(R589)/90+N(AV589)+N(AW589)+N(AX589)</f>
        <v/>
      </c>
      <c r="AZ589" s="3">
        <f>IF(N(R589)&lt;=0,0,(N(AY589)-N(AX589))*90/N(R589))</f>
        <v/>
      </c>
      <c r="BA589" s="7">
        <f>IFERROR(AY589-VLOOKUP($E589,Assumptions!$A$40:$C$43,3,FALSE),"")</f>
        <v/>
      </c>
      <c r="BB589" s="3">
        <f>IFERROR(BA589/H589,"")</f>
        <v/>
      </c>
      <c r="BC589">
        <f>IF(AND($G589=TRUE,$E589="GKP"),AY589,"")</f>
        <v/>
      </c>
      <c r="BD589">
        <f>IF(AND($G589=TRUE,$E589="DEF"),AY589,"")</f>
        <v/>
      </c>
      <c r="BE589">
        <f>IF(AND($G589=TRUE,$E589="MID"),AY589,"")</f>
        <v/>
      </c>
      <c r="BF589">
        <f>IF(AND($G589=TRUE,$E589="FWD"),AY589,"")</f>
        <v/>
      </c>
      <c r="BG589" t="n">
        <v>2</v>
      </c>
      <c r="BH589" t="n">
        <v>2</v>
      </c>
      <c r="BI589" t="n">
        <v>1</v>
      </c>
      <c r="BJ589" t="n">
        <v>5</v>
      </c>
    </row>
    <row r="590">
      <c r="A590" t="inlineStr">
        <is>
          <t>Armando Broja</t>
        </is>
      </c>
      <c r="C590" t="inlineStr">
        <is>
          <t>BUR</t>
        </is>
      </c>
      <c r="D590" t="b">
        <v>0</v>
      </c>
      <c r="F590" t="inlineStr">
        <is>
          <t>FWD</t>
        </is>
      </c>
      <c r="G590" t="b">
        <v>0</v>
      </c>
      <c r="H590" s="2" t="n"/>
      <c r="K590" s="2" t="n">
        <v>849</v>
      </c>
      <c r="M590" s="3" t="n"/>
      <c r="N590" s="8" t="n">
        <v>849</v>
      </c>
      <c r="O590" s="8" t="n">
        <v>0</v>
      </c>
      <c r="R590" s="6" t="n">
        <v>849</v>
      </c>
      <c r="S590" t="inlineStr">
        <is>
          <t>25/26 actual</t>
        </is>
      </c>
      <c r="U590" s="6" t="n">
        <v>78.7</v>
      </c>
      <c r="V590" s="2" t="n">
        <v>8</v>
      </c>
      <c r="W590" s="7">
        <f>IF(N(U590)&lt;=0,0,MIN(Assumptions!$B$15,N(R590)/N(U590)))</f>
        <v/>
      </c>
      <c r="X590" s="6" t="n"/>
      <c r="Y590" s="3" t="n">
        <v>0.228</v>
      </c>
      <c r="Z590" t="inlineStr">
        <is>
          <t>adjusted xGOT</t>
        </is>
      </c>
      <c r="AA590" s="3" t="n">
        <v>1</v>
      </c>
      <c r="AB590" s="3" t="n">
        <v>1.005</v>
      </c>
      <c r="AC590" s="3" t="n">
        <v>5.3</v>
      </c>
      <c r="AD590" s="3" t="n">
        <v>0.0646</v>
      </c>
      <c r="AE590" s="3" t="n">
        <v>4.741</v>
      </c>
      <c r="AF590" s="3" t="n">
        <v>0</v>
      </c>
      <c r="AG590" s="3" t="n">
        <v>0.212</v>
      </c>
      <c r="AH590" s="3" t="n">
        <v>32</v>
      </c>
      <c r="AI590" s="3" t="n"/>
      <c r="AJ590" s="3" t="n"/>
      <c r="AK590" s="3" t="n"/>
      <c r="AL590" s="6" t="n">
        <v>0</v>
      </c>
      <c r="AM590" s="3" t="n">
        <v>0</v>
      </c>
      <c r="AN590" s="3" t="n">
        <v>0</v>
      </c>
      <c r="AO590" s="3" t="n">
        <v>0</v>
      </c>
      <c r="AP590" s="3">
        <f>N(X590)*N(BI590)</f>
        <v/>
      </c>
      <c r="AQ590" s="3" t="n">
        <v>0</v>
      </c>
      <c r="AR590" s="3" t="n">
        <v>0</v>
      </c>
      <c r="AS590" s="3" t="n">
        <v>0</v>
      </c>
      <c r="AT590" s="3" t="n">
        <v>0</v>
      </c>
      <c r="AU590" s="3">
        <f>SUM(AN590:AT590)</f>
        <v/>
      </c>
      <c r="AV590" s="7">
        <f>IF(OR(N(W590)&lt;=0,N(BG590)=0),0,N(W590)*IF(N(R590)/N(W590)&gt;=60,N(BG590),1))</f>
        <v/>
      </c>
      <c r="AW590" s="7">
        <f>N(W590)*N(AF590)*N(BH590)</f>
        <v/>
      </c>
      <c r="AX590" s="7">
        <f>N(AL590)*(Assumptions!$B$13*N(BJ590)-(1-Assumptions!$B$13)*Assumptions!$B$14)+N(AM590)</f>
        <v/>
      </c>
      <c r="AY590" s="7">
        <f>N(AU590)*N(R590)/90+N(AV590)+N(AW590)+N(AX590)</f>
        <v/>
      </c>
      <c r="AZ590" s="3">
        <f>IF(N(R590)&lt;=0,0,(N(AY590)-N(AX590))*90/N(R590))</f>
        <v/>
      </c>
      <c r="BA590" s="7">
        <f>IFERROR(AY590-VLOOKUP($E590,Assumptions!$A$40:$C$43,3,FALSE),"")</f>
        <v/>
      </c>
      <c r="BB590" s="3">
        <f>IFERROR(BA590/H590,"")</f>
        <v/>
      </c>
      <c r="BC590">
        <f>IF(AND($G590=TRUE,$E590="GKP"),AY590,"")</f>
        <v/>
      </c>
      <c r="BD590">
        <f>IF(AND($G590=TRUE,$E590="DEF"),AY590,"")</f>
        <v/>
      </c>
      <c r="BE590">
        <f>IF(AND($G590=TRUE,$E590="MID"),AY590,"")</f>
        <v/>
      </c>
      <c r="BF590">
        <f>IF(AND($G590=TRUE,$E590="FWD"),AY590,"")</f>
        <v/>
      </c>
      <c r="BG590" t="n">
        <v>0</v>
      </c>
      <c r="BH590" t="n">
        <v>0</v>
      </c>
      <c r="BI590" t="n">
        <v>0</v>
      </c>
      <c r="BJ590" t="n">
        <v>0</v>
      </c>
    </row>
    <row r="591">
      <c r="A591" t="inlineStr">
        <is>
          <t>Ki-Jana Hoever</t>
        </is>
      </c>
      <c r="C591" t="inlineStr">
        <is>
          <t>WOL</t>
        </is>
      </c>
      <c r="D591" t="b">
        <v>0</v>
      </c>
      <c r="F591" t="inlineStr">
        <is>
          <t>DEF</t>
        </is>
      </c>
      <c r="G591" t="b">
        <v>0</v>
      </c>
      <c r="H591" s="2" t="n"/>
      <c r="K591" s="2" t="n">
        <v>428</v>
      </c>
      <c r="M591" s="3" t="n"/>
      <c r="N591" s="8" t="n">
        <v>428</v>
      </c>
      <c r="O591" s="8" t="n">
        <v>0</v>
      </c>
      <c r="R591" s="6" t="n">
        <v>428</v>
      </c>
      <c r="S591" t="inlineStr">
        <is>
          <t>25/26 actual</t>
        </is>
      </c>
      <c r="U591" s="6" t="n">
        <v>77.90000000000001</v>
      </c>
      <c r="V591" s="2" t="n">
        <v>6</v>
      </c>
      <c r="W591" s="7">
        <f>IF(N(U591)&lt;=0,0,MIN(Assumptions!$B$15,N(R591)/N(U591)))</f>
        <v/>
      </c>
      <c r="X591" s="6" t="n"/>
      <c r="Y591" s="3" t="n">
        <v>0.0042</v>
      </c>
      <c r="Z591" t="inlineStr">
        <is>
          <t>adjusted xGOT</t>
        </is>
      </c>
      <c r="AA591" s="3" t="n">
        <v>1</v>
      </c>
      <c r="AB591" s="3" t="n">
        <v>0.998</v>
      </c>
      <c r="AC591" s="3" t="n">
        <v>0</v>
      </c>
      <c r="AD591" s="3" t="n">
        <v>0.0712</v>
      </c>
      <c r="AE591" s="3" t="n">
        <v>7.991</v>
      </c>
      <c r="AF591" s="3" t="n">
        <v>0</v>
      </c>
      <c r="AG591" s="3" t="n">
        <v>0</v>
      </c>
      <c r="AH591" s="3" t="n">
        <v>12</v>
      </c>
      <c r="AI591" s="3" t="n"/>
      <c r="AJ591" s="3" t="n"/>
      <c r="AK591" s="3" t="n"/>
      <c r="AL591" s="6" t="n">
        <v>0</v>
      </c>
      <c r="AM591" s="3" t="n">
        <v>0</v>
      </c>
      <c r="AN591" s="3" t="n">
        <v>0</v>
      </c>
      <c r="AO591" s="3" t="n">
        <v>0</v>
      </c>
      <c r="AP591" s="3">
        <f>N(X591)*N(BI591)</f>
        <v/>
      </c>
      <c r="AQ591" s="3" t="n">
        <v>0</v>
      </c>
      <c r="AR591" s="3" t="n">
        <v>0</v>
      </c>
      <c r="AS591" s="3" t="n">
        <v>0</v>
      </c>
      <c r="AT591" s="3" t="n">
        <v>0</v>
      </c>
      <c r="AU591" s="3">
        <f>SUM(AN591:AT591)</f>
        <v/>
      </c>
      <c r="AV591" s="7">
        <f>IF(OR(N(W591)&lt;=0,N(BG591)=0),0,N(W591)*IF(N(R591)/N(W591)&gt;=60,N(BG591),1))</f>
        <v/>
      </c>
      <c r="AW591" s="7">
        <f>N(W591)*N(AF591)*N(BH591)</f>
        <v/>
      </c>
      <c r="AX591" s="7">
        <f>N(AL591)*(Assumptions!$B$13*N(BJ591)-(1-Assumptions!$B$13)*Assumptions!$B$14)+N(AM591)</f>
        <v/>
      </c>
      <c r="AY591" s="7">
        <f>N(AU591)*N(R591)/90+N(AV591)+N(AW591)+N(AX591)</f>
        <v/>
      </c>
      <c r="AZ591" s="3">
        <f>IF(N(R591)&lt;=0,0,(N(AY591)-N(AX591))*90/N(R591))</f>
        <v/>
      </c>
      <c r="BA591" s="7">
        <f>IFERROR(AY591-VLOOKUP($E591,Assumptions!$A$40:$C$43,3,FALSE),"")</f>
        <v/>
      </c>
      <c r="BB591" s="3">
        <f>IFERROR(BA591/H591,"")</f>
        <v/>
      </c>
      <c r="BC591">
        <f>IF(AND($G591=TRUE,$E591="GKP"),AY591,"")</f>
        <v/>
      </c>
      <c r="BD591">
        <f>IF(AND($G591=TRUE,$E591="DEF"),AY591,"")</f>
        <v/>
      </c>
      <c r="BE591">
        <f>IF(AND($G591=TRUE,$E591="MID"),AY591,"")</f>
        <v/>
      </c>
      <c r="BF591">
        <f>IF(AND($G591=TRUE,$E591="FWD"),AY591,"")</f>
        <v/>
      </c>
      <c r="BG591" t="n">
        <v>0</v>
      </c>
      <c r="BH591" t="n">
        <v>0</v>
      </c>
      <c r="BI591" t="n">
        <v>0</v>
      </c>
      <c r="BJ591" t="n">
        <v>0</v>
      </c>
    </row>
    <row r="592">
      <c r="A592" t="inlineStr">
        <is>
          <t>Daizen Maeda</t>
        </is>
      </c>
      <c r="B592" t="inlineStr">
        <is>
          <t>IPS</t>
        </is>
      </c>
      <c r="D592" t="b">
        <v>0</v>
      </c>
      <c r="E592" t="inlineStr">
        <is>
          <t>MID</t>
        </is>
      </c>
      <c r="G592" t="b">
        <v>1</v>
      </c>
      <c r="H592" s="2" t="n">
        <v>5.5</v>
      </c>
      <c r="I592" t="inlineStr">
        <is>
          <t>a</t>
        </is>
      </c>
      <c r="K592" s="2" t="n"/>
      <c r="M592" s="3" t="n">
        <v>2502</v>
      </c>
      <c r="N592" s="8" t="n">
        <v>2502</v>
      </c>
      <c r="O592" s="8" t="n">
        <v>0</v>
      </c>
      <c r="Q592" t="inlineStr">
        <is>
          <t>flat</t>
        </is>
      </c>
      <c r="R592" s="6" t="n">
        <v>2502</v>
      </c>
      <c r="S592" t="inlineStr">
        <is>
          <t>Solio</t>
        </is>
      </c>
      <c r="U592" s="6" t="n">
        <v>85</v>
      </c>
      <c r="V592" s="2" t="n"/>
      <c r="W592" s="7">
        <f>IF(N(U592)&lt;=0,0,MIN(Assumptions!$B$15,N(R592)/N(U592)))</f>
        <v/>
      </c>
      <c r="X592" s="6" t="n">
        <v>0.17</v>
      </c>
      <c r="Y592" s="3" t="n"/>
      <c r="Z592" t="inlineStr"/>
      <c r="AA592" s="3" t="n">
        <v>1</v>
      </c>
      <c r="AB592" s="3" t="n"/>
      <c r="AC592" s="3" t="n"/>
      <c r="AD592" s="3" t="n"/>
      <c r="AE592" s="3" t="n"/>
      <c r="AF592" s="3" t="n">
        <v>0</v>
      </c>
      <c r="AG592" s="3" t="n"/>
      <c r="AH592" s="3" t="n"/>
      <c r="AI592" s="3" t="n">
        <v>3.5741</v>
      </c>
      <c r="AJ592" s="3" t="n">
        <v>1.8319</v>
      </c>
      <c r="AK592" s="3" t="n">
        <v>-0.2160434166173144</v>
      </c>
      <c r="AL592" s="6" t="n">
        <v>0</v>
      </c>
      <c r="AM592" s="3" t="n">
        <v>0</v>
      </c>
      <c r="AN592" s="3" t="n">
        <v>0</v>
      </c>
      <c r="AO592" s="3" t="n">
        <v>0</v>
      </c>
      <c r="AP592" s="3">
        <f>N(X592)*N(BI592)</f>
        <v/>
      </c>
      <c r="AQ592" s="3" t="n">
        <v>0</v>
      </c>
      <c r="AR592" s="3" t="n">
        <v>0</v>
      </c>
      <c r="AS592" s="3" t="n">
        <v>-0</v>
      </c>
      <c r="AT592" s="3" t="n">
        <v>-0.2160434166173144</v>
      </c>
      <c r="AU592" s="3">
        <f>SUM(AN592:AT592)</f>
        <v/>
      </c>
      <c r="AV592" s="7">
        <f>IF(OR(N(W592)&lt;=0,N(BG592)=0),0,N(W592)*IF(N(R592)/N(W592)&gt;=60,N(BG592),1))</f>
        <v/>
      </c>
      <c r="AW592" s="7">
        <f>N(W592)*N(AF592)*N(BH592)</f>
        <v/>
      </c>
      <c r="AX592" s="7">
        <f>N(AL592)*(Assumptions!$B$13*N(BJ592)-(1-Assumptions!$B$13)*Assumptions!$B$14)+N(AM592)</f>
        <v/>
      </c>
      <c r="AY592" s="7">
        <f>N(AU592)*N(R592)/90+N(AV592)+N(AW592)+N(AX592)</f>
        <v/>
      </c>
      <c r="AZ592" s="3">
        <f>IF(N(R592)&lt;=0,0,(N(AY592)-N(AX592))*90/N(R592))</f>
        <v/>
      </c>
      <c r="BA592" s="7">
        <f>IFERROR(AY592-VLOOKUP($E592,Assumptions!$A$40:$C$43,3,FALSE),"")</f>
        <v/>
      </c>
      <c r="BB592" s="3">
        <f>IFERROR(BA592/H592,"")</f>
        <v/>
      </c>
      <c r="BC592">
        <f>IF(AND($G592=TRUE,$E592="GKP"),AY592,"")</f>
        <v/>
      </c>
      <c r="BD592">
        <f>IF(AND($G592=TRUE,$E592="DEF"),AY592,"")</f>
        <v/>
      </c>
      <c r="BE592">
        <f>IF(AND($G592=TRUE,$E592="MID"),AY592,"")</f>
        <v/>
      </c>
      <c r="BF592">
        <f>IF(AND($G592=TRUE,$E592="FWD"),AY592,"")</f>
        <v/>
      </c>
      <c r="BG592" t="n">
        <v>2</v>
      </c>
      <c r="BH592" t="n">
        <v>2</v>
      </c>
      <c r="BI592" t="n">
        <v>1</v>
      </c>
      <c r="BJ592" t="n">
        <v>5</v>
      </c>
    </row>
    <row r="593">
      <c r="A593" t="inlineStr">
        <is>
          <t>Jack Clarke</t>
        </is>
      </c>
      <c r="B593" t="inlineStr">
        <is>
          <t>IPS</t>
        </is>
      </c>
      <c r="D593" t="b">
        <v>0</v>
      </c>
      <c r="E593" t="inlineStr">
        <is>
          <t>MID</t>
        </is>
      </c>
      <c r="G593" t="b">
        <v>1</v>
      </c>
      <c r="H593" s="2" t="n">
        <v>5.5</v>
      </c>
      <c r="I593" t="inlineStr">
        <is>
          <t>a</t>
        </is>
      </c>
      <c r="K593" s="2" t="n"/>
      <c r="M593" s="3" t="n">
        <v>1060</v>
      </c>
      <c r="N593" s="8" t="n">
        <v>1060</v>
      </c>
      <c r="O593" s="8" t="n">
        <v>0</v>
      </c>
      <c r="Q593" t="inlineStr">
        <is>
          <t>flat</t>
        </is>
      </c>
      <c r="R593" s="6" t="n">
        <v>1060</v>
      </c>
      <c r="S593" t="inlineStr">
        <is>
          <t>Solio</t>
        </is>
      </c>
      <c r="U593" s="6" t="n">
        <v>85</v>
      </c>
      <c r="V593" s="2" t="n"/>
      <c r="W593" s="7">
        <f>IF(N(U593)&lt;=0,0,MIN(Assumptions!$B$15,N(R593)/N(U593)))</f>
        <v/>
      </c>
      <c r="X593" s="6" t="n">
        <v>0.17</v>
      </c>
      <c r="Y593" s="3" t="n"/>
      <c r="Z593" t="inlineStr"/>
      <c r="AA593" s="3" t="n">
        <v>1</v>
      </c>
      <c r="AB593" s="3" t="n"/>
      <c r="AC593" s="3" t="n"/>
      <c r="AD593" s="3" t="n"/>
      <c r="AE593" s="3" t="n"/>
      <c r="AF593" s="3" t="n">
        <v>0</v>
      </c>
      <c r="AG593" s="3" t="n"/>
      <c r="AH593" s="3" t="n"/>
      <c r="AI593" s="3" t="n">
        <v>3.5741</v>
      </c>
      <c r="AJ593" s="3" t="n">
        <v>1.8319</v>
      </c>
      <c r="AK593" s="3" t="n">
        <v>-0.2015773965073861</v>
      </c>
      <c r="AL593" s="6" t="n">
        <v>1.029420555023602</v>
      </c>
      <c r="AM593" s="3" t="n">
        <v>0</v>
      </c>
      <c r="AN593" s="3" t="n">
        <v>0</v>
      </c>
      <c r="AO593" s="3" t="n">
        <v>0</v>
      </c>
      <c r="AP593" s="3">
        <f>N(X593)*N(BI593)</f>
        <v/>
      </c>
      <c r="AQ593" s="3" t="n">
        <v>0</v>
      </c>
      <c r="AR593" s="3" t="n">
        <v>0</v>
      </c>
      <c r="AS593" s="3" t="n">
        <v>-0</v>
      </c>
      <c r="AT593" s="3" t="n">
        <v>-0.2015773965073861</v>
      </c>
      <c r="AU593" s="3">
        <f>SUM(AN593:AT593)</f>
        <v/>
      </c>
      <c r="AV593" s="7">
        <f>IF(OR(N(W593)&lt;=0,N(BG593)=0),0,N(W593)*IF(N(R593)/N(W593)&gt;=60,N(BG593),1))</f>
        <v/>
      </c>
      <c r="AW593" s="7">
        <f>N(W593)*N(AF593)*N(BH593)</f>
        <v/>
      </c>
      <c r="AX593" s="7">
        <f>N(AL593)*(Assumptions!$B$13*N(BJ593)-(1-Assumptions!$B$13)*Assumptions!$B$14)+N(AM593)</f>
        <v/>
      </c>
      <c r="AY593" s="7">
        <f>N(AU593)*N(R593)/90+N(AV593)+N(AW593)+N(AX593)</f>
        <v/>
      </c>
      <c r="AZ593" s="3">
        <f>IF(N(R593)&lt;=0,0,(N(AY593)-N(AX593))*90/N(R593))</f>
        <v/>
      </c>
      <c r="BA593" s="7">
        <f>IFERROR(AY593-VLOOKUP($E593,Assumptions!$A$40:$C$43,3,FALSE),"")</f>
        <v/>
      </c>
      <c r="BB593" s="3">
        <f>IFERROR(BA593/H593,"")</f>
        <v/>
      </c>
      <c r="BC593">
        <f>IF(AND($G593=TRUE,$E593="GKP"),AY593,"")</f>
        <v/>
      </c>
      <c r="BD593">
        <f>IF(AND($G593=TRUE,$E593="DEF"),AY593,"")</f>
        <v/>
      </c>
      <c r="BE593">
        <f>IF(AND($G593=TRUE,$E593="MID"),AY593,"")</f>
        <v/>
      </c>
      <c r="BF593">
        <f>IF(AND($G593=TRUE,$E593="FWD"),AY593,"")</f>
        <v/>
      </c>
      <c r="BG593" t="n">
        <v>2</v>
      </c>
      <c r="BH593" t="n">
        <v>2</v>
      </c>
      <c r="BI593" t="n">
        <v>1</v>
      </c>
      <c r="BJ593" t="n">
        <v>5</v>
      </c>
    </row>
    <row r="594">
      <c r="A594" t="inlineStr">
        <is>
          <t>Thimothée Lo-Tutala</t>
        </is>
      </c>
      <c r="B594" t="inlineStr">
        <is>
          <t>HUL</t>
        </is>
      </c>
      <c r="D594" t="b">
        <v>0</v>
      </c>
      <c r="E594" t="inlineStr">
        <is>
          <t>GKP</t>
        </is>
      </c>
      <c r="G594" t="b">
        <v>1</v>
      </c>
      <c r="H594" s="2" t="n">
        <v>4</v>
      </c>
      <c r="I594" t="inlineStr">
        <is>
          <t>a</t>
        </is>
      </c>
      <c r="K594" s="2" t="n"/>
      <c r="M594" s="3" t="n">
        <v>0</v>
      </c>
      <c r="N594" s="8" t="n">
        <v>0</v>
      </c>
      <c r="O594" s="8" t="n">
        <v>0</v>
      </c>
      <c r="Q594" t="inlineStr">
        <is>
          <t>flat</t>
        </is>
      </c>
      <c r="R594" s="6" t="n">
        <v>0</v>
      </c>
      <c r="S594" t="inlineStr">
        <is>
          <t>Solio</t>
        </is>
      </c>
      <c r="U594" s="6" t="n">
        <v>85</v>
      </c>
      <c r="V594" s="2" t="n"/>
      <c r="W594" s="7">
        <f>IF(N(U594)&lt;=0,0,MIN(Assumptions!$B$15,N(R594)/N(U594)))</f>
        <v/>
      </c>
      <c r="X594" s="6" t="n">
        <v>0.143</v>
      </c>
      <c r="Y594" s="3" t="n"/>
      <c r="Z594" t="inlineStr"/>
      <c r="AA594" s="3" t="n">
        <v>1</v>
      </c>
      <c r="AB594" s="3" t="n"/>
      <c r="AC594" s="3" t="n"/>
      <c r="AD594" s="3" t="n"/>
      <c r="AE594" s="3" t="n">
        <v>0</v>
      </c>
      <c r="AF594" s="3" t="n">
        <v>0</v>
      </c>
      <c r="AG594" s="3" t="n"/>
      <c r="AH594" s="3" t="n"/>
      <c r="AI594" s="3" t="n">
        <v>3.9421</v>
      </c>
      <c r="AJ594" s="3" t="n">
        <v>1.99</v>
      </c>
      <c r="AK594" s="3" t="n">
        <v>-0.0763216474948735</v>
      </c>
      <c r="AL594" s="6" t="n">
        <v>0</v>
      </c>
      <c r="AM594" s="3" t="n">
        <v>0</v>
      </c>
      <c r="AN594" s="3" t="n">
        <v>0</v>
      </c>
      <c r="AO594" s="3" t="n">
        <v>0</v>
      </c>
      <c r="AP594" s="3">
        <f>N(X594)*N(BI594)</f>
        <v/>
      </c>
      <c r="AQ594" s="3" t="n">
        <v>0</v>
      </c>
      <c r="AR594" s="3" t="n">
        <v>0.979692031005534</v>
      </c>
      <c r="AS594" s="3" t="n">
        <v>-0.7496714098286652</v>
      </c>
      <c r="AT594" s="3" t="n">
        <v>-0.0763216474948735</v>
      </c>
      <c r="AU594" s="3">
        <f>SUM(AN594:AT594)</f>
        <v/>
      </c>
      <c r="AV594" s="7">
        <f>IF(OR(N(W594)&lt;=0,N(BG594)=0),0,N(W594)*IF(N(R594)/N(W594)&gt;=60,N(BG594),1))</f>
        <v/>
      </c>
      <c r="AW594" s="7">
        <f>N(W594)*N(AF594)*N(BH594)</f>
        <v/>
      </c>
      <c r="AX594" s="7">
        <f>N(AL594)*(Assumptions!$B$13*N(BJ594)-(1-Assumptions!$B$13)*Assumptions!$B$14)+N(AM594)</f>
        <v/>
      </c>
      <c r="AY594" s="7">
        <f>N(AU594)*N(R594)/90+N(AV594)+N(AW594)+N(AX594)</f>
        <v/>
      </c>
      <c r="AZ594" s="3">
        <f>IF(N(R594)&lt;=0,0,(N(AY594)-N(AX594))*90/N(R594))</f>
        <v/>
      </c>
      <c r="BA594" s="7">
        <f>IFERROR(AY594-VLOOKUP($E594,Assumptions!$A$40:$C$43,3,FALSE),"")</f>
        <v/>
      </c>
      <c r="BB594" s="3">
        <f>IFERROR(BA594/H594,"")</f>
        <v/>
      </c>
      <c r="BC594">
        <f>IF(AND($G594=TRUE,$E594="GKP"),AY594,"")</f>
        <v/>
      </c>
      <c r="BD594">
        <f>IF(AND($G594=TRUE,$E594="DEF"),AY594,"")</f>
        <v/>
      </c>
      <c r="BE594">
        <f>IF(AND($G594=TRUE,$E594="MID"),AY594,"")</f>
        <v/>
      </c>
      <c r="BF594">
        <f>IF(AND($G594=TRUE,$E594="FWD"),AY594,"")</f>
        <v/>
      </c>
      <c r="BG594" t="n">
        <v>2</v>
      </c>
      <c r="BH594" t="n">
        <v>0</v>
      </c>
      <c r="BI594" t="n">
        <v>4</v>
      </c>
      <c r="BJ594" t="n">
        <v>10</v>
      </c>
    </row>
    <row r="595">
      <c r="A595" t="inlineStr">
        <is>
          <t>Hidemasa Morita</t>
        </is>
      </c>
      <c r="B595" t="inlineStr">
        <is>
          <t>HUL</t>
        </is>
      </c>
      <c r="D595" t="b">
        <v>0</v>
      </c>
      <c r="E595" t="inlineStr">
        <is>
          <t>MID</t>
        </is>
      </c>
      <c r="G595" t="b">
        <v>1</v>
      </c>
      <c r="H595" s="2" t="n">
        <v>5</v>
      </c>
      <c r="I595" t="inlineStr">
        <is>
          <t>a</t>
        </is>
      </c>
      <c r="K595" s="2" t="n"/>
      <c r="M595" s="3" t="n">
        <v>2525</v>
      </c>
      <c r="N595" s="8" t="n">
        <v>2525</v>
      </c>
      <c r="O595" s="8" t="n">
        <v>0</v>
      </c>
      <c r="Q595" t="inlineStr">
        <is>
          <t>flat</t>
        </is>
      </c>
      <c r="R595" s="6" t="n">
        <v>2525</v>
      </c>
      <c r="S595" t="inlineStr">
        <is>
          <t>Solio</t>
        </is>
      </c>
      <c r="U595" s="6" t="n">
        <v>85</v>
      </c>
      <c r="V595" s="2" t="n"/>
      <c r="W595" s="7">
        <f>IF(N(U595)&lt;=0,0,MIN(Assumptions!$B$15,N(R595)/N(U595)))</f>
        <v/>
      </c>
      <c r="X595" s="6" t="n">
        <v>0.143</v>
      </c>
      <c r="Y595" s="3" t="n"/>
      <c r="Z595" t="inlineStr"/>
      <c r="AA595" s="3" t="n">
        <v>1</v>
      </c>
      <c r="AB595" s="3" t="n"/>
      <c r="AC595" s="3" t="n"/>
      <c r="AD595" s="3" t="n"/>
      <c r="AE595" s="3" t="n"/>
      <c r="AF595" s="3" t="n">
        <v>0</v>
      </c>
      <c r="AG595" s="3" t="n"/>
      <c r="AH595" s="3" t="n"/>
      <c r="AI595" s="3" t="n">
        <v>3.9421</v>
      </c>
      <c r="AJ595" s="3" t="n">
        <v>1.99</v>
      </c>
      <c r="AK595" s="3" t="n">
        <v>-0.2160434166173144</v>
      </c>
      <c r="AL595" s="6" t="n">
        <v>0</v>
      </c>
      <c r="AM595" s="3" t="n">
        <v>0</v>
      </c>
      <c r="AN595" s="3" t="n">
        <v>0</v>
      </c>
      <c r="AO595" s="3" t="n">
        <v>0</v>
      </c>
      <c r="AP595" s="3">
        <f>N(X595)*N(BI595)</f>
        <v/>
      </c>
      <c r="AQ595" s="3" t="n">
        <v>0</v>
      </c>
      <c r="AR595" s="3" t="n">
        <v>0</v>
      </c>
      <c r="AS595" s="3" t="n">
        <v>-0</v>
      </c>
      <c r="AT595" s="3" t="n">
        <v>-0.2160434166173144</v>
      </c>
      <c r="AU595" s="3">
        <f>SUM(AN595:AT595)</f>
        <v/>
      </c>
      <c r="AV595" s="7">
        <f>IF(OR(N(W595)&lt;=0,N(BG595)=0),0,N(W595)*IF(N(R595)/N(W595)&gt;=60,N(BG595),1))</f>
        <v/>
      </c>
      <c r="AW595" s="7">
        <f>N(W595)*N(AF595)*N(BH595)</f>
        <v/>
      </c>
      <c r="AX595" s="7">
        <f>N(AL595)*(Assumptions!$B$13*N(BJ595)-(1-Assumptions!$B$13)*Assumptions!$B$14)+N(AM595)</f>
        <v/>
      </c>
      <c r="AY595" s="7">
        <f>N(AU595)*N(R595)/90+N(AV595)+N(AW595)+N(AX595)</f>
        <v/>
      </c>
      <c r="AZ595" s="3">
        <f>IF(N(R595)&lt;=0,0,(N(AY595)-N(AX595))*90/N(R595))</f>
        <v/>
      </c>
      <c r="BA595" s="7">
        <f>IFERROR(AY595-VLOOKUP($E595,Assumptions!$A$40:$C$43,3,FALSE),"")</f>
        <v/>
      </c>
      <c r="BB595" s="3">
        <f>IFERROR(BA595/H595,"")</f>
        <v/>
      </c>
      <c r="BC595">
        <f>IF(AND($G595=TRUE,$E595="GKP"),AY595,"")</f>
        <v/>
      </c>
      <c r="BD595">
        <f>IF(AND($G595=TRUE,$E595="DEF"),AY595,"")</f>
        <v/>
      </c>
      <c r="BE595">
        <f>IF(AND($G595=TRUE,$E595="MID"),AY595,"")</f>
        <v/>
      </c>
      <c r="BF595">
        <f>IF(AND($G595=TRUE,$E595="FWD"),AY595,"")</f>
        <v/>
      </c>
      <c r="BG595" t="n">
        <v>2</v>
      </c>
      <c r="BH595" t="n">
        <v>2</v>
      </c>
      <c r="BI595" t="n">
        <v>1</v>
      </c>
      <c r="BJ595" t="n">
        <v>5</v>
      </c>
    </row>
    <row r="596">
      <c r="A596" t="inlineStr">
        <is>
          <t>Ronald Araujo</t>
        </is>
      </c>
      <c r="B596" t="inlineStr">
        <is>
          <t>LIV</t>
        </is>
      </c>
      <c r="D596" t="b">
        <v>0</v>
      </c>
      <c r="E596" t="inlineStr">
        <is>
          <t>DEF</t>
        </is>
      </c>
      <c r="G596" t="b">
        <v>1</v>
      </c>
      <c r="H596" s="2" t="n">
        <v>5.5</v>
      </c>
      <c r="I596" t="inlineStr">
        <is>
          <t>a</t>
        </is>
      </c>
      <c r="K596" s="2" t="n"/>
      <c r="M596" s="3" t="n">
        <v>1984</v>
      </c>
      <c r="N596" s="4" t="n">
        <v>2340</v>
      </c>
      <c r="O596" s="4" t="n">
        <v>356</v>
      </c>
      <c r="P596" s="5" t="inlineStr">
        <is>
          <t>medium</t>
        </is>
      </c>
      <c r="Q596" t="inlineStr">
        <is>
          <t>flat</t>
        </is>
      </c>
      <c r="R596" s="6" t="n">
        <v>2340</v>
      </c>
      <c r="S596" t="inlineStr">
        <is>
          <t>research</t>
        </is>
      </c>
      <c r="T596" s="5" t="inlineStr">
        <is>
          <t>Signed on loan from Barcelona on 11 August. This Is Anfield: 'With Jacquet still building up fitness and Joe Gomez sidelined, the starting spot alongside Van Dijk at St James' Park appears to be Araujo's to lose.' He is also the emergency right-back cover. Solio's 1984 under-rates a player who starts the season as the first-choice partner to Van Dijk.</t>
        </is>
      </c>
      <c r="U596" s="6" t="n">
        <v>85</v>
      </c>
      <c r="V596" s="2" t="n"/>
      <c r="W596" s="7">
        <f>IF(N(U596)&lt;=0,0,MIN(Assumptions!$B$15,N(R596)/N(U596)))</f>
        <v/>
      </c>
      <c r="X596" s="6" t="n">
        <v>0.342</v>
      </c>
      <c r="Y596" s="3" t="n"/>
      <c r="Z596" t="inlineStr"/>
      <c r="AA596" s="3" t="n">
        <v>1</v>
      </c>
      <c r="AB596" s="3" t="n"/>
      <c r="AC596" s="3" t="n"/>
      <c r="AD596" s="3" t="n"/>
      <c r="AE596" s="3" t="n"/>
      <c r="AF596" s="3" t="n">
        <v>0</v>
      </c>
      <c r="AG596" s="3" t="n"/>
      <c r="AH596" s="3" t="n"/>
      <c r="AI596" s="3" t="n">
        <v>2.409</v>
      </c>
      <c r="AJ596" s="3" t="n">
        <v>1.1228</v>
      </c>
      <c r="AK596" s="3" t="n">
        <v>-0.2045226422080557</v>
      </c>
      <c r="AL596" s="6" t="n">
        <v>0</v>
      </c>
      <c r="AM596" s="3" t="n">
        <v>0</v>
      </c>
      <c r="AN596" s="3" t="n">
        <v>0</v>
      </c>
      <c r="AO596" s="3" t="n">
        <v>0</v>
      </c>
      <c r="AP596" s="3">
        <f>N(X596)*N(BI596)</f>
        <v/>
      </c>
      <c r="AQ596" s="3" t="n">
        <v>0</v>
      </c>
      <c r="AR596" s="3" t="n">
        <v>0</v>
      </c>
      <c r="AS596" s="3" t="n">
        <v>-0.3378660007281162</v>
      </c>
      <c r="AT596" s="3" t="n">
        <v>-0.2045226422080557</v>
      </c>
      <c r="AU596" s="3">
        <f>SUM(AN596:AT596)</f>
        <v/>
      </c>
      <c r="AV596" s="7">
        <f>IF(OR(N(W596)&lt;=0,N(BG596)=0),0,N(W596)*IF(N(R596)/N(W596)&gt;=60,N(BG596),1))</f>
        <v/>
      </c>
      <c r="AW596" s="7">
        <f>N(W596)*N(AF596)*N(BH596)</f>
        <v/>
      </c>
      <c r="AX596" s="7">
        <f>N(AL596)*(Assumptions!$B$13*N(BJ596)-(1-Assumptions!$B$13)*Assumptions!$B$14)+N(AM596)</f>
        <v/>
      </c>
      <c r="AY596" s="7">
        <f>N(AU596)*N(R596)/90+N(AV596)+N(AW596)+N(AX596)</f>
        <v/>
      </c>
      <c r="AZ596" s="3">
        <f>IF(N(R596)&lt;=0,0,(N(AY596)-N(AX596))*90/N(R596))</f>
        <v/>
      </c>
      <c r="BA596" s="7">
        <f>IFERROR(AY596-VLOOKUP($E596,Assumptions!$A$40:$C$43,3,FALSE),"")</f>
        <v/>
      </c>
      <c r="BB596" s="3">
        <f>IFERROR(BA596/H596,"")</f>
        <v/>
      </c>
      <c r="BC596">
        <f>IF(AND($G596=TRUE,$E596="GKP"),AY596,"")</f>
        <v/>
      </c>
      <c r="BD596">
        <f>IF(AND($G596=TRUE,$E596="DEF"),AY596,"")</f>
        <v/>
      </c>
      <c r="BE596">
        <f>IF(AND($G596=TRUE,$E596="MID"),AY596,"")</f>
        <v/>
      </c>
      <c r="BF596">
        <f>IF(AND($G596=TRUE,$E596="FWD"),AY596,"")</f>
        <v/>
      </c>
      <c r="BG596" t="n">
        <v>2</v>
      </c>
      <c r="BH596" t="n">
        <v>2</v>
      </c>
      <c r="BI596" t="n">
        <v>4</v>
      </c>
      <c r="BJ596" t="n">
        <v>6</v>
      </c>
    </row>
    <row r="597">
      <c r="A597" t="inlineStr">
        <is>
          <t>Matty Jacob</t>
        </is>
      </c>
      <c r="B597" t="inlineStr">
        <is>
          <t>HUL</t>
        </is>
      </c>
      <c r="D597" t="b">
        <v>0</v>
      </c>
      <c r="E597" t="inlineStr">
        <is>
          <t>DEF</t>
        </is>
      </c>
      <c r="G597" t="b">
        <v>1</v>
      </c>
      <c r="H597" s="2" t="n">
        <v>4</v>
      </c>
      <c r="I597" t="inlineStr">
        <is>
          <t>d</t>
        </is>
      </c>
      <c r="J597" t="inlineStr">
        <is>
          <t>Hip injury - 75% chance of playing</t>
        </is>
      </c>
      <c r="K597" s="2" t="n"/>
      <c r="M597" s="3" t="n">
        <v>38</v>
      </c>
      <c r="N597" s="8" t="n">
        <v>38</v>
      </c>
      <c r="O597" s="8" t="n">
        <v>0</v>
      </c>
      <c r="Q597" t="inlineStr">
        <is>
          <t>flat</t>
        </is>
      </c>
      <c r="R597" s="6" t="n">
        <v>38</v>
      </c>
      <c r="S597" t="inlineStr">
        <is>
          <t>Solio</t>
        </is>
      </c>
      <c r="U597" s="6" t="n">
        <v>85</v>
      </c>
      <c r="V597" s="2" t="n"/>
      <c r="W597" s="7">
        <f>IF(N(U597)&lt;=0,0,MIN(Assumptions!$B$15,N(R597)/N(U597)))</f>
        <v/>
      </c>
      <c r="X597" s="6" t="n">
        <v>0.143</v>
      </c>
      <c r="Y597" s="3" t="n"/>
      <c r="Z597" t="inlineStr"/>
      <c r="AA597" s="3" t="n">
        <v>1</v>
      </c>
      <c r="AB597" s="3" t="n"/>
      <c r="AC597" s="3" t="n"/>
      <c r="AD597" s="3" t="n"/>
      <c r="AE597" s="3" t="n"/>
      <c r="AF597" s="3" t="n">
        <v>0</v>
      </c>
      <c r="AG597" s="3" t="n"/>
      <c r="AH597" s="3" t="n"/>
      <c r="AI597" s="3" t="n">
        <v>3.9421</v>
      </c>
      <c r="AJ597" s="3" t="n">
        <v>1.99</v>
      </c>
      <c r="AK597" s="3" t="n">
        <v>-0.2045226422080557</v>
      </c>
      <c r="AL597" s="6" t="n">
        <v>0</v>
      </c>
      <c r="AM597" s="3" t="n">
        <v>0</v>
      </c>
      <c r="AN597" s="3" t="n">
        <v>0</v>
      </c>
      <c r="AO597" s="3" t="n">
        <v>0</v>
      </c>
      <c r="AP597" s="3">
        <f>N(X597)*N(BI597)</f>
        <v/>
      </c>
      <c r="AQ597" s="3" t="n">
        <v>0</v>
      </c>
      <c r="AR597" s="3" t="n">
        <v>0</v>
      </c>
      <c r="AS597" s="3" t="n">
        <v>-0.7496714098286652</v>
      </c>
      <c r="AT597" s="3" t="n">
        <v>-0.2045226422080557</v>
      </c>
      <c r="AU597" s="3">
        <f>SUM(AN597:AT597)</f>
        <v/>
      </c>
      <c r="AV597" s="7">
        <f>IF(OR(N(W597)&lt;=0,N(BG597)=0),0,N(W597)*IF(N(R597)/N(W597)&gt;=60,N(BG597),1))</f>
        <v/>
      </c>
      <c r="AW597" s="7">
        <f>N(W597)*N(AF597)*N(BH597)</f>
        <v/>
      </c>
      <c r="AX597" s="7">
        <f>N(AL597)*(Assumptions!$B$13*N(BJ597)-(1-Assumptions!$B$13)*Assumptions!$B$14)+N(AM597)</f>
        <v/>
      </c>
      <c r="AY597" s="7">
        <f>N(AU597)*N(R597)/90+N(AV597)+N(AW597)+N(AX597)</f>
        <v/>
      </c>
      <c r="AZ597" s="3">
        <f>IF(N(R597)&lt;=0,0,(N(AY597)-N(AX597))*90/N(R597))</f>
        <v/>
      </c>
      <c r="BA597" s="7">
        <f>IFERROR(AY597-VLOOKUP($E597,Assumptions!$A$40:$C$43,3,FALSE),"")</f>
        <v/>
      </c>
      <c r="BB597" s="3">
        <f>IFERROR(BA597/H597,"")</f>
        <v/>
      </c>
      <c r="BC597">
        <f>IF(AND($G597=TRUE,$E597="GKP"),AY597,"")</f>
        <v/>
      </c>
      <c r="BD597">
        <f>IF(AND($G597=TRUE,$E597="DEF"),AY597,"")</f>
        <v/>
      </c>
      <c r="BE597">
        <f>IF(AND($G597=TRUE,$E597="MID"),AY597,"")</f>
        <v/>
      </c>
      <c r="BF597">
        <f>IF(AND($G597=TRUE,$E597="FWD"),AY597,"")</f>
        <v/>
      </c>
      <c r="BG597" t="n">
        <v>2</v>
      </c>
      <c r="BH597" t="n">
        <v>2</v>
      </c>
      <c r="BI597" t="n">
        <v>4</v>
      </c>
      <c r="BJ597" t="n">
        <v>6</v>
      </c>
    </row>
    <row r="598">
      <c r="A598" t="inlineStr">
        <is>
          <t>Jacob Greaves</t>
        </is>
      </c>
      <c r="B598" t="inlineStr">
        <is>
          <t>IPS</t>
        </is>
      </c>
      <c r="D598" t="b">
        <v>0</v>
      </c>
      <c r="E598" t="inlineStr">
        <is>
          <t>DEF</t>
        </is>
      </c>
      <c r="G598" t="b">
        <v>1</v>
      </c>
      <c r="H598" s="2" t="n">
        <v>4</v>
      </c>
      <c r="I598" t="inlineStr">
        <is>
          <t>a</t>
        </is>
      </c>
      <c r="K598" s="2" t="n"/>
      <c r="M598" s="3" t="n">
        <v>1533</v>
      </c>
      <c r="N598" s="8" t="n">
        <v>1533</v>
      </c>
      <c r="O598" s="8" t="n">
        <v>0</v>
      </c>
      <c r="Q598" t="inlineStr">
        <is>
          <t>flat</t>
        </is>
      </c>
      <c r="R598" s="6" t="n">
        <v>1533</v>
      </c>
      <c r="S598" t="inlineStr">
        <is>
          <t>Solio</t>
        </is>
      </c>
      <c r="U598" s="6" t="n">
        <v>85</v>
      </c>
      <c r="V598" s="2" t="n"/>
      <c r="W598" s="7">
        <f>IF(N(U598)&lt;=0,0,MIN(Assumptions!$B$15,N(R598)/N(U598)))</f>
        <v/>
      </c>
      <c r="X598" s="6" t="n">
        <v>0.17</v>
      </c>
      <c r="Y598" s="3" t="n"/>
      <c r="Z598" t="inlineStr"/>
      <c r="AA598" s="3" t="n">
        <v>1</v>
      </c>
      <c r="AB598" s="3" t="n"/>
      <c r="AC598" s="3" t="n"/>
      <c r="AD598" s="3" t="n"/>
      <c r="AE598" s="3" t="n"/>
      <c r="AF598" s="3" t="n">
        <v>0</v>
      </c>
      <c r="AG598" s="3" t="n"/>
      <c r="AH598" s="3" t="n"/>
      <c r="AI598" s="3" t="n">
        <v>3.5741</v>
      </c>
      <c r="AJ598" s="3" t="n">
        <v>1.8319</v>
      </c>
      <c r="AK598" s="3" t="n">
        <v>-0.2144621594178463</v>
      </c>
      <c r="AL598" s="6" t="n">
        <v>0</v>
      </c>
      <c r="AM598" s="3" t="n">
        <v>0</v>
      </c>
      <c r="AN598" s="3" t="n">
        <v>0</v>
      </c>
      <c r="AO598" s="3" t="n">
        <v>0</v>
      </c>
      <c r="AP598" s="3">
        <f>N(X598)*N(BI598)</f>
        <v/>
      </c>
      <c r="AQ598" s="3" t="n">
        <v>0</v>
      </c>
      <c r="AR598" s="3" t="n">
        <v>0</v>
      </c>
      <c r="AS598" s="3" t="n">
        <v>-0.6723587286814016</v>
      </c>
      <c r="AT598" s="3" t="n">
        <v>-0.2144621594178463</v>
      </c>
      <c r="AU598" s="3">
        <f>SUM(AN598:AT598)</f>
        <v/>
      </c>
      <c r="AV598" s="7">
        <f>IF(OR(N(W598)&lt;=0,N(BG598)=0),0,N(W598)*IF(N(R598)/N(W598)&gt;=60,N(BG598),1))</f>
        <v/>
      </c>
      <c r="AW598" s="7">
        <f>N(W598)*N(AF598)*N(BH598)</f>
        <v/>
      </c>
      <c r="AX598" s="7">
        <f>N(AL598)*(Assumptions!$B$13*N(BJ598)-(1-Assumptions!$B$13)*Assumptions!$B$14)+N(AM598)</f>
        <v/>
      </c>
      <c r="AY598" s="7">
        <f>N(AU598)*N(R598)/90+N(AV598)+N(AW598)+N(AX598)</f>
        <v/>
      </c>
      <c r="AZ598" s="3">
        <f>IF(N(R598)&lt;=0,0,(N(AY598)-N(AX598))*90/N(R598))</f>
        <v/>
      </c>
      <c r="BA598" s="7">
        <f>IFERROR(AY598-VLOOKUP($E598,Assumptions!$A$40:$C$43,3,FALSE),"")</f>
        <v/>
      </c>
      <c r="BB598" s="3">
        <f>IFERROR(BA598/H598,"")</f>
        <v/>
      </c>
      <c r="BC598">
        <f>IF(AND($G598=TRUE,$E598="GKP"),AY598,"")</f>
        <v/>
      </c>
      <c r="BD598">
        <f>IF(AND($G598=TRUE,$E598="DEF"),AY598,"")</f>
        <v/>
      </c>
      <c r="BE598">
        <f>IF(AND($G598=TRUE,$E598="MID"),AY598,"")</f>
        <v/>
      </c>
      <c r="BF598">
        <f>IF(AND($G598=TRUE,$E598="FWD"),AY598,"")</f>
        <v/>
      </c>
      <c r="BG598" t="n">
        <v>2</v>
      </c>
      <c r="BH598" t="n">
        <v>2</v>
      </c>
      <c r="BI598" t="n">
        <v>4</v>
      </c>
      <c r="BJ598" t="n">
        <v>6</v>
      </c>
    </row>
    <row r="599">
      <c r="A599" t="inlineStr">
        <is>
          <t>Crysencio Summerville</t>
        </is>
      </c>
      <c r="C599" t="inlineStr">
        <is>
          <t>WHU</t>
        </is>
      </c>
      <c r="D599" t="b">
        <v>0</v>
      </c>
      <c r="F599" t="inlineStr">
        <is>
          <t>MID</t>
        </is>
      </c>
      <c r="G599" t="b">
        <v>0</v>
      </c>
      <c r="H599" s="2" t="n"/>
      <c r="K599" s="2" t="n">
        <v>2480</v>
      </c>
      <c r="M599" s="3" t="n"/>
      <c r="N599" s="8" t="n">
        <v>2480</v>
      </c>
      <c r="O599" s="8" t="n">
        <v>0</v>
      </c>
      <c r="R599" s="6" t="n">
        <v>2480</v>
      </c>
      <c r="S599" t="inlineStr">
        <is>
          <t>25/26 actual</t>
        </is>
      </c>
      <c r="U599" s="6" t="n">
        <v>83</v>
      </c>
      <c r="V599" s="2" t="n">
        <v>29</v>
      </c>
      <c r="W599" s="7">
        <f>IF(N(U599)&lt;=0,0,MIN(Assumptions!$B$15,N(R599)/N(U599)))</f>
        <v/>
      </c>
      <c r="X599" s="6" t="n"/>
      <c r="Y599" s="3" t="n">
        <v>0.2029</v>
      </c>
      <c r="Z599" t="inlineStr">
        <is>
          <t>adjusted xGOT</t>
        </is>
      </c>
      <c r="AA599" s="3" t="n">
        <v>1</v>
      </c>
      <c r="AB599" s="3" t="n">
        <v>1.03</v>
      </c>
      <c r="AC599" s="3" t="n">
        <v>9.9</v>
      </c>
      <c r="AD599" s="3" t="n">
        <v>0.1174</v>
      </c>
      <c r="AE599" s="3" t="n">
        <v>8.002000000000001</v>
      </c>
      <c r="AF599" s="3" t="n">
        <v>0</v>
      </c>
      <c r="AG599" s="3" t="n">
        <v>0.3266</v>
      </c>
      <c r="AH599" s="3" t="n">
        <v>59</v>
      </c>
      <c r="AI599" s="3" t="n"/>
      <c r="AJ599" s="3" t="n"/>
      <c r="AK599" s="3" t="n"/>
      <c r="AL599" s="6" t="n">
        <v>0</v>
      </c>
      <c r="AM599" s="3" t="n">
        <v>0</v>
      </c>
      <c r="AN599" s="3" t="n">
        <v>0</v>
      </c>
      <c r="AO599" s="3" t="n">
        <v>0</v>
      </c>
      <c r="AP599" s="3">
        <f>N(X599)*N(BI599)</f>
        <v/>
      </c>
      <c r="AQ599" s="3" t="n">
        <v>0</v>
      </c>
      <c r="AR599" s="3" t="n">
        <v>0</v>
      </c>
      <c r="AS599" s="3" t="n">
        <v>0</v>
      </c>
      <c r="AT599" s="3" t="n">
        <v>0</v>
      </c>
      <c r="AU599" s="3">
        <f>SUM(AN599:AT599)</f>
        <v/>
      </c>
      <c r="AV599" s="7">
        <f>IF(OR(N(W599)&lt;=0,N(BG599)=0),0,N(W599)*IF(N(R599)/N(W599)&gt;=60,N(BG599),1))</f>
        <v/>
      </c>
      <c r="AW599" s="7">
        <f>N(W599)*N(AF599)*N(BH599)</f>
        <v/>
      </c>
      <c r="AX599" s="7">
        <f>N(AL599)*(Assumptions!$B$13*N(BJ599)-(1-Assumptions!$B$13)*Assumptions!$B$14)+N(AM599)</f>
        <v/>
      </c>
      <c r="AY599" s="7">
        <f>N(AU599)*N(R599)/90+N(AV599)+N(AW599)+N(AX599)</f>
        <v/>
      </c>
      <c r="AZ599" s="3">
        <f>IF(N(R599)&lt;=0,0,(N(AY599)-N(AX599))*90/N(R599))</f>
        <v/>
      </c>
      <c r="BA599" s="7">
        <f>IFERROR(AY599-VLOOKUP($E599,Assumptions!$A$40:$C$43,3,FALSE),"")</f>
        <v/>
      </c>
      <c r="BB599" s="3">
        <f>IFERROR(BA599/H599,"")</f>
        <v/>
      </c>
      <c r="BC599">
        <f>IF(AND($G599=TRUE,$E599="GKP"),AY599,"")</f>
        <v/>
      </c>
      <c r="BD599">
        <f>IF(AND($G599=TRUE,$E599="DEF"),AY599,"")</f>
        <v/>
      </c>
      <c r="BE599">
        <f>IF(AND($G599=TRUE,$E599="MID"),AY599,"")</f>
        <v/>
      </c>
      <c r="BF599">
        <f>IF(AND($G599=TRUE,$E599="FWD"),AY599,"")</f>
        <v/>
      </c>
      <c r="BG599" t="n">
        <v>0</v>
      </c>
      <c r="BH599" t="n">
        <v>0</v>
      </c>
      <c r="BI599" t="n">
        <v>0</v>
      </c>
      <c r="BJ599" t="n">
        <v>0</v>
      </c>
    </row>
    <row r="600">
      <c r="A600" t="inlineStr">
        <is>
          <t>Myles Peart-Harris</t>
        </is>
      </c>
      <c r="C600" t="inlineStr">
        <is>
          <t>BRE</t>
        </is>
      </c>
      <c r="D600" t="b">
        <v>0</v>
      </c>
      <c r="F600" t="inlineStr">
        <is>
          <t>MID</t>
        </is>
      </c>
      <c r="G600" t="b">
        <v>0</v>
      </c>
      <c r="H600" s="2" t="n"/>
      <c r="K600" s="2" t="n">
        <v>1</v>
      </c>
      <c r="M600" s="3" t="n"/>
      <c r="N600" s="8" t="n">
        <v>1</v>
      </c>
      <c r="O600" s="8" t="n">
        <v>0</v>
      </c>
      <c r="R600" s="6" t="n">
        <v>1</v>
      </c>
      <c r="S600" t="inlineStr">
        <is>
          <t>25/26 actual</t>
        </is>
      </c>
      <c r="U600" s="6" t="n">
        <v>80.09999999999999</v>
      </c>
      <c r="V600" s="2" t="n">
        <v>0</v>
      </c>
      <c r="W600" s="7">
        <f>IF(N(U600)&lt;=0,0,MIN(Assumptions!$B$15,N(R600)/N(U600)))</f>
        <v/>
      </c>
      <c r="X600" s="6" t="n"/>
      <c r="Y600" s="3" t="n">
        <v>0</v>
      </c>
      <c r="Z600" t="inlineStr">
        <is>
          <t>blended xG</t>
        </is>
      </c>
      <c r="AA600" s="3" t="n">
        <v>1</v>
      </c>
      <c r="AB600" s="3" t="n">
        <v>1</v>
      </c>
      <c r="AC600" s="3" t="n">
        <v>0</v>
      </c>
      <c r="AD600" s="3" t="n">
        <v>0</v>
      </c>
      <c r="AE600" s="3" t="n">
        <v>8.565</v>
      </c>
      <c r="AF600" s="3" t="n">
        <v>0</v>
      </c>
      <c r="AG600" s="3" t="n">
        <v>0</v>
      </c>
      <c r="AH600" s="3" t="n">
        <v>1</v>
      </c>
      <c r="AI600" s="3" t="n"/>
      <c r="AJ600" s="3" t="n"/>
      <c r="AK600" s="3" t="n"/>
      <c r="AL600" s="6" t="n">
        <v>0</v>
      </c>
      <c r="AM600" s="3" t="n">
        <v>0</v>
      </c>
      <c r="AN600" s="3" t="n">
        <v>0</v>
      </c>
      <c r="AO600" s="3" t="n">
        <v>0</v>
      </c>
      <c r="AP600" s="3">
        <f>N(X600)*N(BI600)</f>
        <v/>
      </c>
      <c r="AQ600" s="3" t="n">
        <v>0</v>
      </c>
      <c r="AR600" s="3" t="n">
        <v>0</v>
      </c>
      <c r="AS600" s="3" t="n">
        <v>0</v>
      </c>
      <c r="AT600" s="3" t="n">
        <v>0</v>
      </c>
      <c r="AU600" s="3">
        <f>SUM(AN600:AT600)</f>
        <v/>
      </c>
      <c r="AV600" s="7">
        <f>IF(OR(N(W600)&lt;=0,N(BG600)=0),0,N(W600)*IF(N(R600)/N(W600)&gt;=60,N(BG600),1))</f>
        <v/>
      </c>
      <c r="AW600" s="7">
        <f>N(W600)*N(AF600)*N(BH600)</f>
        <v/>
      </c>
      <c r="AX600" s="7">
        <f>N(AL600)*(Assumptions!$B$13*N(BJ600)-(1-Assumptions!$B$13)*Assumptions!$B$14)+N(AM600)</f>
        <v/>
      </c>
      <c r="AY600" s="7">
        <f>N(AU600)*N(R600)/90+N(AV600)+N(AW600)+N(AX600)</f>
        <v/>
      </c>
      <c r="AZ600" s="3">
        <f>IF(N(R600)&lt;=0,0,(N(AY600)-N(AX600))*90/N(R600))</f>
        <v/>
      </c>
      <c r="BA600" s="7">
        <f>IFERROR(AY600-VLOOKUP($E600,Assumptions!$A$40:$C$43,3,FALSE),"")</f>
        <v/>
      </c>
      <c r="BB600" s="3">
        <f>IFERROR(BA600/H600,"")</f>
        <v/>
      </c>
      <c r="BC600">
        <f>IF(AND($G600=TRUE,$E600="GKP"),AY600,"")</f>
        <v/>
      </c>
      <c r="BD600">
        <f>IF(AND($G600=TRUE,$E600="DEF"),AY600,"")</f>
        <v/>
      </c>
      <c r="BE600">
        <f>IF(AND($G600=TRUE,$E600="MID"),AY600,"")</f>
        <v/>
      </c>
      <c r="BF600">
        <f>IF(AND($G600=TRUE,$E600="FWD"),AY600,"")</f>
        <v/>
      </c>
      <c r="BG600" t="n">
        <v>0</v>
      </c>
      <c r="BH600" t="n">
        <v>0</v>
      </c>
      <c r="BI600" t="n">
        <v>0</v>
      </c>
      <c r="BJ600" t="n">
        <v>0</v>
      </c>
    </row>
    <row r="601">
      <c r="A601" t="inlineStr">
        <is>
          <t>Milan van Ewijk</t>
        </is>
      </c>
      <c r="B601" t="inlineStr">
        <is>
          <t>COV</t>
        </is>
      </c>
      <c r="D601" t="b">
        <v>0</v>
      </c>
      <c r="E601" t="inlineStr">
        <is>
          <t>DEF</t>
        </is>
      </c>
      <c r="G601" t="b">
        <v>1</v>
      </c>
      <c r="H601" s="2" t="n">
        <v>4</v>
      </c>
      <c r="I601" t="inlineStr">
        <is>
          <t>a</t>
        </is>
      </c>
      <c r="K601" s="2" t="n"/>
      <c r="M601" s="3" t="n">
        <v>3342</v>
      </c>
      <c r="N601" s="8" t="n">
        <v>3342</v>
      </c>
      <c r="O601" s="8" t="n">
        <v>0</v>
      </c>
      <c r="Q601" t="inlineStr">
        <is>
          <t>flat</t>
        </is>
      </c>
      <c r="R601" s="6" t="n">
        <v>3342</v>
      </c>
      <c r="S601" t="inlineStr">
        <is>
          <t>Solio</t>
        </is>
      </c>
      <c r="U601" s="6" t="n">
        <v>85</v>
      </c>
      <c r="V601" s="2" t="n"/>
      <c r="W601" s="7">
        <f>IF(N(U601)&lt;=0,0,MIN(Assumptions!$B$15,N(R601)/N(U601)))</f>
        <v/>
      </c>
      <c r="X601" s="6" t="n">
        <v>0.17</v>
      </c>
      <c r="Y601" s="3" t="n"/>
      <c r="Z601" t="inlineStr"/>
      <c r="AA601" s="3" t="n">
        <v>1</v>
      </c>
      <c r="AB601" s="3" t="n"/>
      <c r="AC601" s="3" t="n"/>
      <c r="AD601" s="3" t="n"/>
      <c r="AE601" s="3" t="n"/>
      <c r="AF601" s="3" t="n">
        <v>0</v>
      </c>
      <c r="AG601" s="3" t="n"/>
      <c r="AH601" s="3" t="n"/>
      <c r="AI601" s="3" t="n">
        <v>3.6194</v>
      </c>
      <c r="AJ601" s="3" t="n">
        <v>1.8271</v>
      </c>
      <c r="AK601" s="3" t="n">
        <v>-0.2045226422080557</v>
      </c>
      <c r="AL601" s="6" t="n">
        <v>0</v>
      </c>
      <c r="AM601" s="3" t="n">
        <v>0</v>
      </c>
      <c r="AN601" s="3" t="n">
        <v>0</v>
      </c>
      <c r="AO601" s="3" t="n">
        <v>0</v>
      </c>
      <c r="AP601" s="3">
        <f>N(X601)*N(BI601)</f>
        <v/>
      </c>
      <c r="AQ601" s="3" t="n">
        <v>0</v>
      </c>
      <c r="AR601" s="3" t="n">
        <v>0</v>
      </c>
      <c r="AS601" s="3" t="n">
        <v>-0.670020548738316</v>
      </c>
      <c r="AT601" s="3" t="n">
        <v>-0.2045226422080557</v>
      </c>
      <c r="AU601" s="3">
        <f>SUM(AN601:AT601)</f>
        <v/>
      </c>
      <c r="AV601" s="7">
        <f>IF(OR(N(W601)&lt;=0,N(BG601)=0),0,N(W601)*IF(N(R601)/N(W601)&gt;=60,N(BG601),1))</f>
        <v/>
      </c>
      <c r="AW601" s="7">
        <f>N(W601)*N(AF601)*N(BH601)</f>
        <v/>
      </c>
      <c r="AX601" s="7">
        <f>N(AL601)*(Assumptions!$B$13*N(BJ601)-(1-Assumptions!$B$13)*Assumptions!$B$14)+N(AM601)</f>
        <v/>
      </c>
      <c r="AY601" s="7">
        <f>N(AU601)*N(R601)/90+N(AV601)+N(AW601)+N(AX601)</f>
        <v/>
      </c>
      <c r="AZ601" s="3">
        <f>IF(N(R601)&lt;=0,0,(N(AY601)-N(AX601))*90/N(R601))</f>
        <v/>
      </c>
      <c r="BA601" s="7">
        <f>IFERROR(AY601-VLOOKUP($E601,Assumptions!$A$40:$C$43,3,FALSE),"")</f>
        <v/>
      </c>
      <c r="BB601" s="3">
        <f>IFERROR(BA601/H601,"")</f>
        <v/>
      </c>
      <c r="BC601">
        <f>IF(AND($G601=TRUE,$E601="GKP"),AY601,"")</f>
        <v/>
      </c>
      <c r="BD601">
        <f>IF(AND($G601=TRUE,$E601="DEF"),AY601,"")</f>
        <v/>
      </c>
      <c r="BE601">
        <f>IF(AND($G601=TRUE,$E601="MID"),AY601,"")</f>
        <v/>
      </c>
      <c r="BF601">
        <f>IF(AND($G601=TRUE,$E601="FWD"),AY601,"")</f>
        <v/>
      </c>
      <c r="BG601" t="n">
        <v>2</v>
      </c>
      <c r="BH601" t="n">
        <v>2</v>
      </c>
      <c r="BI601" t="n">
        <v>4</v>
      </c>
      <c r="BJ601" t="n">
        <v>6</v>
      </c>
    </row>
    <row r="602">
      <c r="A602" t="inlineStr">
        <is>
          <t>João Pedro Loureiro da Costa</t>
        </is>
      </c>
      <c r="B602" t="inlineStr">
        <is>
          <t>BHA</t>
        </is>
      </c>
      <c r="D602" t="b">
        <v>0</v>
      </c>
      <c r="E602" t="inlineStr">
        <is>
          <t>DEF</t>
        </is>
      </c>
      <c r="G602" t="b">
        <v>1</v>
      </c>
      <c r="H602" s="2" t="n">
        <v>4.5</v>
      </c>
      <c r="I602" t="inlineStr">
        <is>
          <t>a</t>
        </is>
      </c>
      <c r="K602" s="2" t="n"/>
      <c r="M602" s="3" t="n">
        <v>346</v>
      </c>
      <c r="N602" s="4" t="n">
        <v>650</v>
      </c>
      <c r="O602" s="4" t="n">
        <v>304</v>
      </c>
      <c r="P602" s="5" t="inlineStr">
        <is>
          <t>medium</t>
        </is>
      </c>
      <c r="Q602" t="inlineStr">
        <is>
          <t>flat</t>
        </is>
      </c>
      <c r="R602" s="6" t="n">
        <v>650</v>
      </c>
      <c r="S602" t="inlineStr">
        <is>
          <t>research</t>
        </is>
      </c>
      <c r="T602" s="5" t="inlineStr">
        <is>
          <t>Signed from Olympiacos for GBP 11m on 15 Jun 2026 as a right-back, and Solio's 346 minutes carries a null 2025/26 record, i.e. it is a no-data placeholder rather than a judgement. He came off the bench in both August friendlies (59' v Roma, 78' v Bologna). Wieffer is clearly ahead of him, so this is a backup allocation with Conference League starts, not a starter's.</t>
        </is>
      </c>
      <c r="U602" s="6" t="n">
        <v>85</v>
      </c>
      <c r="V602" s="2" t="n"/>
      <c r="W602" s="7">
        <f>IF(N(U602)&lt;=0,0,MIN(Assumptions!$B$15,N(R602)/N(U602)))</f>
        <v/>
      </c>
      <c r="X602" s="6" t="n">
        <v>0.252</v>
      </c>
      <c r="Y602" s="3" t="n"/>
      <c r="Z602" t="inlineStr"/>
      <c r="AA602" s="3" t="n">
        <v>1</v>
      </c>
      <c r="AB602" s="3" t="n"/>
      <c r="AC602" s="3" t="n"/>
      <c r="AD602" s="3" t="n"/>
      <c r="AE602" s="3" t="n"/>
      <c r="AF602" s="3" t="n">
        <v>0</v>
      </c>
      <c r="AG602" s="3" t="n"/>
      <c r="AH602" s="3" t="n"/>
      <c r="AI602" s="3" t="n">
        <v>2.8404</v>
      </c>
      <c r="AJ602" s="3" t="n">
        <v>1.439</v>
      </c>
      <c r="AK602" s="3" t="n">
        <v>-0.2045226422080557</v>
      </c>
      <c r="AL602" s="6" t="n">
        <v>0</v>
      </c>
      <c r="AM602" s="3" t="n">
        <v>0</v>
      </c>
      <c r="AN602" s="3" t="n">
        <v>0</v>
      </c>
      <c r="AO602" s="3" t="n">
        <v>0</v>
      </c>
      <c r="AP602" s="3">
        <f>N(X602)*N(BI602)</f>
        <v/>
      </c>
      <c r="AQ602" s="3" t="n">
        <v>0</v>
      </c>
      <c r="AR602" s="3" t="n">
        <v>0</v>
      </c>
      <c r="AS602" s="3" t="n">
        <v>-0.4835617861760246</v>
      </c>
      <c r="AT602" s="3" t="n">
        <v>-0.2045226422080557</v>
      </c>
      <c r="AU602" s="3">
        <f>SUM(AN602:AT602)</f>
        <v/>
      </c>
      <c r="AV602" s="7">
        <f>IF(OR(N(W602)&lt;=0,N(BG602)=0),0,N(W602)*IF(N(R602)/N(W602)&gt;=60,N(BG602),1))</f>
        <v/>
      </c>
      <c r="AW602" s="7">
        <f>N(W602)*N(AF602)*N(BH602)</f>
        <v/>
      </c>
      <c r="AX602" s="7">
        <f>N(AL602)*(Assumptions!$B$13*N(BJ602)-(1-Assumptions!$B$13)*Assumptions!$B$14)+N(AM602)</f>
        <v/>
      </c>
      <c r="AY602" s="7">
        <f>N(AU602)*N(R602)/90+N(AV602)+N(AW602)+N(AX602)</f>
        <v/>
      </c>
      <c r="AZ602" s="3">
        <f>IF(N(R602)&lt;=0,0,(N(AY602)-N(AX602))*90/N(R602))</f>
        <v/>
      </c>
      <c r="BA602" s="7">
        <f>IFERROR(AY602-VLOOKUP($E602,Assumptions!$A$40:$C$43,3,FALSE),"")</f>
        <v/>
      </c>
      <c r="BB602" s="3">
        <f>IFERROR(BA602/H602,"")</f>
        <v/>
      </c>
      <c r="BC602">
        <f>IF(AND($G602=TRUE,$E602="GKP"),AY602,"")</f>
        <v/>
      </c>
      <c r="BD602">
        <f>IF(AND($G602=TRUE,$E602="DEF"),AY602,"")</f>
        <v/>
      </c>
      <c r="BE602">
        <f>IF(AND($G602=TRUE,$E602="MID"),AY602,"")</f>
        <v/>
      </c>
      <c r="BF602">
        <f>IF(AND($G602=TRUE,$E602="FWD"),AY602,"")</f>
        <v/>
      </c>
      <c r="BG602" t="n">
        <v>2</v>
      </c>
      <c r="BH602" t="n">
        <v>2</v>
      </c>
      <c r="BI602" t="n">
        <v>4</v>
      </c>
      <c r="BJ602" t="n">
        <v>6</v>
      </c>
    </row>
    <row r="603">
      <c r="A603" t="inlineStr">
        <is>
          <t>Michael Svoboda</t>
        </is>
      </c>
      <c r="B603" t="inlineStr">
        <is>
          <t>BHA</t>
        </is>
      </c>
      <c r="D603" t="b">
        <v>0</v>
      </c>
      <c r="E603" t="inlineStr">
        <is>
          <t>DEF</t>
        </is>
      </c>
      <c r="G603" t="b">
        <v>1</v>
      </c>
      <c r="H603" s="2" t="n">
        <v>5</v>
      </c>
      <c r="I603" t="inlineStr">
        <is>
          <t>a</t>
        </is>
      </c>
      <c r="K603" s="2" t="n"/>
      <c r="M603" s="3" t="n">
        <v>148</v>
      </c>
      <c r="N603" s="8" t="n">
        <v>148</v>
      </c>
      <c r="O603" s="8" t="n">
        <v>0</v>
      </c>
      <c r="Q603" t="inlineStr">
        <is>
          <t>flat</t>
        </is>
      </c>
      <c r="R603" s="6" t="n">
        <v>148</v>
      </c>
      <c r="S603" t="inlineStr">
        <is>
          <t>Solio</t>
        </is>
      </c>
      <c r="U603" s="6" t="n">
        <v>85</v>
      </c>
      <c r="V603" s="2" t="n"/>
      <c r="W603" s="7">
        <f>IF(N(U603)&lt;=0,0,MIN(Assumptions!$B$15,N(R603)/N(U603)))</f>
        <v/>
      </c>
      <c r="X603" s="6" t="n">
        <v>0.252</v>
      </c>
      <c r="Y603" s="3" t="n"/>
      <c r="Z603" t="inlineStr"/>
      <c r="AA603" s="3" t="n">
        <v>1</v>
      </c>
      <c r="AB603" s="3" t="n"/>
      <c r="AC603" s="3" t="n"/>
      <c r="AD603" s="3" t="n"/>
      <c r="AE603" s="3" t="n"/>
      <c r="AF603" s="3" t="n">
        <v>0</v>
      </c>
      <c r="AG603" s="3" t="n"/>
      <c r="AH603" s="3" t="n"/>
      <c r="AI603" s="3" t="n">
        <v>2.8404</v>
      </c>
      <c r="AJ603" s="3" t="n">
        <v>1.439</v>
      </c>
      <c r="AK603" s="3" t="n">
        <v>-0.2045226422080557</v>
      </c>
      <c r="AL603" s="6" t="n">
        <v>0</v>
      </c>
      <c r="AM603" s="3" t="n">
        <v>0</v>
      </c>
      <c r="AN603" s="3" t="n">
        <v>0</v>
      </c>
      <c r="AO603" s="3" t="n">
        <v>0</v>
      </c>
      <c r="AP603" s="3">
        <f>N(X603)*N(BI603)</f>
        <v/>
      </c>
      <c r="AQ603" s="3" t="n">
        <v>0</v>
      </c>
      <c r="AR603" s="3" t="n">
        <v>0</v>
      </c>
      <c r="AS603" s="3" t="n">
        <v>-0.4835617861760246</v>
      </c>
      <c r="AT603" s="3" t="n">
        <v>-0.2045226422080557</v>
      </c>
      <c r="AU603" s="3">
        <f>SUM(AN603:AT603)</f>
        <v/>
      </c>
      <c r="AV603" s="7">
        <f>IF(OR(N(W603)&lt;=0,N(BG603)=0),0,N(W603)*IF(N(R603)/N(W603)&gt;=60,N(BG603),1))</f>
        <v/>
      </c>
      <c r="AW603" s="7">
        <f>N(W603)*N(AF603)*N(BH603)</f>
        <v/>
      </c>
      <c r="AX603" s="7">
        <f>N(AL603)*(Assumptions!$B$13*N(BJ603)-(1-Assumptions!$B$13)*Assumptions!$B$14)+N(AM603)</f>
        <v/>
      </c>
      <c r="AY603" s="7">
        <f>N(AU603)*N(R603)/90+N(AV603)+N(AW603)+N(AX603)</f>
        <v/>
      </c>
      <c r="AZ603" s="3">
        <f>IF(N(R603)&lt;=0,0,(N(AY603)-N(AX603))*90/N(R603))</f>
        <v/>
      </c>
      <c r="BA603" s="7">
        <f>IFERROR(AY603-VLOOKUP($E603,Assumptions!$A$40:$C$43,3,FALSE),"")</f>
        <v/>
      </c>
      <c r="BB603" s="3">
        <f>IFERROR(BA603/H603,"")</f>
        <v/>
      </c>
      <c r="BC603">
        <f>IF(AND($G603=TRUE,$E603="GKP"),AY603,"")</f>
        <v/>
      </c>
      <c r="BD603">
        <f>IF(AND($G603=TRUE,$E603="DEF"),AY603,"")</f>
        <v/>
      </c>
      <c r="BE603">
        <f>IF(AND($G603=TRUE,$E603="MID"),AY603,"")</f>
        <v/>
      </c>
      <c r="BF603">
        <f>IF(AND($G603=TRUE,$E603="FWD"),AY603,"")</f>
        <v/>
      </c>
      <c r="BG603" t="n">
        <v>2</v>
      </c>
      <c r="BH603" t="n">
        <v>2</v>
      </c>
      <c r="BI603" t="n">
        <v>4</v>
      </c>
      <c r="BJ603" t="n">
        <v>6</v>
      </c>
    </row>
    <row r="604">
      <c r="A604" t="inlineStr">
        <is>
          <t>Leif Davis</t>
        </is>
      </c>
      <c r="B604" t="inlineStr">
        <is>
          <t>IPS</t>
        </is>
      </c>
      <c r="D604" t="b">
        <v>0</v>
      </c>
      <c r="E604" t="inlineStr">
        <is>
          <t>DEF</t>
        </is>
      </c>
      <c r="G604" t="b">
        <v>1</v>
      </c>
      <c r="H604" s="2" t="n">
        <v>4</v>
      </c>
      <c r="I604" t="inlineStr">
        <is>
          <t>a</t>
        </is>
      </c>
      <c r="K604" s="2" t="n"/>
      <c r="M604" s="3" t="n">
        <v>3186</v>
      </c>
      <c r="N604" s="8" t="n">
        <v>3186</v>
      </c>
      <c r="O604" s="8" t="n">
        <v>0</v>
      </c>
      <c r="Q604" t="inlineStr">
        <is>
          <t>flat</t>
        </is>
      </c>
      <c r="R604" s="6" t="n">
        <v>3186</v>
      </c>
      <c r="S604" t="inlineStr">
        <is>
          <t>Solio</t>
        </is>
      </c>
      <c r="U604" s="6" t="n">
        <v>85</v>
      </c>
      <c r="V604" s="2" t="n"/>
      <c r="W604" s="7">
        <f>IF(N(U604)&lt;=0,0,MIN(Assumptions!$B$15,N(R604)/N(U604)))</f>
        <v/>
      </c>
      <c r="X604" s="6" t="n">
        <v>0.17</v>
      </c>
      <c r="Y604" s="3" t="n"/>
      <c r="Z604" t="inlineStr"/>
      <c r="AA604" s="3" t="n">
        <v>1</v>
      </c>
      <c r="AB604" s="3" t="n"/>
      <c r="AC604" s="3" t="n"/>
      <c r="AD604" s="3" t="n"/>
      <c r="AE604" s="3" t="n"/>
      <c r="AF604" s="3" t="n">
        <v>0</v>
      </c>
      <c r="AG604" s="3" t="n"/>
      <c r="AH604" s="3" t="n"/>
      <c r="AI604" s="3" t="n">
        <v>3.5741</v>
      </c>
      <c r="AJ604" s="3" t="n">
        <v>1.8319</v>
      </c>
      <c r="AK604" s="3" t="n">
        <v>-0.1942789057521099</v>
      </c>
      <c r="AL604" s="6" t="n">
        <v>0</v>
      </c>
      <c r="AM604" s="3" t="n">
        <v>0</v>
      </c>
      <c r="AN604" s="3" t="n">
        <v>0</v>
      </c>
      <c r="AO604" s="3" t="n">
        <v>0</v>
      </c>
      <c r="AP604" s="3">
        <f>N(X604)*N(BI604)</f>
        <v/>
      </c>
      <c r="AQ604" s="3" t="n">
        <v>0</v>
      </c>
      <c r="AR604" s="3" t="n">
        <v>0</v>
      </c>
      <c r="AS604" s="3" t="n">
        <v>-0.6723587286814016</v>
      </c>
      <c r="AT604" s="3" t="n">
        <v>-0.1942789057521099</v>
      </c>
      <c r="AU604" s="3">
        <f>SUM(AN604:AT604)</f>
        <v/>
      </c>
      <c r="AV604" s="7">
        <f>IF(OR(N(W604)&lt;=0,N(BG604)=0),0,N(W604)*IF(N(R604)/N(W604)&gt;=60,N(BG604),1))</f>
        <v/>
      </c>
      <c r="AW604" s="7">
        <f>N(W604)*N(AF604)*N(BH604)</f>
        <v/>
      </c>
      <c r="AX604" s="7">
        <f>N(AL604)*(Assumptions!$B$13*N(BJ604)-(1-Assumptions!$B$13)*Assumptions!$B$14)+N(AM604)</f>
        <v/>
      </c>
      <c r="AY604" s="7">
        <f>N(AU604)*N(R604)/90+N(AV604)+N(AW604)+N(AX604)</f>
        <v/>
      </c>
      <c r="AZ604" s="3">
        <f>IF(N(R604)&lt;=0,0,(N(AY604)-N(AX604))*90/N(R604))</f>
        <v/>
      </c>
      <c r="BA604" s="7">
        <f>IFERROR(AY604-VLOOKUP($E604,Assumptions!$A$40:$C$43,3,FALSE),"")</f>
        <v/>
      </c>
      <c r="BB604" s="3">
        <f>IFERROR(BA604/H604,"")</f>
        <v/>
      </c>
      <c r="BC604">
        <f>IF(AND($G604=TRUE,$E604="GKP"),AY604,"")</f>
        <v/>
      </c>
      <c r="BD604">
        <f>IF(AND($G604=TRUE,$E604="DEF"),AY604,"")</f>
        <v/>
      </c>
      <c r="BE604">
        <f>IF(AND($G604=TRUE,$E604="MID"),AY604,"")</f>
        <v/>
      </c>
      <c r="BF604">
        <f>IF(AND($G604=TRUE,$E604="FWD"),AY604,"")</f>
        <v/>
      </c>
      <c r="BG604" t="n">
        <v>2</v>
      </c>
      <c r="BH604" t="n">
        <v>2</v>
      </c>
      <c r="BI604" t="n">
        <v>4</v>
      </c>
      <c r="BJ604" t="n">
        <v>6</v>
      </c>
    </row>
    <row r="605">
      <c r="A605" t="inlineStr">
        <is>
          <t>Bobby Thomas</t>
        </is>
      </c>
      <c r="B605" t="inlineStr">
        <is>
          <t>COV</t>
        </is>
      </c>
      <c r="D605" t="b">
        <v>0</v>
      </c>
      <c r="E605" t="inlineStr">
        <is>
          <t>DEF</t>
        </is>
      </c>
      <c r="G605" t="b">
        <v>1</v>
      </c>
      <c r="H605" s="2" t="n">
        <v>4</v>
      </c>
      <c r="I605" t="inlineStr">
        <is>
          <t>a</t>
        </is>
      </c>
      <c r="K605" s="2" t="n"/>
      <c r="M605" s="3" t="n">
        <v>3135</v>
      </c>
      <c r="N605" s="8" t="n">
        <v>3135</v>
      </c>
      <c r="O605" s="8" t="n">
        <v>0</v>
      </c>
      <c r="Q605" t="inlineStr">
        <is>
          <t>flat</t>
        </is>
      </c>
      <c r="R605" s="6" t="n">
        <v>3135</v>
      </c>
      <c r="S605" t="inlineStr">
        <is>
          <t>Solio</t>
        </is>
      </c>
      <c r="U605" s="6" t="n">
        <v>85</v>
      </c>
      <c r="V605" s="2" t="n"/>
      <c r="W605" s="7">
        <f>IF(N(U605)&lt;=0,0,MIN(Assumptions!$B$15,N(R605)/N(U605)))</f>
        <v/>
      </c>
      <c r="X605" s="6" t="n">
        <v>0.17</v>
      </c>
      <c r="Y605" s="3" t="n"/>
      <c r="Z605" t="inlineStr"/>
      <c r="AA605" s="3" t="n">
        <v>1</v>
      </c>
      <c r="AB605" s="3" t="n"/>
      <c r="AC605" s="3" t="n"/>
      <c r="AD605" s="3" t="n"/>
      <c r="AE605" s="3" t="n"/>
      <c r="AF605" s="3" t="n">
        <v>0</v>
      </c>
      <c r="AG605" s="3" t="n"/>
      <c r="AH605" s="3" t="n"/>
      <c r="AI605" s="3" t="n">
        <v>3.6194</v>
      </c>
      <c r="AJ605" s="3" t="n">
        <v>1.8271</v>
      </c>
      <c r="AK605" s="3" t="n">
        <v>-0.2045226422080557</v>
      </c>
      <c r="AL605" s="6" t="n">
        <v>0</v>
      </c>
      <c r="AM605" s="3" t="n">
        <v>0</v>
      </c>
      <c r="AN605" s="3" t="n">
        <v>0</v>
      </c>
      <c r="AO605" s="3" t="n">
        <v>0</v>
      </c>
      <c r="AP605" s="3">
        <f>N(X605)*N(BI605)</f>
        <v/>
      </c>
      <c r="AQ605" s="3" t="n">
        <v>0</v>
      </c>
      <c r="AR605" s="3" t="n">
        <v>0</v>
      </c>
      <c r="AS605" s="3" t="n">
        <v>-0.670020548738316</v>
      </c>
      <c r="AT605" s="3" t="n">
        <v>-0.2045226422080557</v>
      </c>
      <c r="AU605" s="3">
        <f>SUM(AN605:AT605)</f>
        <v/>
      </c>
      <c r="AV605" s="7">
        <f>IF(OR(N(W605)&lt;=0,N(BG605)=0),0,N(W605)*IF(N(R605)/N(W605)&gt;=60,N(BG605),1))</f>
        <v/>
      </c>
      <c r="AW605" s="7">
        <f>N(W605)*N(AF605)*N(BH605)</f>
        <v/>
      </c>
      <c r="AX605" s="7">
        <f>N(AL605)*(Assumptions!$B$13*N(BJ605)-(1-Assumptions!$B$13)*Assumptions!$B$14)+N(AM605)</f>
        <v/>
      </c>
      <c r="AY605" s="7">
        <f>N(AU605)*N(R605)/90+N(AV605)+N(AW605)+N(AX605)</f>
        <v/>
      </c>
      <c r="AZ605" s="3">
        <f>IF(N(R605)&lt;=0,0,(N(AY605)-N(AX605))*90/N(R605))</f>
        <v/>
      </c>
      <c r="BA605" s="7">
        <f>IFERROR(AY605-VLOOKUP($E605,Assumptions!$A$40:$C$43,3,FALSE),"")</f>
        <v/>
      </c>
      <c r="BB605" s="3">
        <f>IFERROR(BA605/H605,"")</f>
        <v/>
      </c>
      <c r="BC605">
        <f>IF(AND($G605=TRUE,$E605="GKP"),AY605,"")</f>
        <v/>
      </c>
      <c r="BD605">
        <f>IF(AND($G605=TRUE,$E605="DEF"),AY605,"")</f>
        <v/>
      </c>
      <c r="BE605">
        <f>IF(AND($G605=TRUE,$E605="MID"),AY605,"")</f>
        <v/>
      </c>
      <c r="BF605">
        <f>IF(AND($G605=TRUE,$E605="FWD"),AY605,"")</f>
        <v/>
      </c>
      <c r="BG605" t="n">
        <v>2</v>
      </c>
      <c r="BH605" t="n">
        <v>2</v>
      </c>
      <c r="BI605" t="n">
        <v>4</v>
      </c>
      <c r="BJ605" t="n">
        <v>6</v>
      </c>
    </row>
    <row r="606">
      <c r="A606" t="inlineStr">
        <is>
          <t>Bashir Humphreys</t>
        </is>
      </c>
      <c r="C606" t="inlineStr">
        <is>
          <t>BUR</t>
        </is>
      </c>
      <c r="D606" t="b">
        <v>0</v>
      </c>
      <c r="F606" t="inlineStr">
        <is>
          <t>DEF</t>
        </is>
      </c>
      <c r="G606" t="b">
        <v>0</v>
      </c>
      <c r="H606" s="2" t="n"/>
      <c r="K606" s="2" t="n">
        <v>1578</v>
      </c>
      <c r="M606" s="3" t="n"/>
      <c r="N606" s="8" t="n">
        <v>1578</v>
      </c>
      <c r="O606" s="8" t="n">
        <v>0</v>
      </c>
      <c r="R606" s="6" t="n">
        <v>1578</v>
      </c>
      <c r="S606" t="inlineStr">
        <is>
          <t>25/26 actual</t>
        </is>
      </c>
      <c r="U606" s="6" t="n">
        <v>86.8</v>
      </c>
      <c r="V606" s="2" t="n">
        <v>17</v>
      </c>
      <c r="W606" s="7">
        <f>IF(N(U606)&lt;=0,0,MIN(Assumptions!$B$15,N(R606)/N(U606)))</f>
        <v/>
      </c>
      <c r="X606" s="6" t="n"/>
      <c r="Y606" s="3" t="n">
        <v>0.0245</v>
      </c>
      <c r="Z606" t="inlineStr">
        <is>
          <t>adjusted xGOT</t>
        </is>
      </c>
      <c r="AA606" s="3" t="n">
        <v>1</v>
      </c>
      <c r="AB606" s="3" t="n">
        <v>1.021</v>
      </c>
      <c r="AC606" s="3" t="n">
        <v>0.4</v>
      </c>
      <c r="AD606" s="3" t="n">
        <v>0.0493</v>
      </c>
      <c r="AE606" s="3" t="n">
        <v>7.944</v>
      </c>
      <c r="AF606" s="3" t="n">
        <v>0</v>
      </c>
      <c r="AG606" s="3" t="n">
        <v>0</v>
      </c>
      <c r="AH606" s="3" t="n">
        <v>38</v>
      </c>
      <c r="AI606" s="3" t="n"/>
      <c r="AJ606" s="3" t="n"/>
      <c r="AK606" s="3" t="n"/>
      <c r="AL606" s="6" t="n">
        <v>0</v>
      </c>
      <c r="AM606" s="3" t="n">
        <v>0</v>
      </c>
      <c r="AN606" s="3" t="n">
        <v>0</v>
      </c>
      <c r="AO606" s="3" t="n">
        <v>0</v>
      </c>
      <c r="AP606" s="3">
        <f>N(X606)*N(BI606)</f>
        <v/>
      </c>
      <c r="AQ606" s="3" t="n">
        <v>0</v>
      </c>
      <c r="AR606" s="3" t="n">
        <v>0</v>
      </c>
      <c r="AS606" s="3" t="n">
        <v>0</v>
      </c>
      <c r="AT606" s="3" t="n">
        <v>0</v>
      </c>
      <c r="AU606" s="3">
        <f>SUM(AN606:AT606)</f>
        <v/>
      </c>
      <c r="AV606" s="7">
        <f>IF(OR(N(W606)&lt;=0,N(BG606)=0),0,N(W606)*IF(N(R606)/N(W606)&gt;=60,N(BG606),1))</f>
        <v/>
      </c>
      <c r="AW606" s="7">
        <f>N(W606)*N(AF606)*N(BH606)</f>
        <v/>
      </c>
      <c r="AX606" s="7">
        <f>N(AL606)*(Assumptions!$B$13*N(BJ606)-(1-Assumptions!$B$13)*Assumptions!$B$14)+N(AM606)</f>
        <v/>
      </c>
      <c r="AY606" s="7">
        <f>N(AU606)*N(R606)/90+N(AV606)+N(AW606)+N(AX606)</f>
        <v/>
      </c>
      <c r="AZ606" s="3">
        <f>IF(N(R606)&lt;=0,0,(N(AY606)-N(AX606))*90/N(R606))</f>
        <v/>
      </c>
      <c r="BA606" s="7">
        <f>IFERROR(AY606-VLOOKUP($E606,Assumptions!$A$40:$C$43,3,FALSE),"")</f>
        <v/>
      </c>
      <c r="BB606" s="3">
        <f>IFERROR(BA606/H606,"")</f>
        <v/>
      </c>
      <c r="BC606">
        <f>IF(AND($G606=TRUE,$E606="GKP"),AY606,"")</f>
        <v/>
      </c>
      <c r="BD606">
        <f>IF(AND($G606=TRUE,$E606="DEF"),AY606,"")</f>
        <v/>
      </c>
      <c r="BE606">
        <f>IF(AND($G606=TRUE,$E606="MID"),AY606,"")</f>
        <v/>
      </c>
      <c r="BF606">
        <f>IF(AND($G606=TRUE,$E606="FWD"),AY606,"")</f>
        <v/>
      </c>
      <c r="BG606" t="n">
        <v>0</v>
      </c>
      <c r="BH606" t="n">
        <v>0</v>
      </c>
      <c r="BI606" t="n">
        <v>0</v>
      </c>
      <c r="BJ606" t="n">
        <v>0</v>
      </c>
    </row>
    <row r="607">
      <c r="A607" t="inlineStr">
        <is>
          <t>Dennis Cirkin</t>
        </is>
      </c>
      <c r="C607" t="inlineStr">
        <is>
          <t>SUN</t>
        </is>
      </c>
      <c r="D607" t="b">
        <v>0</v>
      </c>
      <c r="F607" t="inlineStr">
        <is>
          <t>DEF</t>
        </is>
      </c>
      <c r="G607" t="b">
        <v>0</v>
      </c>
      <c r="H607" s="2" t="n"/>
      <c r="K607" s="2" t="n">
        <v>320</v>
      </c>
      <c r="M607" s="3" t="n"/>
      <c r="N607" s="8" t="n">
        <v>320</v>
      </c>
      <c r="O607" s="8" t="n">
        <v>0</v>
      </c>
      <c r="R607" s="6" t="n">
        <v>320</v>
      </c>
      <c r="S607" t="inlineStr">
        <is>
          <t>25/26 actual</t>
        </is>
      </c>
      <c r="U607" s="6" t="n">
        <v>84.09999999999999</v>
      </c>
      <c r="V607" s="2" t="n">
        <v>3</v>
      </c>
      <c r="W607" s="7">
        <f>IF(N(U607)&lt;=0,0,MIN(Assumptions!$B$15,N(R607)/N(U607)))</f>
        <v/>
      </c>
      <c r="X607" s="6" t="n"/>
      <c r="Y607" s="3" t="n">
        <v>0.0222</v>
      </c>
      <c r="Z607" t="inlineStr">
        <is>
          <t>adjusted xGOT</t>
        </is>
      </c>
      <c r="AA607" s="3" t="n">
        <v>1</v>
      </c>
      <c r="AB607" s="3" t="n">
        <v>0.99</v>
      </c>
      <c r="AC607" s="3" t="n">
        <v>0.1</v>
      </c>
      <c r="AD607" s="3" t="n">
        <v>0</v>
      </c>
      <c r="AE607" s="3" t="n">
        <v>7.751</v>
      </c>
      <c r="AF607" s="3" t="n">
        <v>0</v>
      </c>
      <c r="AG607" s="3" t="n">
        <v>0</v>
      </c>
      <c r="AH607" s="3" t="n">
        <v>10</v>
      </c>
      <c r="AI607" s="3" t="n"/>
      <c r="AJ607" s="3" t="n"/>
      <c r="AK607" s="3" t="n"/>
      <c r="AL607" s="6" t="n">
        <v>0</v>
      </c>
      <c r="AM607" s="3" t="n">
        <v>0</v>
      </c>
      <c r="AN607" s="3" t="n">
        <v>0</v>
      </c>
      <c r="AO607" s="3" t="n">
        <v>0</v>
      </c>
      <c r="AP607" s="3">
        <f>N(X607)*N(BI607)</f>
        <v/>
      </c>
      <c r="AQ607" s="3" t="n">
        <v>0</v>
      </c>
      <c r="AR607" s="3" t="n">
        <v>0</v>
      </c>
      <c r="AS607" s="3" t="n">
        <v>0</v>
      </c>
      <c r="AT607" s="3" t="n">
        <v>0</v>
      </c>
      <c r="AU607" s="3">
        <f>SUM(AN607:AT607)</f>
        <v/>
      </c>
      <c r="AV607" s="7">
        <f>IF(OR(N(W607)&lt;=0,N(BG607)=0),0,N(W607)*IF(N(R607)/N(W607)&gt;=60,N(BG607),1))</f>
        <v/>
      </c>
      <c r="AW607" s="7">
        <f>N(W607)*N(AF607)*N(BH607)</f>
        <v/>
      </c>
      <c r="AX607" s="7">
        <f>N(AL607)*(Assumptions!$B$13*N(BJ607)-(1-Assumptions!$B$13)*Assumptions!$B$14)+N(AM607)</f>
        <v/>
      </c>
      <c r="AY607" s="7">
        <f>N(AU607)*N(R607)/90+N(AV607)+N(AW607)+N(AX607)</f>
        <v/>
      </c>
      <c r="AZ607" s="3">
        <f>IF(N(R607)&lt;=0,0,(N(AY607)-N(AX607))*90/N(R607))</f>
        <v/>
      </c>
      <c r="BA607" s="7">
        <f>IFERROR(AY607-VLOOKUP($E607,Assumptions!$A$40:$C$43,3,FALSE),"")</f>
        <v/>
      </c>
      <c r="BB607" s="3">
        <f>IFERROR(BA607/H607,"")</f>
        <v/>
      </c>
      <c r="BC607">
        <f>IF(AND($G607=TRUE,$E607="GKP"),AY607,"")</f>
        <v/>
      </c>
      <c r="BD607">
        <f>IF(AND($G607=TRUE,$E607="DEF"),AY607,"")</f>
        <v/>
      </c>
      <c r="BE607">
        <f>IF(AND($G607=TRUE,$E607="MID"),AY607,"")</f>
        <v/>
      </c>
      <c r="BF607">
        <f>IF(AND($G607=TRUE,$E607="FWD"),AY607,"")</f>
        <v/>
      </c>
      <c r="BG607" t="n">
        <v>0</v>
      </c>
      <c r="BH607" t="n">
        <v>0</v>
      </c>
      <c r="BI607" t="n">
        <v>0</v>
      </c>
      <c r="BJ607" t="n">
        <v>0</v>
      </c>
    </row>
    <row r="608">
      <c r="A608" t="inlineStr">
        <is>
          <t>Kasey McAteer</t>
        </is>
      </c>
      <c r="B608" t="inlineStr">
        <is>
          <t>IPS</t>
        </is>
      </c>
      <c r="D608" t="b">
        <v>0</v>
      </c>
      <c r="E608" t="inlineStr">
        <is>
          <t>MID</t>
        </is>
      </c>
      <c r="G608" t="b">
        <v>1</v>
      </c>
      <c r="H608" s="2" t="n">
        <v>4.5</v>
      </c>
      <c r="I608" t="inlineStr">
        <is>
          <t>a</t>
        </is>
      </c>
      <c r="K608" s="2" t="n"/>
      <c r="M608" s="3" t="n">
        <v>0</v>
      </c>
      <c r="N608" s="8" t="n">
        <v>0</v>
      </c>
      <c r="O608" s="8" t="n">
        <v>0</v>
      </c>
      <c r="Q608" t="inlineStr">
        <is>
          <t>flat</t>
        </is>
      </c>
      <c r="R608" s="6" t="n">
        <v>0</v>
      </c>
      <c r="S608" t="inlineStr">
        <is>
          <t>Solio</t>
        </is>
      </c>
      <c r="U608" s="6" t="n">
        <v>85</v>
      </c>
      <c r="V608" s="2" t="n"/>
      <c r="W608" s="7">
        <f>IF(N(U608)&lt;=0,0,MIN(Assumptions!$B$15,N(R608)/N(U608)))</f>
        <v/>
      </c>
      <c r="X608" s="6" t="n">
        <v>0.17</v>
      </c>
      <c r="Y608" s="3" t="n"/>
      <c r="Z608" t="inlineStr"/>
      <c r="AA608" s="3" t="n">
        <v>1</v>
      </c>
      <c r="AB608" s="3" t="n"/>
      <c r="AC608" s="3" t="n"/>
      <c r="AD608" s="3" t="n"/>
      <c r="AE608" s="3" t="n"/>
      <c r="AF608" s="3" t="n">
        <v>0</v>
      </c>
      <c r="AG608" s="3" t="n"/>
      <c r="AH608" s="3" t="n"/>
      <c r="AI608" s="3" t="n">
        <v>3.5741</v>
      </c>
      <c r="AJ608" s="3" t="n">
        <v>1.8319</v>
      </c>
      <c r="AK608" s="3" t="n">
        <v>-0.2472511313587093</v>
      </c>
      <c r="AL608" s="6" t="n">
        <v>0</v>
      </c>
      <c r="AM608" s="3" t="n">
        <v>0</v>
      </c>
      <c r="AN608" s="3" t="n">
        <v>0</v>
      </c>
      <c r="AO608" s="3" t="n">
        <v>0</v>
      </c>
      <c r="AP608" s="3">
        <f>N(X608)*N(BI608)</f>
        <v/>
      </c>
      <c r="AQ608" s="3" t="n">
        <v>0</v>
      </c>
      <c r="AR608" s="3" t="n">
        <v>0</v>
      </c>
      <c r="AS608" s="3" t="n">
        <v>-0</v>
      </c>
      <c r="AT608" s="3" t="n">
        <v>-0.2472511313587093</v>
      </c>
      <c r="AU608" s="3">
        <f>SUM(AN608:AT608)</f>
        <v/>
      </c>
      <c r="AV608" s="7">
        <f>IF(OR(N(W608)&lt;=0,N(BG608)=0),0,N(W608)*IF(N(R608)/N(W608)&gt;=60,N(BG608),1))</f>
        <v/>
      </c>
      <c r="AW608" s="7">
        <f>N(W608)*N(AF608)*N(BH608)</f>
        <v/>
      </c>
      <c r="AX608" s="7">
        <f>N(AL608)*(Assumptions!$B$13*N(BJ608)-(1-Assumptions!$B$13)*Assumptions!$B$14)+N(AM608)</f>
        <v/>
      </c>
      <c r="AY608" s="7">
        <f>N(AU608)*N(R608)/90+N(AV608)+N(AW608)+N(AX608)</f>
        <v/>
      </c>
      <c r="AZ608" s="3">
        <f>IF(N(R608)&lt;=0,0,(N(AY608)-N(AX608))*90/N(R608))</f>
        <v/>
      </c>
      <c r="BA608" s="7">
        <f>IFERROR(AY608-VLOOKUP($E608,Assumptions!$A$40:$C$43,3,FALSE),"")</f>
        <v/>
      </c>
      <c r="BB608" s="3">
        <f>IFERROR(BA608/H608,"")</f>
        <v/>
      </c>
      <c r="BC608">
        <f>IF(AND($G608=TRUE,$E608="GKP"),AY608,"")</f>
        <v/>
      </c>
      <c r="BD608">
        <f>IF(AND($G608=TRUE,$E608="DEF"),AY608,"")</f>
        <v/>
      </c>
      <c r="BE608">
        <f>IF(AND($G608=TRUE,$E608="MID"),AY608,"")</f>
        <v/>
      </c>
      <c r="BF608">
        <f>IF(AND($G608=TRUE,$E608="FWD"),AY608,"")</f>
        <v/>
      </c>
      <c r="BG608" t="n">
        <v>2</v>
      </c>
      <c r="BH608" t="n">
        <v>2</v>
      </c>
      <c r="BI608" t="n">
        <v>1</v>
      </c>
      <c r="BJ608" t="n">
        <v>5</v>
      </c>
    </row>
    <row r="609">
      <c r="A609" t="inlineStr">
        <is>
          <t>Jean-Clair Todibo</t>
        </is>
      </c>
      <c r="C609" t="inlineStr">
        <is>
          <t>WHU</t>
        </is>
      </c>
      <c r="D609" t="b">
        <v>0</v>
      </c>
      <c r="F609" t="inlineStr">
        <is>
          <t>DEF</t>
        </is>
      </c>
      <c r="G609" t="b">
        <v>0</v>
      </c>
      <c r="H609" s="2" t="n"/>
      <c r="K609" s="2" t="n">
        <v>1817</v>
      </c>
      <c r="M609" s="3" t="n"/>
      <c r="N609" s="8" t="n">
        <v>1817</v>
      </c>
      <c r="O609" s="8" t="n">
        <v>0</v>
      </c>
      <c r="R609" s="6" t="n">
        <v>1817</v>
      </c>
      <c r="S609" t="inlineStr">
        <is>
          <t>25/26 actual</t>
        </is>
      </c>
      <c r="U609" s="6" t="n">
        <v>83.3</v>
      </c>
      <c r="V609" s="2" t="n">
        <v>21</v>
      </c>
      <c r="W609" s="7">
        <f>IF(N(U609)&lt;=0,0,MIN(Assumptions!$B$15,N(R609)/N(U609)))</f>
        <v/>
      </c>
      <c r="X609" s="6" t="n"/>
      <c r="Y609" s="3" t="n">
        <v>0.0115</v>
      </c>
      <c r="Z609" t="inlineStr">
        <is>
          <t>adjusted xGOT</t>
        </is>
      </c>
      <c r="AA609" s="3" t="n">
        <v>1</v>
      </c>
      <c r="AB609" s="3" t="n">
        <v>0.929</v>
      </c>
      <c r="AC609" s="3" t="n">
        <v>0.6</v>
      </c>
      <c r="AD609" s="3" t="n">
        <v>0.0188</v>
      </c>
      <c r="AE609" s="3" t="n">
        <v>8.034000000000001</v>
      </c>
      <c r="AF609" s="3" t="n">
        <v>0</v>
      </c>
      <c r="AG609" s="3" t="n">
        <v>0.0495</v>
      </c>
      <c r="AH609" s="3" t="n">
        <v>42</v>
      </c>
      <c r="AI609" s="3" t="n"/>
      <c r="AJ609" s="3" t="n"/>
      <c r="AK609" s="3" t="n"/>
      <c r="AL609" s="6" t="n">
        <v>0</v>
      </c>
      <c r="AM609" s="3" t="n">
        <v>0</v>
      </c>
      <c r="AN609" s="3" t="n">
        <v>0</v>
      </c>
      <c r="AO609" s="3" t="n">
        <v>0</v>
      </c>
      <c r="AP609" s="3">
        <f>N(X609)*N(BI609)</f>
        <v/>
      </c>
      <c r="AQ609" s="3" t="n">
        <v>0</v>
      </c>
      <c r="AR609" s="3" t="n">
        <v>0</v>
      </c>
      <c r="AS609" s="3" t="n">
        <v>0</v>
      </c>
      <c r="AT609" s="3" t="n">
        <v>0</v>
      </c>
      <c r="AU609" s="3">
        <f>SUM(AN609:AT609)</f>
        <v/>
      </c>
      <c r="AV609" s="7">
        <f>IF(OR(N(W609)&lt;=0,N(BG609)=0),0,N(W609)*IF(N(R609)/N(W609)&gt;=60,N(BG609),1))</f>
        <v/>
      </c>
      <c r="AW609" s="7">
        <f>N(W609)*N(AF609)*N(BH609)</f>
        <v/>
      </c>
      <c r="AX609" s="7">
        <f>N(AL609)*(Assumptions!$B$13*N(BJ609)-(1-Assumptions!$B$13)*Assumptions!$B$14)+N(AM609)</f>
        <v/>
      </c>
      <c r="AY609" s="7">
        <f>N(AU609)*N(R609)/90+N(AV609)+N(AW609)+N(AX609)</f>
        <v/>
      </c>
      <c r="AZ609" s="3">
        <f>IF(N(R609)&lt;=0,0,(N(AY609)-N(AX609))*90/N(R609))</f>
        <v/>
      </c>
      <c r="BA609" s="7">
        <f>IFERROR(AY609-VLOOKUP($E609,Assumptions!$A$40:$C$43,3,FALSE),"")</f>
        <v/>
      </c>
      <c r="BB609" s="3">
        <f>IFERROR(BA609/H609,"")</f>
        <v/>
      </c>
      <c r="BC609">
        <f>IF(AND($G609=TRUE,$E609="GKP"),AY609,"")</f>
        <v/>
      </c>
      <c r="BD609">
        <f>IF(AND($G609=TRUE,$E609="DEF"),AY609,"")</f>
        <v/>
      </c>
      <c r="BE609">
        <f>IF(AND($G609=TRUE,$E609="MID"),AY609,"")</f>
        <v/>
      </c>
      <c r="BF609">
        <f>IF(AND($G609=TRUE,$E609="FWD"),AY609,"")</f>
        <v/>
      </c>
      <c r="BG609" t="n">
        <v>0</v>
      </c>
      <c r="BH609" t="n">
        <v>0</v>
      </c>
      <c r="BI609" t="n">
        <v>0</v>
      </c>
      <c r="BJ609" t="n">
        <v>0</v>
      </c>
    </row>
    <row r="610">
      <c r="A610" t="inlineStr">
        <is>
          <t>Ali Al-Hamadi</t>
        </is>
      </c>
      <c r="B610" t="inlineStr">
        <is>
          <t>IPS</t>
        </is>
      </c>
      <c r="D610" t="b">
        <v>0</v>
      </c>
      <c r="E610" t="inlineStr">
        <is>
          <t>FWD</t>
        </is>
      </c>
      <c r="G610" t="b">
        <v>1</v>
      </c>
      <c r="H610" s="2" t="n">
        <v>5</v>
      </c>
      <c r="I610" t="inlineStr">
        <is>
          <t>a</t>
        </is>
      </c>
      <c r="K610" s="2" t="n"/>
      <c r="M610" s="3" t="n">
        <v>38</v>
      </c>
      <c r="N610" s="8" t="n">
        <v>38</v>
      </c>
      <c r="O610" s="8" t="n">
        <v>0</v>
      </c>
      <c r="Q610" t="inlineStr">
        <is>
          <t>flat</t>
        </is>
      </c>
      <c r="R610" s="6" t="n">
        <v>38</v>
      </c>
      <c r="S610" t="inlineStr">
        <is>
          <t>Solio</t>
        </is>
      </c>
      <c r="U610" s="6" t="n">
        <v>85</v>
      </c>
      <c r="V610" s="2" t="n"/>
      <c r="W610" s="7">
        <f>IF(N(U610)&lt;=0,0,MIN(Assumptions!$B$15,N(R610)/N(U610)))</f>
        <v/>
      </c>
      <c r="X610" s="6" t="n">
        <v>0.17</v>
      </c>
      <c r="Y610" s="3" t="n"/>
      <c r="Z610" t="inlineStr"/>
      <c r="AA610" s="3" t="n">
        <v>1</v>
      </c>
      <c r="AB610" s="3" t="n"/>
      <c r="AC610" s="3" t="n"/>
      <c r="AD610" s="3" t="n"/>
      <c r="AE610" s="3" t="n"/>
      <c r="AF610" s="3" t="n">
        <v>0</v>
      </c>
      <c r="AG610" s="3" t="n"/>
      <c r="AH610" s="3" t="n"/>
      <c r="AI610" s="3" t="n">
        <v>3.5741</v>
      </c>
      <c r="AJ610" s="3" t="n">
        <v>1.8319</v>
      </c>
      <c r="AK610" s="3" t="n">
        <v>-0.2735494569383802</v>
      </c>
      <c r="AL610" s="6" t="n">
        <v>0</v>
      </c>
      <c r="AM610" s="3" t="n">
        <v>0</v>
      </c>
      <c r="AN610" s="3" t="n">
        <v>0</v>
      </c>
      <c r="AO610" s="3" t="n">
        <v>0</v>
      </c>
      <c r="AP610" s="3">
        <f>N(X610)*N(BI610)</f>
        <v/>
      </c>
      <c r="AQ610" s="3" t="n">
        <v>0</v>
      </c>
      <c r="AR610" s="3" t="n">
        <v>0</v>
      </c>
      <c r="AS610" s="3" t="n">
        <v>-0</v>
      </c>
      <c r="AT610" s="3" t="n">
        <v>-0.2735494569383802</v>
      </c>
      <c r="AU610" s="3">
        <f>SUM(AN610:AT610)</f>
        <v/>
      </c>
      <c r="AV610" s="7">
        <f>IF(OR(N(W610)&lt;=0,N(BG610)=0),0,N(W610)*IF(N(R610)/N(W610)&gt;=60,N(BG610),1))</f>
        <v/>
      </c>
      <c r="AW610" s="7">
        <f>N(W610)*N(AF610)*N(BH610)</f>
        <v/>
      </c>
      <c r="AX610" s="7">
        <f>N(AL610)*(Assumptions!$B$13*N(BJ610)-(1-Assumptions!$B$13)*Assumptions!$B$14)+N(AM610)</f>
        <v/>
      </c>
      <c r="AY610" s="7">
        <f>N(AU610)*N(R610)/90+N(AV610)+N(AW610)+N(AX610)</f>
        <v/>
      </c>
      <c r="AZ610" s="3">
        <f>IF(N(R610)&lt;=0,0,(N(AY610)-N(AX610))*90/N(R610))</f>
        <v/>
      </c>
      <c r="BA610" s="7">
        <f>IFERROR(AY610-VLOOKUP($E610,Assumptions!$A$40:$C$43,3,FALSE),"")</f>
        <v/>
      </c>
      <c r="BB610" s="3">
        <f>IFERROR(BA610/H610,"")</f>
        <v/>
      </c>
      <c r="BC610">
        <f>IF(AND($G610=TRUE,$E610="GKP"),AY610,"")</f>
        <v/>
      </c>
      <c r="BD610">
        <f>IF(AND($G610=TRUE,$E610="DEF"),AY610,"")</f>
        <v/>
      </c>
      <c r="BE610">
        <f>IF(AND($G610=TRUE,$E610="MID"),AY610,"")</f>
        <v/>
      </c>
      <c r="BF610">
        <f>IF(AND($G610=TRUE,$E610="FWD"),AY610,"")</f>
        <v/>
      </c>
      <c r="BG610" t="n">
        <v>2</v>
      </c>
      <c r="BH610" t="n">
        <v>2</v>
      </c>
      <c r="BI610" t="n">
        <v>0</v>
      </c>
      <c r="BJ610" t="n">
        <v>4</v>
      </c>
    </row>
    <row r="611">
      <c r="A611" t="inlineStr">
        <is>
          <t>Shea Charles</t>
        </is>
      </c>
      <c r="B611" t="inlineStr">
        <is>
          <t>FUL</t>
        </is>
      </c>
      <c r="D611" t="b">
        <v>0</v>
      </c>
      <c r="E611" t="inlineStr">
        <is>
          <t>MID</t>
        </is>
      </c>
      <c r="G611" t="b">
        <v>1</v>
      </c>
      <c r="H611" s="2" t="n">
        <v>5</v>
      </c>
      <c r="I611" t="inlineStr">
        <is>
          <t>a</t>
        </is>
      </c>
      <c r="K611" s="2" t="n"/>
      <c r="M611" s="3" t="n">
        <v>1305</v>
      </c>
      <c r="N611" s="4" t="n">
        <v>2100</v>
      </c>
      <c r="O611" s="4" t="n">
        <v>795</v>
      </c>
      <c r="P611" s="5" t="inlineStr">
        <is>
          <t>high</t>
        </is>
      </c>
      <c r="Q611" t="inlineStr">
        <is>
          <t>flat</t>
        </is>
      </c>
      <c r="R611" s="6" t="n">
        <v>2100</v>
      </c>
      <c r="S611" t="inlineStr">
        <is>
          <t>research</t>
        </is>
      </c>
      <c r="T611" s="5" t="inlineStr">
        <is>
          <t>Signed 11 Aug 2026 from Southampton for £27m + £6m add-ons on a five-year deal, explicitly as the replacement for Sasa Lukic (sold to Ipswich 8 Aug). Solio's snapshot pre-dates the transfer and carries him as a no-PL-record squad filler. Held below a full starter's share because he only joined four days before the final friendly and came on at 78' rather than starting.</t>
        </is>
      </c>
      <c r="U611" s="6" t="n">
        <v>85</v>
      </c>
      <c r="V611" s="2" t="n"/>
      <c r="W611" s="7">
        <f>IF(N(U611)&lt;=0,0,MIN(Assumptions!$B$15,N(R611)/N(U611)))</f>
        <v/>
      </c>
      <c r="X611" s="6" t="n">
        <v>0.214</v>
      </c>
      <c r="Y611" s="3" t="n"/>
      <c r="Z611" t="inlineStr"/>
      <c r="AA611" s="3" t="n">
        <v>1</v>
      </c>
      <c r="AB611" s="3" t="n"/>
      <c r="AC611" s="3" t="n"/>
      <c r="AD611" s="3" t="n"/>
      <c r="AE611" s="3" t="n"/>
      <c r="AF611" s="3" t="n">
        <v>0</v>
      </c>
      <c r="AG611" s="3" t="n"/>
      <c r="AH611" s="3" t="n"/>
      <c r="AI611" s="3" t="n">
        <v>3.22</v>
      </c>
      <c r="AJ611" s="3" t="n">
        <v>1.6019</v>
      </c>
      <c r="AK611" s="3" t="n">
        <v>-0.2160434166173144</v>
      </c>
      <c r="AL611" s="6" t="n">
        <v>0</v>
      </c>
      <c r="AM611" s="3" t="n">
        <v>0</v>
      </c>
      <c r="AN611" s="3" t="n">
        <v>0</v>
      </c>
      <c r="AO611" s="3" t="n">
        <v>0</v>
      </c>
      <c r="AP611" s="3">
        <f>N(X611)*N(BI611)</f>
        <v/>
      </c>
      <c r="AQ611" s="3" t="n">
        <v>0</v>
      </c>
      <c r="AR611" s="3" t="n">
        <v>0</v>
      </c>
      <c r="AS611" s="3" t="n">
        <v>-0</v>
      </c>
      <c r="AT611" s="3" t="n">
        <v>-0.2160434166173144</v>
      </c>
      <c r="AU611" s="3">
        <f>SUM(AN611:AT611)</f>
        <v/>
      </c>
      <c r="AV611" s="7">
        <f>IF(OR(N(W611)&lt;=0,N(BG611)=0),0,N(W611)*IF(N(R611)/N(W611)&gt;=60,N(BG611),1))</f>
        <v/>
      </c>
      <c r="AW611" s="7">
        <f>N(W611)*N(AF611)*N(BH611)</f>
        <v/>
      </c>
      <c r="AX611" s="7">
        <f>N(AL611)*(Assumptions!$B$13*N(BJ611)-(1-Assumptions!$B$13)*Assumptions!$B$14)+N(AM611)</f>
        <v/>
      </c>
      <c r="AY611" s="7">
        <f>N(AU611)*N(R611)/90+N(AV611)+N(AW611)+N(AX611)</f>
        <v/>
      </c>
      <c r="AZ611" s="3">
        <f>IF(N(R611)&lt;=0,0,(N(AY611)-N(AX611))*90/N(R611))</f>
        <v/>
      </c>
      <c r="BA611" s="7">
        <f>IFERROR(AY611-VLOOKUP($E611,Assumptions!$A$40:$C$43,3,FALSE),"")</f>
        <v/>
      </c>
      <c r="BB611" s="3">
        <f>IFERROR(BA611/H611,"")</f>
        <v/>
      </c>
      <c r="BC611">
        <f>IF(AND($G611=TRUE,$E611="GKP"),AY611,"")</f>
        <v/>
      </c>
      <c r="BD611">
        <f>IF(AND($G611=TRUE,$E611="DEF"),AY611,"")</f>
        <v/>
      </c>
      <c r="BE611">
        <f>IF(AND($G611=TRUE,$E611="MID"),AY611,"")</f>
        <v/>
      </c>
      <c r="BF611">
        <f>IF(AND($G611=TRUE,$E611="FWD"),AY611,"")</f>
        <v/>
      </c>
      <c r="BG611" t="n">
        <v>2</v>
      </c>
      <c r="BH611" t="n">
        <v>2</v>
      </c>
      <c r="BI611" t="n">
        <v>1</v>
      </c>
      <c r="BJ611" t="n">
        <v>5</v>
      </c>
    </row>
    <row r="612">
      <c r="A612" t="inlineStr">
        <is>
          <t>Harvey Davies</t>
        </is>
      </c>
      <c r="B612" t="inlineStr">
        <is>
          <t>LIV</t>
        </is>
      </c>
      <c r="D612" t="b">
        <v>0</v>
      </c>
      <c r="E612" t="inlineStr">
        <is>
          <t>GKP</t>
        </is>
      </c>
      <c r="G612" t="b">
        <v>1</v>
      </c>
      <c r="H612" s="2" t="n">
        <v>4</v>
      </c>
      <c r="I612" t="inlineStr">
        <is>
          <t>a</t>
        </is>
      </c>
      <c r="K612" s="2" t="n"/>
      <c r="M612" s="3" t="n">
        <v>0</v>
      </c>
      <c r="N612" s="8" t="n">
        <v>0</v>
      </c>
      <c r="O612" s="8" t="n">
        <v>0</v>
      </c>
      <c r="Q612" t="inlineStr">
        <is>
          <t>flat</t>
        </is>
      </c>
      <c r="R612" s="6" t="n">
        <v>0</v>
      </c>
      <c r="S612" t="inlineStr">
        <is>
          <t>Solio</t>
        </is>
      </c>
      <c r="U612" s="6" t="n">
        <v>85</v>
      </c>
      <c r="V612" s="2" t="n"/>
      <c r="W612" s="7">
        <f>IF(N(U612)&lt;=0,0,MIN(Assumptions!$B$15,N(R612)/N(U612)))</f>
        <v/>
      </c>
      <c r="X612" s="6" t="n">
        <v>0.342</v>
      </c>
      <c r="Y612" s="3" t="n"/>
      <c r="Z612" t="inlineStr"/>
      <c r="AA612" s="3" t="n">
        <v>1</v>
      </c>
      <c r="AB612" s="3" t="n"/>
      <c r="AC612" s="3" t="n"/>
      <c r="AD612" s="3" t="n"/>
      <c r="AE612" s="3" t="n">
        <v>0</v>
      </c>
      <c r="AF612" s="3" t="n">
        <v>0</v>
      </c>
      <c r="AG612" s="3" t="n"/>
      <c r="AH612" s="3" t="n"/>
      <c r="AI612" s="3" t="n">
        <v>2.409</v>
      </c>
      <c r="AJ612" s="3" t="n">
        <v>1.1228</v>
      </c>
      <c r="AK612" s="3" t="n">
        <v>-0.0763216474948735</v>
      </c>
      <c r="AL612" s="6" t="n">
        <v>0</v>
      </c>
      <c r="AM612" s="3" t="n">
        <v>0</v>
      </c>
      <c r="AN612" s="3" t="n">
        <v>0</v>
      </c>
      <c r="AO612" s="3" t="n">
        <v>0</v>
      </c>
      <c r="AP612" s="3">
        <f>N(X612)*N(BI612)</f>
        <v/>
      </c>
      <c r="AQ612" s="3" t="n">
        <v>0</v>
      </c>
      <c r="AR612" s="3" t="n">
        <v>0.4697511244203511</v>
      </c>
      <c r="AS612" s="3" t="n">
        <v>-0.3378660007281162</v>
      </c>
      <c r="AT612" s="3" t="n">
        <v>-0.0763216474948735</v>
      </c>
      <c r="AU612" s="3">
        <f>SUM(AN612:AT612)</f>
        <v/>
      </c>
      <c r="AV612" s="7">
        <f>IF(OR(N(W612)&lt;=0,N(BG612)=0),0,N(W612)*IF(N(R612)/N(W612)&gt;=60,N(BG612),1))</f>
        <v/>
      </c>
      <c r="AW612" s="7">
        <f>N(W612)*N(AF612)*N(BH612)</f>
        <v/>
      </c>
      <c r="AX612" s="7">
        <f>N(AL612)*(Assumptions!$B$13*N(BJ612)-(1-Assumptions!$B$13)*Assumptions!$B$14)+N(AM612)</f>
        <v/>
      </c>
      <c r="AY612" s="7">
        <f>N(AU612)*N(R612)/90+N(AV612)+N(AW612)+N(AX612)</f>
        <v/>
      </c>
      <c r="AZ612" s="3">
        <f>IF(N(R612)&lt;=0,0,(N(AY612)-N(AX612))*90/N(R612))</f>
        <v/>
      </c>
      <c r="BA612" s="7">
        <f>IFERROR(AY612-VLOOKUP($E612,Assumptions!$A$40:$C$43,3,FALSE),"")</f>
        <v/>
      </c>
      <c r="BB612" s="3">
        <f>IFERROR(BA612/H612,"")</f>
        <v/>
      </c>
      <c r="BC612">
        <f>IF(AND($G612=TRUE,$E612="GKP"),AY612,"")</f>
        <v/>
      </c>
      <c r="BD612">
        <f>IF(AND($G612=TRUE,$E612="DEF"),AY612,"")</f>
        <v/>
      </c>
      <c r="BE612">
        <f>IF(AND($G612=TRUE,$E612="MID"),AY612,"")</f>
        <v/>
      </c>
      <c r="BF612">
        <f>IF(AND($G612=TRUE,$E612="FWD"),AY612,"")</f>
        <v/>
      </c>
      <c r="BG612" t="n">
        <v>2</v>
      </c>
      <c r="BH612" t="n">
        <v>0</v>
      </c>
      <c r="BI612" t="n">
        <v>4</v>
      </c>
      <c r="BJ612" t="n">
        <v>10</v>
      </c>
    </row>
    <row r="613">
      <c r="A613" t="inlineStr">
        <is>
          <t>Kaine Kesler-Hayden</t>
        </is>
      </c>
      <c r="B613" t="inlineStr">
        <is>
          <t>COV</t>
        </is>
      </c>
      <c r="D613" t="b">
        <v>0</v>
      </c>
      <c r="E613" t="inlineStr">
        <is>
          <t>DEF</t>
        </is>
      </c>
      <c r="G613" t="b">
        <v>1</v>
      </c>
      <c r="H613" s="2" t="n">
        <v>4</v>
      </c>
      <c r="I613" t="inlineStr">
        <is>
          <t>a</t>
        </is>
      </c>
      <c r="K613" s="2" t="n"/>
      <c r="M613" s="3" t="n">
        <v>253</v>
      </c>
      <c r="N613" s="8" t="n">
        <v>253</v>
      </c>
      <c r="O613" s="8" t="n">
        <v>0</v>
      </c>
      <c r="Q613" t="inlineStr">
        <is>
          <t>flat</t>
        </is>
      </c>
      <c r="R613" s="6" t="n">
        <v>253</v>
      </c>
      <c r="S613" t="inlineStr">
        <is>
          <t>Solio</t>
        </is>
      </c>
      <c r="U613" s="6" t="n">
        <v>85</v>
      </c>
      <c r="V613" s="2" t="n"/>
      <c r="W613" s="7">
        <f>IF(N(U613)&lt;=0,0,MIN(Assumptions!$B$15,N(R613)/N(U613)))</f>
        <v/>
      </c>
      <c r="X613" s="6" t="n">
        <v>0.17</v>
      </c>
      <c r="Y613" s="3" t="n"/>
      <c r="Z613" t="inlineStr"/>
      <c r="AA613" s="3" t="n">
        <v>1</v>
      </c>
      <c r="AB613" s="3" t="n"/>
      <c r="AC613" s="3" t="n"/>
      <c r="AD613" s="3" t="n"/>
      <c r="AE613" s="3" t="n"/>
      <c r="AF613" s="3" t="n">
        <v>0</v>
      </c>
      <c r="AG613" s="3" t="n"/>
      <c r="AH613" s="3" t="n"/>
      <c r="AI613" s="3" t="n">
        <v>3.6194</v>
      </c>
      <c r="AJ613" s="3" t="n">
        <v>1.8271</v>
      </c>
      <c r="AK613" s="3" t="n">
        <v>-0.2042683792492344</v>
      </c>
      <c r="AL613" s="6" t="n">
        <v>0</v>
      </c>
      <c r="AM613" s="3" t="n">
        <v>0</v>
      </c>
      <c r="AN613" s="3" t="n">
        <v>0</v>
      </c>
      <c r="AO613" s="3" t="n">
        <v>0</v>
      </c>
      <c r="AP613" s="3">
        <f>N(X613)*N(BI613)</f>
        <v/>
      </c>
      <c r="AQ613" s="3" t="n">
        <v>0</v>
      </c>
      <c r="AR613" s="3" t="n">
        <v>0</v>
      </c>
      <c r="AS613" s="3" t="n">
        <v>-0.670020548738316</v>
      </c>
      <c r="AT613" s="3" t="n">
        <v>-0.2042683792492344</v>
      </c>
      <c r="AU613" s="3">
        <f>SUM(AN613:AT613)</f>
        <v/>
      </c>
      <c r="AV613" s="7">
        <f>IF(OR(N(W613)&lt;=0,N(BG613)=0),0,N(W613)*IF(N(R613)/N(W613)&gt;=60,N(BG613),1))</f>
        <v/>
      </c>
      <c r="AW613" s="7">
        <f>N(W613)*N(AF613)*N(BH613)</f>
        <v/>
      </c>
      <c r="AX613" s="7">
        <f>N(AL613)*(Assumptions!$B$13*N(BJ613)-(1-Assumptions!$B$13)*Assumptions!$B$14)+N(AM613)</f>
        <v/>
      </c>
      <c r="AY613" s="7">
        <f>N(AU613)*N(R613)/90+N(AV613)+N(AW613)+N(AX613)</f>
        <v/>
      </c>
      <c r="AZ613" s="3">
        <f>IF(N(R613)&lt;=0,0,(N(AY613)-N(AX613))*90/N(R613))</f>
        <v/>
      </c>
      <c r="BA613" s="7">
        <f>IFERROR(AY613-VLOOKUP($E613,Assumptions!$A$40:$C$43,3,FALSE),"")</f>
        <v/>
      </c>
      <c r="BB613" s="3">
        <f>IFERROR(BA613/H613,"")</f>
        <v/>
      </c>
      <c r="BC613">
        <f>IF(AND($G613=TRUE,$E613="GKP"),AY613,"")</f>
        <v/>
      </c>
      <c r="BD613">
        <f>IF(AND($G613=TRUE,$E613="DEF"),AY613,"")</f>
        <v/>
      </c>
      <c r="BE613">
        <f>IF(AND($G613=TRUE,$E613="MID"),AY613,"")</f>
        <v/>
      </c>
      <c r="BF613">
        <f>IF(AND($G613=TRUE,$E613="FWD"),AY613,"")</f>
        <v/>
      </c>
      <c r="BG613" t="n">
        <v>2</v>
      </c>
      <c r="BH613" t="n">
        <v>2</v>
      </c>
      <c r="BI613" t="n">
        <v>4</v>
      </c>
      <c r="BJ613" t="n">
        <v>6</v>
      </c>
    </row>
    <row r="614">
      <c r="A614" t="inlineStr">
        <is>
          <t>Eliot Matazo</t>
        </is>
      </c>
      <c r="B614" t="inlineStr">
        <is>
          <t>HUL</t>
        </is>
      </c>
      <c r="D614" t="b">
        <v>0</v>
      </c>
      <c r="E614" t="inlineStr">
        <is>
          <t>MID</t>
        </is>
      </c>
      <c r="G614" t="b">
        <v>1</v>
      </c>
      <c r="H614" s="2" t="n">
        <v>4.5</v>
      </c>
      <c r="I614" t="inlineStr">
        <is>
          <t>i</t>
        </is>
      </c>
      <c r="J614" t="inlineStr">
        <is>
          <t>Knee injury - Unknown return date</t>
        </is>
      </c>
      <c r="K614" s="2" t="n"/>
      <c r="M614" s="3" t="n">
        <v>0</v>
      </c>
      <c r="N614" s="8" t="n">
        <v>0</v>
      </c>
      <c r="O614" s="8" t="n">
        <v>0</v>
      </c>
      <c r="Q614" t="inlineStr">
        <is>
          <t>flat</t>
        </is>
      </c>
      <c r="R614" s="6" t="n">
        <v>0</v>
      </c>
      <c r="S614" t="inlineStr">
        <is>
          <t>Solio</t>
        </is>
      </c>
      <c r="U614" s="6" t="n">
        <v>85</v>
      </c>
      <c r="V614" s="2" t="n"/>
      <c r="W614" s="7">
        <f>IF(N(U614)&lt;=0,0,MIN(Assumptions!$B$15,N(R614)/N(U614)))</f>
        <v/>
      </c>
      <c r="X614" s="6" t="n">
        <v>0.143</v>
      </c>
      <c r="Y614" s="3" t="n"/>
      <c r="Z614" t="inlineStr"/>
      <c r="AA614" s="3" t="n">
        <v>1</v>
      </c>
      <c r="AB614" s="3" t="n"/>
      <c r="AC614" s="3" t="n"/>
      <c r="AD614" s="3" t="n"/>
      <c r="AE614" s="3" t="n"/>
      <c r="AF614" s="3" t="n">
        <v>0</v>
      </c>
      <c r="AG614" s="3" t="n"/>
      <c r="AH614" s="3" t="n"/>
      <c r="AI614" s="3" t="n">
        <v>3.9421</v>
      </c>
      <c r="AJ614" s="3" t="n">
        <v>1.99</v>
      </c>
      <c r="AK614" s="3" t="n">
        <v>-0.2160434166173144</v>
      </c>
      <c r="AL614" s="6" t="n">
        <v>0</v>
      </c>
      <c r="AM614" s="3" t="n">
        <v>0</v>
      </c>
      <c r="AN614" s="3" t="n">
        <v>0</v>
      </c>
      <c r="AO614" s="3" t="n">
        <v>0</v>
      </c>
      <c r="AP614" s="3">
        <f>N(X614)*N(BI614)</f>
        <v/>
      </c>
      <c r="AQ614" s="3" t="n">
        <v>0</v>
      </c>
      <c r="AR614" s="3" t="n">
        <v>0</v>
      </c>
      <c r="AS614" s="3" t="n">
        <v>-0</v>
      </c>
      <c r="AT614" s="3" t="n">
        <v>-0.2160434166173144</v>
      </c>
      <c r="AU614" s="3">
        <f>SUM(AN614:AT614)</f>
        <v/>
      </c>
      <c r="AV614" s="7">
        <f>IF(OR(N(W614)&lt;=0,N(BG614)=0),0,N(W614)*IF(N(R614)/N(W614)&gt;=60,N(BG614),1))</f>
        <v/>
      </c>
      <c r="AW614" s="7">
        <f>N(W614)*N(AF614)*N(BH614)</f>
        <v/>
      </c>
      <c r="AX614" s="7">
        <f>N(AL614)*(Assumptions!$B$13*N(BJ614)-(1-Assumptions!$B$13)*Assumptions!$B$14)+N(AM614)</f>
        <v/>
      </c>
      <c r="AY614" s="7">
        <f>N(AU614)*N(R614)/90+N(AV614)+N(AW614)+N(AX614)</f>
        <v/>
      </c>
      <c r="AZ614" s="3">
        <f>IF(N(R614)&lt;=0,0,(N(AY614)-N(AX614))*90/N(R614))</f>
        <v/>
      </c>
      <c r="BA614" s="7">
        <f>IFERROR(AY614-VLOOKUP($E614,Assumptions!$A$40:$C$43,3,FALSE),"")</f>
        <v/>
      </c>
      <c r="BB614" s="3">
        <f>IFERROR(BA614/H614,"")</f>
        <v/>
      </c>
      <c r="BC614">
        <f>IF(AND($G614=TRUE,$E614="GKP"),AY614,"")</f>
        <v/>
      </c>
      <c r="BD614">
        <f>IF(AND($G614=TRUE,$E614="DEF"),AY614,"")</f>
        <v/>
      </c>
      <c r="BE614">
        <f>IF(AND($G614=TRUE,$E614="MID"),AY614,"")</f>
        <v/>
      </c>
      <c r="BF614">
        <f>IF(AND($G614=TRUE,$E614="FWD"),AY614,"")</f>
        <v/>
      </c>
      <c r="BG614" t="n">
        <v>2</v>
      </c>
      <c r="BH614" t="n">
        <v>2</v>
      </c>
      <c r="BI614" t="n">
        <v>1</v>
      </c>
      <c r="BJ614" t="n">
        <v>5</v>
      </c>
    </row>
    <row r="615">
      <c r="A615" t="inlineStr">
        <is>
          <t>Hannibal Mejbri</t>
        </is>
      </c>
      <c r="C615" t="inlineStr">
        <is>
          <t>BUR</t>
        </is>
      </c>
      <c r="D615" t="b">
        <v>0</v>
      </c>
      <c r="F615" t="inlineStr">
        <is>
          <t>MID</t>
        </is>
      </c>
      <c r="G615" t="b">
        <v>0</v>
      </c>
      <c r="H615" s="2" t="n"/>
      <c r="K615" s="2" t="n">
        <v>1231</v>
      </c>
      <c r="M615" s="3" t="n"/>
      <c r="N615" s="8" t="n">
        <v>1231</v>
      </c>
      <c r="O615" s="8" t="n">
        <v>0</v>
      </c>
      <c r="R615" s="6" t="n">
        <v>1231</v>
      </c>
      <c r="S615" t="inlineStr">
        <is>
          <t>25/26 actual</t>
        </is>
      </c>
      <c r="U615" s="6" t="n">
        <v>74</v>
      </c>
      <c r="V615" s="2" t="n">
        <v>15</v>
      </c>
      <c r="W615" s="7">
        <f>IF(N(U615)&lt;=0,0,MIN(Assumptions!$B$15,N(R615)/N(U615)))</f>
        <v/>
      </c>
      <c r="X615" s="6" t="n"/>
      <c r="Y615" s="3" t="n">
        <v>0.06619999999999999</v>
      </c>
      <c r="Z615" t="inlineStr">
        <is>
          <t>adjusted xGOT</t>
        </is>
      </c>
      <c r="AA615" s="3" t="n">
        <v>1</v>
      </c>
      <c r="AB615" s="3" t="n">
        <v>0.996</v>
      </c>
      <c r="AC615" s="3" t="n">
        <v>0.9</v>
      </c>
      <c r="AD615" s="3" t="n">
        <v>0.2075</v>
      </c>
      <c r="AE615" s="3" t="n">
        <v>8.337</v>
      </c>
      <c r="AF615" s="3" t="n">
        <v>0</v>
      </c>
      <c r="AG615" s="3" t="n">
        <v>0.2924</v>
      </c>
      <c r="AH615" s="3" t="n">
        <v>39</v>
      </c>
      <c r="AI615" s="3" t="n"/>
      <c r="AJ615" s="3" t="n"/>
      <c r="AK615" s="3" t="n"/>
      <c r="AL615" s="6" t="n">
        <v>0</v>
      </c>
      <c r="AM615" s="3" t="n">
        <v>0</v>
      </c>
      <c r="AN615" s="3" t="n">
        <v>0</v>
      </c>
      <c r="AO615" s="3" t="n">
        <v>0</v>
      </c>
      <c r="AP615" s="3">
        <f>N(X615)*N(BI615)</f>
        <v/>
      </c>
      <c r="AQ615" s="3" t="n">
        <v>0</v>
      </c>
      <c r="AR615" s="3" t="n">
        <v>0</v>
      </c>
      <c r="AS615" s="3" t="n">
        <v>0</v>
      </c>
      <c r="AT615" s="3" t="n">
        <v>0</v>
      </c>
      <c r="AU615" s="3">
        <f>SUM(AN615:AT615)</f>
        <v/>
      </c>
      <c r="AV615" s="7">
        <f>IF(OR(N(W615)&lt;=0,N(BG615)=0),0,N(W615)*IF(N(R615)/N(W615)&gt;=60,N(BG615),1))</f>
        <v/>
      </c>
      <c r="AW615" s="7">
        <f>N(W615)*N(AF615)*N(BH615)</f>
        <v/>
      </c>
      <c r="AX615" s="7">
        <f>N(AL615)*(Assumptions!$B$13*N(BJ615)-(1-Assumptions!$B$13)*Assumptions!$B$14)+N(AM615)</f>
        <v/>
      </c>
      <c r="AY615" s="7">
        <f>N(AU615)*N(R615)/90+N(AV615)+N(AW615)+N(AX615)</f>
        <v/>
      </c>
      <c r="AZ615" s="3">
        <f>IF(N(R615)&lt;=0,0,(N(AY615)-N(AX615))*90/N(R615))</f>
        <v/>
      </c>
      <c r="BA615" s="7">
        <f>IFERROR(AY615-VLOOKUP($E615,Assumptions!$A$40:$C$43,3,FALSE),"")</f>
        <v/>
      </c>
      <c r="BB615" s="3">
        <f>IFERROR(BA615/H615,"")</f>
        <v/>
      </c>
      <c r="BC615">
        <f>IF(AND($G615=TRUE,$E615="GKP"),AY615,"")</f>
        <v/>
      </c>
      <c r="BD615">
        <f>IF(AND($G615=TRUE,$E615="DEF"),AY615,"")</f>
        <v/>
      </c>
      <c r="BE615">
        <f>IF(AND($G615=TRUE,$E615="MID"),AY615,"")</f>
        <v/>
      </c>
      <c r="BF615">
        <f>IF(AND($G615=TRUE,$E615="FWD"),AY615,"")</f>
        <v/>
      </c>
      <c r="BG615" t="n">
        <v>0</v>
      </c>
      <c r="BH615" t="n">
        <v>0</v>
      </c>
      <c r="BI615" t="n">
        <v>0</v>
      </c>
      <c r="BJ615" t="n">
        <v>0</v>
      </c>
    </row>
    <row r="616">
      <c r="A616" t="inlineStr">
        <is>
          <t>Mads Hermansen</t>
        </is>
      </c>
      <c r="C616" t="inlineStr">
        <is>
          <t>WHU</t>
        </is>
      </c>
      <c r="D616" t="b">
        <v>0</v>
      </c>
      <c r="F616" t="inlineStr">
        <is>
          <t>GKP</t>
        </is>
      </c>
      <c r="G616" t="b">
        <v>0</v>
      </c>
      <c r="H616" s="2" t="n"/>
      <c r="K616" s="2" t="n">
        <v>1620</v>
      </c>
      <c r="M616" s="3" t="n"/>
      <c r="N616" s="8" t="n">
        <v>1620</v>
      </c>
      <c r="O616" s="8" t="n">
        <v>0</v>
      </c>
      <c r="R616" s="6" t="n">
        <v>1620</v>
      </c>
      <c r="S616" t="inlineStr">
        <is>
          <t>25/26 actual</t>
        </is>
      </c>
      <c r="U616" s="6" t="n">
        <v>89.90000000000001</v>
      </c>
      <c r="V616" s="2" t="n">
        <v>18</v>
      </c>
      <c r="W616" s="7">
        <f>IF(N(U616)&lt;=0,0,MIN(Assumptions!$B$15,N(R616)/N(U616)))</f>
        <v/>
      </c>
      <c r="X616" s="6" t="n"/>
      <c r="Y616" s="3" t="n">
        <v>0</v>
      </c>
      <c r="Z616" t="inlineStr">
        <is>
          <t>blended xG</t>
        </is>
      </c>
      <c r="AA616" s="3" t="n">
        <v>1</v>
      </c>
      <c r="AB616" s="3" t="n">
        <v>1</v>
      </c>
      <c r="AC616" s="3" t="n">
        <v>0</v>
      </c>
      <c r="AD616" s="3" t="n">
        <v>0.0021</v>
      </c>
      <c r="AE616" s="3" t="n">
        <v>0</v>
      </c>
      <c r="AF616" s="3" t="n">
        <v>0</v>
      </c>
      <c r="AG616" s="3" t="n">
        <v>0.4444</v>
      </c>
      <c r="AH616" s="3" t="n">
        <v>36</v>
      </c>
      <c r="AI616" s="3" t="n"/>
      <c r="AJ616" s="3" t="n"/>
      <c r="AK616" s="3" t="n"/>
      <c r="AL616" s="6" t="n">
        <v>0</v>
      </c>
      <c r="AM616" s="3" t="n">
        <v>0</v>
      </c>
      <c r="AN616" s="3" t="n">
        <v>0</v>
      </c>
      <c r="AO616" s="3" t="n">
        <v>0</v>
      </c>
      <c r="AP616" s="3">
        <f>N(X616)*N(BI616)</f>
        <v/>
      </c>
      <c r="AQ616" s="3" t="n">
        <v>0</v>
      </c>
      <c r="AR616" s="3" t="n">
        <v>0</v>
      </c>
      <c r="AS616" s="3" t="n">
        <v>0</v>
      </c>
      <c r="AT616" s="3" t="n">
        <v>0</v>
      </c>
      <c r="AU616" s="3">
        <f>SUM(AN616:AT616)</f>
        <v/>
      </c>
      <c r="AV616" s="7">
        <f>IF(OR(N(W616)&lt;=0,N(BG616)=0),0,N(W616)*IF(N(R616)/N(W616)&gt;=60,N(BG616),1))</f>
        <v/>
      </c>
      <c r="AW616" s="7">
        <f>N(W616)*N(AF616)*N(BH616)</f>
        <v/>
      </c>
      <c r="AX616" s="7">
        <f>N(AL616)*(Assumptions!$B$13*N(BJ616)-(1-Assumptions!$B$13)*Assumptions!$B$14)+N(AM616)</f>
        <v/>
      </c>
      <c r="AY616" s="7">
        <f>N(AU616)*N(R616)/90+N(AV616)+N(AW616)+N(AX616)</f>
        <v/>
      </c>
      <c r="AZ616" s="3">
        <f>IF(N(R616)&lt;=0,0,(N(AY616)-N(AX616))*90/N(R616))</f>
        <v/>
      </c>
      <c r="BA616" s="7">
        <f>IFERROR(AY616-VLOOKUP($E616,Assumptions!$A$40:$C$43,3,FALSE),"")</f>
        <v/>
      </c>
      <c r="BB616" s="3">
        <f>IFERROR(BA616/H616,"")</f>
        <v/>
      </c>
      <c r="BC616">
        <f>IF(AND($G616=TRUE,$E616="GKP"),AY616,"")</f>
        <v/>
      </c>
      <c r="BD616">
        <f>IF(AND($G616=TRUE,$E616="DEF"),AY616,"")</f>
        <v/>
      </c>
      <c r="BE616">
        <f>IF(AND($G616=TRUE,$E616="MID"),AY616,"")</f>
        <v/>
      </c>
      <c r="BF616">
        <f>IF(AND($G616=TRUE,$E616="FWD"),AY616,"")</f>
        <v/>
      </c>
      <c r="BG616" t="n">
        <v>0</v>
      </c>
      <c r="BH616" t="n">
        <v>0</v>
      </c>
      <c r="BI616" t="n">
        <v>0</v>
      </c>
      <c r="BJ616" t="n">
        <v>0</v>
      </c>
    </row>
    <row r="617">
      <c r="A617" t="inlineStr">
        <is>
          <t>Lorenzo Lucca</t>
        </is>
      </c>
      <c r="C617" t="inlineStr">
        <is>
          <t>NFO</t>
        </is>
      </c>
      <c r="D617" t="b">
        <v>0</v>
      </c>
      <c r="F617" t="inlineStr">
        <is>
          <t>FWD</t>
        </is>
      </c>
      <c r="G617" t="b">
        <v>0</v>
      </c>
      <c r="H617" s="2" t="n"/>
      <c r="K617" s="2" t="n">
        <v>127</v>
      </c>
      <c r="M617" s="3" t="n"/>
      <c r="N617" s="8" t="n">
        <v>127</v>
      </c>
      <c r="O617" s="8" t="n">
        <v>0</v>
      </c>
      <c r="R617" s="6" t="n">
        <v>127</v>
      </c>
      <c r="S617" t="inlineStr">
        <is>
          <t>25/26 actual</t>
        </is>
      </c>
      <c r="U617" s="6" t="n">
        <v>77.7</v>
      </c>
      <c r="V617" s="2" t="n">
        <v>1</v>
      </c>
      <c r="W617" s="7">
        <f>IF(N(U617)&lt;=0,0,MIN(Assumptions!$B$15,N(R617)/N(U617)))</f>
        <v/>
      </c>
      <c r="X617" s="6" t="n"/>
      <c r="Y617" s="3" t="n">
        <v>0.5223</v>
      </c>
      <c r="Z617" t="inlineStr">
        <is>
          <t>adjusted xGOT</t>
        </is>
      </c>
      <c r="AA617" s="3" t="n">
        <v>1</v>
      </c>
      <c r="AB617" s="3" t="n">
        <v>0.9330000000000001</v>
      </c>
      <c r="AC617" s="3" t="n">
        <v>0.8</v>
      </c>
      <c r="AD617" s="3" t="n">
        <v>0.026</v>
      </c>
      <c r="AE617" s="3" t="n">
        <v>4.824</v>
      </c>
      <c r="AF617" s="3" t="n">
        <v>0</v>
      </c>
      <c r="AG617" s="3" t="n">
        <v>0</v>
      </c>
      <c r="AH617" s="3" t="n">
        <v>5</v>
      </c>
      <c r="AI617" s="3" t="n"/>
      <c r="AJ617" s="3" t="n"/>
      <c r="AK617" s="3" t="n"/>
      <c r="AL617" s="6" t="n">
        <v>0</v>
      </c>
      <c r="AM617" s="3" t="n">
        <v>0</v>
      </c>
      <c r="AN617" s="3" t="n">
        <v>0</v>
      </c>
      <c r="AO617" s="3" t="n">
        <v>0</v>
      </c>
      <c r="AP617" s="3">
        <f>N(X617)*N(BI617)</f>
        <v/>
      </c>
      <c r="AQ617" s="3" t="n">
        <v>0</v>
      </c>
      <c r="AR617" s="3" t="n">
        <v>0</v>
      </c>
      <c r="AS617" s="3" t="n">
        <v>0</v>
      </c>
      <c r="AT617" s="3" t="n">
        <v>0</v>
      </c>
      <c r="AU617" s="3">
        <f>SUM(AN617:AT617)</f>
        <v/>
      </c>
      <c r="AV617" s="7">
        <f>IF(OR(N(W617)&lt;=0,N(BG617)=0),0,N(W617)*IF(N(R617)/N(W617)&gt;=60,N(BG617),1))</f>
        <v/>
      </c>
      <c r="AW617" s="7">
        <f>N(W617)*N(AF617)*N(BH617)</f>
        <v/>
      </c>
      <c r="AX617" s="7">
        <f>N(AL617)*(Assumptions!$B$13*N(BJ617)-(1-Assumptions!$B$13)*Assumptions!$B$14)+N(AM617)</f>
        <v/>
      </c>
      <c r="AY617" s="7">
        <f>N(AU617)*N(R617)/90+N(AV617)+N(AW617)+N(AX617)</f>
        <v/>
      </c>
      <c r="AZ617" s="3">
        <f>IF(N(R617)&lt;=0,0,(N(AY617)-N(AX617))*90/N(R617))</f>
        <v/>
      </c>
      <c r="BA617" s="7">
        <f>IFERROR(AY617-VLOOKUP($E617,Assumptions!$A$40:$C$43,3,FALSE),"")</f>
        <v/>
      </c>
      <c r="BB617" s="3">
        <f>IFERROR(BA617/H617,"")</f>
        <v/>
      </c>
      <c r="BC617">
        <f>IF(AND($G617=TRUE,$E617="GKP"),AY617,"")</f>
        <v/>
      </c>
      <c r="BD617">
        <f>IF(AND($G617=TRUE,$E617="DEF"),AY617,"")</f>
        <v/>
      </c>
      <c r="BE617">
        <f>IF(AND($G617=TRUE,$E617="MID"),AY617,"")</f>
        <v/>
      </c>
      <c r="BF617">
        <f>IF(AND($G617=TRUE,$E617="FWD"),AY617,"")</f>
        <v/>
      </c>
      <c r="BG617" t="n">
        <v>0</v>
      </c>
      <c r="BH617" t="n">
        <v>0</v>
      </c>
      <c r="BI617" t="n">
        <v>0</v>
      </c>
      <c r="BJ617" t="n">
        <v>0</v>
      </c>
    </row>
    <row r="618">
      <c r="A618" t="inlineStr">
        <is>
          <t>Lukás Hornícek</t>
        </is>
      </c>
      <c r="B618" t="inlineStr">
        <is>
          <t>NEW</t>
        </is>
      </c>
      <c r="D618" t="b">
        <v>0</v>
      </c>
      <c r="E618" t="inlineStr">
        <is>
          <t>GKP</t>
        </is>
      </c>
      <c r="G618" t="b">
        <v>1</v>
      </c>
      <c r="H618" s="2" t="n">
        <v>5</v>
      </c>
      <c r="I618" t="inlineStr">
        <is>
          <t>a</t>
        </is>
      </c>
      <c r="K618" s="2" t="n"/>
      <c r="M618" s="3" t="n">
        <v>3374</v>
      </c>
      <c r="N618" s="8" t="n">
        <v>3374</v>
      </c>
      <c r="O618" s="8" t="n">
        <v>0</v>
      </c>
      <c r="Q618" t="inlineStr">
        <is>
          <t>flat</t>
        </is>
      </c>
      <c r="R618" s="6" t="n">
        <v>3374</v>
      </c>
      <c r="S618" t="inlineStr">
        <is>
          <t>Solio</t>
        </is>
      </c>
      <c r="U618" s="6" t="n">
        <v>85</v>
      </c>
      <c r="V618" s="2" t="n"/>
      <c r="W618" s="7">
        <f>IF(N(U618)&lt;=0,0,MIN(Assumptions!$B$15,N(R618)/N(U618)))</f>
        <v/>
      </c>
      <c r="X618" s="6" t="n">
        <v>0.248</v>
      </c>
      <c r="Y618" s="3" t="n"/>
      <c r="Z618" t="inlineStr"/>
      <c r="AA618" s="3" t="n">
        <v>1</v>
      </c>
      <c r="AB618" s="3" t="n"/>
      <c r="AC618" s="3" t="n"/>
      <c r="AD618" s="3" t="n"/>
      <c r="AE618" s="3" t="n">
        <v>0</v>
      </c>
      <c r="AF618" s="3" t="n">
        <v>0</v>
      </c>
      <c r="AG618" s="3" t="n"/>
      <c r="AH618" s="3" t="n"/>
      <c r="AI618" s="3" t="n">
        <v>3.0912</v>
      </c>
      <c r="AJ618" s="3" t="n">
        <v>1.4534</v>
      </c>
      <c r="AK618" s="3" t="n">
        <v>-0.0763216474948735</v>
      </c>
      <c r="AL618" s="6" t="n">
        <v>0</v>
      </c>
      <c r="AM618" s="3" t="n">
        <v>3.061003533120678</v>
      </c>
      <c r="AN618" s="3" t="n">
        <v>0</v>
      </c>
      <c r="AO618" s="3" t="n">
        <v>0</v>
      </c>
      <c r="AP618" s="3">
        <f>N(X618)*N(BI618)</f>
        <v/>
      </c>
      <c r="AQ618" s="3" t="n">
        <v>0</v>
      </c>
      <c r="AR618" s="3" t="n">
        <v>0.6950146973483665</v>
      </c>
      <c r="AS618" s="3" t="n">
        <v>-0.4903625828545308</v>
      </c>
      <c r="AT618" s="3" t="n">
        <v>-0.0763216474948735</v>
      </c>
      <c r="AU618" s="3">
        <f>SUM(AN618:AT618)</f>
        <v/>
      </c>
      <c r="AV618" s="7">
        <f>IF(OR(N(W618)&lt;=0,N(BG618)=0),0,N(W618)*IF(N(R618)/N(W618)&gt;=60,N(BG618),1))</f>
        <v/>
      </c>
      <c r="AW618" s="7">
        <f>N(W618)*N(AF618)*N(BH618)</f>
        <v/>
      </c>
      <c r="AX618" s="7">
        <f>N(AL618)*(Assumptions!$B$13*N(BJ618)-(1-Assumptions!$B$13)*Assumptions!$B$14)+N(AM618)</f>
        <v/>
      </c>
      <c r="AY618" s="7">
        <f>N(AU618)*N(R618)/90+N(AV618)+N(AW618)+N(AX618)</f>
        <v/>
      </c>
      <c r="AZ618" s="3">
        <f>IF(N(R618)&lt;=0,0,(N(AY618)-N(AX618))*90/N(R618))</f>
        <v/>
      </c>
      <c r="BA618" s="7">
        <f>IFERROR(AY618-VLOOKUP($E618,Assumptions!$A$40:$C$43,3,FALSE),"")</f>
        <v/>
      </c>
      <c r="BB618" s="3">
        <f>IFERROR(BA618/H618,"")</f>
        <v/>
      </c>
      <c r="BC618">
        <f>IF(AND($G618=TRUE,$E618="GKP"),AY618,"")</f>
        <v/>
      </c>
      <c r="BD618">
        <f>IF(AND($G618=TRUE,$E618="DEF"),AY618,"")</f>
        <v/>
      </c>
      <c r="BE618">
        <f>IF(AND($G618=TRUE,$E618="MID"),AY618,"")</f>
        <v/>
      </c>
      <c r="BF618">
        <f>IF(AND($G618=TRUE,$E618="FWD"),AY618,"")</f>
        <v/>
      </c>
      <c r="BG618" t="n">
        <v>2</v>
      </c>
      <c r="BH618" t="n">
        <v>0</v>
      </c>
      <c r="BI618" t="n">
        <v>4</v>
      </c>
      <c r="BJ618" t="n">
        <v>10</v>
      </c>
    </row>
    <row r="619">
      <c r="A619" t="inlineStr">
        <is>
          <t>Konstantinos Tzolakis</t>
        </is>
      </c>
      <c r="B619" t="inlineStr">
        <is>
          <t>HUL</t>
        </is>
      </c>
      <c r="D619" t="b">
        <v>0</v>
      </c>
      <c r="E619" t="inlineStr">
        <is>
          <t>GKP</t>
        </is>
      </c>
      <c r="G619" t="b">
        <v>1</v>
      </c>
      <c r="H619" s="2" t="n">
        <v>4.5</v>
      </c>
      <c r="I619" t="inlineStr">
        <is>
          <t>a</t>
        </is>
      </c>
      <c r="K619" s="2" t="n"/>
      <c r="M619" s="3" t="n">
        <v>3385</v>
      </c>
      <c r="N619" s="8" t="n">
        <v>3385</v>
      </c>
      <c r="O619" s="8" t="n">
        <v>0</v>
      </c>
      <c r="Q619" t="inlineStr">
        <is>
          <t>flat</t>
        </is>
      </c>
      <c r="R619" s="6" t="n">
        <v>3385</v>
      </c>
      <c r="S619" t="inlineStr">
        <is>
          <t>Solio</t>
        </is>
      </c>
      <c r="U619" s="6" t="n">
        <v>85</v>
      </c>
      <c r="V619" s="2" t="n"/>
      <c r="W619" s="7">
        <f>IF(N(U619)&lt;=0,0,MIN(Assumptions!$B$15,N(R619)/N(U619)))</f>
        <v/>
      </c>
      <c r="X619" s="6" t="n">
        <v>0.143</v>
      </c>
      <c r="Y619" s="3" t="n"/>
      <c r="Z619" t="inlineStr"/>
      <c r="AA619" s="3" t="n">
        <v>1</v>
      </c>
      <c r="AB619" s="3" t="n"/>
      <c r="AC619" s="3" t="n"/>
      <c r="AD619" s="3" t="n"/>
      <c r="AE619" s="3" t="n">
        <v>0</v>
      </c>
      <c r="AF619" s="3" t="n">
        <v>0</v>
      </c>
      <c r="AG619" s="3" t="n"/>
      <c r="AH619" s="3" t="n"/>
      <c r="AI619" s="3" t="n">
        <v>3.9421</v>
      </c>
      <c r="AJ619" s="3" t="n">
        <v>1.99</v>
      </c>
      <c r="AK619" s="3" t="n">
        <v>-0.0763216474948735</v>
      </c>
      <c r="AL619" s="6" t="n">
        <v>0</v>
      </c>
      <c r="AM619" s="3" t="n">
        <v>4.204835782491481</v>
      </c>
      <c r="AN619" s="3" t="n">
        <v>0</v>
      </c>
      <c r="AO619" s="3" t="n">
        <v>0</v>
      </c>
      <c r="AP619" s="3">
        <f>N(X619)*N(BI619)</f>
        <v/>
      </c>
      <c r="AQ619" s="3" t="n">
        <v>0</v>
      </c>
      <c r="AR619" s="3" t="n">
        <v>0.979692031005534</v>
      </c>
      <c r="AS619" s="3" t="n">
        <v>-0.7496714098286652</v>
      </c>
      <c r="AT619" s="3" t="n">
        <v>-0.0763216474948735</v>
      </c>
      <c r="AU619" s="3">
        <f>SUM(AN619:AT619)</f>
        <v/>
      </c>
      <c r="AV619" s="7">
        <f>IF(OR(N(W619)&lt;=0,N(BG619)=0),0,N(W619)*IF(N(R619)/N(W619)&gt;=60,N(BG619),1))</f>
        <v/>
      </c>
      <c r="AW619" s="7">
        <f>N(W619)*N(AF619)*N(BH619)</f>
        <v/>
      </c>
      <c r="AX619" s="7">
        <f>N(AL619)*(Assumptions!$B$13*N(BJ619)-(1-Assumptions!$B$13)*Assumptions!$B$14)+N(AM619)</f>
        <v/>
      </c>
      <c r="AY619" s="7">
        <f>N(AU619)*N(R619)/90+N(AV619)+N(AW619)+N(AX619)</f>
        <v/>
      </c>
      <c r="AZ619" s="3">
        <f>IF(N(R619)&lt;=0,0,(N(AY619)-N(AX619))*90/N(R619))</f>
        <v/>
      </c>
      <c r="BA619" s="7">
        <f>IFERROR(AY619-VLOOKUP($E619,Assumptions!$A$40:$C$43,3,FALSE),"")</f>
        <v/>
      </c>
      <c r="BB619" s="3">
        <f>IFERROR(BA619/H619,"")</f>
        <v/>
      </c>
      <c r="BC619">
        <f>IF(AND($G619=TRUE,$E619="GKP"),AY619,"")</f>
        <v/>
      </c>
      <c r="BD619">
        <f>IF(AND($G619=TRUE,$E619="DEF"),AY619,"")</f>
        <v/>
      </c>
      <c r="BE619">
        <f>IF(AND($G619=TRUE,$E619="MID"),AY619,"")</f>
        <v/>
      </c>
      <c r="BF619">
        <f>IF(AND($G619=TRUE,$E619="FWD"),AY619,"")</f>
        <v/>
      </c>
      <c r="BG619" t="n">
        <v>2</v>
      </c>
      <c r="BH619" t="n">
        <v>0</v>
      </c>
      <c r="BI619" t="n">
        <v>4</v>
      </c>
      <c r="BJ619" t="n">
        <v>10</v>
      </c>
    </row>
    <row r="620">
      <c r="A620" t="inlineStr">
        <is>
          <t>Maxime Estève</t>
        </is>
      </c>
      <c r="C620" t="inlineStr">
        <is>
          <t>BUR</t>
        </is>
      </c>
      <c r="D620" t="b">
        <v>0</v>
      </c>
      <c r="F620" t="inlineStr">
        <is>
          <t>DEF</t>
        </is>
      </c>
      <c r="G620" t="b">
        <v>0</v>
      </c>
      <c r="H620" s="2" t="n"/>
      <c r="K620" s="2" t="n">
        <v>2937</v>
      </c>
      <c r="M620" s="3" t="n"/>
      <c r="N620" s="8" t="n">
        <v>2937</v>
      </c>
      <c r="O620" s="8" t="n">
        <v>0</v>
      </c>
      <c r="R620" s="6" t="n">
        <v>2937</v>
      </c>
      <c r="S620" t="inlineStr">
        <is>
          <t>25/26 actual</t>
        </is>
      </c>
      <c r="U620" s="6" t="n">
        <v>86.09999999999999</v>
      </c>
      <c r="V620" s="2" t="n">
        <v>34</v>
      </c>
      <c r="W620" s="7">
        <f>IF(N(U620)&lt;=0,0,MIN(Assumptions!$B$15,N(R620)/N(U620)))</f>
        <v/>
      </c>
      <c r="X620" s="6" t="n"/>
      <c r="Y620" s="3" t="n">
        <v>0.0201</v>
      </c>
      <c r="Z620" t="inlineStr">
        <is>
          <t>adjusted xGOT</t>
        </is>
      </c>
      <c r="AA620" s="3" t="n">
        <v>1</v>
      </c>
      <c r="AB620" s="3" t="n">
        <v>0.9</v>
      </c>
      <c r="AC620" s="3" t="n">
        <v>1</v>
      </c>
      <c r="AD620" s="3" t="n">
        <v>0.0215</v>
      </c>
      <c r="AE620" s="3" t="n">
        <v>9.744</v>
      </c>
      <c r="AF620" s="3" t="n">
        <v>0</v>
      </c>
      <c r="AG620" s="3" t="n">
        <v>0</v>
      </c>
      <c r="AH620" s="3" t="n">
        <v>67</v>
      </c>
      <c r="AI620" s="3" t="n"/>
      <c r="AJ620" s="3" t="n"/>
      <c r="AK620" s="3" t="n"/>
      <c r="AL620" s="6" t="n">
        <v>0</v>
      </c>
      <c r="AM620" s="3" t="n">
        <v>0</v>
      </c>
      <c r="AN620" s="3" t="n">
        <v>0</v>
      </c>
      <c r="AO620" s="3" t="n">
        <v>0</v>
      </c>
      <c r="AP620" s="3">
        <f>N(X620)*N(BI620)</f>
        <v/>
      </c>
      <c r="AQ620" s="3" t="n">
        <v>0</v>
      </c>
      <c r="AR620" s="3" t="n">
        <v>0</v>
      </c>
      <c r="AS620" s="3" t="n">
        <v>0</v>
      </c>
      <c r="AT620" s="3" t="n">
        <v>0</v>
      </c>
      <c r="AU620" s="3">
        <f>SUM(AN620:AT620)</f>
        <v/>
      </c>
      <c r="AV620" s="7">
        <f>IF(OR(N(W620)&lt;=0,N(BG620)=0),0,N(W620)*IF(N(R620)/N(W620)&gt;=60,N(BG620),1))</f>
        <v/>
      </c>
      <c r="AW620" s="7">
        <f>N(W620)*N(AF620)*N(BH620)</f>
        <v/>
      </c>
      <c r="AX620" s="7">
        <f>N(AL620)*(Assumptions!$B$13*N(BJ620)-(1-Assumptions!$B$13)*Assumptions!$B$14)+N(AM620)</f>
        <v/>
      </c>
      <c r="AY620" s="7">
        <f>N(AU620)*N(R620)/90+N(AV620)+N(AW620)+N(AX620)</f>
        <v/>
      </c>
      <c r="AZ620" s="3">
        <f>IF(N(R620)&lt;=0,0,(N(AY620)-N(AX620))*90/N(R620))</f>
        <v/>
      </c>
      <c r="BA620" s="7">
        <f>IFERROR(AY620-VLOOKUP($E620,Assumptions!$A$40:$C$43,3,FALSE),"")</f>
        <v/>
      </c>
      <c r="BB620" s="3">
        <f>IFERROR(BA620/H620,"")</f>
        <v/>
      </c>
      <c r="BC620">
        <f>IF(AND($G620=TRUE,$E620="GKP"),AY620,"")</f>
        <v/>
      </c>
      <c r="BD620">
        <f>IF(AND($G620=TRUE,$E620="DEF"),AY620,"")</f>
        <v/>
      </c>
      <c r="BE620">
        <f>IF(AND($G620=TRUE,$E620="MID"),AY620,"")</f>
        <v/>
      </c>
      <c r="BF620">
        <f>IF(AND($G620=TRUE,$E620="FWD"),AY620,"")</f>
        <v/>
      </c>
      <c r="BG620" t="n">
        <v>0</v>
      </c>
      <c r="BH620" t="n">
        <v>0</v>
      </c>
      <c r="BI620" t="n">
        <v>0</v>
      </c>
      <c r="BJ620" t="n">
        <v>0</v>
      </c>
    </row>
    <row r="621">
      <c r="A621" t="inlineStr">
        <is>
          <t>Hjalmar Ekdal</t>
        </is>
      </c>
      <c r="C621" t="inlineStr">
        <is>
          <t>BUR</t>
        </is>
      </c>
      <c r="D621" t="b">
        <v>0</v>
      </c>
      <c r="F621" t="inlineStr">
        <is>
          <t>DEF</t>
        </is>
      </c>
      <c r="G621" t="b">
        <v>0</v>
      </c>
      <c r="H621" s="2" t="n"/>
      <c r="K621" s="2" t="n">
        <v>1539</v>
      </c>
      <c r="M621" s="3" t="n"/>
      <c r="N621" s="8" t="n">
        <v>1539</v>
      </c>
      <c r="O621" s="8" t="n">
        <v>0</v>
      </c>
      <c r="R621" s="6" t="n">
        <v>1539</v>
      </c>
      <c r="S621" t="inlineStr">
        <is>
          <t>25/26 actual</t>
        </is>
      </c>
      <c r="U621" s="6" t="n">
        <v>88</v>
      </c>
      <c r="V621" s="2" t="n">
        <v>17</v>
      </c>
      <c r="W621" s="7">
        <f>IF(N(U621)&lt;=0,0,MIN(Assumptions!$B$15,N(R621)/N(U621)))</f>
        <v/>
      </c>
      <c r="X621" s="6" t="n"/>
      <c r="Y621" s="3" t="n">
        <v>0.0143</v>
      </c>
      <c r="Z621" t="inlineStr">
        <is>
          <t>adjusted xGOT</t>
        </is>
      </c>
      <c r="AA621" s="3" t="n">
        <v>1</v>
      </c>
      <c r="AB621" s="3" t="n">
        <v>0.975</v>
      </c>
      <c r="AC621" s="3" t="n">
        <v>0.3</v>
      </c>
      <c r="AD621" s="3" t="n">
        <v>0.0098</v>
      </c>
      <c r="AE621" s="3" t="n">
        <v>9.382</v>
      </c>
      <c r="AF621" s="3" t="n">
        <v>0</v>
      </c>
      <c r="AG621" s="3" t="n">
        <v>0.117</v>
      </c>
      <c r="AH621" s="3" t="n">
        <v>36</v>
      </c>
      <c r="AI621" s="3" t="n"/>
      <c r="AJ621" s="3" t="n"/>
      <c r="AK621" s="3" t="n"/>
      <c r="AL621" s="6" t="n">
        <v>0</v>
      </c>
      <c r="AM621" s="3" t="n">
        <v>0</v>
      </c>
      <c r="AN621" s="3" t="n">
        <v>0</v>
      </c>
      <c r="AO621" s="3" t="n">
        <v>0</v>
      </c>
      <c r="AP621" s="3">
        <f>N(X621)*N(BI621)</f>
        <v/>
      </c>
      <c r="AQ621" s="3" t="n">
        <v>0</v>
      </c>
      <c r="AR621" s="3" t="n">
        <v>0</v>
      </c>
      <c r="AS621" s="3" t="n">
        <v>0</v>
      </c>
      <c r="AT621" s="3" t="n">
        <v>0</v>
      </c>
      <c r="AU621" s="3">
        <f>SUM(AN621:AT621)</f>
        <v/>
      </c>
      <c r="AV621" s="7">
        <f>IF(OR(N(W621)&lt;=0,N(BG621)=0),0,N(W621)*IF(N(R621)/N(W621)&gt;=60,N(BG621),1))</f>
        <v/>
      </c>
      <c r="AW621" s="7">
        <f>N(W621)*N(AF621)*N(BH621)</f>
        <v/>
      </c>
      <c r="AX621" s="7">
        <f>N(AL621)*(Assumptions!$B$13*N(BJ621)-(1-Assumptions!$B$13)*Assumptions!$B$14)+N(AM621)</f>
        <v/>
      </c>
      <c r="AY621" s="7">
        <f>N(AU621)*N(R621)/90+N(AV621)+N(AW621)+N(AX621)</f>
        <v/>
      </c>
      <c r="AZ621" s="3">
        <f>IF(N(R621)&lt;=0,0,(N(AY621)-N(AX621))*90/N(R621))</f>
        <v/>
      </c>
      <c r="BA621" s="7">
        <f>IFERROR(AY621-VLOOKUP($E621,Assumptions!$A$40:$C$43,3,FALSE),"")</f>
        <v/>
      </c>
      <c r="BB621" s="3">
        <f>IFERROR(BA621/H621,"")</f>
        <v/>
      </c>
      <c r="BC621">
        <f>IF(AND($G621=TRUE,$E621="GKP"),AY621,"")</f>
        <v/>
      </c>
      <c r="BD621">
        <f>IF(AND($G621=TRUE,$E621="DEF"),AY621,"")</f>
        <v/>
      </c>
      <c r="BE621">
        <f>IF(AND($G621=TRUE,$E621="MID"),AY621,"")</f>
        <v/>
      </c>
      <c r="BF621">
        <f>IF(AND($G621=TRUE,$E621="FWD"),AY621,"")</f>
        <v/>
      </c>
      <c r="BG621" t="n">
        <v>0</v>
      </c>
      <c r="BH621" t="n">
        <v>0</v>
      </c>
      <c r="BI621" t="n">
        <v>0</v>
      </c>
      <c r="BJ621" t="n">
        <v>0</v>
      </c>
    </row>
    <row r="622">
      <c r="A622" t="inlineStr">
        <is>
          <t>Jack Rudoni</t>
        </is>
      </c>
      <c r="B622" t="inlineStr">
        <is>
          <t>COV</t>
        </is>
      </c>
      <c r="D622" t="b">
        <v>0</v>
      </c>
      <c r="E622" t="inlineStr">
        <is>
          <t>MID</t>
        </is>
      </c>
      <c r="G622" t="b">
        <v>1</v>
      </c>
      <c r="H622" s="2" t="n">
        <v>5</v>
      </c>
      <c r="I622" t="inlineStr">
        <is>
          <t>d</t>
        </is>
      </c>
      <c r="J622" t="inlineStr">
        <is>
          <t>Shoulder injury - 75% chance of playing</t>
        </is>
      </c>
      <c r="K622" s="2" t="n"/>
      <c r="M622" s="3" t="n">
        <v>948</v>
      </c>
      <c r="N622" s="8" t="n">
        <v>948</v>
      </c>
      <c r="O622" s="8" t="n">
        <v>0</v>
      </c>
      <c r="Q622" t="inlineStr">
        <is>
          <t>flat</t>
        </is>
      </c>
      <c r="R622" s="6" t="n">
        <v>948</v>
      </c>
      <c r="S622" t="inlineStr">
        <is>
          <t>Solio</t>
        </is>
      </c>
      <c r="U622" s="6" t="n">
        <v>85</v>
      </c>
      <c r="V622" s="2" t="n"/>
      <c r="W622" s="7">
        <f>IF(N(U622)&lt;=0,0,MIN(Assumptions!$B$15,N(R622)/N(U622)))</f>
        <v/>
      </c>
      <c r="X622" s="6" t="n">
        <v>0.17</v>
      </c>
      <c r="Y622" s="3" t="n"/>
      <c r="Z622" t="inlineStr"/>
      <c r="AA622" s="3" t="n">
        <v>1</v>
      </c>
      <c r="AB622" s="3" t="n"/>
      <c r="AC622" s="3" t="n"/>
      <c r="AD622" s="3" t="n"/>
      <c r="AE622" s="3" t="n"/>
      <c r="AF622" s="3" t="n">
        <v>0</v>
      </c>
      <c r="AG622" s="3" t="n"/>
      <c r="AH622" s="3" t="n"/>
      <c r="AI622" s="3" t="n">
        <v>3.6194</v>
      </c>
      <c r="AJ622" s="3" t="n">
        <v>1.8271</v>
      </c>
      <c r="AK622" s="3" t="n">
        <v>-0.2160434166173144</v>
      </c>
      <c r="AL622" s="6" t="n">
        <v>0</v>
      </c>
      <c r="AM622" s="3" t="n">
        <v>0</v>
      </c>
      <c r="AN622" s="3" t="n">
        <v>0</v>
      </c>
      <c r="AO622" s="3" t="n">
        <v>0</v>
      </c>
      <c r="AP622" s="3">
        <f>N(X622)*N(BI622)</f>
        <v/>
      </c>
      <c r="AQ622" s="3" t="n">
        <v>0</v>
      </c>
      <c r="AR622" s="3" t="n">
        <v>0</v>
      </c>
      <c r="AS622" s="3" t="n">
        <v>-0</v>
      </c>
      <c r="AT622" s="3" t="n">
        <v>-0.2160434166173144</v>
      </c>
      <c r="AU622" s="3">
        <f>SUM(AN622:AT622)</f>
        <v/>
      </c>
      <c r="AV622" s="7">
        <f>IF(OR(N(W622)&lt;=0,N(BG622)=0),0,N(W622)*IF(N(R622)/N(W622)&gt;=60,N(BG622),1))</f>
        <v/>
      </c>
      <c r="AW622" s="7">
        <f>N(W622)*N(AF622)*N(BH622)</f>
        <v/>
      </c>
      <c r="AX622" s="7">
        <f>N(AL622)*(Assumptions!$B$13*N(BJ622)-(1-Assumptions!$B$13)*Assumptions!$B$14)+N(AM622)</f>
        <v/>
      </c>
      <c r="AY622" s="7">
        <f>N(AU622)*N(R622)/90+N(AV622)+N(AW622)+N(AX622)</f>
        <v/>
      </c>
      <c r="AZ622" s="3">
        <f>IF(N(R622)&lt;=0,0,(N(AY622)-N(AX622))*90/N(R622))</f>
        <v/>
      </c>
      <c r="BA622" s="7">
        <f>IFERROR(AY622-VLOOKUP($E622,Assumptions!$A$40:$C$43,3,FALSE),"")</f>
        <v/>
      </c>
      <c r="BB622" s="3">
        <f>IFERROR(BA622/H622,"")</f>
        <v/>
      </c>
      <c r="BC622">
        <f>IF(AND($G622=TRUE,$E622="GKP"),AY622,"")</f>
        <v/>
      </c>
      <c r="BD622">
        <f>IF(AND($G622=TRUE,$E622="DEF"),AY622,"")</f>
        <v/>
      </c>
      <c r="BE622">
        <f>IF(AND($G622=TRUE,$E622="MID"),AY622,"")</f>
        <v/>
      </c>
      <c r="BF622">
        <f>IF(AND($G622=TRUE,$E622="FWD"),AY622,"")</f>
        <v/>
      </c>
      <c r="BG622" t="n">
        <v>2</v>
      </c>
      <c r="BH622" t="n">
        <v>2</v>
      </c>
      <c r="BI622" t="n">
        <v>1</v>
      </c>
      <c r="BJ622" t="n">
        <v>5</v>
      </c>
    </row>
    <row r="623">
      <c r="A623" t="inlineStr">
        <is>
          <t>Jaden Philogene</t>
        </is>
      </c>
      <c r="B623" t="inlineStr">
        <is>
          <t>IPS</t>
        </is>
      </c>
      <c r="D623" t="b">
        <v>0</v>
      </c>
      <c r="E623" t="inlineStr">
        <is>
          <t>MID</t>
        </is>
      </c>
      <c r="G623" t="b">
        <v>1</v>
      </c>
      <c r="H623" s="2" t="n">
        <v>5.5</v>
      </c>
      <c r="I623" t="inlineStr">
        <is>
          <t>a</t>
        </is>
      </c>
      <c r="K623" s="2" t="n"/>
      <c r="M623" s="3" t="n">
        <v>958</v>
      </c>
      <c r="N623" s="8" t="n">
        <v>958</v>
      </c>
      <c r="O623" s="8" t="n">
        <v>0</v>
      </c>
      <c r="Q623" t="inlineStr">
        <is>
          <t>flat</t>
        </is>
      </c>
      <c r="R623" s="6" t="n">
        <v>958</v>
      </c>
      <c r="S623" t="inlineStr">
        <is>
          <t>Solio</t>
        </is>
      </c>
      <c r="U623" s="6" t="n">
        <v>85</v>
      </c>
      <c r="V623" s="2" t="n"/>
      <c r="W623" s="7">
        <f>IF(N(U623)&lt;=0,0,MIN(Assumptions!$B$15,N(R623)/N(U623)))</f>
        <v/>
      </c>
      <c r="X623" s="6" t="n">
        <v>0.17</v>
      </c>
      <c r="Y623" s="3" t="n"/>
      <c r="Z623" t="inlineStr"/>
      <c r="AA623" s="3" t="n">
        <v>1</v>
      </c>
      <c r="AB623" s="3" t="n"/>
      <c r="AC623" s="3" t="n"/>
      <c r="AD623" s="3" t="n"/>
      <c r="AE623" s="3" t="n"/>
      <c r="AF623" s="3" t="n">
        <v>0</v>
      </c>
      <c r="AG623" s="3" t="n"/>
      <c r="AH623" s="3" t="n"/>
      <c r="AI623" s="3" t="n">
        <v>3.5741</v>
      </c>
      <c r="AJ623" s="3" t="n">
        <v>1.8319</v>
      </c>
      <c r="AK623" s="3" t="n">
        <v>-0.250712540920903</v>
      </c>
      <c r="AL623" s="6" t="n">
        <v>0.1719394686876215</v>
      </c>
      <c r="AM623" s="3" t="n">
        <v>0</v>
      </c>
      <c r="AN623" s="3" t="n">
        <v>0</v>
      </c>
      <c r="AO623" s="3" t="n">
        <v>0</v>
      </c>
      <c r="AP623" s="3">
        <f>N(X623)*N(BI623)</f>
        <v/>
      </c>
      <c r="AQ623" s="3" t="n">
        <v>0</v>
      </c>
      <c r="AR623" s="3" t="n">
        <v>0</v>
      </c>
      <c r="AS623" s="3" t="n">
        <v>-0</v>
      </c>
      <c r="AT623" s="3" t="n">
        <v>-0.250712540920903</v>
      </c>
      <c r="AU623" s="3">
        <f>SUM(AN623:AT623)</f>
        <v/>
      </c>
      <c r="AV623" s="7">
        <f>IF(OR(N(W623)&lt;=0,N(BG623)=0),0,N(W623)*IF(N(R623)/N(W623)&gt;=60,N(BG623),1))</f>
        <v/>
      </c>
      <c r="AW623" s="7">
        <f>N(W623)*N(AF623)*N(BH623)</f>
        <v/>
      </c>
      <c r="AX623" s="7">
        <f>N(AL623)*(Assumptions!$B$13*N(BJ623)-(1-Assumptions!$B$13)*Assumptions!$B$14)+N(AM623)</f>
        <v/>
      </c>
      <c r="AY623" s="7">
        <f>N(AU623)*N(R623)/90+N(AV623)+N(AW623)+N(AX623)</f>
        <v/>
      </c>
      <c r="AZ623" s="3">
        <f>IF(N(R623)&lt;=0,0,(N(AY623)-N(AX623))*90/N(R623))</f>
        <v/>
      </c>
      <c r="BA623" s="7">
        <f>IFERROR(AY623-VLOOKUP($E623,Assumptions!$A$40:$C$43,3,FALSE),"")</f>
        <v/>
      </c>
      <c r="BB623" s="3">
        <f>IFERROR(BA623/H623,"")</f>
        <v/>
      </c>
      <c r="BC623">
        <f>IF(AND($G623=TRUE,$E623="GKP"),AY623,"")</f>
        <v/>
      </c>
      <c r="BD623">
        <f>IF(AND($G623=TRUE,$E623="DEF"),AY623,"")</f>
        <v/>
      </c>
      <c r="BE623">
        <f>IF(AND($G623=TRUE,$E623="MID"),AY623,"")</f>
        <v/>
      </c>
      <c r="BF623">
        <f>IF(AND($G623=TRUE,$E623="FWD"),AY623,"")</f>
        <v/>
      </c>
      <c r="BG623" t="n">
        <v>2</v>
      </c>
      <c r="BH623" t="n">
        <v>2</v>
      </c>
      <c r="BI623" t="n">
        <v>1</v>
      </c>
      <c r="BJ623" t="n">
        <v>5</v>
      </c>
    </row>
    <row r="624">
      <c r="A624" t="inlineStr">
        <is>
          <t>António João Pereira de Albuquerque Tavares da Silva</t>
        </is>
      </c>
      <c r="B624" t="inlineStr">
        <is>
          <t>BOU</t>
        </is>
      </c>
      <c r="D624" t="b">
        <v>0</v>
      </c>
      <c r="E624" t="inlineStr">
        <is>
          <t>DEF</t>
        </is>
      </c>
      <c r="G624" t="b">
        <v>1</v>
      </c>
      <c r="H624" s="2" t="n">
        <v>5</v>
      </c>
      <c r="I624" t="inlineStr">
        <is>
          <t>a</t>
        </is>
      </c>
      <c r="K624" s="2" t="n"/>
      <c r="M624" s="3" t="n">
        <v>3175</v>
      </c>
      <c r="N624" s="4" t="n">
        <v>2900</v>
      </c>
      <c r="O624" s="4" t="n">
        <v>-275</v>
      </c>
      <c r="P624" s="5" t="inlineStr">
        <is>
          <t>medium</t>
        </is>
      </c>
      <c r="Q624" t="inlineStr">
        <is>
          <t>flat</t>
        </is>
      </c>
      <c r="R624" s="6" t="n">
        <v>2900</v>
      </c>
      <c r="S624" t="inlineStr">
        <is>
          <t>research</t>
        </is>
      </c>
      <c r="T624" s="5" t="inlineStr">
        <is>
          <t>Confirming the brief's open question: the minutes are broadly real. This is Antonio Silva, signed from Benfica on 1 Aug 2026 for c.GBP 25.7m as the direct replacement for Marcos Senesi, and he started the final pre-season friendly at centre-back. Trimmed only modestly, for the same three-into-two centre-back competition and Europa League rotation as Hill, plus the settling-in risk of a defender arriving three weeks before the opener with no Premier League record.</t>
        </is>
      </c>
      <c r="U624" s="6" t="n">
        <v>85</v>
      </c>
      <c r="V624" s="2" t="n"/>
      <c r="W624" s="7">
        <f>IF(N(U624)&lt;=0,0,MIN(Assumptions!$B$15,N(R624)/N(U624)))</f>
        <v/>
      </c>
      <c r="X624" s="6" t="n">
        <v>0.23</v>
      </c>
      <c r="Y624" s="3" t="n"/>
      <c r="Z624" t="inlineStr"/>
      <c r="AA624" s="3" t="n">
        <v>1</v>
      </c>
      <c r="AB624" s="3" t="n"/>
      <c r="AC624" s="3" t="n"/>
      <c r="AD624" s="3" t="n"/>
      <c r="AE624" s="3" t="n"/>
      <c r="AF624" s="3" t="n">
        <v>0</v>
      </c>
      <c r="AG624" s="3" t="n"/>
      <c r="AH624" s="3" t="n"/>
      <c r="AI624" s="3" t="n">
        <v>3.0957</v>
      </c>
      <c r="AJ624" s="3" t="n">
        <v>1.53</v>
      </c>
      <c r="AK624" s="3" t="n">
        <v>-0.2045226422080557</v>
      </c>
      <c r="AL624" s="6" t="n">
        <v>0</v>
      </c>
      <c r="AM624" s="3" t="n">
        <v>0</v>
      </c>
      <c r="AN624" s="3" t="n">
        <v>0</v>
      </c>
      <c r="AO624" s="3" t="n">
        <v>0</v>
      </c>
      <c r="AP624" s="3">
        <f>N(X624)*N(BI624)</f>
        <v/>
      </c>
      <c r="AQ624" s="3" t="n">
        <v>0</v>
      </c>
      <c r="AR624" s="3" t="n">
        <v>0</v>
      </c>
      <c r="AS624" s="3" t="n">
        <v>-0.5267219238049191</v>
      </c>
      <c r="AT624" s="3" t="n">
        <v>-0.2045226422080557</v>
      </c>
      <c r="AU624" s="3">
        <f>SUM(AN624:AT624)</f>
        <v/>
      </c>
      <c r="AV624" s="7">
        <f>IF(OR(N(W624)&lt;=0,N(BG624)=0),0,N(W624)*IF(N(R624)/N(W624)&gt;=60,N(BG624),1))</f>
        <v/>
      </c>
      <c r="AW624" s="7">
        <f>N(W624)*N(AF624)*N(BH624)</f>
        <v/>
      </c>
      <c r="AX624" s="7">
        <f>N(AL624)*(Assumptions!$B$13*N(BJ624)-(1-Assumptions!$B$13)*Assumptions!$B$14)+N(AM624)</f>
        <v/>
      </c>
      <c r="AY624" s="7">
        <f>N(AU624)*N(R624)/90+N(AV624)+N(AW624)+N(AX624)</f>
        <v/>
      </c>
      <c r="AZ624" s="3">
        <f>IF(N(R624)&lt;=0,0,(N(AY624)-N(AX624))*90/N(R624))</f>
        <v/>
      </c>
      <c r="BA624" s="7">
        <f>IFERROR(AY624-VLOOKUP($E624,Assumptions!$A$40:$C$43,3,FALSE),"")</f>
        <v/>
      </c>
      <c r="BB624" s="3">
        <f>IFERROR(BA624/H624,"")</f>
        <v/>
      </c>
      <c r="BC624">
        <f>IF(AND($G624=TRUE,$E624="GKP"),AY624,"")</f>
        <v/>
      </c>
      <c r="BD624">
        <f>IF(AND($G624=TRUE,$E624="DEF"),AY624,"")</f>
        <v/>
      </c>
      <c r="BE624">
        <f>IF(AND($G624=TRUE,$E624="MID"),AY624,"")</f>
        <v/>
      </c>
      <c r="BF624">
        <f>IF(AND($G624=TRUE,$E624="FWD"),AY624,"")</f>
        <v/>
      </c>
      <c r="BG624" t="n">
        <v>2</v>
      </c>
      <c r="BH624" t="n">
        <v>2</v>
      </c>
      <c r="BI624" t="n">
        <v>4</v>
      </c>
      <c r="BJ624" t="n">
        <v>6</v>
      </c>
    </row>
    <row r="625">
      <c r="A625" t="inlineStr">
        <is>
          <t>Rodrigo Gomes</t>
        </is>
      </c>
      <c r="C625" t="inlineStr">
        <is>
          <t>WOL</t>
        </is>
      </c>
      <c r="D625" t="b">
        <v>0</v>
      </c>
      <c r="F625" t="inlineStr">
        <is>
          <t>DEF</t>
        </is>
      </c>
      <c r="G625" t="b">
        <v>0</v>
      </c>
      <c r="H625" s="2" t="n"/>
      <c r="K625" s="2" t="n">
        <v>960</v>
      </c>
      <c r="M625" s="3" t="n"/>
      <c r="N625" s="8" t="n">
        <v>960</v>
      </c>
      <c r="O625" s="8" t="n">
        <v>0</v>
      </c>
      <c r="R625" s="6" t="n">
        <v>960</v>
      </c>
      <c r="S625" t="inlineStr">
        <is>
          <t>25/26 actual</t>
        </is>
      </c>
      <c r="U625" s="6" t="n">
        <v>79.3</v>
      </c>
      <c r="V625" s="2" t="n">
        <v>9</v>
      </c>
      <c r="W625" s="7">
        <f>IF(N(U625)&lt;=0,0,MIN(Assumptions!$B$15,N(R625)/N(U625)))</f>
        <v/>
      </c>
      <c r="X625" s="6" t="n"/>
      <c r="Y625" s="3" t="n">
        <v>0.1877</v>
      </c>
      <c r="Z625" t="inlineStr">
        <is>
          <t>adjusted xGOT</t>
        </is>
      </c>
      <c r="AA625" s="3" t="n">
        <v>1</v>
      </c>
      <c r="AB625" s="3" t="n">
        <v>0.9399999999999999</v>
      </c>
      <c r="AC625" s="3" t="n">
        <v>2.8</v>
      </c>
      <c r="AD625" s="3" t="n">
        <v>0.0142</v>
      </c>
      <c r="AE625" s="3" t="n">
        <v>5.725</v>
      </c>
      <c r="AF625" s="3" t="n">
        <v>0</v>
      </c>
      <c r="AG625" s="3" t="n">
        <v>0</v>
      </c>
      <c r="AH625" s="3" t="n">
        <v>29</v>
      </c>
      <c r="AI625" s="3" t="n"/>
      <c r="AJ625" s="3" t="n"/>
      <c r="AK625" s="3" t="n"/>
      <c r="AL625" s="6" t="n">
        <v>0</v>
      </c>
      <c r="AM625" s="3" t="n">
        <v>0</v>
      </c>
      <c r="AN625" s="3" t="n">
        <v>0</v>
      </c>
      <c r="AO625" s="3" t="n">
        <v>0</v>
      </c>
      <c r="AP625" s="3">
        <f>N(X625)*N(BI625)</f>
        <v/>
      </c>
      <c r="AQ625" s="3" t="n">
        <v>0</v>
      </c>
      <c r="AR625" s="3" t="n">
        <v>0</v>
      </c>
      <c r="AS625" s="3" t="n">
        <v>0</v>
      </c>
      <c r="AT625" s="3" t="n">
        <v>0</v>
      </c>
      <c r="AU625" s="3">
        <f>SUM(AN625:AT625)</f>
        <v/>
      </c>
      <c r="AV625" s="7">
        <f>IF(OR(N(W625)&lt;=0,N(BG625)=0),0,N(W625)*IF(N(R625)/N(W625)&gt;=60,N(BG625),1))</f>
        <v/>
      </c>
      <c r="AW625" s="7">
        <f>N(W625)*N(AF625)*N(BH625)</f>
        <v/>
      </c>
      <c r="AX625" s="7">
        <f>N(AL625)*(Assumptions!$B$13*N(BJ625)-(1-Assumptions!$B$13)*Assumptions!$B$14)+N(AM625)</f>
        <v/>
      </c>
      <c r="AY625" s="7">
        <f>N(AU625)*N(R625)/90+N(AV625)+N(AW625)+N(AX625)</f>
        <v/>
      </c>
      <c r="AZ625" s="3">
        <f>IF(N(R625)&lt;=0,0,(N(AY625)-N(AX625))*90/N(R625))</f>
        <v/>
      </c>
      <c r="BA625" s="7">
        <f>IFERROR(AY625-VLOOKUP($E625,Assumptions!$A$40:$C$43,3,FALSE),"")</f>
        <v/>
      </c>
      <c r="BB625" s="3">
        <f>IFERROR(BA625/H625,"")</f>
        <v/>
      </c>
      <c r="BC625">
        <f>IF(AND($G625=TRUE,$E625="GKP"),AY625,"")</f>
        <v/>
      </c>
      <c r="BD625">
        <f>IF(AND($G625=TRUE,$E625="DEF"),AY625,"")</f>
        <v/>
      </c>
      <c r="BE625">
        <f>IF(AND($G625=TRUE,$E625="MID"),AY625,"")</f>
        <v/>
      </c>
      <c r="BF625">
        <f>IF(AND($G625=TRUE,$E625="FWD"),AY625,"")</f>
        <v/>
      </c>
      <c r="BG625" t="n">
        <v>0</v>
      </c>
      <c r="BH625" t="n">
        <v>0</v>
      </c>
      <c r="BI625" t="n">
        <v>0</v>
      </c>
      <c r="BJ625" t="n">
        <v>0</v>
      </c>
    </row>
    <row r="626">
      <c r="A626" t="inlineStr">
        <is>
          <t>Oliver Dovin</t>
        </is>
      </c>
      <c r="B626" t="inlineStr">
        <is>
          <t>COV</t>
        </is>
      </c>
      <c r="D626" t="b">
        <v>0</v>
      </c>
      <c r="E626" t="inlineStr">
        <is>
          <t>GKP</t>
        </is>
      </c>
      <c r="G626" t="b">
        <v>1</v>
      </c>
      <c r="H626" s="2" t="n">
        <v>4</v>
      </c>
      <c r="I626" t="inlineStr">
        <is>
          <t>a</t>
        </is>
      </c>
      <c r="K626" s="2" t="n"/>
      <c r="M626" s="3" t="n">
        <v>0</v>
      </c>
      <c r="N626" s="8" t="n">
        <v>0</v>
      </c>
      <c r="O626" s="8" t="n">
        <v>0</v>
      </c>
      <c r="Q626" t="inlineStr">
        <is>
          <t>flat</t>
        </is>
      </c>
      <c r="R626" s="6" t="n">
        <v>0</v>
      </c>
      <c r="S626" t="inlineStr">
        <is>
          <t>Solio</t>
        </is>
      </c>
      <c r="U626" s="6" t="n">
        <v>85</v>
      </c>
      <c r="V626" s="2" t="n"/>
      <c r="W626" s="7">
        <f>IF(N(U626)&lt;=0,0,MIN(Assumptions!$B$15,N(R626)/N(U626)))</f>
        <v/>
      </c>
      <c r="X626" s="6" t="n">
        <v>0.17</v>
      </c>
      <c r="Y626" s="3" t="n"/>
      <c r="Z626" t="inlineStr"/>
      <c r="AA626" s="3" t="n">
        <v>1</v>
      </c>
      <c r="AB626" s="3" t="n"/>
      <c r="AC626" s="3" t="n"/>
      <c r="AD626" s="3" t="n"/>
      <c r="AE626" s="3" t="n">
        <v>0</v>
      </c>
      <c r="AF626" s="3" t="n">
        <v>0</v>
      </c>
      <c r="AG626" s="3" t="n"/>
      <c r="AH626" s="3" t="n"/>
      <c r="AI626" s="3" t="n">
        <v>3.6194</v>
      </c>
      <c r="AJ626" s="3" t="n">
        <v>1.8271</v>
      </c>
      <c r="AK626" s="3" t="n">
        <v>-0.0763216474948735</v>
      </c>
      <c r="AL626" s="6" t="n">
        <v>0</v>
      </c>
      <c r="AM626" s="3" t="n">
        <v>0</v>
      </c>
      <c r="AN626" s="3" t="n">
        <v>0</v>
      </c>
      <c r="AO626" s="3" t="n">
        <v>0</v>
      </c>
      <c r="AP626" s="3">
        <f>N(X626)*N(BI626)</f>
        <v/>
      </c>
      <c r="AQ626" s="3" t="n">
        <v>0</v>
      </c>
      <c r="AR626" s="3" t="n">
        <v>0.8716770173844571</v>
      </c>
      <c r="AS626" s="3" t="n">
        <v>-0.670020548738316</v>
      </c>
      <c r="AT626" s="3" t="n">
        <v>-0.0763216474948735</v>
      </c>
      <c r="AU626" s="3">
        <f>SUM(AN626:AT626)</f>
        <v/>
      </c>
      <c r="AV626" s="7">
        <f>IF(OR(N(W626)&lt;=0,N(BG626)=0),0,N(W626)*IF(N(R626)/N(W626)&gt;=60,N(BG626),1))</f>
        <v/>
      </c>
      <c r="AW626" s="7">
        <f>N(W626)*N(AF626)*N(BH626)</f>
        <v/>
      </c>
      <c r="AX626" s="7">
        <f>N(AL626)*(Assumptions!$B$13*N(BJ626)-(1-Assumptions!$B$13)*Assumptions!$B$14)+N(AM626)</f>
        <v/>
      </c>
      <c r="AY626" s="7">
        <f>N(AU626)*N(R626)/90+N(AV626)+N(AW626)+N(AX626)</f>
        <v/>
      </c>
      <c r="AZ626" s="3">
        <f>IF(N(R626)&lt;=0,0,(N(AY626)-N(AX626))*90/N(R626))</f>
        <v/>
      </c>
      <c r="BA626" s="7">
        <f>IFERROR(AY626-VLOOKUP($E626,Assumptions!$A$40:$C$43,3,FALSE),"")</f>
        <v/>
      </c>
      <c r="BB626" s="3">
        <f>IFERROR(BA626/H626,"")</f>
        <v/>
      </c>
      <c r="BC626">
        <f>IF(AND($G626=TRUE,$E626="GKP"),AY626,"")</f>
        <v/>
      </c>
      <c r="BD626">
        <f>IF(AND($G626=TRUE,$E626="DEF"),AY626,"")</f>
        <v/>
      </c>
      <c r="BE626">
        <f>IF(AND($G626=TRUE,$E626="MID"),AY626,"")</f>
        <v/>
      </c>
      <c r="BF626">
        <f>IF(AND($G626=TRUE,$E626="FWD"),AY626,"")</f>
        <v/>
      </c>
      <c r="BG626" t="n">
        <v>2</v>
      </c>
      <c r="BH626" t="n">
        <v>0</v>
      </c>
      <c r="BI626" t="n">
        <v>4</v>
      </c>
      <c r="BJ626" t="n">
        <v>10</v>
      </c>
    </row>
    <row r="627">
      <c r="A627" t="inlineStr">
        <is>
          <t>Tolu Arokodare</t>
        </is>
      </c>
      <c r="C627" t="inlineStr">
        <is>
          <t>WOL</t>
        </is>
      </c>
      <c r="D627" t="b">
        <v>0</v>
      </c>
      <c r="F627" t="inlineStr">
        <is>
          <t>FWD</t>
        </is>
      </c>
      <c r="G627" t="b">
        <v>0</v>
      </c>
      <c r="H627" s="2" t="n"/>
      <c r="K627" s="2" t="n">
        <v>1407</v>
      </c>
      <c r="M627" s="3" t="n"/>
      <c r="N627" s="8" t="n">
        <v>1407</v>
      </c>
      <c r="O627" s="8" t="n">
        <v>0</v>
      </c>
      <c r="R627" s="6" t="n">
        <v>1407</v>
      </c>
      <c r="S627" t="inlineStr">
        <is>
          <t>25/26 actual</t>
        </is>
      </c>
      <c r="U627" s="6" t="n">
        <v>80.40000000000001</v>
      </c>
      <c r="V627" s="2" t="n">
        <v>13</v>
      </c>
      <c r="W627" s="7">
        <f>IF(N(U627)&lt;=0,0,MIN(Assumptions!$B$15,N(R627)/N(U627)))</f>
        <v/>
      </c>
      <c r="X627" s="6" t="n"/>
      <c r="Y627" s="3" t="n">
        <v>0.2804</v>
      </c>
      <c r="Z627" t="inlineStr">
        <is>
          <t>adjusted xGOT</t>
        </is>
      </c>
      <c r="AA627" s="3" t="n">
        <v>0.898</v>
      </c>
      <c r="AB627" s="3" t="n">
        <v>0.89</v>
      </c>
      <c r="AC627" s="3" t="n">
        <v>5.5</v>
      </c>
      <c r="AD627" s="3" t="n">
        <v>0.0742</v>
      </c>
      <c r="AE627" s="3" t="n">
        <v>5.147</v>
      </c>
      <c r="AF627" s="3" t="n">
        <v>0</v>
      </c>
      <c r="AG627" s="3" t="n">
        <v>0.3198</v>
      </c>
      <c r="AH627" s="3" t="n">
        <v>47</v>
      </c>
      <c r="AI627" s="3" t="n"/>
      <c r="AJ627" s="3" t="n"/>
      <c r="AK627" s="3" t="n"/>
      <c r="AL627" s="6" t="n">
        <v>0</v>
      </c>
      <c r="AM627" s="3" t="n">
        <v>0</v>
      </c>
      <c r="AN627" s="3" t="n">
        <v>0</v>
      </c>
      <c r="AO627" s="3" t="n">
        <v>0</v>
      </c>
      <c r="AP627" s="3">
        <f>N(X627)*N(BI627)</f>
        <v/>
      </c>
      <c r="AQ627" s="3" t="n">
        <v>0</v>
      </c>
      <c r="AR627" s="3" t="n">
        <v>0</v>
      </c>
      <c r="AS627" s="3" t="n">
        <v>0</v>
      </c>
      <c r="AT627" s="3" t="n">
        <v>0</v>
      </c>
      <c r="AU627" s="3">
        <f>SUM(AN627:AT627)</f>
        <v/>
      </c>
      <c r="AV627" s="7">
        <f>IF(OR(N(W627)&lt;=0,N(BG627)=0),0,N(W627)*IF(N(R627)/N(W627)&gt;=60,N(BG627),1))</f>
        <v/>
      </c>
      <c r="AW627" s="7">
        <f>N(W627)*N(AF627)*N(BH627)</f>
        <v/>
      </c>
      <c r="AX627" s="7">
        <f>N(AL627)*(Assumptions!$B$13*N(BJ627)-(1-Assumptions!$B$13)*Assumptions!$B$14)+N(AM627)</f>
        <v/>
      </c>
      <c r="AY627" s="7">
        <f>N(AU627)*N(R627)/90+N(AV627)+N(AW627)+N(AX627)</f>
        <v/>
      </c>
      <c r="AZ627" s="3">
        <f>IF(N(R627)&lt;=0,0,(N(AY627)-N(AX627))*90/N(R627))</f>
        <v/>
      </c>
      <c r="BA627" s="7">
        <f>IFERROR(AY627-VLOOKUP($E627,Assumptions!$A$40:$C$43,3,FALSE),"")</f>
        <v/>
      </c>
      <c r="BB627" s="3">
        <f>IFERROR(BA627/H627,"")</f>
        <v/>
      </c>
      <c r="BC627">
        <f>IF(AND($G627=TRUE,$E627="GKP"),AY627,"")</f>
        <v/>
      </c>
      <c r="BD627">
        <f>IF(AND($G627=TRUE,$E627="DEF"),AY627,"")</f>
        <v/>
      </c>
      <c r="BE627">
        <f>IF(AND($G627=TRUE,$E627="MID"),AY627,"")</f>
        <v/>
      </c>
      <c r="BF627">
        <f>IF(AND($G627=TRUE,$E627="FWD"),AY627,"")</f>
        <v/>
      </c>
      <c r="BG627" t="n">
        <v>0</v>
      </c>
      <c r="BH627" t="n">
        <v>0</v>
      </c>
      <c r="BI627" t="n">
        <v>0</v>
      </c>
      <c r="BJ627" t="n">
        <v>0</v>
      </c>
    </row>
    <row r="628">
      <c r="A628" t="inlineStr">
        <is>
          <t>Freddie Potts</t>
        </is>
      </c>
      <c r="C628" t="inlineStr">
        <is>
          <t>WHU</t>
        </is>
      </c>
      <c r="D628" t="b">
        <v>0</v>
      </c>
      <c r="F628" t="inlineStr">
        <is>
          <t>MID</t>
        </is>
      </c>
      <c r="G628" t="b">
        <v>0</v>
      </c>
      <c r="H628" s="2" t="n"/>
      <c r="K628" s="2" t="n">
        <v>1167</v>
      </c>
      <c r="M628" s="3" t="n"/>
      <c r="N628" s="8" t="n">
        <v>1167</v>
      </c>
      <c r="O628" s="8" t="n">
        <v>0</v>
      </c>
      <c r="R628" s="6" t="n">
        <v>1167</v>
      </c>
      <c r="S628" t="inlineStr">
        <is>
          <t>25/26 actual</t>
        </is>
      </c>
      <c r="U628" s="6" t="n">
        <v>78.40000000000001</v>
      </c>
      <c r="V628" s="2" t="n">
        <v>12</v>
      </c>
      <c r="W628" s="7">
        <f>IF(N(U628)&lt;=0,0,MIN(Assumptions!$B$15,N(R628)/N(U628)))</f>
        <v/>
      </c>
      <c r="X628" s="6" t="n"/>
      <c r="Y628" s="3" t="n">
        <v>0.0167</v>
      </c>
      <c r="Z628" t="inlineStr">
        <is>
          <t>adjusted xGOT</t>
        </is>
      </c>
      <c r="AA628" s="3" t="n">
        <v>1</v>
      </c>
      <c r="AB628" s="3" t="n">
        <v>1.035</v>
      </c>
      <c r="AC628" s="3" t="n">
        <v>0.2</v>
      </c>
      <c r="AD628" s="3" t="n">
        <v>0.0931</v>
      </c>
      <c r="AE628" s="3" t="n">
        <v>8.972</v>
      </c>
      <c r="AF628" s="3" t="n">
        <v>0</v>
      </c>
      <c r="AG628" s="3" t="n">
        <v>0</v>
      </c>
      <c r="AH628" s="3" t="n">
        <v>32</v>
      </c>
      <c r="AI628" s="3" t="n"/>
      <c r="AJ628" s="3" t="n"/>
      <c r="AK628" s="3" t="n"/>
      <c r="AL628" s="6" t="n">
        <v>0</v>
      </c>
      <c r="AM628" s="3" t="n">
        <v>0</v>
      </c>
      <c r="AN628" s="3" t="n">
        <v>0</v>
      </c>
      <c r="AO628" s="3" t="n">
        <v>0</v>
      </c>
      <c r="AP628" s="3">
        <f>N(X628)*N(BI628)</f>
        <v/>
      </c>
      <c r="AQ628" s="3" t="n">
        <v>0</v>
      </c>
      <c r="AR628" s="3" t="n">
        <v>0</v>
      </c>
      <c r="AS628" s="3" t="n">
        <v>0</v>
      </c>
      <c r="AT628" s="3" t="n">
        <v>0</v>
      </c>
      <c r="AU628" s="3">
        <f>SUM(AN628:AT628)</f>
        <v/>
      </c>
      <c r="AV628" s="7">
        <f>IF(OR(N(W628)&lt;=0,N(BG628)=0),0,N(W628)*IF(N(R628)/N(W628)&gt;=60,N(BG628),1))</f>
        <v/>
      </c>
      <c r="AW628" s="7">
        <f>N(W628)*N(AF628)*N(BH628)</f>
        <v/>
      </c>
      <c r="AX628" s="7">
        <f>N(AL628)*(Assumptions!$B$13*N(BJ628)-(1-Assumptions!$B$13)*Assumptions!$B$14)+N(AM628)</f>
        <v/>
      </c>
      <c r="AY628" s="7">
        <f>N(AU628)*N(R628)/90+N(AV628)+N(AW628)+N(AX628)</f>
        <v/>
      </c>
      <c r="AZ628" s="3">
        <f>IF(N(R628)&lt;=0,0,(N(AY628)-N(AX628))*90/N(R628))</f>
        <v/>
      </c>
      <c r="BA628" s="7">
        <f>IFERROR(AY628-VLOOKUP($E628,Assumptions!$A$40:$C$43,3,FALSE),"")</f>
        <v/>
      </c>
      <c r="BB628" s="3">
        <f>IFERROR(BA628/H628,"")</f>
        <v/>
      </c>
      <c r="BC628">
        <f>IF(AND($G628=TRUE,$E628="GKP"),AY628,"")</f>
        <v/>
      </c>
      <c r="BD628">
        <f>IF(AND($G628=TRUE,$E628="DEF"),AY628,"")</f>
        <v/>
      </c>
      <c r="BE628">
        <f>IF(AND($G628=TRUE,$E628="MID"),AY628,"")</f>
        <v/>
      </c>
      <c r="BF628">
        <f>IF(AND($G628=TRUE,$E628="FWD"),AY628,"")</f>
        <v/>
      </c>
      <c r="BG628" t="n">
        <v>0</v>
      </c>
      <c r="BH628" t="n">
        <v>0</v>
      </c>
      <c r="BI628" t="n">
        <v>0</v>
      </c>
      <c r="BJ628" t="n">
        <v>0</v>
      </c>
    </row>
    <row r="629">
      <c r="A629" t="inlineStr">
        <is>
          <t>Abu Kamara</t>
        </is>
      </c>
      <c r="B629" t="inlineStr">
        <is>
          <t>HUL</t>
        </is>
      </c>
      <c r="D629" t="b">
        <v>0</v>
      </c>
      <c r="E629" t="inlineStr">
        <is>
          <t>MID</t>
        </is>
      </c>
      <c r="G629" t="b">
        <v>1</v>
      </c>
      <c r="H629" s="2" t="n">
        <v>5</v>
      </c>
      <c r="I629" t="inlineStr">
        <is>
          <t>u</t>
        </is>
      </c>
      <c r="J629" t="inlineStr">
        <is>
          <t>Has joined Portsmouth permanently</t>
        </is>
      </c>
      <c r="K629" s="2" t="n"/>
      <c r="M629" s="3" t="n"/>
      <c r="N629" s="8" t="n"/>
      <c r="O629" s="8" t="n"/>
      <c r="R629" s="6" t="n"/>
      <c r="S629" t="inlineStr"/>
      <c r="U629" s="6" t="n">
        <v>85</v>
      </c>
      <c r="V629" s="2" t="n"/>
      <c r="W629" s="7">
        <f>IF(N(U629)&lt;=0,0,MIN(Assumptions!$B$15,N(R629)/N(U629)))</f>
        <v/>
      </c>
      <c r="X629" s="6" t="n">
        <v>0.143</v>
      </c>
      <c r="Y629" s="3" t="n"/>
      <c r="Z629" t="inlineStr"/>
      <c r="AA629" s="3" t="n">
        <v>1</v>
      </c>
      <c r="AB629" s="3" t="n"/>
      <c r="AC629" s="3" t="n"/>
      <c r="AD629" s="3" t="n"/>
      <c r="AE629" s="3" t="n"/>
      <c r="AF629" s="3" t="n">
        <v>0</v>
      </c>
      <c r="AG629" s="3" t="n"/>
      <c r="AH629" s="3" t="n"/>
      <c r="AI629" s="3" t="n">
        <v>3.9421</v>
      </c>
      <c r="AJ629" s="3" t="n">
        <v>1.99</v>
      </c>
      <c r="AK629" s="3" t="n">
        <v>-0.2160434166173144</v>
      </c>
      <c r="AL629" s="6" t="n">
        <v>0</v>
      </c>
      <c r="AM629" s="3" t="n">
        <v>0</v>
      </c>
      <c r="AN629" s="3" t="n">
        <v>0</v>
      </c>
      <c r="AO629" s="3" t="n">
        <v>0</v>
      </c>
      <c r="AP629" s="3">
        <f>N(X629)*N(BI629)</f>
        <v/>
      </c>
      <c r="AQ629" s="3" t="n">
        <v>0</v>
      </c>
      <c r="AR629" s="3" t="n">
        <v>0</v>
      </c>
      <c r="AS629" s="3" t="n">
        <v>-0</v>
      </c>
      <c r="AT629" s="3" t="n">
        <v>-0.2160434166173144</v>
      </c>
      <c r="AU629" s="3">
        <f>SUM(AN629:AT629)</f>
        <v/>
      </c>
      <c r="AV629" s="7">
        <f>IF(OR(N(W629)&lt;=0,N(BG629)=0),0,N(W629)*IF(N(R629)/N(W629)&gt;=60,N(BG629),1))</f>
        <v/>
      </c>
      <c r="AW629" s="7">
        <f>N(W629)*N(AF629)*N(BH629)</f>
        <v/>
      </c>
      <c r="AX629" s="7">
        <f>N(AL629)*(Assumptions!$B$13*N(BJ629)-(1-Assumptions!$B$13)*Assumptions!$B$14)+N(AM629)</f>
        <v/>
      </c>
      <c r="AY629" s="7">
        <f>N(AU629)*N(R629)/90+N(AV629)+N(AW629)+N(AX629)</f>
        <v/>
      </c>
      <c r="AZ629" s="3">
        <f>IF(N(R629)&lt;=0,0,(N(AY629)-N(AX629))*90/N(R629))</f>
        <v/>
      </c>
      <c r="BA629" s="7">
        <f>IFERROR(AY629-VLOOKUP($E629,Assumptions!$A$40:$C$43,3,FALSE),"")</f>
        <v/>
      </c>
      <c r="BB629" s="3">
        <f>IFERROR(BA629/H629,"")</f>
        <v/>
      </c>
      <c r="BC629">
        <f>IF(AND($G629=TRUE,$E629="GKP"),AY629,"")</f>
        <v/>
      </c>
      <c r="BD629">
        <f>IF(AND($G629=TRUE,$E629="DEF"),AY629,"")</f>
        <v/>
      </c>
      <c r="BE629">
        <f>IF(AND($G629=TRUE,$E629="MID"),AY629,"")</f>
        <v/>
      </c>
      <c r="BF629">
        <f>IF(AND($G629=TRUE,$E629="FWD"),AY629,"")</f>
        <v/>
      </c>
      <c r="BG629" t="n">
        <v>2</v>
      </c>
      <c r="BH629" t="n">
        <v>2</v>
      </c>
      <c r="BI629" t="n">
        <v>1</v>
      </c>
      <c r="BJ629" t="n">
        <v>5</v>
      </c>
    </row>
    <row r="630">
      <c r="A630" t="inlineStr">
        <is>
          <t>Hugo Bueno</t>
        </is>
      </c>
      <c r="C630" t="inlineStr">
        <is>
          <t>WOL</t>
        </is>
      </c>
      <c r="D630" t="b">
        <v>0</v>
      </c>
      <c r="F630" t="inlineStr">
        <is>
          <t>DEF</t>
        </is>
      </c>
      <c r="G630" t="b">
        <v>0</v>
      </c>
      <c r="H630" s="2" t="n"/>
      <c r="K630" s="2" t="n">
        <v>2364</v>
      </c>
      <c r="M630" s="3" t="n"/>
      <c r="N630" s="8" t="n">
        <v>2364</v>
      </c>
      <c r="O630" s="8" t="n">
        <v>0</v>
      </c>
      <c r="R630" s="6" t="n">
        <v>2364</v>
      </c>
      <c r="S630" t="inlineStr">
        <is>
          <t>25/26 actual</t>
        </is>
      </c>
      <c r="U630" s="6" t="n">
        <v>84.40000000000001</v>
      </c>
      <c r="V630" s="2" t="n">
        <v>26</v>
      </c>
      <c r="W630" s="7">
        <f>IF(N(U630)&lt;=0,0,MIN(Assumptions!$B$15,N(R630)/N(U630)))</f>
        <v/>
      </c>
      <c r="X630" s="6" t="n"/>
      <c r="Y630" s="3" t="n">
        <v>0.0326</v>
      </c>
      <c r="Z630" t="inlineStr">
        <is>
          <t>adjusted xGOT</t>
        </is>
      </c>
      <c r="AA630" s="3" t="n">
        <v>1</v>
      </c>
      <c r="AB630" s="3" t="n">
        <v>0.996</v>
      </c>
      <c r="AC630" s="3" t="n">
        <v>1.3</v>
      </c>
      <c r="AD630" s="3" t="n">
        <v>0.1402</v>
      </c>
      <c r="AE630" s="3" t="n">
        <v>6.825</v>
      </c>
      <c r="AF630" s="3" t="n">
        <v>0</v>
      </c>
      <c r="AG630" s="3" t="n">
        <v>0.1904</v>
      </c>
      <c r="AH630" s="3" t="n">
        <v>59</v>
      </c>
      <c r="AI630" s="3" t="n"/>
      <c r="AJ630" s="3" t="n"/>
      <c r="AK630" s="3" t="n"/>
      <c r="AL630" s="6" t="n">
        <v>0</v>
      </c>
      <c r="AM630" s="3" t="n">
        <v>0</v>
      </c>
      <c r="AN630" s="3" t="n">
        <v>0</v>
      </c>
      <c r="AO630" s="3" t="n">
        <v>0</v>
      </c>
      <c r="AP630" s="3">
        <f>N(X630)*N(BI630)</f>
        <v/>
      </c>
      <c r="AQ630" s="3" t="n">
        <v>0</v>
      </c>
      <c r="AR630" s="3" t="n">
        <v>0</v>
      </c>
      <c r="AS630" s="3" t="n">
        <v>0</v>
      </c>
      <c r="AT630" s="3" t="n">
        <v>0</v>
      </c>
      <c r="AU630" s="3">
        <f>SUM(AN630:AT630)</f>
        <v/>
      </c>
      <c r="AV630" s="7">
        <f>IF(OR(N(W630)&lt;=0,N(BG630)=0),0,N(W630)*IF(N(R630)/N(W630)&gt;=60,N(BG630),1))</f>
        <v/>
      </c>
      <c r="AW630" s="7">
        <f>N(W630)*N(AF630)*N(BH630)</f>
        <v/>
      </c>
      <c r="AX630" s="7">
        <f>N(AL630)*(Assumptions!$B$13*N(BJ630)-(1-Assumptions!$B$13)*Assumptions!$B$14)+N(AM630)</f>
        <v/>
      </c>
      <c r="AY630" s="7">
        <f>N(AU630)*N(R630)/90+N(AV630)+N(AW630)+N(AX630)</f>
        <v/>
      </c>
      <c r="AZ630" s="3">
        <f>IF(N(R630)&lt;=0,0,(N(AY630)-N(AX630))*90/N(R630))</f>
        <v/>
      </c>
      <c r="BA630" s="7">
        <f>IFERROR(AY630-VLOOKUP($E630,Assumptions!$A$40:$C$43,3,FALSE),"")</f>
        <v/>
      </c>
      <c r="BB630" s="3">
        <f>IFERROR(BA630/H630,"")</f>
        <v/>
      </c>
      <c r="BC630">
        <f>IF(AND($G630=TRUE,$E630="GKP"),AY630,"")</f>
        <v/>
      </c>
      <c r="BD630">
        <f>IF(AND($G630=TRUE,$E630="DEF"),AY630,"")</f>
        <v/>
      </c>
      <c r="BE630">
        <f>IF(AND($G630=TRUE,$E630="MID"),AY630,"")</f>
        <v/>
      </c>
      <c r="BF630">
        <f>IF(AND($G630=TRUE,$E630="FWD"),AY630,"")</f>
        <v/>
      </c>
      <c r="BG630" t="n">
        <v>0</v>
      </c>
      <c r="BH630" t="n">
        <v>0</v>
      </c>
      <c r="BI630" t="n">
        <v>0</v>
      </c>
      <c r="BJ630" t="n">
        <v>0</v>
      </c>
    </row>
    <row r="631">
      <c r="A631" t="inlineStr">
        <is>
          <t>George Earthy</t>
        </is>
      </c>
      <c r="C631" t="inlineStr">
        <is>
          <t>WHU</t>
        </is>
      </c>
      <c r="D631" t="b">
        <v>0</v>
      </c>
      <c r="F631" t="inlineStr">
        <is>
          <t>MID</t>
        </is>
      </c>
      <c r="G631" t="b">
        <v>0</v>
      </c>
      <c r="H631" s="2" t="n"/>
      <c r="K631" s="2" t="n">
        <v>8</v>
      </c>
      <c r="M631" s="3" t="n"/>
      <c r="N631" s="8" t="n">
        <v>8</v>
      </c>
      <c r="O631" s="8" t="n">
        <v>0</v>
      </c>
      <c r="R631" s="6" t="n">
        <v>8</v>
      </c>
      <c r="S631" t="inlineStr">
        <is>
          <t>25/26 actual</t>
        </is>
      </c>
      <c r="U631" s="6" t="n">
        <v>80.09999999999999</v>
      </c>
      <c r="V631" s="2" t="n">
        <v>0</v>
      </c>
      <c r="W631" s="7">
        <f>IF(N(U631)&lt;=0,0,MIN(Assumptions!$B$15,N(R631)/N(U631)))</f>
        <v/>
      </c>
      <c r="X631" s="6" t="n"/>
      <c r="Y631" s="3" t="n">
        <v>0</v>
      </c>
      <c r="Z631" t="inlineStr">
        <is>
          <t>adjusted xGOT</t>
        </is>
      </c>
      <c r="AA631" s="3" t="n">
        <v>1</v>
      </c>
      <c r="AB631" s="3" t="n">
        <v>1.054</v>
      </c>
      <c r="AC631" s="3" t="n">
        <v>0.4</v>
      </c>
      <c r="AD631" s="3" t="n">
        <v>0</v>
      </c>
      <c r="AE631" s="3" t="n">
        <v>8.483000000000001</v>
      </c>
      <c r="AF631" s="3" t="n">
        <v>0</v>
      </c>
      <c r="AG631" s="3" t="n">
        <v>0</v>
      </c>
      <c r="AH631" s="3" t="n">
        <v>1</v>
      </c>
      <c r="AI631" s="3" t="n"/>
      <c r="AJ631" s="3" t="n"/>
      <c r="AK631" s="3" t="n"/>
      <c r="AL631" s="6" t="n">
        <v>0</v>
      </c>
      <c r="AM631" s="3" t="n">
        <v>0</v>
      </c>
      <c r="AN631" s="3" t="n">
        <v>0</v>
      </c>
      <c r="AO631" s="3" t="n">
        <v>0</v>
      </c>
      <c r="AP631" s="3">
        <f>N(X631)*N(BI631)</f>
        <v/>
      </c>
      <c r="AQ631" s="3" t="n">
        <v>0</v>
      </c>
      <c r="AR631" s="3" t="n">
        <v>0</v>
      </c>
      <c r="AS631" s="3" t="n">
        <v>0</v>
      </c>
      <c r="AT631" s="3" t="n">
        <v>0</v>
      </c>
      <c r="AU631" s="3">
        <f>SUM(AN631:AT631)</f>
        <v/>
      </c>
      <c r="AV631" s="7">
        <f>IF(OR(N(W631)&lt;=0,N(BG631)=0),0,N(W631)*IF(N(R631)/N(W631)&gt;=60,N(BG631),1))</f>
        <v/>
      </c>
      <c r="AW631" s="7">
        <f>N(W631)*N(AF631)*N(BH631)</f>
        <v/>
      </c>
      <c r="AX631" s="7">
        <f>N(AL631)*(Assumptions!$B$13*N(BJ631)-(1-Assumptions!$B$13)*Assumptions!$B$14)+N(AM631)</f>
        <v/>
      </c>
      <c r="AY631" s="7">
        <f>N(AU631)*N(R631)/90+N(AV631)+N(AW631)+N(AX631)</f>
        <v/>
      </c>
      <c r="AZ631" s="3">
        <f>IF(N(R631)&lt;=0,0,(N(AY631)-N(AX631))*90/N(R631))</f>
        <v/>
      </c>
      <c r="BA631" s="7">
        <f>IFERROR(AY631-VLOOKUP($E631,Assumptions!$A$40:$C$43,3,FALSE),"")</f>
        <v/>
      </c>
      <c r="BB631" s="3">
        <f>IFERROR(BA631/H631,"")</f>
        <v/>
      </c>
      <c r="BC631">
        <f>IF(AND($G631=TRUE,$E631="GKP"),AY631,"")</f>
        <v/>
      </c>
      <c r="BD631">
        <f>IF(AND($G631=TRUE,$E631="DEF"),AY631,"")</f>
        <v/>
      </c>
      <c r="BE631">
        <f>IF(AND($G631=TRUE,$E631="MID"),AY631,"")</f>
        <v/>
      </c>
      <c r="BF631">
        <f>IF(AND($G631=TRUE,$E631="FWD"),AY631,"")</f>
        <v/>
      </c>
      <c r="BG631" t="n">
        <v>0</v>
      </c>
      <c r="BH631" t="n">
        <v>0</v>
      </c>
      <c r="BI631" t="n">
        <v>0</v>
      </c>
      <c r="BJ631" t="n">
        <v>0</v>
      </c>
    </row>
    <row r="632">
      <c r="A632" t="inlineStr">
        <is>
          <t>Raphael Borges Rodrigues</t>
        </is>
      </c>
      <c r="B632" t="inlineStr">
        <is>
          <t>COV</t>
        </is>
      </c>
      <c r="D632" t="b">
        <v>0</v>
      </c>
      <c r="E632" t="inlineStr">
        <is>
          <t>MID</t>
        </is>
      </c>
      <c r="G632" t="b">
        <v>1</v>
      </c>
      <c r="H632" s="2" t="n">
        <v>4.5</v>
      </c>
      <c r="I632" t="inlineStr">
        <is>
          <t>a</t>
        </is>
      </c>
      <c r="K632" s="2" t="n"/>
      <c r="M632" s="3" t="n">
        <v>0</v>
      </c>
      <c r="N632" s="8" t="n">
        <v>0</v>
      </c>
      <c r="O632" s="8" t="n">
        <v>0</v>
      </c>
      <c r="Q632" t="inlineStr">
        <is>
          <t>flat</t>
        </is>
      </c>
      <c r="R632" s="6" t="n">
        <v>0</v>
      </c>
      <c r="S632" t="inlineStr">
        <is>
          <t>Solio</t>
        </is>
      </c>
      <c r="U632" s="6" t="n">
        <v>85</v>
      </c>
      <c r="V632" s="2" t="n"/>
      <c r="W632" s="7">
        <f>IF(N(U632)&lt;=0,0,MIN(Assumptions!$B$15,N(R632)/N(U632)))</f>
        <v/>
      </c>
      <c r="X632" s="6" t="n">
        <v>0.17</v>
      </c>
      <c r="Y632" s="3" t="n"/>
      <c r="Z632" t="inlineStr"/>
      <c r="AA632" s="3" t="n">
        <v>1</v>
      </c>
      <c r="AB632" s="3" t="n"/>
      <c r="AC632" s="3" t="n"/>
      <c r="AD632" s="3" t="n"/>
      <c r="AE632" s="3" t="n"/>
      <c r="AF632" s="3" t="n">
        <v>0</v>
      </c>
      <c r="AG632" s="3" t="n"/>
      <c r="AH632" s="3" t="n"/>
      <c r="AI632" s="3" t="n">
        <v>3.6194</v>
      </c>
      <c r="AJ632" s="3" t="n">
        <v>1.8271</v>
      </c>
      <c r="AK632" s="3" t="n">
        <v>-0.2160434166173144</v>
      </c>
      <c r="AL632" s="6" t="n">
        <v>0</v>
      </c>
      <c r="AM632" s="3" t="n">
        <v>0</v>
      </c>
      <c r="AN632" s="3" t="n">
        <v>0</v>
      </c>
      <c r="AO632" s="3" t="n">
        <v>0</v>
      </c>
      <c r="AP632" s="3">
        <f>N(X632)*N(BI632)</f>
        <v/>
      </c>
      <c r="AQ632" s="3" t="n">
        <v>0</v>
      </c>
      <c r="AR632" s="3" t="n">
        <v>0</v>
      </c>
      <c r="AS632" s="3" t="n">
        <v>-0</v>
      </c>
      <c r="AT632" s="3" t="n">
        <v>-0.2160434166173144</v>
      </c>
      <c r="AU632" s="3">
        <f>SUM(AN632:AT632)</f>
        <v/>
      </c>
      <c r="AV632" s="7">
        <f>IF(OR(N(W632)&lt;=0,N(BG632)=0),0,N(W632)*IF(N(R632)/N(W632)&gt;=60,N(BG632),1))</f>
        <v/>
      </c>
      <c r="AW632" s="7">
        <f>N(W632)*N(AF632)*N(BH632)</f>
        <v/>
      </c>
      <c r="AX632" s="7">
        <f>N(AL632)*(Assumptions!$B$13*N(BJ632)-(1-Assumptions!$B$13)*Assumptions!$B$14)+N(AM632)</f>
        <v/>
      </c>
      <c r="AY632" s="7">
        <f>N(AU632)*N(R632)/90+N(AV632)+N(AW632)+N(AX632)</f>
        <v/>
      </c>
      <c r="AZ632" s="3">
        <f>IF(N(R632)&lt;=0,0,(N(AY632)-N(AX632))*90/N(R632))</f>
        <v/>
      </c>
      <c r="BA632" s="7">
        <f>IFERROR(AY632-VLOOKUP($E632,Assumptions!$A$40:$C$43,3,FALSE),"")</f>
        <v/>
      </c>
      <c r="BB632" s="3">
        <f>IFERROR(BA632/H632,"")</f>
        <v/>
      </c>
      <c r="BC632">
        <f>IF(AND($G632=TRUE,$E632="GKP"),AY632,"")</f>
        <v/>
      </c>
      <c r="BD632">
        <f>IF(AND($G632=TRUE,$E632="DEF"),AY632,"")</f>
        <v/>
      </c>
      <c r="BE632">
        <f>IF(AND($G632=TRUE,$E632="MID"),AY632,"")</f>
        <v/>
      </c>
      <c r="BF632">
        <f>IF(AND($G632=TRUE,$E632="FWD"),AY632,"")</f>
        <v/>
      </c>
      <c r="BG632" t="n">
        <v>2</v>
      </c>
      <c r="BH632" t="n">
        <v>2</v>
      </c>
      <c r="BI632" t="n">
        <v>1</v>
      </c>
      <c r="BJ632" t="n">
        <v>5</v>
      </c>
    </row>
    <row r="633">
      <c r="A633" t="inlineStr">
        <is>
          <t>Zeki Amdouni</t>
        </is>
      </c>
      <c r="C633" t="inlineStr">
        <is>
          <t>BUR</t>
        </is>
      </c>
      <c r="D633" t="b">
        <v>0</v>
      </c>
      <c r="F633" t="inlineStr">
        <is>
          <t>FWD</t>
        </is>
      </c>
      <c r="G633" t="b">
        <v>0</v>
      </c>
      <c r="H633" s="2" t="n"/>
      <c r="K633" s="2" t="n">
        <v>69</v>
      </c>
      <c r="M633" s="3" t="n"/>
      <c r="N633" s="8" t="n">
        <v>69</v>
      </c>
      <c r="O633" s="8" t="n">
        <v>0</v>
      </c>
      <c r="R633" s="6" t="n">
        <v>69</v>
      </c>
      <c r="S633" t="inlineStr">
        <is>
          <t>25/26 actual</t>
        </is>
      </c>
      <c r="U633" s="6" t="n">
        <v>78.5</v>
      </c>
      <c r="V633" s="2" t="n">
        <v>0</v>
      </c>
      <c r="W633" s="7">
        <f>IF(N(U633)&lt;=0,0,MIN(Assumptions!$B$15,N(R633)/N(U633)))</f>
        <v/>
      </c>
      <c r="X633" s="6" t="n"/>
      <c r="Y633" s="3" t="n">
        <v>0.3196</v>
      </c>
      <c r="Z633" t="inlineStr">
        <is>
          <t>adjusted xGOT</t>
        </is>
      </c>
      <c r="AA633" s="3" t="n">
        <v>1</v>
      </c>
      <c r="AB633" s="3" t="n">
        <v>1.022</v>
      </c>
      <c r="AC633" s="3" t="n">
        <v>5.8</v>
      </c>
      <c r="AD633" s="3" t="n">
        <v>0</v>
      </c>
      <c r="AE633" s="3" t="n">
        <v>4.488</v>
      </c>
      <c r="AF633" s="3" t="n">
        <v>0</v>
      </c>
      <c r="AG633" s="3" t="n">
        <v>0</v>
      </c>
      <c r="AH633" s="3" t="n">
        <v>4</v>
      </c>
      <c r="AI633" s="3" t="n"/>
      <c r="AJ633" s="3" t="n"/>
      <c r="AK633" s="3" t="n"/>
      <c r="AL633" s="6" t="n">
        <v>0</v>
      </c>
      <c r="AM633" s="3" t="n">
        <v>0</v>
      </c>
      <c r="AN633" s="3" t="n">
        <v>0</v>
      </c>
      <c r="AO633" s="3" t="n">
        <v>0</v>
      </c>
      <c r="AP633" s="3">
        <f>N(X633)*N(BI633)</f>
        <v/>
      </c>
      <c r="AQ633" s="3" t="n">
        <v>0</v>
      </c>
      <c r="AR633" s="3" t="n">
        <v>0</v>
      </c>
      <c r="AS633" s="3" t="n">
        <v>0</v>
      </c>
      <c r="AT633" s="3" t="n">
        <v>0</v>
      </c>
      <c r="AU633" s="3">
        <f>SUM(AN633:AT633)</f>
        <v/>
      </c>
      <c r="AV633" s="7">
        <f>IF(OR(N(W633)&lt;=0,N(BG633)=0),0,N(W633)*IF(N(R633)/N(W633)&gt;=60,N(BG633),1))</f>
        <v/>
      </c>
      <c r="AW633" s="7">
        <f>N(W633)*N(AF633)*N(BH633)</f>
        <v/>
      </c>
      <c r="AX633" s="7">
        <f>N(AL633)*(Assumptions!$B$13*N(BJ633)-(1-Assumptions!$B$13)*Assumptions!$B$14)+N(AM633)</f>
        <v/>
      </c>
      <c r="AY633" s="7">
        <f>N(AU633)*N(R633)/90+N(AV633)+N(AW633)+N(AX633)</f>
        <v/>
      </c>
      <c r="AZ633" s="3">
        <f>IF(N(R633)&lt;=0,0,(N(AY633)-N(AX633))*90/N(R633))</f>
        <v/>
      </c>
      <c r="BA633" s="7">
        <f>IFERROR(AY633-VLOOKUP($E633,Assumptions!$A$40:$C$43,3,FALSE),"")</f>
        <v/>
      </c>
      <c r="BB633" s="3">
        <f>IFERROR(BA633/H633,"")</f>
        <v/>
      </c>
      <c r="BC633">
        <f>IF(AND($G633=TRUE,$E633="GKP"),AY633,"")</f>
        <v/>
      </c>
      <c r="BD633">
        <f>IF(AND($G633=TRUE,$E633="DEF"),AY633,"")</f>
        <v/>
      </c>
      <c r="BE633">
        <f>IF(AND($G633=TRUE,$E633="MID"),AY633,"")</f>
        <v/>
      </c>
      <c r="BF633">
        <f>IF(AND($G633=TRUE,$E633="FWD"),AY633,"")</f>
        <v/>
      </c>
      <c r="BG633" t="n">
        <v>0</v>
      </c>
      <c r="BH633" t="n">
        <v>0</v>
      </c>
      <c r="BI633" t="n">
        <v>0</v>
      </c>
      <c r="BJ633" t="n">
        <v>0</v>
      </c>
    </row>
    <row r="634">
      <c r="A634" t="inlineStr">
        <is>
          <t>Radu Dragusin</t>
        </is>
      </c>
      <c r="C634" t="inlineStr">
        <is>
          <t>TOT</t>
        </is>
      </c>
      <c r="D634" t="b">
        <v>0</v>
      </c>
      <c r="F634" t="inlineStr">
        <is>
          <t>DEF</t>
        </is>
      </c>
      <c r="G634" t="b">
        <v>0</v>
      </c>
      <c r="H634" s="2" t="n"/>
      <c r="K634" s="2" t="n">
        <v>515</v>
      </c>
      <c r="M634" s="3" t="n"/>
      <c r="N634" s="8" t="n">
        <v>515</v>
      </c>
      <c r="O634" s="8" t="n">
        <v>0</v>
      </c>
      <c r="R634" s="6" t="n">
        <v>515</v>
      </c>
      <c r="S634" t="inlineStr">
        <is>
          <t>25/26 actual</t>
        </is>
      </c>
      <c r="U634" s="6" t="n">
        <v>86.90000000000001</v>
      </c>
      <c r="V634" s="2" t="n">
        <v>5</v>
      </c>
      <c r="W634" s="7">
        <f>IF(N(U634)&lt;=0,0,MIN(Assumptions!$B$15,N(R634)/N(U634)))</f>
        <v/>
      </c>
      <c r="X634" s="6" t="n"/>
      <c r="Y634" s="3" t="n">
        <v>0.0505</v>
      </c>
      <c r="Z634" t="inlineStr">
        <is>
          <t>adjusted xGOT</t>
        </is>
      </c>
      <c r="AA634" s="3" t="n">
        <v>1</v>
      </c>
      <c r="AB634" s="3" t="n">
        <v>0.9320000000000001</v>
      </c>
      <c r="AC634" s="3" t="n">
        <v>0.6</v>
      </c>
      <c r="AD634" s="3" t="n">
        <v>0</v>
      </c>
      <c r="AE634" s="3" t="n">
        <v>9.946</v>
      </c>
      <c r="AF634" s="3" t="n">
        <v>0</v>
      </c>
      <c r="AG634" s="3" t="n">
        <v>0</v>
      </c>
      <c r="AH634" s="3" t="n">
        <v>15</v>
      </c>
      <c r="AI634" s="3" t="n"/>
      <c r="AJ634" s="3" t="n"/>
      <c r="AK634" s="3" t="n"/>
      <c r="AL634" s="6" t="n">
        <v>0</v>
      </c>
      <c r="AM634" s="3" t="n">
        <v>0</v>
      </c>
      <c r="AN634" s="3" t="n">
        <v>0</v>
      </c>
      <c r="AO634" s="3" t="n">
        <v>0</v>
      </c>
      <c r="AP634" s="3">
        <f>N(X634)*N(BI634)</f>
        <v/>
      </c>
      <c r="AQ634" s="3" t="n">
        <v>0</v>
      </c>
      <c r="AR634" s="3" t="n">
        <v>0</v>
      </c>
      <c r="AS634" s="3" t="n">
        <v>0</v>
      </c>
      <c r="AT634" s="3" t="n">
        <v>0</v>
      </c>
      <c r="AU634" s="3">
        <f>SUM(AN634:AT634)</f>
        <v/>
      </c>
      <c r="AV634" s="7">
        <f>IF(OR(N(W634)&lt;=0,N(BG634)=0),0,N(W634)*IF(N(R634)/N(W634)&gt;=60,N(BG634),1))</f>
        <v/>
      </c>
      <c r="AW634" s="7">
        <f>N(W634)*N(AF634)*N(BH634)</f>
        <v/>
      </c>
      <c r="AX634" s="7">
        <f>N(AL634)*(Assumptions!$B$13*N(BJ634)-(1-Assumptions!$B$13)*Assumptions!$B$14)+N(AM634)</f>
        <v/>
      </c>
      <c r="AY634" s="7">
        <f>N(AU634)*N(R634)/90+N(AV634)+N(AW634)+N(AX634)</f>
        <v/>
      </c>
      <c r="AZ634" s="3">
        <f>IF(N(R634)&lt;=0,0,(N(AY634)-N(AX634))*90/N(R634))</f>
        <v/>
      </c>
      <c r="BA634" s="7">
        <f>IFERROR(AY634-VLOOKUP($E634,Assumptions!$A$40:$C$43,3,FALSE),"")</f>
        <v/>
      </c>
      <c r="BB634" s="3">
        <f>IFERROR(BA634/H634,"")</f>
        <v/>
      </c>
      <c r="BC634">
        <f>IF(AND($G634=TRUE,$E634="GKP"),AY634,"")</f>
        <v/>
      </c>
      <c r="BD634">
        <f>IF(AND($G634=TRUE,$E634="DEF"),AY634,"")</f>
        <v/>
      </c>
      <c r="BE634">
        <f>IF(AND($G634=TRUE,$E634="MID"),AY634,"")</f>
        <v/>
      </c>
      <c r="BF634">
        <f>IF(AND($G634=TRUE,$E634="FWD"),AY634,"")</f>
        <v/>
      </c>
      <c r="BG634" t="n">
        <v>0</v>
      </c>
      <c r="BH634" t="n">
        <v>0</v>
      </c>
      <c r="BI634" t="n">
        <v>0</v>
      </c>
      <c r="BJ634" t="n">
        <v>0</v>
      </c>
    </row>
    <row r="635">
      <c r="A635" t="inlineStr">
        <is>
          <t>Juanlu Sánchez</t>
        </is>
      </c>
      <c r="B635" t="inlineStr">
        <is>
          <t>BOU</t>
        </is>
      </c>
      <c r="D635" t="b">
        <v>0</v>
      </c>
      <c r="E635" t="inlineStr">
        <is>
          <t>DEF</t>
        </is>
      </c>
      <c r="G635" t="b">
        <v>1</v>
      </c>
      <c r="H635" s="2" t="n">
        <v>4.5</v>
      </c>
      <c r="I635" t="inlineStr">
        <is>
          <t>a</t>
        </is>
      </c>
      <c r="K635" s="2" t="n"/>
      <c r="M635" s="3" t="n">
        <v>3098</v>
      </c>
      <c r="N635" s="4" t="n">
        <v>2400</v>
      </c>
      <c r="O635" s="4" t="n">
        <v>-698</v>
      </c>
      <c r="P635" s="5" t="inlineStr">
        <is>
          <t>medium</t>
        </is>
      </c>
      <c r="Q635" t="inlineStr">
        <is>
          <t>flat</t>
        </is>
      </c>
      <c r="R635" s="6" t="n">
        <v>2400</v>
      </c>
      <c r="S635" t="inlineStr">
        <is>
          <t>research</t>
        </is>
      </c>
      <c r="T635" s="5" t="inlineStr">
        <is>
          <t>He is genuinely the intended first-choice right-back after Alex Jimenez's loan to Fiorentina, so the direction of Solio's call is right - but 3098 minutes (90% of the position) is too aggressive for a player who signed on 6 Aug, has not featured in either friendly since (8 Aug, 15 Aug) while 35-year-old Adam Smith started both, and who is adapting to a new league in a season with European midweeks.</t>
        </is>
      </c>
      <c r="U635" s="6" t="n">
        <v>85</v>
      </c>
      <c r="V635" s="2" t="n"/>
      <c r="W635" s="7">
        <f>IF(N(U635)&lt;=0,0,MIN(Assumptions!$B$15,N(R635)/N(U635)))</f>
        <v/>
      </c>
      <c r="X635" s="6" t="n">
        <v>0.23</v>
      </c>
      <c r="Y635" s="3" t="n"/>
      <c r="Z635" t="inlineStr"/>
      <c r="AA635" s="3" t="n">
        <v>1</v>
      </c>
      <c r="AB635" s="3" t="n"/>
      <c r="AC635" s="3" t="n"/>
      <c r="AD635" s="3" t="n"/>
      <c r="AE635" s="3" t="n"/>
      <c r="AF635" s="3" t="n">
        <v>0</v>
      </c>
      <c r="AG635" s="3" t="n"/>
      <c r="AH635" s="3" t="n"/>
      <c r="AI635" s="3" t="n">
        <v>3.0957</v>
      </c>
      <c r="AJ635" s="3" t="n">
        <v>1.53</v>
      </c>
      <c r="AK635" s="3" t="n">
        <v>-0.2045226422080557</v>
      </c>
      <c r="AL635" s="6" t="n">
        <v>0</v>
      </c>
      <c r="AM635" s="3" t="n">
        <v>0</v>
      </c>
      <c r="AN635" s="3" t="n">
        <v>0</v>
      </c>
      <c r="AO635" s="3" t="n">
        <v>0</v>
      </c>
      <c r="AP635" s="3">
        <f>N(X635)*N(BI635)</f>
        <v/>
      </c>
      <c r="AQ635" s="3" t="n">
        <v>0</v>
      </c>
      <c r="AR635" s="3" t="n">
        <v>0</v>
      </c>
      <c r="AS635" s="3" t="n">
        <v>-0.5267219238049191</v>
      </c>
      <c r="AT635" s="3" t="n">
        <v>-0.2045226422080557</v>
      </c>
      <c r="AU635" s="3">
        <f>SUM(AN635:AT635)</f>
        <v/>
      </c>
      <c r="AV635" s="7">
        <f>IF(OR(N(W635)&lt;=0,N(BG635)=0),0,N(W635)*IF(N(R635)/N(W635)&gt;=60,N(BG635),1))</f>
        <v/>
      </c>
      <c r="AW635" s="7">
        <f>N(W635)*N(AF635)*N(BH635)</f>
        <v/>
      </c>
      <c r="AX635" s="7">
        <f>N(AL635)*(Assumptions!$B$13*N(BJ635)-(1-Assumptions!$B$13)*Assumptions!$B$14)+N(AM635)</f>
        <v/>
      </c>
      <c r="AY635" s="7">
        <f>N(AU635)*N(R635)/90+N(AV635)+N(AW635)+N(AX635)</f>
        <v/>
      </c>
      <c r="AZ635" s="3">
        <f>IF(N(R635)&lt;=0,0,(N(AY635)-N(AX635))*90/N(R635))</f>
        <v/>
      </c>
      <c r="BA635" s="7">
        <f>IFERROR(AY635-VLOOKUP($E635,Assumptions!$A$40:$C$43,3,FALSE),"")</f>
        <v/>
      </c>
      <c r="BB635" s="3">
        <f>IFERROR(BA635/H635,"")</f>
        <v/>
      </c>
      <c r="BC635">
        <f>IF(AND($G635=TRUE,$E635="GKP"),AY635,"")</f>
        <v/>
      </c>
      <c r="BD635">
        <f>IF(AND($G635=TRUE,$E635="DEF"),AY635,"")</f>
        <v/>
      </c>
      <c r="BE635">
        <f>IF(AND($G635=TRUE,$E635="MID"),AY635,"")</f>
        <v/>
      </c>
      <c r="BF635">
        <f>IF(AND($G635=TRUE,$E635="FWD"),AY635,"")</f>
        <v/>
      </c>
      <c r="BG635" t="n">
        <v>2</v>
      </c>
      <c r="BH635" t="n">
        <v>2</v>
      </c>
      <c r="BI635" t="n">
        <v>4</v>
      </c>
      <c r="BJ635" t="n">
        <v>6</v>
      </c>
    </row>
    <row r="636">
      <c r="A636" t="inlineStr">
        <is>
          <t>Harvey Cartwright</t>
        </is>
      </c>
      <c r="B636" t="inlineStr">
        <is>
          <t>HUL</t>
        </is>
      </c>
      <c r="D636" t="b">
        <v>0</v>
      </c>
      <c r="E636" t="inlineStr">
        <is>
          <t>GKP</t>
        </is>
      </c>
      <c r="G636" t="b">
        <v>1</v>
      </c>
      <c r="H636" s="2" t="n">
        <v>4</v>
      </c>
      <c r="I636" t="inlineStr">
        <is>
          <t>u</t>
        </is>
      </c>
      <c r="J636" t="inlineStr">
        <is>
          <t>Has joined Grimsby Town on loan for the rest of the season</t>
        </is>
      </c>
      <c r="K636" s="2" t="n"/>
      <c r="M636" s="3" t="n"/>
      <c r="N636" s="8" t="n"/>
      <c r="O636" s="8" t="n"/>
      <c r="R636" s="6" t="n"/>
      <c r="S636" t="inlineStr"/>
      <c r="U636" s="6" t="n">
        <v>85</v>
      </c>
      <c r="V636" s="2" t="n"/>
      <c r="W636" s="7">
        <f>IF(N(U636)&lt;=0,0,MIN(Assumptions!$B$15,N(R636)/N(U636)))</f>
        <v/>
      </c>
      <c r="X636" s="6" t="n">
        <v>0.143</v>
      </c>
      <c r="Y636" s="3" t="n"/>
      <c r="Z636" t="inlineStr"/>
      <c r="AA636" s="3" t="n">
        <v>1</v>
      </c>
      <c r="AB636" s="3" t="n"/>
      <c r="AC636" s="3" t="n"/>
      <c r="AD636" s="3" t="n"/>
      <c r="AE636" s="3" t="n">
        <v>0</v>
      </c>
      <c r="AF636" s="3" t="n">
        <v>0</v>
      </c>
      <c r="AG636" s="3" t="n"/>
      <c r="AH636" s="3" t="n"/>
      <c r="AI636" s="3" t="n">
        <v>3.9421</v>
      </c>
      <c r="AJ636" s="3" t="n">
        <v>1.99</v>
      </c>
      <c r="AK636" s="3" t="n">
        <v>-0.0763216474948735</v>
      </c>
      <c r="AL636" s="6" t="n">
        <v>0</v>
      </c>
      <c r="AM636" s="3" t="n">
        <v>0</v>
      </c>
      <c r="AN636" s="3" t="n">
        <v>0</v>
      </c>
      <c r="AO636" s="3" t="n">
        <v>0</v>
      </c>
      <c r="AP636" s="3">
        <f>N(X636)*N(BI636)</f>
        <v/>
      </c>
      <c r="AQ636" s="3" t="n">
        <v>0</v>
      </c>
      <c r="AR636" s="3" t="n">
        <v>0.979692031005534</v>
      </c>
      <c r="AS636" s="3" t="n">
        <v>-0.7496714098286652</v>
      </c>
      <c r="AT636" s="3" t="n">
        <v>-0.0763216474948735</v>
      </c>
      <c r="AU636" s="3">
        <f>SUM(AN636:AT636)</f>
        <v/>
      </c>
      <c r="AV636" s="7">
        <f>IF(OR(N(W636)&lt;=0,N(BG636)=0),0,N(W636)*IF(N(R636)/N(W636)&gt;=60,N(BG636),1))</f>
        <v/>
      </c>
      <c r="AW636" s="7">
        <f>N(W636)*N(AF636)*N(BH636)</f>
        <v/>
      </c>
      <c r="AX636" s="7">
        <f>N(AL636)*(Assumptions!$B$13*N(BJ636)-(1-Assumptions!$B$13)*Assumptions!$B$14)+N(AM636)</f>
        <v/>
      </c>
      <c r="AY636" s="7">
        <f>N(AU636)*N(R636)/90+N(AV636)+N(AW636)+N(AX636)</f>
        <v/>
      </c>
      <c r="AZ636" s="3">
        <f>IF(N(R636)&lt;=0,0,(N(AY636)-N(AX636))*90/N(R636))</f>
        <v/>
      </c>
      <c r="BA636" s="7">
        <f>IFERROR(AY636-VLOOKUP($E636,Assumptions!$A$40:$C$43,3,FALSE),"")</f>
        <v/>
      </c>
      <c r="BB636" s="3">
        <f>IFERROR(BA636/H636,"")</f>
        <v/>
      </c>
      <c r="BC636">
        <f>IF(AND($G636=TRUE,$E636="GKP"),AY636,"")</f>
        <v/>
      </c>
      <c r="BD636">
        <f>IF(AND($G636=TRUE,$E636="DEF"),AY636,"")</f>
        <v/>
      </c>
      <c r="BE636">
        <f>IF(AND($G636=TRUE,$E636="MID"),AY636,"")</f>
        <v/>
      </c>
      <c r="BF636">
        <f>IF(AND($G636=TRUE,$E636="FWD"),AY636,"")</f>
        <v/>
      </c>
      <c r="BG636" t="n">
        <v>2</v>
      </c>
      <c r="BH636" t="n">
        <v>0</v>
      </c>
      <c r="BI636" t="n">
        <v>4</v>
      </c>
      <c r="BJ636" t="n">
        <v>10</v>
      </c>
    </row>
    <row r="637">
      <c r="A637" t="inlineStr">
        <is>
          <t>Quilindschy Hartman</t>
        </is>
      </c>
      <c r="C637" t="inlineStr">
        <is>
          <t>BUR</t>
        </is>
      </c>
      <c r="D637" t="b">
        <v>0</v>
      </c>
      <c r="F637" t="inlineStr">
        <is>
          <t>DEF</t>
        </is>
      </c>
      <c r="G637" t="b">
        <v>0</v>
      </c>
      <c r="H637" s="2" t="n"/>
      <c r="K637" s="2" t="n">
        <v>1830</v>
      </c>
      <c r="M637" s="3" t="n"/>
      <c r="N637" s="8" t="n">
        <v>1830</v>
      </c>
      <c r="O637" s="8" t="n">
        <v>0</v>
      </c>
      <c r="R637" s="6" t="n">
        <v>1830</v>
      </c>
      <c r="S637" t="inlineStr">
        <is>
          <t>25/26 actual</t>
        </is>
      </c>
      <c r="U637" s="6" t="n">
        <v>86.5</v>
      </c>
      <c r="V637" s="2" t="n">
        <v>21</v>
      </c>
      <c r="W637" s="7">
        <f>IF(N(U637)&lt;=0,0,MIN(Assumptions!$B$15,N(R637)/N(U637)))</f>
        <v/>
      </c>
      <c r="X637" s="6" t="n"/>
      <c r="Y637" s="3" t="n">
        <v>0.0155</v>
      </c>
      <c r="Z637" t="inlineStr">
        <is>
          <t>adjusted xGOT</t>
        </is>
      </c>
      <c r="AA637" s="3" t="n">
        <v>1</v>
      </c>
      <c r="AB637" s="3" t="n">
        <v>0.986</v>
      </c>
      <c r="AC637" s="3" t="n">
        <v>0.3</v>
      </c>
      <c r="AD637" s="3" t="n">
        <v>0.1372</v>
      </c>
      <c r="AE637" s="3" t="n">
        <v>7.585</v>
      </c>
      <c r="AF637" s="3" t="n">
        <v>0</v>
      </c>
      <c r="AG637" s="3" t="n">
        <v>0</v>
      </c>
      <c r="AH637" s="3" t="n">
        <v>42</v>
      </c>
      <c r="AI637" s="3" t="n"/>
      <c r="AJ637" s="3" t="n"/>
      <c r="AK637" s="3" t="n"/>
      <c r="AL637" s="6" t="n">
        <v>0</v>
      </c>
      <c r="AM637" s="3" t="n">
        <v>0</v>
      </c>
      <c r="AN637" s="3" t="n">
        <v>0</v>
      </c>
      <c r="AO637" s="3" t="n">
        <v>0</v>
      </c>
      <c r="AP637" s="3">
        <f>N(X637)*N(BI637)</f>
        <v/>
      </c>
      <c r="AQ637" s="3" t="n">
        <v>0</v>
      </c>
      <c r="AR637" s="3" t="n">
        <v>0</v>
      </c>
      <c r="AS637" s="3" t="n">
        <v>0</v>
      </c>
      <c r="AT637" s="3" t="n">
        <v>0</v>
      </c>
      <c r="AU637" s="3">
        <f>SUM(AN637:AT637)</f>
        <v/>
      </c>
      <c r="AV637" s="7">
        <f>IF(OR(N(W637)&lt;=0,N(BG637)=0),0,N(W637)*IF(N(R637)/N(W637)&gt;=60,N(BG637),1))</f>
        <v/>
      </c>
      <c r="AW637" s="7">
        <f>N(W637)*N(AF637)*N(BH637)</f>
        <v/>
      </c>
      <c r="AX637" s="7">
        <f>N(AL637)*(Assumptions!$B$13*N(BJ637)-(1-Assumptions!$B$13)*Assumptions!$B$14)+N(AM637)</f>
        <v/>
      </c>
      <c r="AY637" s="7">
        <f>N(AU637)*N(R637)/90+N(AV637)+N(AW637)+N(AX637)</f>
        <v/>
      </c>
      <c r="AZ637" s="3">
        <f>IF(N(R637)&lt;=0,0,(N(AY637)-N(AX637))*90/N(R637))</f>
        <v/>
      </c>
      <c r="BA637" s="7">
        <f>IFERROR(AY637-VLOOKUP($E637,Assumptions!$A$40:$C$43,3,FALSE),"")</f>
        <v/>
      </c>
      <c r="BB637" s="3">
        <f>IFERROR(BA637/H637,"")</f>
        <v/>
      </c>
      <c r="BC637">
        <f>IF(AND($G637=TRUE,$E637="GKP"),AY637,"")</f>
        <v/>
      </c>
      <c r="BD637">
        <f>IF(AND($G637=TRUE,$E637="DEF"),AY637,"")</f>
        <v/>
      </c>
      <c r="BE637">
        <f>IF(AND($G637=TRUE,$E637="MID"),AY637,"")</f>
        <v/>
      </c>
      <c r="BF637">
        <f>IF(AND($G637=TRUE,$E637="FWD"),AY637,"")</f>
        <v/>
      </c>
      <c r="BG637" t="n">
        <v>0</v>
      </c>
      <c r="BH637" t="n">
        <v>0</v>
      </c>
      <c r="BI637" t="n">
        <v>0</v>
      </c>
      <c r="BJ637" t="n">
        <v>0</v>
      </c>
    </row>
    <row r="638">
      <c r="A638" t="inlineStr">
        <is>
          <t>Tawanda Chirewa</t>
        </is>
      </c>
      <c r="C638" t="inlineStr">
        <is>
          <t>WOL</t>
        </is>
      </c>
      <c r="D638" t="b">
        <v>0</v>
      </c>
      <c r="F638" t="inlineStr">
        <is>
          <t>MID</t>
        </is>
      </c>
      <c r="G638" t="b">
        <v>0</v>
      </c>
      <c r="H638" s="2" t="n"/>
      <c r="K638" s="2" t="n">
        <v>25</v>
      </c>
      <c r="M638" s="3" t="n"/>
      <c r="N638" s="8" t="n">
        <v>25</v>
      </c>
      <c r="O638" s="8" t="n">
        <v>0</v>
      </c>
      <c r="R638" s="6" t="n">
        <v>25</v>
      </c>
      <c r="S638" t="inlineStr">
        <is>
          <t>25/26 actual</t>
        </is>
      </c>
      <c r="U638" s="6" t="n">
        <v>80.09999999999999</v>
      </c>
      <c r="V638" s="2" t="n">
        <v>0</v>
      </c>
      <c r="W638" s="7">
        <f>IF(N(U638)&lt;=0,0,MIN(Assumptions!$B$15,N(R638)/N(U638)))</f>
        <v/>
      </c>
      <c r="X638" s="6" t="n"/>
      <c r="Y638" s="3" t="n">
        <v>0</v>
      </c>
      <c r="Z638" t="inlineStr">
        <is>
          <t>adjusted xGOT</t>
        </is>
      </c>
      <c r="AA638" s="3" t="n">
        <v>1</v>
      </c>
      <c r="AB638" s="3" t="n">
        <v>0.993</v>
      </c>
      <c r="AC638" s="3" t="n">
        <v>0.2</v>
      </c>
      <c r="AD638" s="3" t="n">
        <v>0</v>
      </c>
      <c r="AE638" s="3" t="n">
        <v>8.772</v>
      </c>
      <c r="AF638" s="3" t="n">
        <v>0</v>
      </c>
      <c r="AG638" s="3" t="n">
        <v>0</v>
      </c>
      <c r="AH638" s="3" t="n">
        <v>2</v>
      </c>
      <c r="AI638" s="3" t="n"/>
      <c r="AJ638" s="3" t="n"/>
      <c r="AK638" s="3" t="n"/>
      <c r="AL638" s="6" t="n">
        <v>0</v>
      </c>
      <c r="AM638" s="3" t="n">
        <v>0</v>
      </c>
      <c r="AN638" s="3" t="n">
        <v>0</v>
      </c>
      <c r="AO638" s="3" t="n">
        <v>0</v>
      </c>
      <c r="AP638" s="3">
        <f>N(X638)*N(BI638)</f>
        <v/>
      </c>
      <c r="AQ638" s="3" t="n">
        <v>0</v>
      </c>
      <c r="AR638" s="3" t="n">
        <v>0</v>
      </c>
      <c r="AS638" s="3" t="n">
        <v>0</v>
      </c>
      <c r="AT638" s="3" t="n">
        <v>0</v>
      </c>
      <c r="AU638" s="3">
        <f>SUM(AN638:AT638)</f>
        <v/>
      </c>
      <c r="AV638" s="7">
        <f>IF(OR(N(W638)&lt;=0,N(BG638)=0),0,N(W638)*IF(N(R638)/N(W638)&gt;=60,N(BG638),1))</f>
        <v/>
      </c>
      <c r="AW638" s="7">
        <f>N(W638)*N(AF638)*N(BH638)</f>
        <v/>
      </c>
      <c r="AX638" s="7">
        <f>N(AL638)*(Assumptions!$B$13*N(BJ638)-(1-Assumptions!$B$13)*Assumptions!$B$14)+N(AM638)</f>
        <v/>
      </c>
      <c r="AY638" s="7">
        <f>N(AU638)*N(R638)/90+N(AV638)+N(AW638)+N(AX638)</f>
        <v/>
      </c>
      <c r="AZ638" s="3">
        <f>IF(N(R638)&lt;=0,0,(N(AY638)-N(AX638))*90/N(R638))</f>
        <v/>
      </c>
      <c r="BA638" s="7">
        <f>IFERROR(AY638-VLOOKUP($E638,Assumptions!$A$40:$C$43,3,FALSE),"")</f>
        <v/>
      </c>
      <c r="BB638" s="3">
        <f>IFERROR(BA638/H638,"")</f>
        <v/>
      </c>
      <c r="BC638">
        <f>IF(AND($G638=TRUE,$E638="GKP"),AY638,"")</f>
        <v/>
      </c>
      <c r="BD638">
        <f>IF(AND($G638=TRUE,$E638="DEF"),AY638,"")</f>
        <v/>
      </c>
      <c r="BE638">
        <f>IF(AND($G638=TRUE,$E638="MID"),AY638,"")</f>
        <v/>
      </c>
      <c r="BF638">
        <f>IF(AND($G638=TRUE,$E638="FWD"),AY638,"")</f>
        <v/>
      </c>
      <c r="BG638" t="n">
        <v>0</v>
      </c>
      <c r="BH638" t="n">
        <v>0</v>
      </c>
      <c r="BI638" t="n">
        <v>0</v>
      </c>
      <c r="BJ638" t="n">
        <v>0</v>
      </c>
    </row>
    <row r="639">
      <c r="A639" t="inlineStr">
        <is>
          <t>David Møller Wolfe</t>
        </is>
      </c>
      <c r="C639" t="inlineStr">
        <is>
          <t>WOL</t>
        </is>
      </c>
      <c r="D639" t="b">
        <v>0</v>
      </c>
      <c r="F639" t="inlineStr">
        <is>
          <t>DEF</t>
        </is>
      </c>
      <c r="G639" t="b">
        <v>0</v>
      </c>
      <c r="H639" s="2" t="n"/>
      <c r="K639" s="2" t="n">
        <v>1049</v>
      </c>
      <c r="M639" s="3" t="n"/>
      <c r="N639" s="8" t="n">
        <v>1049</v>
      </c>
      <c r="O639" s="8" t="n">
        <v>0</v>
      </c>
      <c r="R639" s="6" t="n">
        <v>1049</v>
      </c>
      <c r="S639" t="inlineStr">
        <is>
          <t>25/26 actual</t>
        </is>
      </c>
      <c r="U639" s="6" t="n">
        <v>82.3</v>
      </c>
      <c r="V639" s="2" t="n">
        <v>11</v>
      </c>
      <c r="W639" s="7">
        <f>IF(N(U639)&lt;=0,0,MIN(Assumptions!$B$15,N(R639)/N(U639)))</f>
        <v/>
      </c>
      <c r="X639" s="6" t="n"/>
      <c r="Y639" s="3" t="n">
        <v>0.011</v>
      </c>
      <c r="Z639" t="inlineStr">
        <is>
          <t>adjusted xGOT</t>
        </is>
      </c>
      <c r="AA639" s="3" t="n">
        <v>1</v>
      </c>
      <c r="AB639" s="3" t="n">
        <v>0.984</v>
      </c>
      <c r="AC639" s="3" t="n">
        <v>0.1</v>
      </c>
      <c r="AD639" s="3" t="n">
        <v>0.1119</v>
      </c>
      <c r="AE639" s="3" t="n">
        <v>5.694</v>
      </c>
      <c r="AF639" s="3" t="n">
        <v>0</v>
      </c>
      <c r="AG639" s="3" t="n">
        <v>0</v>
      </c>
      <c r="AH639" s="3" t="n">
        <v>32</v>
      </c>
      <c r="AI639" s="3" t="n"/>
      <c r="AJ639" s="3" t="n"/>
      <c r="AK639" s="3" t="n"/>
      <c r="AL639" s="6" t="n">
        <v>0</v>
      </c>
      <c r="AM639" s="3" t="n">
        <v>0</v>
      </c>
      <c r="AN639" s="3" t="n">
        <v>0</v>
      </c>
      <c r="AO639" s="3" t="n">
        <v>0</v>
      </c>
      <c r="AP639" s="3">
        <f>N(X639)*N(BI639)</f>
        <v/>
      </c>
      <c r="AQ639" s="3" t="n">
        <v>0</v>
      </c>
      <c r="AR639" s="3" t="n">
        <v>0</v>
      </c>
      <c r="AS639" s="3" t="n">
        <v>0</v>
      </c>
      <c r="AT639" s="3" t="n">
        <v>0</v>
      </c>
      <c r="AU639" s="3">
        <f>SUM(AN639:AT639)</f>
        <v/>
      </c>
      <c r="AV639" s="7">
        <f>IF(OR(N(W639)&lt;=0,N(BG639)=0),0,N(W639)*IF(N(R639)/N(W639)&gt;=60,N(BG639),1))</f>
        <v/>
      </c>
      <c r="AW639" s="7">
        <f>N(W639)*N(AF639)*N(BH639)</f>
        <v/>
      </c>
      <c r="AX639" s="7">
        <f>N(AL639)*(Assumptions!$B$13*N(BJ639)-(1-Assumptions!$B$13)*Assumptions!$B$14)+N(AM639)</f>
        <v/>
      </c>
      <c r="AY639" s="7">
        <f>N(AU639)*N(R639)/90+N(AV639)+N(AW639)+N(AX639)</f>
        <v/>
      </c>
      <c r="AZ639" s="3">
        <f>IF(N(R639)&lt;=0,0,(N(AY639)-N(AX639))*90/N(R639))</f>
        <v/>
      </c>
      <c r="BA639" s="7">
        <f>IFERROR(AY639-VLOOKUP($E639,Assumptions!$A$40:$C$43,3,FALSE),"")</f>
        <v/>
      </c>
      <c r="BB639" s="3">
        <f>IFERROR(BA639/H639,"")</f>
        <v/>
      </c>
      <c r="BC639">
        <f>IF(AND($G639=TRUE,$E639="GKP"),AY639,"")</f>
        <v/>
      </c>
      <c r="BD639">
        <f>IF(AND($G639=TRUE,$E639="DEF"),AY639,"")</f>
        <v/>
      </c>
      <c r="BE639">
        <f>IF(AND($G639=TRUE,$E639="MID"),AY639,"")</f>
        <v/>
      </c>
      <c r="BF639">
        <f>IF(AND($G639=TRUE,$E639="FWD"),AY639,"")</f>
        <v/>
      </c>
      <c r="BG639" t="n">
        <v>0</v>
      </c>
      <c r="BH639" t="n">
        <v>0</v>
      </c>
      <c r="BI639" t="n">
        <v>0</v>
      </c>
      <c r="BJ639" t="n">
        <v>0</v>
      </c>
    </row>
    <row r="640">
      <c r="A640" t="inlineStr">
        <is>
          <t>Pep Chavarría</t>
        </is>
      </c>
      <c r="B640" t="inlineStr">
        <is>
          <t>CHE</t>
        </is>
      </c>
      <c r="D640" t="b">
        <v>0</v>
      </c>
      <c r="E640" t="inlineStr">
        <is>
          <t>DEF</t>
        </is>
      </c>
      <c r="G640" t="b">
        <v>1</v>
      </c>
      <c r="H640" s="2" t="n">
        <v>5</v>
      </c>
      <c r="I640" t="inlineStr">
        <is>
          <t>a</t>
        </is>
      </c>
      <c r="K640" s="2" t="n"/>
      <c r="M640" s="3" t="n">
        <v>534</v>
      </c>
      <c r="N640" s="8" t="n">
        <v>534</v>
      </c>
      <c r="O640" s="8" t="n">
        <v>0</v>
      </c>
      <c r="Q640" t="inlineStr">
        <is>
          <t>flat</t>
        </is>
      </c>
      <c r="R640" s="6" t="n">
        <v>534</v>
      </c>
      <c r="S640" t="inlineStr">
        <is>
          <t>Solio</t>
        </is>
      </c>
      <c r="U640" s="6" t="n">
        <v>85</v>
      </c>
      <c r="V640" s="2" t="n"/>
      <c r="W640" s="7">
        <f>IF(N(U640)&lt;=0,0,MIN(Assumptions!$B$15,N(R640)/N(U640)))</f>
        <v/>
      </c>
      <c r="X640" s="6" t="n">
        <v>0.322</v>
      </c>
      <c r="Y640" s="3" t="n"/>
      <c r="Z640" t="inlineStr"/>
      <c r="AA640" s="3" t="n">
        <v>1</v>
      </c>
      <c r="AB640" s="3" t="n"/>
      <c r="AC640" s="3" t="n"/>
      <c r="AD640" s="3" t="n"/>
      <c r="AE640" s="3" t="n"/>
      <c r="AF640" s="3" t="n">
        <v>0</v>
      </c>
      <c r="AG640" s="3" t="n"/>
      <c r="AH640" s="3" t="n"/>
      <c r="AI640" s="3" t="n">
        <v>2.4232</v>
      </c>
      <c r="AJ640" s="3" t="n">
        <v>1.1851</v>
      </c>
      <c r="AK640" s="3" t="n">
        <v>-0.2045226422080557</v>
      </c>
      <c r="AL640" s="6" t="n">
        <v>0</v>
      </c>
      <c r="AM640" s="3" t="n">
        <v>0</v>
      </c>
      <c r="AN640" s="3" t="n">
        <v>0</v>
      </c>
      <c r="AO640" s="3" t="n">
        <v>0</v>
      </c>
      <c r="AP640" s="3">
        <f>N(X640)*N(BI640)</f>
        <v/>
      </c>
      <c r="AQ640" s="3" t="n">
        <v>0</v>
      </c>
      <c r="AR640" s="3" t="n">
        <v>0</v>
      </c>
      <c r="AS640" s="3" t="n">
        <v>-0.365915508000572</v>
      </c>
      <c r="AT640" s="3" t="n">
        <v>-0.2045226422080557</v>
      </c>
      <c r="AU640" s="3">
        <f>SUM(AN640:AT640)</f>
        <v/>
      </c>
      <c r="AV640" s="7">
        <f>IF(OR(N(W640)&lt;=0,N(BG640)=0),0,N(W640)*IF(N(R640)/N(W640)&gt;=60,N(BG640),1))</f>
        <v/>
      </c>
      <c r="AW640" s="7">
        <f>N(W640)*N(AF640)*N(BH640)</f>
        <v/>
      </c>
      <c r="AX640" s="7">
        <f>N(AL640)*(Assumptions!$B$13*N(BJ640)-(1-Assumptions!$B$13)*Assumptions!$B$14)+N(AM640)</f>
        <v/>
      </c>
      <c r="AY640" s="7">
        <f>N(AU640)*N(R640)/90+N(AV640)+N(AW640)+N(AX640)</f>
        <v/>
      </c>
      <c r="AZ640" s="3">
        <f>IF(N(R640)&lt;=0,0,(N(AY640)-N(AX640))*90/N(R640))</f>
        <v/>
      </c>
      <c r="BA640" s="7">
        <f>IFERROR(AY640-VLOOKUP($E640,Assumptions!$A$40:$C$43,3,FALSE),"")</f>
        <v/>
      </c>
      <c r="BB640" s="3">
        <f>IFERROR(BA640/H640,"")</f>
        <v/>
      </c>
      <c r="BC640">
        <f>IF(AND($G640=TRUE,$E640="GKP"),AY640,"")</f>
        <v/>
      </c>
      <c r="BD640">
        <f>IF(AND($G640=TRUE,$E640="DEF"),AY640,"")</f>
        <v/>
      </c>
      <c r="BE640">
        <f>IF(AND($G640=TRUE,$E640="MID"),AY640,"")</f>
        <v/>
      </c>
      <c r="BF640">
        <f>IF(AND($G640=TRUE,$E640="FWD"),AY640,"")</f>
        <v/>
      </c>
      <c r="BG640" t="n">
        <v>2</v>
      </c>
      <c r="BH640" t="n">
        <v>2</v>
      </c>
      <c r="BI640" t="n">
        <v>4</v>
      </c>
      <c r="BJ640" t="n">
        <v>6</v>
      </c>
    </row>
    <row r="641">
      <c r="A641" t="inlineStr">
        <is>
          <t>Enis Destan</t>
        </is>
      </c>
      <c r="B641" t="inlineStr">
        <is>
          <t>HUL</t>
        </is>
      </c>
      <c r="D641" t="b">
        <v>0</v>
      </c>
      <c r="E641" t="inlineStr">
        <is>
          <t>FWD</t>
        </is>
      </c>
      <c r="G641" t="b">
        <v>1</v>
      </c>
      <c r="H641" s="2" t="n">
        <v>4.5</v>
      </c>
      <c r="I641" t="inlineStr">
        <is>
          <t>a</t>
        </is>
      </c>
      <c r="K641" s="2" t="n"/>
      <c r="M641" s="3" t="n">
        <v>93</v>
      </c>
      <c r="N641" s="8" t="n">
        <v>93</v>
      </c>
      <c r="O641" s="8" t="n">
        <v>0</v>
      </c>
      <c r="Q641" t="inlineStr">
        <is>
          <t>flat</t>
        </is>
      </c>
      <c r="R641" s="6" t="n">
        <v>93</v>
      </c>
      <c r="S641" t="inlineStr">
        <is>
          <t>Solio</t>
        </is>
      </c>
      <c r="U641" s="6" t="n">
        <v>85</v>
      </c>
      <c r="V641" s="2" t="n"/>
      <c r="W641" s="7">
        <f>IF(N(U641)&lt;=0,0,MIN(Assumptions!$B$15,N(R641)/N(U641)))</f>
        <v/>
      </c>
      <c r="X641" s="6" t="n">
        <v>0.143</v>
      </c>
      <c r="Y641" s="3" t="n"/>
      <c r="Z641" t="inlineStr"/>
      <c r="AA641" s="3" t="n">
        <v>1</v>
      </c>
      <c r="AB641" s="3" t="n"/>
      <c r="AC641" s="3" t="n"/>
      <c r="AD641" s="3" t="n"/>
      <c r="AE641" s="3" t="n"/>
      <c r="AF641" s="3" t="n">
        <v>0</v>
      </c>
      <c r="AG641" s="3" t="n"/>
      <c r="AH641" s="3" t="n"/>
      <c r="AI641" s="3" t="n">
        <v>3.9421</v>
      </c>
      <c r="AJ641" s="3" t="n">
        <v>1.99</v>
      </c>
      <c r="AK641" s="3" t="n">
        <v>-0.174691292596322</v>
      </c>
      <c r="AL641" s="6" t="n">
        <v>0</v>
      </c>
      <c r="AM641" s="3" t="n">
        <v>0</v>
      </c>
      <c r="AN641" s="3" t="n">
        <v>0</v>
      </c>
      <c r="AO641" s="3" t="n">
        <v>0</v>
      </c>
      <c r="AP641" s="3">
        <f>N(X641)*N(BI641)</f>
        <v/>
      </c>
      <c r="AQ641" s="3" t="n">
        <v>0</v>
      </c>
      <c r="AR641" s="3" t="n">
        <v>0</v>
      </c>
      <c r="AS641" s="3" t="n">
        <v>-0</v>
      </c>
      <c r="AT641" s="3" t="n">
        <v>-0.174691292596322</v>
      </c>
      <c r="AU641" s="3">
        <f>SUM(AN641:AT641)</f>
        <v/>
      </c>
      <c r="AV641" s="7">
        <f>IF(OR(N(W641)&lt;=0,N(BG641)=0),0,N(W641)*IF(N(R641)/N(W641)&gt;=60,N(BG641),1))</f>
        <v/>
      </c>
      <c r="AW641" s="7">
        <f>N(W641)*N(AF641)*N(BH641)</f>
        <v/>
      </c>
      <c r="AX641" s="7">
        <f>N(AL641)*(Assumptions!$B$13*N(BJ641)-(1-Assumptions!$B$13)*Assumptions!$B$14)+N(AM641)</f>
        <v/>
      </c>
      <c r="AY641" s="7">
        <f>N(AU641)*N(R641)/90+N(AV641)+N(AW641)+N(AX641)</f>
        <v/>
      </c>
      <c r="AZ641" s="3">
        <f>IF(N(R641)&lt;=0,0,(N(AY641)-N(AX641))*90/N(R641))</f>
        <v/>
      </c>
      <c r="BA641" s="7">
        <f>IFERROR(AY641-VLOOKUP($E641,Assumptions!$A$40:$C$43,3,FALSE),"")</f>
        <v/>
      </c>
      <c r="BB641" s="3">
        <f>IFERROR(BA641/H641,"")</f>
        <v/>
      </c>
      <c r="BC641">
        <f>IF(AND($G641=TRUE,$E641="GKP"),AY641,"")</f>
        <v/>
      </c>
      <c r="BD641">
        <f>IF(AND($G641=TRUE,$E641="DEF"),AY641,"")</f>
        <v/>
      </c>
      <c r="BE641">
        <f>IF(AND($G641=TRUE,$E641="MID"),AY641,"")</f>
        <v/>
      </c>
      <c r="BF641">
        <f>IF(AND($G641=TRUE,$E641="FWD"),AY641,"")</f>
        <v/>
      </c>
      <c r="BG641" t="n">
        <v>2</v>
      </c>
      <c r="BH641" t="n">
        <v>2</v>
      </c>
      <c r="BI641" t="n">
        <v>0</v>
      </c>
      <c r="BJ641" t="n">
        <v>4</v>
      </c>
    </row>
    <row r="642">
      <c r="A642" t="inlineStr">
        <is>
          <t>Marcelino Núñez</t>
        </is>
      </c>
      <c r="B642" t="inlineStr">
        <is>
          <t>IPS</t>
        </is>
      </c>
      <c r="D642" t="b">
        <v>0</v>
      </c>
      <c r="E642" t="inlineStr">
        <is>
          <t>MID</t>
        </is>
      </c>
      <c r="G642" t="b">
        <v>1</v>
      </c>
      <c r="H642" s="2" t="n">
        <v>5</v>
      </c>
      <c r="I642" t="inlineStr">
        <is>
          <t>a</t>
        </is>
      </c>
      <c r="K642" s="2" t="n"/>
      <c r="M642" s="3" t="n">
        <v>2736</v>
      </c>
      <c r="N642" s="8" t="n">
        <v>2736</v>
      </c>
      <c r="O642" s="8" t="n">
        <v>0</v>
      </c>
      <c r="Q642" t="inlineStr">
        <is>
          <t>flat</t>
        </is>
      </c>
      <c r="R642" s="6" t="n">
        <v>2736</v>
      </c>
      <c r="S642" t="inlineStr">
        <is>
          <t>Solio</t>
        </is>
      </c>
      <c r="U642" s="6" t="n">
        <v>85</v>
      </c>
      <c r="V642" s="2" t="n"/>
      <c r="W642" s="7">
        <f>IF(N(U642)&lt;=0,0,MIN(Assumptions!$B$15,N(R642)/N(U642)))</f>
        <v/>
      </c>
      <c r="X642" s="6" t="n">
        <v>0.17</v>
      </c>
      <c r="Y642" s="3" t="n"/>
      <c r="Z642" t="inlineStr"/>
      <c r="AA642" s="3" t="n">
        <v>1</v>
      </c>
      <c r="AB642" s="3" t="n"/>
      <c r="AC642" s="3" t="n"/>
      <c r="AD642" s="3" t="n"/>
      <c r="AE642" s="3" t="n"/>
      <c r="AF642" s="3" t="n">
        <v>0</v>
      </c>
      <c r="AG642" s="3" t="n"/>
      <c r="AH642" s="3" t="n"/>
      <c r="AI642" s="3" t="n">
        <v>3.5741</v>
      </c>
      <c r="AJ642" s="3" t="n">
        <v>1.8319</v>
      </c>
      <c r="AK642" s="3" t="n">
        <v>-0.2160434166173144</v>
      </c>
      <c r="AL642" s="6" t="n">
        <v>0</v>
      </c>
      <c r="AM642" s="3" t="n">
        <v>0</v>
      </c>
      <c r="AN642" s="3" t="n">
        <v>0</v>
      </c>
      <c r="AO642" s="3" t="n">
        <v>0</v>
      </c>
      <c r="AP642" s="3">
        <f>N(X642)*N(BI642)</f>
        <v/>
      </c>
      <c r="AQ642" s="3" t="n">
        <v>0</v>
      </c>
      <c r="AR642" s="3" t="n">
        <v>0</v>
      </c>
      <c r="AS642" s="3" t="n">
        <v>-0</v>
      </c>
      <c r="AT642" s="3" t="n">
        <v>-0.2160434166173144</v>
      </c>
      <c r="AU642" s="3">
        <f>SUM(AN642:AT642)</f>
        <v/>
      </c>
      <c r="AV642" s="7">
        <f>IF(OR(N(W642)&lt;=0,N(BG642)=0),0,N(W642)*IF(N(R642)/N(W642)&gt;=60,N(BG642),1))</f>
        <v/>
      </c>
      <c r="AW642" s="7">
        <f>N(W642)*N(AF642)*N(BH642)</f>
        <v/>
      </c>
      <c r="AX642" s="7">
        <f>N(AL642)*(Assumptions!$B$13*N(BJ642)-(1-Assumptions!$B$13)*Assumptions!$B$14)+N(AM642)</f>
        <v/>
      </c>
      <c r="AY642" s="7">
        <f>N(AU642)*N(R642)/90+N(AV642)+N(AW642)+N(AX642)</f>
        <v/>
      </c>
      <c r="AZ642" s="3">
        <f>IF(N(R642)&lt;=0,0,(N(AY642)-N(AX642))*90/N(R642))</f>
        <v/>
      </c>
      <c r="BA642" s="7">
        <f>IFERROR(AY642-VLOOKUP($E642,Assumptions!$A$40:$C$43,3,FALSE),"")</f>
        <v/>
      </c>
      <c r="BB642" s="3">
        <f>IFERROR(BA642/H642,"")</f>
        <v/>
      </c>
      <c r="BC642">
        <f>IF(AND($G642=TRUE,$E642="GKP"),AY642,"")</f>
        <v/>
      </c>
      <c r="BD642">
        <f>IF(AND($G642=TRUE,$E642="DEF"),AY642,"")</f>
        <v/>
      </c>
      <c r="BE642">
        <f>IF(AND($G642=TRUE,$E642="MID"),AY642,"")</f>
        <v/>
      </c>
      <c r="BF642">
        <f>IF(AND($G642=TRUE,$E642="FWD"),AY642,"")</f>
        <v/>
      </c>
      <c r="BG642" t="n">
        <v>2</v>
      </c>
      <c r="BH642" t="n">
        <v>2</v>
      </c>
      <c r="BI642" t="n">
        <v>1</v>
      </c>
      <c r="BJ642" t="n">
        <v>5</v>
      </c>
    </row>
    <row r="643">
      <c r="A643" t="inlineStr">
        <is>
          <t>Tatsuhiro Sakamoto</t>
        </is>
      </c>
      <c r="B643" t="inlineStr">
        <is>
          <t>COV</t>
        </is>
      </c>
      <c r="D643" t="b">
        <v>0</v>
      </c>
      <c r="E643" t="inlineStr">
        <is>
          <t>MID</t>
        </is>
      </c>
      <c r="G643" t="b">
        <v>1</v>
      </c>
      <c r="H643" s="2" t="n">
        <v>5</v>
      </c>
      <c r="I643" t="inlineStr">
        <is>
          <t>a</t>
        </is>
      </c>
      <c r="K643" s="2" t="n"/>
      <c r="M643" s="3" t="n">
        <v>1927</v>
      </c>
      <c r="N643" s="8" t="n">
        <v>1927</v>
      </c>
      <c r="O643" s="8" t="n">
        <v>0</v>
      </c>
      <c r="Q643" t="inlineStr">
        <is>
          <t>flat</t>
        </is>
      </c>
      <c r="R643" s="6" t="n">
        <v>1927</v>
      </c>
      <c r="S643" t="inlineStr">
        <is>
          <t>Solio</t>
        </is>
      </c>
      <c r="U643" s="6" t="n">
        <v>85</v>
      </c>
      <c r="V643" s="2" t="n"/>
      <c r="W643" s="7">
        <f>IF(N(U643)&lt;=0,0,MIN(Assumptions!$B$15,N(R643)/N(U643)))</f>
        <v/>
      </c>
      <c r="X643" s="6" t="n">
        <v>0.17</v>
      </c>
      <c r="Y643" s="3" t="n"/>
      <c r="Z643" t="inlineStr"/>
      <c r="AA643" s="3" t="n">
        <v>1</v>
      </c>
      <c r="AB643" s="3" t="n"/>
      <c r="AC643" s="3" t="n"/>
      <c r="AD643" s="3" t="n"/>
      <c r="AE643" s="3" t="n"/>
      <c r="AF643" s="3" t="n">
        <v>0</v>
      </c>
      <c r="AG643" s="3" t="n"/>
      <c r="AH643" s="3" t="n"/>
      <c r="AI643" s="3" t="n">
        <v>3.6194</v>
      </c>
      <c r="AJ643" s="3" t="n">
        <v>1.8271</v>
      </c>
      <c r="AK643" s="3" t="n">
        <v>-0.2160434166173144</v>
      </c>
      <c r="AL643" s="6" t="n">
        <v>0</v>
      </c>
      <c r="AM643" s="3" t="n">
        <v>0</v>
      </c>
      <c r="AN643" s="3" t="n">
        <v>0</v>
      </c>
      <c r="AO643" s="3" t="n">
        <v>0</v>
      </c>
      <c r="AP643" s="3">
        <f>N(X643)*N(BI643)</f>
        <v/>
      </c>
      <c r="AQ643" s="3" t="n">
        <v>0</v>
      </c>
      <c r="AR643" s="3" t="n">
        <v>0</v>
      </c>
      <c r="AS643" s="3" t="n">
        <v>-0</v>
      </c>
      <c r="AT643" s="3" t="n">
        <v>-0.2160434166173144</v>
      </c>
      <c r="AU643" s="3">
        <f>SUM(AN643:AT643)</f>
        <v/>
      </c>
      <c r="AV643" s="7">
        <f>IF(OR(N(W643)&lt;=0,N(BG643)=0),0,N(W643)*IF(N(R643)/N(W643)&gt;=60,N(BG643),1))</f>
        <v/>
      </c>
      <c r="AW643" s="7">
        <f>N(W643)*N(AF643)*N(BH643)</f>
        <v/>
      </c>
      <c r="AX643" s="7">
        <f>N(AL643)*(Assumptions!$B$13*N(BJ643)-(1-Assumptions!$B$13)*Assumptions!$B$14)+N(AM643)</f>
        <v/>
      </c>
      <c r="AY643" s="7">
        <f>N(AU643)*N(R643)/90+N(AV643)+N(AW643)+N(AX643)</f>
        <v/>
      </c>
      <c r="AZ643" s="3">
        <f>IF(N(R643)&lt;=0,0,(N(AY643)-N(AX643))*90/N(R643))</f>
        <v/>
      </c>
      <c r="BA643" s="7">
        <f>IFERROR(AY643-VLOOKUP($E643,Assumptions!$A$40:$C$43,3,FALSE),"")</f>
        <v/>
      </c>
      <c r="BB643" s="3">
        <f>IFERROR(BA643/H643,"")</f>
        <v/>
      </c>
      <c r="BC643">
        <f>IF(AND($G643=TRUE,$E643="GKP"),AY643,"")</f>
        <v/>
      </c>
      <c r="BD643">
        <f>IF(AND($G643=TRUE,$E643="DEF"),AY643,"")</f>
        <v/>
      </c>
      <c r="BE643">
        <f>IF(AND($G643=TRUE,$E643="MID"),AY643,"")</f>
        <v/>
      </c>
      <c r="BF643">
        <f>IF(AND($G643=TRUE,$E643="FWD"),AY643,"")</f>
        <v/>
      </c>
      <c r="BG643" t="n">
        <v>2</v>
      </c>
      <c r="BH643" t="n">
        <v>2</v>
      </c>
      <c r="BI643" t="n">
        <v>1</v>
      </c>
      <c r="BJ643" t="n">
        <v>5</v>
      </c>
    </row>
    <row r="644">
      <c r="A644" t="inlineStr">
        <is>
          <t>Yerson Mosquera</t>
        </is>
      </c>
      <c r="C644" t="inlineStr">
        <is>
          <t>WOL</t>
        </is>
      </c>
      <c r="D644" t="b">
        <v>0</v>
      </c>
      <c r="F644" t="inlineStr">
        <is>
          <t>DEF</t>
        </is>
      </c>
      <c r="G644" t="b">
        <v>0</v>
      </c>
      <c r="H644" s="2" t="n"/>
      <c r="K644" s="2" t="n">
        <v>2142</v>
      </c>
      <c r="M644" s="3" t="n"/>
      <c r="N644" s="8" t="n">
        <v>2142</v>
      </c>
      <c r="O644" s="8" t="n">
        <v>0</v>
      </c>
      <c r="R644" s="6" t="n">
        <v>2142</v>
      </c>
      <c r="S644" t="inlineStr">
        <is>
          <t>25/26 actual</t>
        </is>
      </c>
      <c r="U644" s="6" t="n">
        <v>85.7</v>
      </c>
      <c r="V644" s="2" t="n">
        <v>24</v>
      </c>
      <c r="W644" s="7">
        <f>IF(N(U644)&lt;=0,0,MIN(Assumptions!$B$15,N(R644)/N(U644)))</f>
        <v/>
      </c>
      <c r="X644" s="6" t="n"/>
      <c r="Y644" s="3" t="n">
        <v>0.0837</v>
      </c>
      <c r="Z644" t="inlineStr">
        <is>
          <t>adjusted xGOT</t>
        </is>
      </c>
      <c r="AA644" s="3" t="n">
        <v>1</v>
      </c>
      <c r="AB644" s="3" t="n">
        <v>0.793</v>
      </c>
      <c r="AC644" s="3" t="n">
        <v>2.8</v>
      </c>
      <c r="AD644" s="3" t="n">
        <v>0.0505</v>
      </c>
      <c r="AE644" s="3" t="n">
        <v>8.836</v>
      </c>
      <c r="AF644" s="3" t="n">
        <v>0</v>
      </c>
      <c r="AG644" s="3" t="n">
        <v>0.1261</v>
      </c>
      <c r="AH644" s="3" t="n">
        <v>51</v>
      </c>
      <c r="AI644" s="3" t="n"/>
      <c r="AJ644" s="3" t="n"/>
      <c r="AK644" s="3" t="n"/>
      <c r="AL644" s="6" t="n">
        <v>0</v>
      </c>
      <c r="AM644" s="3" t="n">
        <v>0</v>
      </c>
      <c r="AN644" s="3" t="n">
        <v>0</v>
      </c>
      <c r="AO644" s="3" t="n">
        <v>0</v>
      </c>
      <c r="AP644" s="3">
        <f>N(X644)*N(BI644)</f>
        <v/>
      </c>
      <c r="AQ644" s="3" t="n">
        <v>0</v>
      </c>
      <c r="AR644" s="3" t="n">
        <v>0</v>
      </c>
      <c r="AS644" s="3" t="n">
        <v>0</v>
      </c>
      <c r="AT644" s="3" t="n">
        <v>0</v>
      </c>
      <c r="AU644" s="3">
        <f>SUM(AN644:AT644)</f>
        <v/>
      </c>
      <c r="AV644" s="7">
        <f>IF(OR(N(W644)&lt;=0,N(BG644)=0),0,N(W644)*IF(N(R644)/N(W644)&gt;=60,N(BG644),1))</f>
        <v/>
      </c>
      <c r="AW644" s="7">
        <f>N(W644)*N(AF644)*N(BH644)</f>
        <v/>
      </c>
      <c r="AX644" s="7">
        <f>N(AL644)*(Assumptions!$B$13*N(BJ644)-(1-Assumptions!$B$13)*Assumptions!$B$14)+N(AM644)</f>
        <v/>
      </c>
      <c r="AY644" s="7">
        <f>N(AU644)*N(R644)/90+N(AV644)+N(AW644)+N(AX644)</f>
        <v/>
      </c>
      <c r="AZ644" s="3">
        <f>IF(N(R644)&lt;=0,0,(N(AY644)-N(AX644))*90/N(R644))</f>
        <v/>
      </c>
      <c r="BA644" s="7">
        <f>IFERROR(AY644-VLOOKUP($E644,Assumptions!$A$40:$C$43,3,FALSE),"")</f>
        <v/>
      </c>
      <c r="BB644" s="3">
        <f>IFERROR(BA644/H644,"")</f>
        <v/>
      </c>
      <c r="BC644">
        <f>IF(AND($G644=TRUE,$E644="GKP"),AY644,"")</f>
        <v/>
      </c>
      <c r="BD644">
        <f>IF(AND($G644=TRUE,$E644="DEF"),AY644,"")</f>
        <v/>
      </c>
      <c r="BE644">
        <f>IF(AND($G644=TRUE,$E644="MID"),AY644,"")</f>
        <v/>
      </c>
      <c r="BF644">
        <f>IF(AND($G644=TRUE,$E644="FWD"),AY644,"")</f>
        <v/>
      </c>
      <c r="BG644" t="n">
        <v>0</v>
      </c>
      <c r="BH644" t="n">
        <v>0</v>
      </c>
      <c r="BI644" t="n">
        <v>0</v>
      </c>
      <c r="BJ644" t="n">
        <v>0</v>
      </c>
    </row>
    <row r="645">
      <c r="A645" t="inlineStr">
        <is>
          <t>Charlie Hughes</t>
        </is>
      </c>
      <c r="B645" t="inlineStr">
        <is>
          <t>HUL</t>
        </is>
      </c>
      <c r="D645" t="b">
        <v>0</v>
      </c>
      <c r="E645" t="inlineStr">
        <is>
          <t>DEF</t>
        </is>
      </c>
      <c r="G645" t="b">
        <v>1</v>
      </c>
      <c r="H645" s="2" t="n">
        <v>4</v>
      </c>
      <c r="I645" t="inlineStr">
        <is>
          <t>i</t>
        </is>
      </c>
      <c r="J645" t="inlineStr">
        <is>
          <t>Groin injury - Unknown return date</t>
        </is>
      </c>
      <c r="K645" s="2" t="n"/>
      <c r="M645" s="3" t="n">
        <v>2673</v>
      </c>
      <c r="N645" s="8" t="n">
        <v>2673</v>
      </c>
      <c r="O645" s="8" t="n">
        <v>0</v>
      </c>
      <c r="Q645" t="inlineStr">
        <is>
          <t>ramp-up (injury / late WC return)</t>
        </is>
      </c>
      <c r="R645" s="6" t="n">
        <v>2673</v>
      </c>
      <c r="S645" t="inlineStr">
        <is>
          <t>Solio</t>
        </is>
      </c>
      <c r="U645" s="6" t="n">
        <v>85</v>
      </c>
      <c r="V645" s="2" t="n"/>
      <c r="W645" s="7">
        <f>IF(N(U645)&lt;=0,0,MIN(Assumptions!$B$15,N(R645)/N(U645)))</f>
        <v/>
      </c>
      <c r="X645" s="6" t="n">
        <v>0.143</v>
      </c>
      <c r="Y645" s="3" t="n"/>
      <c r="Z645" t="inlineStr"/>
      <c r="AA645" s="3" t="n">
        <v>1</v>
      </c>
      <c r="AB645" s="3" t="n"/>
      <c r="AC645" s="3" t="n"/>
      <c r="AD645" s="3" t="n"/>
      <c r="AE645" s="3" t="n"/>
      <c r="AF645" s="3" t="n">
        <v>0</v>
      </c>
      <c r="AG645" s="3" t="n"/>
      <c r="AH645" s="3" t="n"/>
      <c r="AI645" s="3" t="n">
        <v>3.9421</v>
      </c>
      <c r="AJ645" s="3" t="n">
        <v>1.99</v>
      </c>
      <c r="AK645" s="3" t="n">
        <v>-0.2045226422080557</v>
      </c>
      <c r="AL645" s="6" t="n">
        <v>0</v>
      </c>
      <c r="AM645" s="3" t="n">
        <v>0</v>
      </c>
      <c r="AN645" s="3" t="n">
        <v>0</v>
      </c>
      <c r="AO645" s="3" t="n">
        <v>0</v>
      </c>
      <c r="AP645" s="3">
        <f>N(X645)*N(BI645)</f>
        <v/>
      </c>
      <c r="AQ645" s="3" t="n">
        <v>0</v>
      </c>
      <c r="AR645" s="3" t="n">
        <v>0</v>
      </c>
      <c r="AS645" s="3" t="n">
        <v>-0.7496714098286652</v>
      </c>
      <c r="AT645" s="3" t="n">
        <v>-0.2045226422080557</v>
      </c>
      <c r="AU645" s="3">
        <f>SUM(AN645:AT645)</f>
        <v/>
      </c>
      <c r="AV645" s="7">
        <f>IF(OR(N(W645)&lt;=0,N(BG645)=0),0,N(W645)*IF(N(R645)/N(W645)&gt;=60,N(BG645),1))</f>
        <v/>
      </c>
      <c r="AW645" s="7">
        <f>N(W645)*N(AF645)*N(BH645)</f>
        <v/>
      </c>
      <c r="AX645" s="7">
        <f>N(AL645)*(Assumptions!$B$13*N(BJ645)-(1-Assumptions!$B$13)*Assumptions!$B$14)+N(AM645)</f>
        <v/>
      </c>
      <c r="AY645" s="7">
        <f>N(AU645)*N(R645)/90+N(AV645)+N(AW645)+N(AX645)</f>
        <v/>
      </c>
      <c r="AZ645" s="3">
        <f>IF(N(R645)&lt;=0,0,(N(AY645)-N(AX645))*90/N(R645))</f>
        <v/>
      </c>
      <c r="BA645" s="7">
        <f>IFERROR(AY645-VLOOKUP($E645,Assumptions!$A$40:$C$43,3,FALSE),"")</f>
        <v/>
      </c>
      <c r="BB645" s="3">
        <f>IFERROR(BA645/H645,"")</f>
        <v/>
      </c>
      <c r="BC645">
        <f>IF(AND($G645=TRUE,$E645="GKP"),AY645,"")</f>
        <v/>
      </c>
      <c r="BD645">
        <f>IF(AND($G645=TRUE,$E645="DEF"),AY645,"")</f>
        <v/>
      </c>
      <c r="BE645">
        <f>IF(AND($G645=TRUE,$E645="MID"),AY645,"")</f>
        <v/>
      </c>
      <c r="BF645">
        <f>IF(AND($G645=TRUE,$E645="FWD"),AY645,"")</f>
        <v/>
      </c>
      <c r="BG645" t="n">
        <v>2</v>
      </c>
      <c r="BH645" t="n">
        <v>2</v>
      </c>
      <c r="BI645" t="n">
        <v>4</v>
      </c>
      <c r="BJ645" t="n">
        <v>6</v>
      </c>
    </row>
    <row r="646">
      <c r="A646" t="inlineStr">
        <is>
          <t>Emmanuel Emegha</t>
        </is>
      </c>
      <c r="B646" t="inlineStr">
        <is>
          <t>CHE</t>
        </is>
      </c>
      <c r="D646" t="b">
        <v>0</v>
      </c>
      <c r="E646" t="inlineStr">
        <is>
          <t>FWD</t>
        </is>
      </c>
      <c r="G646" t="b">
        <v>1</v>
      </c>
      <c r="H646" s="2" t="n">
        <v>5</v>
      </c>
      <c r="I646" t="inlineStr">
        <is>
          <t>d</t>
        </is>
      </c>
      <c r="J646" t="inlineStr">
        <is>
          <t>Hamstring injury - 75% chance of playing</t>
        </is>
      </c>
      <c r="K646" s="2" t="n"/>
      <c r="M646" s="3" t="n">
        <v>0</v>
      </c>
      <c r="N646" s="8" t="n">
        <v>0</v>
      </c>
      <c r="O646" s="8" t="n">
        <v>0</v>
      </c>
      <c r="Q646" t="inlineStr">
        <is>
          <t>flat</t>
        </is>
      </c>
      <c r="R646" s="6" t="n">
        <v>0</v>
      </c>
      <c r="S646" t="inlineStr">
        <is>
          <t>Solio</t>
        </is>
      </c>
      <c r="U646" s="6" t="n">
        <v>85</v>
      </c>
      <c r="V646" s="2" t="n"/>
      <c r="W646" s="7">
        <f>IF(N(U646)&lt;=0,0,MIN(Assumptions!$B$15,N(R646)/N(U646)))</f>
        <v/>
      </c>
      <c r="X646" s="6" t="n">
        <v>0.322</v>
      </c>
      <c r="Y646" s="3" t="n"/>
      <c r="Z646" t="inlineStr"/>
      <c r="AA646" s="3" t="n">
        <v>1</v>
      </c>
      <c r="AB646" s="3" t="n"/>
      <c r="AC646" s="3" t="n"/>
      <c r="AD646" s="3" t="n"/>
      <c r="AE646" s="3" t="n"/>
      <c r="AF646" s="3" t="n">
        <v>0</v>
      </c>
      <c r="AG646" s="3" t="n"/>
      <c r="AH646" s="3" t="n"/>
      <c r="AI646" s="3" t="n">
        <v>2.4232</v>
      </c>
      <c r="AJ646" s="3" t="n">
        <v>1.1851</v>
      </c>
      <c r="AK646" s="3" t="n">
        <v>-0.174691292596322</v>
      </c>
      <c r="AL646" s="6" t="n">
        <v>0</v>
      </c>
      <c r="AM646" s="3" t="n">
        <v>0</v>
      </c>
      <c r="AN646" s="3" t="n">
        <v>0</v>
      </c>
      <c r="AO646" s="3" t="n">
        <v>0</v>
      </c>
      <c r="AP646" s="3">
        <f>N(X646)*N(BI646)</f>
        <v/>
      </c>
      <c r="AQ646" s="3" t="n">
        <v>0</v>
      </c>
      <c r="AR646" s="3" t="n">
        <v>0</v>
      </c>
      <c r="AS646" s="3" t="n">
        <v>-0</v>
      </c>
      <c r="AT646" s="3" t="n">
        <v>-0.174691292596322</v>
      </c>
      <c r="AU646" s="3">
        <f>SUM(AN646:AT646)</f>
        <v/>
      </c>
      <c r="AV646" s="7">
        <f>IF(OR(N(W646)&lt;=0,N(BG646)=0),0,N(W646)*IF(N(R646)/N(W646)&gt;=60,N(BG646),1))</f>
        <v/>
      </c>
      <c r="AW646" s="7">
        <f>N(W646)*N(AF646)*N(BH646)</f>
        <v/>
      </c>
      <c r="AX646" s="7">
        <f>N(AL646)*(Assumptions!$B$13*N(BJ646)-(1-Assumptions!$B$13)*Assumptions!$B$14)+N(AM646)</f>
        <v/>
      </c>
      <c r="AY646" s="7">
        <f>N(AU646)*N(R646)/90+N(AV646)+N(AW646)+N(AX646)</f>
        <v/>
      </c>
      <c r="AZ646" s="3">
        <f>IF(N(R646)&lt;=0,0,(N(AY646)-N(AX646))*90/N(R646))</f>
        <v/>
      </c>
      <c r="BA646" s="7">
        <f>IFERROR(AY646-VLOOKUP($E646,Assumptions!$A$40:$C$43,3,FALSE),"")</f>
        <v/>
      </c>
      <c r="BB646" s="3">
        <f>IFERROR(BA646/H646,"")</f>
        <v/>
      </c>
      <c r="BC646">
        <f>IF(AND($G646=TRUE,$E646="GKP"),AY646,"")</f>
        <v/>
      </c>
      <c r="BD646">
        <f>IF(AND($G646=TRUE,$E646="DEF"),AY646,"")</f>
        <v/>
      </c>
      <c r="BE646">
        <f>IF(AND($G646=TRUE,$E646="MID"),AY646,"")</f>
        <v/>
      </c>
      <c r="BF646">
        <f>IF(AND($G646=TRUE,$E646="FWD"),AY646,"")</f>
        <v/>
      </c>
      <c r="BG646" t="n">
        <v>2</v>
      </c>
      <c r="BH646" t="n">
        <v>2</v>
      </c>
      <c r="BI646" t="n">
        <v>0</v>
      </c>
      <c r="BJ646" t="n">
        <v>4</v>
      </c>
    </row>
    <row r="647">
      <c r="A647" t="inlineStr">
        <is>
          <t>Lesley Ugochukwu</t>
        </is>
      </c>
      <c r="C647" t="inlineStr">
        <is>
          <t>BUR</t>
        </is>
      </c>
      <c r="D647" t="b">
        <v>0</v>
      </c>
      <c r="F647" t="inlineStr">
        <is>
          <t>MID</t>
        </is>
      </c>
      <c r="G647" t="b">
        <v>0</v>
      </c>
      <c r="H647" s="2" t="n"/>
      <c r="K647" s="2" t="n">
        <v>2350</v>
      </c>
      <c r="M647" s="3" t="n"/>
      <c r="N647" s="8" t="n">
        <v>2350</v>
      </c>
      <c r="O647" s="8" t="n">
        <v>0</v>
      </c>
      <c r="R647" s="6" t="n">
        <v>2350</v>
      </c>
      <c r="S647" t="inlineStr">
        <is>
          <t>25/26 actual</t>
        </is>
      </c>
      <c r="U647" s="6" t="n">
        <v>78.40000000000001</v>
      </c>
      <c r="V647" s="2" t="n">
        <v>26</v>
      </c>
      <c r="W647" s="7">
        <f>IF(N(U647)&lt;=0,0,MIN(Assumptions!$B$15,N(R647)/N(U647)))</f>
        <v/>
      </c>
      <c r="X647" s="6" t="n"/>
      <c r="Y647" s="3" t="n">
        <v>0.0936</v>
      </c>
      <c r="Z647" t="inlineStr">
        <is>
          <t>adjusted xGOT</t>
        </is>
      </c>
      <c r="AA647" s="3" t="n">
        <v>1</v>
      </c>
      <c r="AB647" s="3" t="n">
        <v>0.978</v>
      </c>
      <c r="AC647" s="3" t="n">
        <v>3.4</v>
      </c>
      <c r="AD647" s="3" t="n">
        <v>0.0172</v>
      </c>
      <c r="AE647" s="3" t="n">
        <v>8.339</v>
      </c>
      <c r="AF647" s="3" t="n">
        <v>0</v>
      </c>
      <c r="AG647" s="3" t="n">
        <v>0.1532</v>
      </c>
      <c r="AH647" s="3" t="n">
        <v>61</v>
      </c>
      <c r="AI647" s="3" t="n"/>
      <c r="AJ647" s="3" t="n"/>
      <c r="AK647" s="3" t="n"/>
      <c r="AL647" s="6" t="n">
        <v>0</v>
      </c>
      <c r="AM647" s="3" t="n">
        <v>0</v>
      </c>
      <c r="AN647" s="3" t="n">
        <v>0</v>
      </c>
      <c r="AO647" s="3" t="n">
        <v>0</v>
      </c>
      <c r="AP647" s="3">
        <f>N(X647)*N(BI647)</f>
        <v/>
      </c>
      <c r="AQ647" s="3" t="n">
        <v>0</v>
      </c>
      <c r="AR647" s="3" t="n">
        <v>0</v>
      </c>
      <c r="AS647" s="3" t="n">
        <v>0</v>
      </c>
      <c r="AT647" s="3" t="n">
        <v>0</v>
      </c>
      <c r="AU647" s="3">
        <f>SUM(AN647:AT647)</f>
        <v/>
      </c>
      <c r="AV647" s="7">
        <f>IF(OR(N(W647)&lt;=0,N(BG647)=0),0,N(W647)*IF(N(R647)/N(W647)&gt;=60,N(BG647),1))</f>
        <v/>
      </c>
      <c r="AW647" s="7">
        <f>N(W647)*N(AF647)*N(BH647)</f>
        <v/>
      </c>
      <c r="AX647" s="7">
        <f>N(AL647)*(Assumptions!$B$13*N(BJ647)-(1-Assumptions!$B$13)*Assumptions!$B$14)+N(AM647)</f>
        <v/>
      </c>
      <c r="AY647" s="7">
        <f>N(AU647)*N(R647)/90+N(AV647)+N(AW647)+N(AX647)</f>
        <v/>
      </c>
      <c r="AZ647" s="3">
        <f>IF(N(R647)&lt;=0,0,(N(AY647)-N(AX647))*90/N(R647))</f>
        <v/>
      </c>
      <c r="BA647" s="7">
        <f>IFERROR(AY647-VLOOKUP($E647,Assumptions!$A$40:$C$43,3,FALSE),"")</f>
        <v/>
      </c>
      <c r="BB647" s="3">
        <f>IFERROR(BA647/H647,"")</f>
        <v/>
      </c>
      <c r="BC647">
        <f>IF(AND($G647=TRUE,$E647="GKP"),AY647,"")</f>
        <v/>
      </c>
      <c r="BD647">
        <f>IF(AND($G647=TRUE,$E647="DEF"),AY647,"")</f>
        <v/>
      </c>
      <c r="BE647">
        <f>IF(AND($G647=TRUE,$E647="MID"),AY647,"")</f>
        <v/>
      </c>
      <c r="BF647">
        <f>IF(AND($G647=TRUE,$E647="FWD"),AY647,"")</f>
        <v/>
      </c>
      <c r="BG647" t="n">
        <v>0</v>
      </c>
      <c r="BH647" t="n">
        <v>0</v>
      </c>
      <c r="BI647" t="n">
        <v>0</v>
      </c>
      <c r="BJ647" t="n">
        <v>0</v>
      </c>
    </row>
    <row r="648">
      <c r="A648" t="inlineStr">
        <is>
          <t>André</t>
        </is>
      </c>
      <c r="C648" t="inlineStr">
        <is>
          <t>WOL</t>
        </is>
      </c>
      <c r="D648" t="b">
        <v>0</v>
      </c>
      <c r="F648" t="inlineStr">
        <is>
          <t>MID</t>
        </is>
      </c>
      <c r="G648" t="b">
        <v>0</v>
      </c>
      <c r="H648" s="2" t="n"/>
      <c r="K648" s="2" t="n">
        <v>2766</v>
      </c>
      <c r="M648" s="3" t="n"/>
      <c r="N648" s="8" t="n">
        <v>2766</v>
      </c>
      <c r="O648" s="8" t="n">
        <v>0</v>
      </c>
      <c r="R648" s="6" t="n">
        <v>2766</v>
      </c>
      <c r="S648" t="inlineStr">
        <is>
          <t>25/26 actual</t>
        </is>
      </c>
      <c r="U648" s="6" t="n">
        <v>84.8</v>
      </c>
      <c r="V648" s="2" t="n">
        <v>30</v>
      </c>
      <c r="W648" s="7">
        <f>IF(N(U648)&lt;=0,0,MIN(Assumptions!$B$15,N(R648)/N(U648)))</f>
        <v/>
      </c>
      <c r="X648" s="6" t="n"/>
      <c r="Y648" s="3" t="n">
        <v>0.0154</v>
      </c>
      <c r="Z648" t="inlineStr">
        <is>
          <t>adjusted xGOT</t>
        </is>
      </c>
      <c r="AA648" s="3" t="n">
        <v>1</v>
      </c>
      <c r="AB648" s="3" t="n">
        <v>0.907</v>
      </c>
      <c r="AC648" s="3" t="n">
        <v>0.9</v>
      </c>
      <c r="AD648" s="3" t="n">
        <v>0.0406</v>
      </c>
      <c r="AE648" s="3" t="n">
        <v>11.68</v>
      </c>
      <c r="AF648" s="3" t="n">
        <v>0</v>
      </c>
      <c r="AG648" s="3" t="n">
        <v>0.1302</v>
      </c>
      <c r="AH648" s="3" t="n">
        <v>65</v>
      </c>
      <c r="AI648" s="3" t="n"/>
      <c r="AJ648" s="3" t="n"/>
      <c r="AK648" s="3" t="n"/>
      <c r="AL648" s="6" t="n">
        <v>0</v>
      </c>
      <c r="AM648" s="3" t="n">
        <v>0</v>
      </c>
      <c r="AN648" s="3" t="n">
        <v>0</v>
      </c>
      <c r="AO648" s="3" t="n">
        <v>0</v>
      </c>
      <c r="AP648" s="3">
        <f>N(X648)*N(BI648)</f>
        <v/>
      </c>
      <c r="AQ648" s="3" t="n">
        <v>0</v>
      </c>
      <c r="AR648" s="3" t="n">
        <v>0</v>
      </c>
      <c r="AS648" s="3" t="n">
        <v>0</v>
      </c>
      <c r="AT648" s="3" t="n">
        <v>0</v>
      </c>
      <c r="AU648" s="3">
        <f>SUM(AN648:AT648)</f>
        <v/>
      </c>
      <c r="AV648" s="7">
        <f>IF(OR(N(W648)&lt;=0,N(BG648)=0),0,N(W648)*IF(N(R648)/N(W648)&gt;=60,N(BG648),1))</f>
        <v/>
      </c>
      <c r="AW648" s="7">
        <f>N(W648)*N(AF648)*N(BH648)</f>
        <v/>
      </c>
      <c r="AX648" s="7">
        <f>N(AL648)*(Assumptions!$B$13*N(BJ648)-(1-Assumptions!$B$13)*Assumptions!$B$14)+N(AM648)</f>
        <v/>
      </c>
      <c r="AY648" s="7">
        <f>N(AU648)*N(R648)/90+N(AV648)+N(AW648)+N(AX648)</f>
        <v/>
      </c>
      <c r="AZ648" s="3">
        <f>IF(N(R648)&lt;=0,0,(N(AY648)-N(AX648))*90/N(R648))</f>
        <v/>
      </c>
      <c r="BA648" s="7">
        <f>IFERROR(AY648-VLOOKUP($E648,Assumptions!$A$40:$C$43,3,FALSE),"")</f>
        <v/>
      </c>
      <c r="BB648" s="3">
        <f>IFERROR(BA648/H648,"")</f>
        <v/>
      </c>
      <c r="BC648">
        <f>IF(AND($G648=TRUE,$E648="GKP"),AY648,"")</f>
        <v/>
      </c>
      <c r="BD648">
        <f>IF(AND($G648=TRUE,$E648="DEF"),AY648,"")</f>
        <v/>
      </c>
      <c r="BE648">
        <f>IF(AND($G648=TRUE,$E648="MID"),AY648,"")</f>
        <v/>
      </c>
      <c r="BF648">
        <f>IF(AND($G648=TRUE,$E648="FWD"),AY648,"")</f>
        <v/>
      </c>
      <c r="BG648" t="n">
        <v>0</v>
      </c>
      <c r="BH648" t="n">
        <v>0</v>
      </c>
      <c r="BI648" t="n">
        <v>0</v>
      </c>
      <c r="BJ648" t="n">
        <v>0</v>
      </c>
    </row>
    <row r="649">
      <c r="A649" t="inlineStr">
        <is>
          <t>Toti Gomes</t>
        </is>
      </c>
      <c r="C649" t="inlineStr">
        <is>
          <t>WOL</t>
        </is>
      </c>
      <c r="D649" t="b">
        <v>0</v>
      </c>
      <c r="F649" t="inlineStr">
        <is>
          <t>DEF</t>
        </is>
      </c>
      <c r="G649" t="b">
        <v>0</v>
      </c>
      <c r="H649" s="2" t="n"/>
      <c r="K649" s="2" t="n">
        <v>1427</v>
      </c>
      <c r="M649" s="3" t="n"/>
      <c r="N649" s="8" t="n">
        <v>1427</v>
      </c>
      <c r="O649" s="8" t="n">
        <v>0</v>
      </c>
      <c r="R649" s="6" t="n">
        <v>1427</v>
      </c>
      <c r="S649" t="inlineStr">
        <is>
          <t>25/26 actual</t>
        </is>
      </c>
      <c r="U649" s="6" t="n">
        <v>84.8</v>
      </c>
      <c r="V649" s="2" t="n">
        <v>16</v>
      </c>
      <c r="W649" s="7">
        <f>IF(N(U649)&lt;=0,0,MIN(Assumptions!$B$15,N(R649)/N(U649)))</f>
        <v/>
      </c>
      <c r="X649" s="6" t="n"/>
      <c r="Y649" s="3" t="n">
        <v>0.0307</v>
      </c>
      <c r="Z649" t="inlineStr">
        <is>
          <t>adjusted xGOT</t>
        </is>
      </c>
      <c r="AA649" s="3" t="n">
        <v>1</v>
      </c>
      <c r="AB649" s="3" t="n">
        <v>0.917</v>
      </c>
      <c r="AC649" s="3" t="n">
        <v>3.2</v>
      </c>
      <c r="AD649" s="3" t="n">
        <v>0.01</v>
      </c>
      <c r="AE649" s="3" t="n">
        <v>8.587999999999999</v>
      </c>
      <c r="AF649" s="3" t="n">
        <v>0</v>
      </c>
      <c r="AG649" s="3" t="n">
        <v>0</v>
      </c>
      <c r="AH649" s="3" t="n">
        <v>34</v>
      </c>
      <c r="AI649" s="3" t="n"/>
      <c r="AJ649" s="3" t="n"/>
      <c r="AK649" s="3" t="n"/>
      <c r="AL649" s="6" t="n">
        <v>0</v>
      </c>
      <c r="AM649" s="3" t="n">
        <v>0</v>
      </c>
      <c r="AN649" s="3" t="n">
        <v>0</v>
      </c>
      <c r="AO649" s="3" t="n">
        <v>0</v>
      </c>
      <c r="AP649" s="3">
        <f>N(X649)*N(BI649)</f>
        <v/>
      </c>
      <c r="AQ649" s="3" t="n">
        <v>0</v>
      </c>
      <c r="AR649" s="3" t="n">
        <v>0</v>
      </c>
      <c r="AS649" s="3" t="n">
        <v>0</v>
      </c>
      <c r="AT649" s="3" t="n">
        <v>0</v>
      </c>
      <c r="AU649" s="3">
        <f>SUM(AN649:AT649)</f>
        <v/>
      </c>
      <c r="AV649" s="7">
        <f>IF(OR(N(W649)&lt;=0,N(BG649)=0),0,N(W649)*IF(N(R649)/N(W649)&gt;=60,N(BG649),1))</f>
        <v/>
      </c>
      <c r="AW649" s="7">
        <f>N(W649)*N(AF649)*N(BH649)</f>
        <v/>
      </c>
      <c r="AX649" s="7">
        <f>N(AL649)*(Assumptions!$B$13*N(BJ649)-(1-Assumptions!$B$13)*Assumptions!$B$14)+N(AM649)</f>
        <v/>
      </c>
      <c r="AY649" s="7">
        <f>N(AU649)*N(R649)/90+N(AV649)+N(AW649)+N(AX649)</f>
        <v/>
      </c>
      <c r="AZ649" s="3">
        <f>IF(N(R649)&lt;=0,0,(N(AY649)-N(AX649))*90/N(R649))</f>
        <v/>
      </c>
      <c r="BA649" s="7">
        <f>IFERROR(AY649-VLOOKUP($E649,Assumptions!$A$40:$C$43,3,FALSE),"")</f>
        <v/>
      </c>
      <c r="BB649" s="3">
        <f>IFERROR(BA649/H649,"")</f>
        <v/>
      </c>
      <c r="BC649">
        <f>IF(AND($G649=TRUE,$E649="GKP"),AY649,"")</f>
        <v/>
      </c>
      <c r="BD649">
        <f>IF(AND($G649=TRUE,$E649="DEF"),AY649,"")</f>
        <v/>
      </c>
      <c r="BE649">
        <f>IF(AND($G649=TRUE,$E649="MID"),AY649,"")</f>
        <v/>
      </c>
      <c r="BF649">
        <f>IF(AND($G649=TRUE,$E649="FWD"),AY649,"")</f>
        <v/>
      </c>
      <c r="BG649" t="n">
        <v>0</v>
      </c>
      <c r="BH649" t="n">
        <v>0</v>
      </c>
      <c r="BI649" t="n">
        <v>0</v>
      </c>
      <c r="BJ649" t="n">
        <v>0</v>
      </c>
    </row>
    <row r="650">
      <c r="A650" t="inlineStr">
        <is>
          <t>Jota Silva</t>
        </is>
      </c>
      <c r="C650" t="inlineStr">
        <is>
          <t>NFO</t>
        </is>
      </c>
      <c r="D650" t="b">
        <v>0</v>
      </c>
      <c r="F650" t="inlineStr">
        <is>
          <t>MID</t>
        </is>
      </c>
      <c r="G650" t="b">
        <v>0</v>
      </c>
      <c r="H650" s="2" t="n"/>
      <c r="K650" s="2" t="n">
        <v>11</v>
      </c>
      <c r="M650" s="3" t="n"/>
      <c r="N650" s="8" t="n">
        <v>11</v>
      </c>
      <c r="O650" s="8" t="n">
        <v>0</v>
      </c>
      <c r="R650" s="6" t="n">
        <v>11</v>
      </c>
      <c r="S650" t="inlineStr">
        <is>
          <t>25/26 actual</t>
        </is>
      </c>
      <c r="U650" s="6" t="n">
        <v>80.09999999999999</v>
      </c>
      <c r="V650" s="2" t="n">
        <v>0</v>
      </c>
      <c r="W650" s="7">
        <f>IF(N(U650)&lt;=0,0,MIN(Assumptions!$B$15,N(R650)/N(U650)))</f>
        <v/>
      </c>
      <c r="X650" s="6" t="n"/>
      <c r="Y650" s="3" t="n">
        <v>0</v>
      </c>
      <c r="Z650" t="inlineStr">
        <is>
          <t>adjusted xGOT</t>
        </is>
      </c>
      <c r="AA650" s="3" t="n">
        <v>1</v>
      </c>
      <c r="AB650" s="3" t="n">
        <v>0.987</v>
      </c>
      <c r="AC650" s="3" t="n">
        <v>2.1</v>
      </c>
      <c r="AD650" s="3" t="n">
        <v>0</v>
      </c>
      <c r="AE650" s="3" t="n">
        <v>8.817</v>
      </c>
      <c r="AF650" s="3" t="n">
        <v>0</v>
      </c>
      <c r="AG650" s="3" t="n">
        <v>0</v>
      </c>
      <c r="AH650" s="3" t="n">
        <v>1</v>
      </c>
      <c r="AI650" s="3" t="n"/>
      <c r="AJ650" s="3" t="n"/>
      <c r="AK650" s="3" t="n"/>
      <c r="AL650" s="6" t="n">
        <v>0</v>
      </c>
      <c r="AM650" s="3" t="n">
        <v>0</v>
      </c>
      <c r="AN650" s="3" t="n">
        <v>0</v>
      </c>
      <c r="AO650" s="3" t="n">
        <v>0</v>
      </c>
      <c r="AP650" s="3">
        <f>N(X650)*N(BI650)</f>
        <v/>
      </c>
      <c r="AQ650" s="3" t="n">
        <v>0</v>
      </c>
      <c r="AR650" s="3" t="n">
        <v>0</v>
      </c>
      <c r="AS650" s="3" t="n">
        <v>0</v>
      </c>
      <c r="AT650" s="3" t="n">
        <v>0</v>
      </c>
      <c r="AU650" s="3">
        <f>SUM(AN650:AT650)</f>
        <v/>
      </c>
      <c r="AV650" s="7">
        <f>IF(OR(N(W650)&lt;=0,N(BG650)=0),0,N(W650)*IF(N(R650)/N(W650)&gt;=60,N(BG650),1))</f>
        <v/>
      </c>
      <c r="AW650" s="7">
        <f>N(W650)*N(AF650)*N(BH650)</f>
        <v/>
      </c>
      <c r="AX650" s="7">
        <f>N(AL650)*(Assumptions!$B$13*N(BJ650)-(1-Assumptions!$B$13)*Assumptions!$B$14)+N(AM650)</f>
        <v/>
      </c>
      <c r="AY650" s="7">
        <f>N(AU650)*N(R650)/90+N(AV650)+N(AW650)+N(AX650)</f>
        <v/>
      </c>
      <c r="AZ650" s="3">
        <f>IF(N(R650)&lt;=0,0,(N(AY650)-N(AX650))*90/N(R650))</f>
        <v/>
      </c>
      <c r="BA650" s="7">
        <f>IFERROR(AY650-VLOOKUP($E650,Assumptions!$A$40:$C$43,3,FALSE),"")</f>
        <v/>
      </c>
      <c r="BB650" s="3">
        <f>IFERROR(BA650/H650,"")</f>
        <v/>
      </c>
      <c r="BC650">
        <f>IF(AND($G650=TRUE,$E650="GKP"),AY650,"")</f>
        <v/>
      </c>
      <c r="BD650">
        <f>IF(AND($G650=TRUE,$E650="DEF"),AY650,"")</f>
        <v/>
      </c>
      <c r="BE650">
        <f>IF(AND($G650=TRUE,$E650="MID"),AY650,"")</f>
        <v/>
      </c>
      <c r="BF650">
        <f>IF(AND($G650=TRUE,$E650="FWD"),AY650,"")</f>
        <v/>
      </c>
      <c r="BG650" t="n">
        <v>0</v>
      </c>
      <c r="BH650" t="n">
        <v>0</v>
      </c>
      <c r="BI650" t="n">
        <v>0</v>
      </c>
      <c r="BJ650" t="n">
        <v>0</v>
      </c>
    </row>
    <row r="651">
      <c r="A651" t="inlineStr">
        <is>
          <t>Jannik Schuster</t>
        </is>
      </c>
      <c r="B651" t="inlineStr">
        <is>
          <t>BRE</t>
        </is>
      </c>
      <c r="D651" t="b">
        <v>0</v>
      </c>
      <c r="E651" t="inlineStr">
        <is>
          <t>DEF</t>
        </is>
      </c>
      <c r="G651" t="b">
        <v>1</v>
      </c>
      <c r="H651" s="2" t="n">
        <v>4.5</v>
      </c>
      <c r="I651" t="inlineStr">
        <is>
          <t>a</t>
        </is>
      </c>
      <c r="K651" s="2" t="n"/>
      <c r="M651" s="3" t="n">
        <v>80</v>
      </c>
      <c r="N651" s="4" t="n">
        <v>600</v>
      </c>
      <c r="O651" s="4" t="n">
        <v>520</v>
      </c>
      <c r="P651" s="5" t="inlineStr">
        <is>
          <t>medium</t>
        </is>
      </c>
      <c r="Q651" t="inlineStr">
        <is>
          <t>flat</t>
        </is>
      </c>
      <c r="R651" s="6" t="n">
        <v>600</v>
      </c>
      <c r="S651" t="inlineStr">
        <is>
          <t>research</t>
        </is>
      </c>
      <c r="T651" s="5" t="inlineStr">
        <is>
          <t>Solio gives 80 minutes to a centre-back signed on 1 July for a reported 12m plus 4m in add-ons. He played the full 90 minutes against Rennes and was on the Frankfurt bench, and Transfermarkt's hip-flexor note from 16 May 2026 has evidently cleared - FPL lists him status 'a'. With van den Berg unavailable until roughly mid-October he is the third centre-back behind Collins and Ajer. Still only 20 and adapting from the Austrian league, so this is deputy minutes plus cup-style rotation, not a starting share.</t>
        </is>
      </c>
      <c r="U651" s="6" t="n">
        <v>85</v>
      </c>
      <c r="V651" s="2" t="n"/>
      <c r="W651" s="7">
        <f>IF(N(U651)&lt;=0,0,MIN(Assumptions!$B$15,N(R651)/N(U651)))</f>
        <v/>
      </c>
      <c r="X651" s="6" t="n">
        <v>0.228</v>
      </c>
      <c r="Y651" s="3" t="n"/>
      <c r="Z651" t="inlineStr"/>
      <c r="AA651" s="3" t="n">
        <v>1</v>
      </c>
      <c r="AB651" s="3" t="n"/>
      <c r="AC651" s="3" t="n"/>
      <c r="AD651" s="3" t="n"/>
      <c r="AE651" s="3" t="n"/>
      <c r="AF651" s="3" t="n">
        <v>0</v>
      </c>
      <c r="AG651" s="3" t="n"/>
      <c r="AH651" s="3" t="n"/>
      <c r="AI651" s="3" t="n">
        <v>3.2371</v>
      </c>
      <c r="AJ651" s="3" t="n">
        <v>1.5396</v>
      </c>
      <c r="AK651" s="3" t="n">
        <v>-0.2045226422080557</v>
      </c>
      <c r="AL651" s="6" t="n">
        <v>0</v>
      </c>
      <c r="AM651" s="3" t="n">
        <v>0</v>
      </c>
      <c r="AN651" s="3" t="n">
        <v>0</v>
      </c>
      <c r="AO651" s="3" t="n">
        <v>0</v>
      </c>
      <c r="AP651" s="3">
        <f>N(X651)*N(BI651)</f>
        <v/>
      </c>
      <c r="AQ651" s="3" t="n">
        <v>0</v>
      </c>
      <c r="AR651" s="3" t="n">
        <v>0</v>
      </c>
      <c r="AS651" s="3" t="n">
        <v>-0.5312990096912251</v>
      </c>
      <c r="AT651" s="3" t="n">
        <v>-0.2045226422080557</v>
      </c>
      <c r="AU651" s="3">
        <f>SUM(AN651:AT651)</f>
        <v/>
      </c>
      <c r="AV651" s="7">
        <f>IF(OR(N(W651)&lt;=0,N(BG651)=0),0,N(W651)*IF(N(R651)/N(W651)&gt;=60,N(BG651),1))</f>
        <v/>
      </c>
      <c r="AW651" s="7">
        <f>N(W651)*N(AF651)*N(BH651)</f>
        <v/>
      </c>
      <c r="AX651" s="7">
        <f>N(AL651)*(Assumptions!$B$13*N(BJ651)-(1-Assumptions!$B$13)*Assumptions!$B$14)+N(AM651)</f>
        <v/>
      </c>
      <c r="AY651" s="7">
        <f>N(AU651)*N(R651)/90+N(AV651)+N(AW651)+N(AX651)</f>
        <v/>
      </c>
      <c r="AZ651" s="3">
        <f>IF(N(R651)&lt;=0,0,(N(AY651)-N(AX651))*90/N(R651))</f>
        <v/>
      </c>
      <c r="BA651" s="7">
        <f>IFERROR(AY651-VLOOKUP($E651,Assumptions!$A$40:$C$43,3,FALSE),"")</f>
        <v/>
      </c>
      <c r="BB651" s="3">
        <f>IFERROR(BA651/H651,"")</f>
        <v/>
      </c>
      <c r="BC651">
        <f>IF(AND($G651=TRUE,$E651="GKP"),AY651,"")</f>
        <v/>
      </c>
      <c r="BD651">
        <f>IF(AND($G651=TRUE,$E651="DEF"),AY651,"")</f>
        <v/>
      </c>
      <c r="BE651">
        <f>IF(AND($G651=TRUE,$E651="MID"),AY651,"")</f>
        <v/>
      </c>
      <c r="BF651">
        <f>IF(AND($G651=TRUE,$E651="FWD"),AY651,"")</f>
        <v/>
      </c>
      <c r="BG651" t="n">
        <v>2</v>
      </c>
      <c r="BH651" t="n">
        <v>2</v>
      </c>
      <c r="BI651" t="n">
        <v>4</v>
      </c>
      <c r="BJ651" t="n">
        <v>6</v>
      </c>
    </row>
    <row r="652">
      <c r="A652" t="inlineStr">
        <is>
          <t>Brajan Gruda</t>
        </is>
      </c>
      <c r="C652" t="inlineStr">
        <is>
          <t>BHA</t>
        </is>
      </c>
      <c r="D652" t="b">
        <v>0</v>
      </c>
      <c r="F652" t="inlineStr">
        <is>
          <t>MID</t>
        </is>
      </c>
      <c r="G652" t="b">
        <v>0</v>
      </c>
      <c r="H652" s="2" t="n"/>
      <c r="K652" s="2" t="n">
        <v>715</v>
      </c>
      <c r="M652" s="3" t="n"/>
      <c r="N652" s="8" t="n">
        <v>715</v>
      </c>
      <c r="O652" s="8" t="n">
        <v>0</v>
      </c>
      <c r="R652" s="6" t="n">
        <v>715</v>
      </c>
      <c r="S652" t="inlineStr">
        <is>
          <t>25/26 actual</t>
        </is>
      </c>
      <c r="U652" s="6" t="n">
        <v>75.09999999999999</v>
      </c>
      <c r="V652" s="2" t="n">
        <v>8</v>
      </c>
      <c r="W652" s="7">
        <f>IF(N(U652)&lt;=0,0,MIN(Assumptions!$B$15,N(R652)/N(U652)))</f>
        <v/>
      </c>
      <c r="X652" s="6" t="n"/>
      <c r="Y652" s="3" t="n">
        <v>0.2424</v>
      </c>
      <c r="Z652" t="inlineStr">
        <is>
          <t>adjusted xGOT</t>
        </is>
      </c>
      <c r="AA652" s="3" t="n">
        <v>1</v>
      </c>
      <c r="AB652" s="3" t="n">
        <v>1.035</v>
      </c>
      <c r="AC652" s="3" t="n">
        <v>3</v>
      </c>
      <c r="AD652" s="3" t="n">
        <v>0.153</v>
      </c>
      <c r="AE652" s="3" t="n">
        <v>7.98</v>
      </c>
      <c r="AF652" s="3" t="n">
        <v>0</v>
      </c>
      <c r="AG652" s="3" t="n">
        <v>0.3776</v>
      </c>
      <c r="AH652" s="3" t="n">
        <v>25</v>
      </c>
      <c r="AI652" s="3" t="n"/>
      <c r="AJ652" s="3" t="n"/>
      <c r="AK652" s="3" t="n"/>
      <c r="AL652" s="6" t="n">
        <v>0</v>
      </c>
      <c r="AM652" s="3" t="n">
        <v>0</v>
      </c>
      <c r="AN652" s="3" t="n">
        <v>0</v>
      </c>
      <c r="AO652" s="3" t="n">
        <v>0</v>
      </c>
      <c r="AP652" s="3">
        <f>N(X652)*N(BI652)</f>
        <v/>
      </c>
      <c r="AQ652" s="3" t="n">
        <v>0</v>
      </c>
      <c r="AR652" s="3" t="n">
        <v>0</v>
      </c>
      <c r="AS652" s="3" t="n">
        <v>0</v>
      </c>
      <c r="AT652" s="3" t="n">
        <v>0</v>
      </c>
      <c r="AU652" s="3">
        <f>SUM(AN652:AT652)</f>
        <v/>
      </c>
      <c r="AV652" s="7">
        <f>IF(OR(N(W652)&lt;=0,N(BG652)=0),0,N(W652)*IF(N(R652)/N(W652)&gt;=60,N(BG652),1))</f>
        <v/>
      </c>
      <c r="AW652" s="7">
        <f>N(W652)*N(AF652)*N(BH652)</f>
        <v/>
      </c>
      <c r="AX652" s="7">
        <f>N(AL652)*(Assumptions!$B$13*N(BJ652)-(1-Assumptions!$B$13)*Assumptions!$B$14)+N(AM652)</f>
        <v/>
      </c>
      <c r="AY652" s="7">
        <f>N(AU652)*N(R652)/90+N(AV652)+N(AW652)+N(AX652)</f>
        <v/>
      </c>
      <c r="AZ652" s="3">
        <f>IF(N(R652)&lt;=0,0,(N(AY652)-N(AX652))*90/N(R652))</f>
        <v/>
      </c>
      <c r="BA652" s="7">
        <f>IFERROR(AY652-VLOOKUP($E652,Assumptions!$A$40:$C$43,3,FALSE),"")</f>
        <v/>
      </c>
      <c r="BB652" s="3">
        <f>IFERROR(BA652/H652,"")</f>
        <v/>
      </c>
      <c r="BC652">
        <f>IF(AND($G652=TRUE,$E652="GKP"),AY652,"")</f>
        <v/>
      </c>
      <c r="BD652">
        <f>IF(AND($G652=TRUE,$E652="DEF"),AY652,"")</f>
        <v/>
      </c>
      <c r="BE652">
        <f>IF(AND($G652=TRUE,$E652="MID"),AY652,"")</f>
        <v/>
      </c>
      <c r="BF652">
        <f>IF(AND($G652=TRUE,$E652="FWD"),AY652,"")</f>
        <v/>
      </c>
      <c r="BG652" t="n">
        <v>0</v>
      </c>
      <c r="BH652" t="n">
        <v>0</v>
      </c>
      <c r="BI652" t="n">
        <v>0</v>
      </c>
      <c r="BJ652" t="n">
        <v>0</v>
      </c>
    </row>
    <row r="653">
      <c r="A653" t="inlineStr">
        <is>
          <t>Mamadou Sangaré</t>
        </is>
      </c>
      <c r="B653" t="inlineStr">
        <is>
          <t>BRE</t>
        </is>
      </c>
      <c r="D653" t="b">
        <v>0</v>
      </c>
      <c r="E653" t="inlineStr">
        <is>
          <t>MID</t>
        </is>
      </c>
      <c r="G653" t="b">
        <v>1</v>
      </c>
      <c r="H653" s="2" t="n">
        <v>5.5</v>
      </c>
      <c r="I653" t="inlineStr">
        <is>
          <t>a</t>
        </is>
      </c>
      <c r="K653" s="2" t="n"/>
      <c r="M653" s="3" t="n">
        <v>3050</v>
      </c>
      <c r="N653" s="8" t="n">
        <v>3050</v>
      </c>
      <c r="O653" s="8" t="n">
        <v>0</v>
      </c>
      <c r="Q653" t="inlineStr">
        <is>
          <t>flat</t>
        </is>
      </c>
      <c r="R653" s="6" t="n">
        <v>3050</v>
      </c>
      <c r="S653" t="inlineStr">
        <is>
          <t>Solio</t>
        </is>
      </c>
      <c r="U653" s="6" t="n">
        <v>85</v>
      </c>
      <c r="V653" s="2" t="n"/>
      <c r="W653" s="7">
        <f>IF(N(U653)&lt;=0,0,MIN(Assumptions!$B$15,N(R653)/N(U653)))</f>
        <v/>
      </c>
      <c r="X653" s="6" t="n">
        <v>0.228</v>
      </c>
      <c r="Y653" s="3" t="n"/>
      <c r="Z653" t="inlineStr"/>
      <c r="AA653" s="3" t="n">
        <v>1</v>
      </c>
      <c r="AB653" s="3" t="n"/>
      <c r="AC653" s="3" t="n"/>
      <c r="AD653" s="3" t="n"/>
      <c r="AE653" s="3" t="n"/>
      <c r="AF653" s="3" t="n">
        <v>0</v>
      </c>
      <c r="AG653" s="3" t="n"/>
      <c r="AH653" s="3" t="n"/>
      <c r="AI653" s="3" t="n">
        <v>3.2371</v>
      </c>
      <c r="AJ653" s="3" t="n">
        <v>1.5396</v>
      </c>
      <c r="AK653" s="3" t="n">
        <v>-0.2160434166173144</v>
      </c>
      <c r="AL653" s="6" t="n">
        <v>0</v>
      </c>
      <c r="AM653" s="3" t="n">
        <v>0</v>
      </c>
      <c r="AN653" s="3" t="n">
        <v>0</v>
      </c>
      <c r="AO653" s="3" t="n">
        <v>0</v>
      </c>
      <c r="AP653" s="3">
        <f>N(X653)*N(BI653)</f>
        <v/>
      </c>
      <c r="AQ653" s="3" t="n">
        <v>0</v>
      </c>
      <c r="AR653" s="3" t="n">
        <v>0</v>
      </c>
      <c r="AS653" s="3" t="n">
        <v>-0</v>
      </c>
      <c r="AT653" s="3" t="n">
        <v>-0.2160434166173144</v>
      </c>
      <c r="AU653" s="3">
        <f>SUM(AN653:AT653)</f>
        <v/>
      </c>
      <c r="AV653" s="7">
        <f>IF(OR(N(W653)&lt;=0,N(BG653)=0),0,N(W653)*IF(N(R653)/N(W653)&gt;=60,N(BG653),1))</f>
        <v/>
      </c>
      <c r="AW653" s="7">
        <f>N(W653)*N(AF653)*N(BH653)</f>
        <v/>
      </c>
      <c r="AX653" s="7">
        <f>N(AL653)*(Assumptions!$B$13*N(BJ653)-(1-Assumptions!$B$13)*Assumptions!$B$14)+N(AM653)</f>
        <v/>
      </c>
      <c r="AY653" s="7">
        <f>N(AU653)*N(R653)/90+N(AV653)+N(AW653)+N(AX653)</f>
        <v/>
      </c>
      <c r="AZ653" s="3">
        <f>IF(N(R653)&lt;=0,0,(N(AY653)-N(AX653))*90/N(R653))</f>
        <v/>
      </c>
      <c r="BA653" s="7">
        <f>IFERROR(AY653-VLOOKUP($E653,Assumptions!$A$40:$C$43,3,FALSE),"")</f>
        <v/>
      </c>
      <c r="BB653" s="3">
        <f>IFERROR(BA653/H653,"")</f>
        <v/>
      </c>
      <c r="BC653">
        <f>IF(AND($G653=TRUE,$E653="GKP"),AY653,"")</f>
        <v/>
      </c>
      <c r="BD653">
        <f>IF(AND($G653=TRUE,$E653="DEF"),AY653,"")</f>
        <v/>
      </c>
      <c r="BE653">
        <f>IF(AND($G653=TRUE,$E653="MID"),AY653,"")</f>
        <v/>
      </c>
      <c r="BF653">
        <f>IF(AND($G653=TRUE,$E653="FWD"),AY653,"")</f>
        <v/>
      </c>
      <c r="BG653" t="n">
        <v>2</v>
      </c>
      <c r="BH653" t="n">
        <v>2</v>
      </c>
      <c r="BI653" t="n">
        <v>1</v>
      </c>
      <c r="BJ653" t="n">
        <v>5</v>
      </c>
    </row>
    <row r="654">
      <c r="A654" t="inlineStr">
        <is>
          <t>Lewis Koumas</t>
        </is>
      </c>
      <c r="B654" t="inlineStr">
        <is>
          <t>LIV</t>
        </is>
      </c>
      <c r="D654" t="b">
        <v>0</v>
      </c>
      <c r="E654" t="inlineStr">
        <is>
          <t>MID</t>
        </is>
      </c>
      <c r="G654" t="b">
        <v>1</v>
      </c>
      <c r="H654" s="2" t="n">
        <v>5</v>
      </c>
      <c r="I654" t="inlineStr">
        <is>
          <t>a</t>
        </is>
      </c>
      <c r="K654" s="2" t="n"/>
      <c r="M654" s="3" t="n">
        <v>0</v>
      </c>
      <c r="N654" s="8" t="n">
        <v>0</v>
      </c>
      <c r="O654" s="8" t="n">
        <v>0</v>
      </c>
      <c r="Q654" t="inlineStr">
        <is>
          <t>flat</t>
        </is>
      </c>
      <c r="R654" s="6" t="n">
        <v>0</v>
      </c>
      <c r="S654" t="inlineStr">
        <is>
          <t>Solio</t>
        </is>
      </c>
      <c r="U654" s="6" t="n">
        <v>85</v>
      </c>
      <c r="V654" s="2" t="n"/>
      <c r="W654" s="7">
        <f>IF(N(U654)&lt;=0,0,MIN(Assumptions!$B$15,N(R654)/N(U654)))</f>
        <v/>
      </c>
      <c r="X654" s="6" t="n">
        <v>0.342</v>
      </c>
      <c r="Y654" s="3" t="n"/>
      <c r="Z654" t="inlineStr"/>
      <c r="AA654" s="3" t="n">
        <v>1</v>
      </c>
      <c r="AB654" s="3" t="n"/>
      <c r="AC654" s="3" t="n"/>
      <c r="AD654" s="3" t="n"/>
      <c r="AE654" s="3" t="n"/>
      <c r="AF654" s="3" t="n">
        <v>0</v>
      </c>
      <c r="AG654" s="3" t="n"/>
      <c r="AH654" s="3" t="n"/>
      <c r="AI654" s="3" t="n">
        <v>2.409</v>
      </c>
      <c r="AJ654" s="3" t="n">
        <v>1.1228</v>
      </c>
      <c r="AK654" s="3" t="n">
        <v>-0.2160434166173144</v>
      </c>
      <c r="AL654" s="6" t="n">
        <v>0</v>
      </c>
      <c r="AM654" s="3" t="n">
        <v>0</v>
      </c>
      <c r="AN654" s="3" t="n">
        <v>0</v>
      </c>
      <c r="AO654" s="3" t="n">
        <v>0</v>
      </c>
      <c r="AP654" s="3">
        <f>N(X654)*N(BI654)</f>
        <v/>
      </c>
      <c r="AQ654" s="3" t="n">
        <v>0</v>
      </c>
      <c r="AR654" s="3" t="n">
        <v>0</v>
      </c>
      <c r="AS654" s="3" t="n">
        <v>-0</v>
      </c>
      <c r="AT654" s="3" t="n">
        <v>-0.2160434166173144</v>
      </c>
      <c r="AU654" s="3">
        <f>SUM(AN654:AT654)</f>
        <v/>
      </c>
      <c r="AV654" s="7">
        <f>IF(OR(N(W654)&lt;=0,N(BG654)=0),0,N(W654)*IF(N(R654)/N(W654)&gt;=60,N(BG654),1))</f>
        <v/>
      </c>
      <c r="AW654" s="7">
        <f>N(W654)*N(AF654)*N(BH654)</f>
        <v/>
      </c>
      <c r="AX654" s="7">
        <f>N(AL654)*(Assumptions!$B$13*N(BJ654)-(1-Assumptions!$B$13)*Assumptions!$B$14)+N(AM654)</f>
        <v/>
      </c>
      <c r="AY654" s="7">
        <f>N(AU654)*N(R654)/90+N(AV654)+N(AW654)+N(AX654)</f>
        <v/>
      </c>
      <c r="AZ654" s="3">
        <f>IF(N(R654)&lt;=0,0,(N(AY654)-N(AX654))*90/N(R654))</f>
        <v/>
      </c>
      <c r="BA654" s="7">
        <f>IFERROR(AY654-VLOOKUP($E654,Assumptions!$A$40:$C$43,3,FALSE),"")</f>
        <v/>
      </c>
      <c r="BB654" s="3">
        <f>IFERROR(BA654/H654,"")</f>
        <v/>
      </c>
      <c r="BC654">
        <f>IF(AND($G654=TRUE,$E654="GKP"),AY654,"")</f>
        <v/>
      </c>
      <c r="BD654">
        <f>IF(AND($G654=TRUE,$E654="DEF"),AY654,"")</f>
        <v/>
      </c>
      <c r="BE654">
        <f>IF(AND($G654=TRUE,$E654="MID"),AY654,"")</f>
        <v/>
      </c>
      <c r="BF654">
        <f>IF(AND($G654=TRUE,$E654="FWD"),AY654,"")</f>
        <v/>
      </c>
      <c r="BG654" t="n">
        <v>2</v>
      </c>
      <c r="BH654" t="n">
        <v>2</v>
      </c>
      <c r="BI654" t="n">
        <v>1</v>
      </c>
      <c r="BJ654" t="n">
        <v>5</v>
      </c>
    </row>
    <row r="655">
      <c r="A655" t="inlineStr">
        <is>
          <t>Emmanuel Agbadou</t>
        </is>
      </c>
      <c r="C655" t="inlineStr">
        <is>
          <t>WOL</t>
        </is>
      </c>
      <c r="D655" t="b">
        <v>0</v>
      </c>
      <c r="F655" t="inlineStr">
        <is>
          <t>DEF</t>
        </is>
      </c>
      <c r="G655" t="b">
        <v>0</v>
      </c>
      <c r="H655" s="2" t="n"/>
      <c r="K655" s="2" t="n">
        <v>1101</v>
      </c>
      <c r="M655" s="3" t="n"/>
      <c r="N655" s="8" t="n">
        <v>1101</v>
      </c>
      <c r="O655" s="8" t="n">
        <v>0</v>
      </c>
      <c r="R655" s="6" t="n">
        <v>1101</v>
      </c>
      <c r="S655" t="inlineStr">
        <is>
          <t>25/26 actual</t>
        </is>
      </c>
      <c r="U655" s="6" t="n">
        <v>87.90000000000001</v>
      </c>
      <c r="V655" s="2" t="n">
        <v>11</v>
      </c>
      <c r="W655" s="7">
        <f>IF(N(U655)&lt;=0,0,MIN(Assumptions!$B$15,N(R655)/N(U655)))</f>
        <v/>
      </c>
      <c r="X655" s="6" t="n"/>
      <c r="Y655" s="3" t="n">
        <v>0.0468</v>
      </c>
      <c r="Z655" t="inlineStr">
        <is>
          <t>adjusted xGOT</t>
        </is>
      </c>
      <c r="AA655" s="3" t="n">
        <v>1</v>
      </c>
      <c r="AB655" s="3" t="n">
        <v>1.003</v>
      </c>
      <c r="AC655" s="3" t="n">
        <v>1.5</v>
      </c>
      <c r="AD655" s="3" t="n">
        <v>0.014</v>
      </c>
      <c r="AE655" s="3" t="n">
        <v>9.222</v>
      </c>
      <c r="AF655" s="3" t="n">
        <v>0</v>
      </c>
      <c r="AG655" s="3" t="n">
        <v>0</v>
      </c>
      <c r="AH655" s="3" t="n">
        <v>25</v>
      </c>
      <c r="AI655" s="3" t="n"/>
      <c r="AJ655" s="3" t="n"/>
      <c r="AK655" s="3" t="n"/>
      <c r="AL655" s="6" t="n">
        <v>0</v>
      </c>
      <c r="AM655" s="3" t="n">
        <v>0</v>
      </c>
      <c r="AN655" s="3" t="n">
        <v>0</v>
      </c>
      <c r="AO655" s="3" t="n">
        <v>0</v>
      </c>
      <c r="AP655" s="3">
        <f>N(X655)*N(BI655)</f>
        <v/>
      </c>
      <c r="AQ655" s="3" t="n">
        <v>0</v>
      </c>
      <c r="AR655" s="3" t="n">
        <v>0</v>
      </c>
      <c r="AS655" s="3" t="n">
        <v>0</v>
      </c>
      <c r="AT655" s="3" t="n">
        <v>0</v>
      </c>
      <c r="AU655" s="3">
        <f>SUM(AN655:AT655)</f>
        <v/>
      </c>
      <c r="AV655" s="7">
        <f>IF(OR(N(W655)&lt;=0,N(BG655)=0),0,N(W655)*IF(N(R655)/N(W655)&gt;=60,N(BG655),1))</f>
        <v/>
      </c>
      <c r="AW655" s="7">
        <f>N(W655)*N(AF655)*N(BH655)</f>
        <v/>
      </c>
      <c r="AX655" s="7">
        <f>N(AL655)*(Assumptions!$B$13*N(BJ655)-(1-Assumptions!$B$13)*Assumptions!$B$14)+N(AM655)</f>
        <v/>
      </c>
      <c r="AY655" s="7">
        <f>N(AU655)*N(R655)/90+N(AV655)+N(AW655)+N(AX655)</f>
        <v/>
      </c>
      <c r="AZ655" s="3">
        <f>IF(N(R655)&lt;=0,0,(N(AY655)-N(AX655))*90/N(R655))</f>
        <v/>
      </c>
      <c r="BA655" s="7">
        <f>IFERROR(AY655-VLOOKUP($E655,Assumptions!$A$40:$C$43,3,FALSE),"")</f>
        <v/>
      </c>
      <c r="BB655" s="3">
        <f>IFERROR(BA655/H655,"")</f>
        <v/>
      </c>
      <c r="BC655">
        <f>IF(AND($G655=TRUE,$E655="GKP"),AY655,"")</f>
        <v/>
      </c>
      <c r="BD655">
        <f>IF(AND($G655=TRUE,$E655="DEF"),AY655,"")</f>
        <v/>
      </c>
      <c r="BE655">
        <f>IF(AND($G655=TRUE,$E655="MID"),AY655,"")</f>
        <v/>
      </c>
      <c r="BF655">
        <f>IF(AND($G655=TRUE,$E655="FWD"),AY655,"")</f>
        <v/>
      </c>
      <c r="BG655" t="n">
        <v>0</v>
      </c>
      <c r="BH655" t="n">
        <v>0</v>
      </c>
      <c r="BI655" t="n">
        <v>0</v>
      </c>
      <c r="BJ655" t="n">
        <v>0</v>
      </c>
    </row>
    <row r="656">
      <c r="A656" t="inlineStr">
        <is>
          <t>Max Weiss</t>
        </is>
      </c>
      <c r="C656" t="inlineStr">
        <is>
          <t>BUR</t>
        </is>
      </c>
      <c r="D656" t="b">
        <v>0</v>
      </c>
      <c r="F656" t="inlineStr">
        <is>
          <t>GKP</t>
        </is>
      </c>
      <c r="G656" t="b">
        <v>0</v>
      </c>
      <c r="H656" s="2" t="n"/>
      <c r="K656" s="2" t="n">
        <v>270</v>
      </c>
      <c r="M656" s="3" t="n"/>
      <c r="N656" s="8" t="n">
        <v>270</v>
      </c>
      <c r="O656" s="8" t="n">
        <v>0</v>
      </c>
      <c r="R656" s="6" t="n">
        <v>270</v>
      </c>
      <c r="S656" t="inlineStr">
        <is>
          <t>25/26 actual</t>
        </is>
      </c>
      <c r="U656" s="6" t="n">
        <v>89.8</v>
      </c>
      <c r="V656" s="2" t="n">
        <v>3</v>
      </c>
      <c r="W656" s="7">
        <f>IF(N(U656)&lt;=0,0,MIN(Assumptions!$B$15,N(R656)/N(U656)))</f>
        <v/>
      </c>
      <c r="X656" s="6" t="n"/>
      <c r="Y656" s="3" t="n">
        <v>0</v>
      </c>
      <c r="Z656" t="inlineStr">
        <is>
          <t>blended xG</t>
        </is>
      </c>
      <c r="AA656" s="3" t="n">
        <v>1</v>
      </c>
      <c r="AB656" s="3" t="n">
        <v>1</v>
      </c>
      <c r="AC656" s="3" t="n">
        <v>0</v>
      </c>
      <c r="AD656" s="3" t="n">
        <v>0.0536</v>
      </c>
      <c r="AE656" s="3" t="n">
        <v>0</v>
      </c>
      <c r="AF656" s="3" t="n">
        <v>0</v>
      </c>
      <c r="AG656" s="3" t="n">
        <v>0</v>
      </c>
      <c r="AH656" s="3" t="n">
        <v>6</v>
      </c>
      <c r="AI656" s="3" t="n"/>
      <c r="AJ656" s="3" t="n"/>
      <c r="AK656" s="3" t="n"/>
      <c r="AL656" s="6" t="n">
        <v>0</v>
      </c>
      <c r="AM656" s="3" t="n">
        <v>0</v>
      </c>
      <c r="AN656" s="3" t="n">
        <v>0</v>
      </c>
      <c r="AO656" s="3" t="n">
        <v>0</v>
      </c>
      <c r="AP656" s="3">
        <f>N(X656)*N(BI656)</f>
        <v/>
      </c>
      <c r="AQ656" s="3" t="n">
        <v>0</v>
      </c>
      <c r="AR656" s="3" t="n">
        <v>0</v>
      </c>
      <c r="AS656" s="3" t="n">
        <v>0</v>
      </c>
      <c r="AT656" s="3" t="n">
        <v>0</v>
      </c>
      <c r="AU656" s="3">
        <f>SUM(AN656:AT656)</f>
        <v/>
      </c>
      <c r="AV656" s="7">
        <f>IF(OR(N(W656)&lt;=0,N(BG656)=0),0,N(W656)*IF(N(R656)/N(W656)&gt;=60,N(BG656),1))</f>
        <v/>
      </c>
      <c r="AW656" s="7">
        <f>N(W656)*N(AF656)*N(BH656)</f>
        <v/>
      </c>
      <c r="AX656" s="7">
        <f>N(AL656)*(Assumptions!$B$13*N(BJ656)-(1-Assumptions!$B$13)*Assumptions!$B$14)+N(AM656)</f>
        <v/>
      </c>
      <c r="AY656" s="7">
        <f>N(AU656)*N(R656)/90+N(AV656)+N(AW656)+N(AX656)</f>
        <v/>
      </c>
      <c r="AZ656" s="3">
        <f>IF(N(R656)&lt;=0,0,(N(AY656)-N(AX656))*90/N(R656))</f>
        <v/>
      </c>
      <c r="BA656" s="7">
        <f>IFERROR(AY656-VLOOKUP($E656,Assumptions!$A$40:$C$43,3,FALSE),"")</f>
        <v/>
      </c>
      <c r="BB656" s="3">
        <f>IFERROR(BA656/H656,"")</f>
        <v/>
      </c>
      <c r="BC656">
        <f>IF(AND($G656=TRUE,$E656="GKP"),AY656,"")</f>
        <v/>
      </c>
      <c r="BD656">
        <f>IF(AND($G656=TRUE,$E656="DEF"),AY656,"")</f>
        <v/>
      </c>
      <c r="BE656">
        <f>IF(AND($G656=TRUE,$E656="MID"),AY656,"")</f>
        <v/>
      </c>
      <c r="BF656">
        <f>IF(AND($G656=TRUE,$E656="FWD"),AY656,"")</f>
        <v/>
      </c>
      <c r="BG656" t="n">
        <v>0</v>
      </c>
      <c r="BH656" t="n">
        <v>0</v>
      </c>
      <c r="BI656" t="n">
        <v>0</v>
      </c>
      <c r="BJ656" t="n">
        <v>0</v>
      </c>
    </row>
    <row r="657">
      <c r="A657" t="inlineStr">
        <is>
          <t>Oliver Sonne</t>
        </is>
      </c>
      <c r="C657" t="inlineStr">
        <is>
          <t>BUR</t>
        </is>
      </c>
      <c r="D657" t="b">
        <v>0</v>
      </c>
      <c r="F657" t="inlineStr">
        <is>
          <t>DEF</t>
        </is>
      </c>
      <c r="G657" t="b">
        <v>0</v>
      </c>
      <c r="H657" s="2" t="n"/>
      <c r="K657" s="2" t="n">
        <v>165</v>
      </c>
      <c r="M657" s="3" t="n"/>
      <c r="N657" s="8" t="n">
        <v>165</v>
      </c>
      <c r="O657" s="8" t="n">
        <v>0</v>
      </c>
      <c r="R657" s="6" t="n">
        <v>165</v>
      </c>
      <c r="S657" t="inlineStr">
        <is>
          <t>25/26 actual</t>
        </is>
      </c>
      <c r="U657" s="6" t="n">
        <v>84.40000000000001</v>
      </c>
      <c r="V657" s="2" t="n">
        <v>1</v>
      </c>
      <c r="W657" s="7">
        <f>IF(N(U657)&lt;=0,0,MIN(Assumptions!$B$15,N(R657)/N(U657)))</f>
        <v/>
      </c>
      <c r="X657" s="6" t="n"/>
      <c r="Y657" s="3" t="n">
        <v>0.3125</v>
      </c>
      <c r="Z657" t="inlineStr">
        <is>
          <t>adjusted xGOT</t>
        </is>
      </c>
      <c r="AA657" s="3" t="n">
        <v>1</v>
      </c>
      <c r="AB657" s="3" t="n">
        <v>1.041</v>
      </c>
      <c r="AC657" s="3" t="n">
        <v>0.6</v>
      </c>
      <c r="AD657" s="3" t="n">
        <v>0.0147</v>
      </c>
      <c r="AE657" s="3" t="n">
        <v>6.972</v>
      </c>
      <c r="AF657" s="3" t="n">
        <v>0</v>
      </c>
      <c r="AG657" s="3" t="n">
        <v>0</v>
      </c>
      <c r="AH657" s="3" t="n">
        <v>8</v>
      </c>
      <c r="AI657" s="3" t="n"/>
      <c r="AJ657" s="3" t="n"/>
      <c r="AK657" s="3" t="n"/>
      <c r="AL657" s="6" t="n">
        <v>0</v>
      </c>
      <c r="AM657" s="3" t="n">
        <v>0</v>
      </c>
      <c r="AN657" s="3" t="n">
        <v>0</v>
      </c>
      <c r="AO657" s="3" t="n">
        <v>0</v>
      </c>
      <c r="AP657" s="3">
        <f>N(X657)*N(BI657)</f>
        <v/>
      </c>
      <c r="AQ657" s="3" t="n">
        <v>0</v>
      </c>
      <c r="AR657" s="3" t="n">
        <v>0</v>
      </c>
      <c r="AS657" s="3" t="n">
        <v>0</v>
      </c>
      <c r="AT657" s="3" t="n">
        <v>0</v>
      </c>
      <c r="AU657" s="3">
        <f>SUM(AN657:AT657)</f>
        <v/>
      </c>
      <c r="AV657" s="7">
        <f>IF(OR(N(W657)&lt;=0,N(BG657)=0),0,N(W657)*IF(N(R657)/N(W657)&gt;=60,N(BG657),1))</f>
        <v/>
      </c>
      <c r="AW657" s="7">
        <f>N(W657)*N(AF657)*N(BH657)</f>
        <v/>
      </c>
      <c r="AX657" s="7">
        <f>N(AL657)*(Assumptions!$B$13*N(BJ657)-(1-Assumptions!$B$13)*Assumptions!$B$14)+N(AM657)</f>
        <v/>
      </c>
      <c r="AY657" s="7">
        <f>N(AU657)*N(R657)/90+N(AV657)+N(AW657)+N(AX657)</f>
        <v/>
      </c>
      <c r="AZ657" s="3">
        <f>IF(N(R657)&lt;=0,0,(N(AY657)-N(AX657))*90/N(R657))</f>
        <v/>
      </c>
      <c r="BA657" s="7">
        <f>IFERROR(AY657-VLOOKUP($E657,Assumptions!$A$40:$C$43,3,FALSE),"")</f>
        <v/>
      </c>
      <c r="BB657" s="3">
        <f>IFERROR(BA657/H657,"")</f>
        <v/>
      </c>
      <c r="BC657">
        <f>IF(AND($G657=TRUE,$E657="GKP"),AY657,"")</f>
        <v/>
      </c>
      <c r="BD657">
        <f>IF(AND($G657=TRUE,$E657="DEF"),AY657,"")</f>
        <v/>
      </c>
      <c r="BE657">
        <f>IF(AND($G657=TRUE,$E657="MID"),AY657,"")</f>
        <v/>
      </c>
      <c r="BF657">
        <f>IF(AND($G657=TRUE,$E657="FWD"),AY657,"")</f>
        <v/>
      </c>
      <c r="BG657" t="n">
        <v>0</v>
      </c>
      <c r="BH657" t="n">
        <v>0</v>
      </c>
      <c r="BI657" t="n">
        <v>0</v>
      </c>
      <c r="BJ657" t="n">
        <v>0</v>
      </c>
    </row>
    <row r="658">
      <c r="A658" t="inlineStr">
        <is>
          <t>Tarik Muharemović</t>
        </is>
      </c>
      <c r="B658" t="inlineStr">
        <is>
          <t>LEE</t>
        </is>
      </c>
      <c r="D658" t="b">
        <v>0</v>
      </c>
      <c r="E658" t="inlineStr">
        <is>
          <t>DEF</t>
        </is>
      </c>
      <c r="G658" t="b">
        <v>1</v>
      </c>
      <c r="H658" s="2" t="n">
        <v>5</v>
      </c>
      <c r="I658" t="inlineStr">
        <is>
          <t>a</t>
        </is>
      </c>
      <c r="K658" s="2" t="n"/>
      <c r="M658" s="3" t="n">
        <v>3209</v>
      </c>
      <c r="N658" s="8" t="n">
        <v>3209</v>
      </c>
      <c r="O658" s="8" t="n">
        <v>0</v>
      </c>
      <c r="Q658" t="inlineStr">
        <is>
          <t>flat</t>
        </is>
      </c>
      <c r="R658" s="6" t="n">
        <v>3209</v>
      </c>
      <c r="S658" t="inlineStr">
        <is>
          <t>Solio</t>
        </is>
      </c>
      <c r="U658" s="6" t="n">
        <v>85</v>
      </c>
      <c r="V658" s="2" t="n"/>
      <c r="W658" s="7">
        <f>IF(N(U658)&lt;=0,0,MIN(Assumptions!$B$15,N(R658)/N(U658)))</f>
        <v/>
      </c>
      <c r="X658" s="6" t="n">
        <v>0.218</v>
      </c>
      <c r="Y658" s="3" t="n"/>
      <c r="Z658" t="inlineStr"/>
      <c r="AA658" s="3" t="n">
        <v>1</v>
      </c>
      <c r="AB658" s="3" t="n"/>
      <c r="AC658" s="3" t="n"/>
      <c r="AD658" s="3" t="n"/>
      <c r="AE658" s="3" t="n"/>
      <c r="AF658" s="3" t="n">
        <v>0</v>
      </c>
      <c r="AG658" s="3" t="n"/>
      <c r="AH658" s="3" t="n"/>
      <c r="AI658" s="3" t="n">
        <v>3.0611</v>
      </c>
      <c r="AJ658" s="3" t="n">
        <v>1.5875</v>
      </c>
      <c r="AK658" s="3" t="n">
        <v>-0.2045226422080557</v>
      </c>
      <c r="AL658" s="6" t="n">
        <v>0</v>
      </c>
      <c r="AM658" s="3" t="n">
        <v>0</v>
      </c>
      <c r="AN658" s="3" t="n">
        <v>0</v>
      </c>
      <c r="AO658" s="3" t="n">
        <v>0</v>
      </c>
      <c r="AP658" s="3">
        <f>N(X658)*N(BI658)</f>
        <v/>
      </c>
      <c r="AQ658" s="3" t="n">
        <v>0</v>
      </c>
      <c r="AR658" s="3" t="n">
        <v>0</v>
      </c>
      <c r="AS658" s="3" t="n">
        <v>-0.5541985260210861</v>
      </c>
      <c r="AT658" s="3" t="n">
        <v>-0.2045226422080557</v>
      </c>
      <c r="AU658" s="3">
        <f>SUM(AN658:AT658)</f>
        <v/>
      </c>
      <c r="AV658" s="7">
        <f>IF(OR(N(W658)&lt;=0,N(BG658)=0),0,N(W658)*IF(N(R658)/N(W658)&gt;=60,N(BG658),1))</f>
        <v/>
      </c>
      <c r="AW658" s="7">
        <f>N(W658)*N(AF658)*N(BH658)</f>
        <v/>
      </c>
      <c r="AX658" s="7">
        <f>N(AL658)*(Assumptions!$B$13*N(BJ658)-(1-Assumptions!$B$13)*Assumptions!$B$14)+N(AM658)</f>
        <v/>
      </c>
      <c r="AY658" s="7">
        <f>N(AU658)*N(R658)/90+N(AV658)+N(AW658)+N(AX658)</f>
        <v/>
      </c>
      <c r="AZ658" s="3">
        <f>IF(N(R658)&lt;=0,0,(N(AY658)-N(AX658))*90/N(R658))</f>
        <v/>
      </c>
      <c r="BA658" s="7">
        <f>IFERROR(AY658-VLOOKUP($E658,Assumptions!$A$40:$C$43,3,FALSE),"")</f>
        <v/>
      </c>
      <c r="BB658" s="3">
        <f>IFERROR(BA658/H658,"")</f>
        <v/>
      </c>
      <c r="BC658">
        <f>IF(AND($G658=TRUE,$E658="GKP"),AY658,"")</f>
        <v/>
      </c>
      <c r="BD658">
        <f>IF(AND($G658=TRUE,$E658="DEF"),AY658,"")</f>
        <v/>
      </c>
      <c r="BE658">
        <f>IF(AND($G658=TRUE,$E658="MID"),AY658,"")</f>
        <v/>
      </c>
      <c r="BF658">
        <f>IF(AND($G658=TRUE,$E658="FWD"),AY658,"")</f>
        <v/>
      </c>
      <c r="BG658" t="n">
        <v>2</v>
      </c>
      <c r="BH658" t="n">
        <v>2</v>
      </c>
      <c r="BI658" t="n">
        <v>4</v>
      </c>
      <c r="BJ658" t="n">
        <v>6</v>
      </c>
    </row>
    <row r="659">
      <c r="A659" t="inlineStr">
        <is>
          <t>Jackson Tchatchoua</t>
        </is>
      </c>
      <c r="C659" t="inlineStr">
        <is>
          <t>WOL</t>
        </is>
      </c>
      <c r="D659" t="b">
        <v>0</v>
      </c>
      <c r="F659" t="inlineStr">
        <is>
          <t>DEF</t>
        </is>
      </c>
      <c r="G659" t="b">
        <v>0</v>
      </c>
      <c r="H659" s="2" t="n"/>
      <c r="K659" s="2" t="n">
        <v>1837</v>
      </c>
      <c r="M659" s="3" t="n"/>
      <c r="N659" s="8" t="n">
        <v>1837</v>
      </c>
      <c r="O659" s="8" t="n">
        <v>0</v>
      </c>
      <c r="R659" s="6" t="n">
        <v>1837</v>
      </c>
      <c r="S659" t="inlineStr">
        <is>
          <t>25/26 actual</t>
        </is>
      </c>
      <c r="U659" s="6" t="n">
        <v>83.3</v>
      </c>
      <c r="V659" s="2" t="n">
        <v>19</v>
      </c>
      <c r="W659" s="7">
        <f>IF(N(U659)&lt;=0,0,MIN(Assumptions!$B$15,N(R659)/N(U659)))</f>
        <v/>
      </c>
      <c r="X659" s="6" t="n"/>
      <c r="Y659" s="3" t="n">
        <v>0.0159</v>
      </c>
      <c r="Z659" t="inlineStr">
        <is>
          <t>adjusted xGOT</t>
        </is>
      </c>
      <c r="AA659" s="3" t="n">
        <v>1</v>
      </c>
      <c r="AB659" s="3" t="n">
        <v>0.984</v>
      </c>
      <c r="AC659" s="3" t="n">
        <v>0.3</v>
      </c>
      <c r="AD659" s="3" t="n">
        <v>0.1099</v>
      </c>
      <c r="AE659" s="3" t="n">
        <v>5.972</v>
      </c>
      <c r="AF659" s="3" t="n">
        <v>0</v>
      </c>
      <c r="AG659" s="3" t="n">
        <v>0</v>
      </c>
      <c r="AH659" s="3" t="n">
        <v>48</v>
      </c>
      <c r="AI659" s="3" t="n"/>
      <c r="AJ659" s="3" t="n"/>
      <c r="AK659" s="3" t="n"/>
      <c r="AL659" s="6" t="n">
        <v>0</v>
      </c>
      <c r="AM659" s="3" t="n">
        <v>0</v>
      </c>
      <c r="AN659" s="3" t="n">
        <v>0</v>
      </c>
      <c r="AO659" s="3" t="n">
        <v>0</v>
      </c>
      <c r="AP659" s="3">
        <f>N(X659)*N(BI659)</f>
        <v/>
      </c>
      <c r="AQ659" s="3" t="n">
        <v>0</v>
      </c>
      <c r="AR659" s="3" t="n">
        <v>0</v>
      </c>
      <c r="AS659" s="3" t="n">
        <v>0</v>
      </c>
      <c r="AT659" s="3" t="n">
        <v>0</v>
      </c>
      <c r="AU659" s="3">
        <f>SUM(AN659:AT659)</f>
        <v/>
      </c>
      <c r="AV659" s="7">
        <f>IF(OR(N(W659)&lt;=0,N(BG659)=0),0,N(W659)*IF(N(R659)/N(W659)&gt;=60,N(BG659),1))</f>
        <v/>
      </c>
      <c r="AW659" s="7">
        <f>N(W659)*N(AF659)*N(BH659)</f>
        <v/>
      </c>
      <c r="AX659" s="7">
        <f>N(AL659)*(Assumptions!$B$13*N(BJ659)-(1-Assumptions!$B$13)*Assumptions!$B$14)+N(AM659)</f>
        <v/>
      </c>
      <c r="AY659" s="7">
        <f>N(AU659)*N(R659)/90+N(AV659)+N(AW659)+N(AX659)</f>
        <v/>
      </c>
      <c r="AZ659" s="3">
        <f>IF(N(R659)&lt;=0,0,(N(AY659)-N(AX659))*90/N(R659))</f>
        <v/>
      </c>
      <c r="BA659" s="7">
        <f>IFERROR(AY659-VLOOKUP($E659,Assumptions!$A$40:$C$43,3,FALSE),"")</f>
        <v/>
      </c>
      <c r="BB659" s="3">
        <f>IFERROR(BA659/H659,"")</f>
        <v/>
      </c>
      <c r="BC659">
        <f>IF(AND($G659=TRUE,$E659="GKP"),AY659,"")</f>
        <v/>
      </c>
      <c r="BD659">
        <f>IF(AND($G659=TRUE,$E659="DEF"),AY659,"")</f>
        <v/>
      </c>
      <c r="BE659">
        <f>IF(AND($G659=TRUE,$E659="MID"),AY659,"")</f>
        <v/>
      </c>
      <c r="BF659">
        <f>IF(AND($G659=TRUE,$E659="FWD"),AY659,"")</f>
        <v/>
      </c>
      <c r="BG659" t="n">
        <v>0</v>
      </c>
      <c r="BH659" t="n">
        <v>0</v>
      </c>
      <c r="BI659" t="n">
        <v>0</v>
      </c>
      <c r="BJ659" t="n">
        <v>0</v>
      </c>
    </row>
    <row r="660">
      <c r="A660" t="inlineStr">
        <is>
          <t>Kaden Rodney</t>
        </is>
      </c>
      <c r="C660" t="inlineStr">
        <is>
          <t>CRY</t>
        </is>
      </c>
      <c r="D660" t="b">
        <v>0</v>
      </c>
      <c r="F660" t="inlineStr">
        <is>
          <t>MID</t>
        </is>
      </c>
      <c r="G660" t="b">
        <v>0</v>
      </c>
      <c r="H660" s="2" t="n"/>
      <c r="K660" s="2" t="n">
        <v>3</v>
      </c>
      <c r="M660" s="3" t="n"/>
      <c r="N660" s="8" t="n">
        <v>3</v>
      </c>
      <c r="O660" s="8" t="n">
        <v>0</v>
      </c>
      <c r="R660" s="6" t="n">
        <v>3</v>
      </c>
      <c r="S660" t="inlineStr">
        <is>
          <t>25/26 actual</t>
        </is>
      </c>
      <c r="U660" s="6" t="n">
        <v>80.09999999999999</v>
      </c>
      <c r="V660" s="2" t="n">
        <v>0</v>
      </c>
      <c r="W660" s="7">
        <f>IF(N(U660)&lt;=0,0,MIN(Assumptions!$B$15,N(R660)/N(U660)))</f>
        <v/>
      </c>
      <c r="X660" s="6" t="n"/>
      <c r="Y660" s="3" t="n"/>
      <c r="Z660" t="inlineStr"/>
      <c r="AA660" s="3" t="n">
        <v>1</v>
      </c>
      <c r="AB660" s="3" t="n">
        <v>1</v>
      </c>
      <c r="AC660" s="3" t="n">
        <v>0</v>
      </c>
      <c r="AD660" s="3" t="n"/>
      <c r="AE660" s="3" t="n">
        <v>8.541</v>
      </c>
      <c r="AF660" s="3" t="n">
        <v>0</v>
      </c>
      <c r="AG660" s="3" t="n">
        <v>0</v>
      </c>
      <c r="AH660" s="3" t="n">
        <v>1</v>
      </c>
      <c r="AI660" s="3" t="n"/>
      <c r="AJ660" s="3" t="n"/>
      <c r="AK660" s="3" t="n"/>
      <c r="AL660" s="6" t="n">
        <v>0</v>
      </c>
      <c r="AM660" s="3" t="n">
        <v>0</v>
      </c>
      <c r="AN660" s="3" t="n">
        <v>0</v>
      </c>
      <c r="AO660" s="3" t="n">
        <v>0</v>
      </c>
      <c r="AP660" s="3">
        <f>N(X660)*N(BI660)</f>
        <v/>
      </c>
      <c r="AQ660" s="3" t="n">
        <v>0</v>
      </c>
      <c r="AR660" s="3" t="n">
        <v>0</v>
      </c>
      <c r="AS660" s="3" t="n">
        <v>0</v>
      </c>
      <c r="AT660" s="3" t="n">
        <v>0</v>
      </c>
      <c r="AU660" s="3">
        <f>SUM(AN660:AT660)</f>
        <v/>
      </c>
      <c r="AV660" s="7">
        <f>IF(OR(N(W660)&lt;=0,N(BG660)=0),0,N(W660)*IF(N(R660)/N(W660)&gt;=60,N(BG660),1))</f>
        <v/>
      </c>
      <c r="AW660" s="7">
        <f>N(W660)*N(AF660)*N(BH660)</f>
        <v/>
      </c>
      <c r="AX660" s="7">
        <f>N(AL660)*(Assumptions!$B$13*N(BJ660)-(1-Assumptions!$B$13)*Assumptions!$B$14)+N(AM660)</f>
        <v/>
      </c>
      <c r="AY660" s="7">
        <f>N(AU660)*N(R660)/90+N(AV660)+N(AW660)+N(AX660)</f>
        <v/>
      </c>
      <c r="AZ660" s="3">
        <f>IF(N(R660)&lt;=0,0,(N(AY660)-N(AX660))*90/N(R660))</f>
        <v/>
      </c>
      <c r="BA660" s="7">
        <f>IFERROR(AY660-VLOOKUP($E660,Assumptions!$A$40:$C$43,3,FALSE),"")</f>
        <v/>
      </c>
      <c r="BB660" s="3">
        <f>IFERROR(BA660/H660,"")</f>
        <v/>
      </c>
      <c r="BC660">
        <f>IF(AND($G660=TRUE,$E660="GKP"),AY660,"")</f>
        <v/>
      </c>
      <c r="BD660">
        <f>IF(AND($G660=TRUE,$E660="DEF"),AY660,"")</f>
        <v/>
      </c>
      <c r="BE660">
        <f>IF(AND($G660=TRUE,$E660="MID"),AY660,"")</f>
        <v/>
      </c>
      <c r="BF660">
        <f>IF(AND($G660=TRUE,$E660="FWD"),AY660,"")</f>
        <v/>
      </c>
      <c r="BG660" t="n">
        <v>0</v>
      </c>
      <c r="BH660" t="n">
        <v>0</v>
      </c>
      <c r="BI660" t="n">
        <v>0</v>
      </c>
      <c r="BJ660" t="n">
        <v>0</v>
      </c>
    </row>
    <row r="661">
      <c r="A661" t="inlineStr">
        <is>
          <t>Pablo</t>
        </is>
      </c>
      <c r="C661" t="inlineStr">
        <is>
          <t>WHU</t>
        </is>
      </c>
      <c r="D661" t="b">
        <v>0</v>
      </c>
      <c r="F661" t="inlineStr">
        <is>
          <t>FWD</t>
        </is>
      </c>
      <c r="G661" t="b">
        <v>0</v>
      </c>
      <c r="H661" s="2" t="n"/>
      <c r="K661" s="2" t="n">
        <v>826</v>
      </c>
      <c r="M661" s="3" t="n"/>
      <c r="N661" s="8" t="n">
        <v>826</v>
      </c>
      <c r="O661" s="8" t="n">
        <v>0</v>
      </c>
      <c r="R661" s="6" t="n">
        <v>826</v>
      </c>
      <c r="S661" t="inlineStr">
        <is>
          <t>25/26 actual</t>
        </is>
      </c>
      <c r="U661" s="6" t="n">
        <v>75.8</v>
      </c>
      <c r="V661" s="2" t="n">
        <v>10</v>
      </c>
      <c r="W661" s="7">
        <f>IF(N(U661)&lt;=0,0,MIN(Assumptions!$B$15,N(R661)/N(U661)))</f>
        <v/>
      </c>
      <c r="X661" s="6" t="n"/>
      <c r="Y661" s="3" t="n">
        <v>0.1074</v>
      </c>
      <c r="Z661" t="inlineStr">
        <is>
          <t>adjusted xGOT</t>
        </is>
      </c>
      <c r="AA661" s="3" t="n">
        <v>1</v>
      </c>
      <c r="AB661" s="3" t="n">
        <v>0.9389999999999999</v>
      </c>
      <c r="AC661" s="3" t="n">
        <v>1</v>
      </c>
      <c r="AD661" s="3" t="n">
        <v>0.1409</v>
      </c>
      <c r="AE661" s="3" t="n">
        <v>6.453</v>
      </c>
      <c r="AF661" s="3" t="n">
        <v>0</v>
      </c>
      <c r="AG661" s="3" t="n">
        <v>0</v>
      </c>
      <c r="AH661" s="3" t="n">
        <v>23</v>
      </c>
      <c r="AI661" s="3" t="n"/>
      <c r="AJ661" s="3" t="n"/>
      <c r="AK661" s="3" t="n"/>
      <c r="AL661" s="6" t="n">
        <v>0</v>
      </c>
      <c r="AM661" s="3" t="n">
        <v>0</v>
      </c>
      <c r="AN661" s="3" t="n">
        <v>0</v>
      </c>
      <c r="AO661" s="3" t="n">
        <v>0</v>
      </c>
      <c r="AP661" s="3">
        <f>N(X661)*N(BI661)</f>
        <v/>
      </c>
      <c r="AQ661" s="3" t="n">
        <v>0</v>
      </c>
      <c r="AR661" s="3" t="n">
        <v>0</v>
      </c>
      <c r="AS661" s="3" t="n">
        <v>0</v>
      </c>
      <c r="AT661" s="3" t="n">
        <v>0</v>
      </c>
      <c r="AU661" s="3">
        <f>SUM(AN661:AT661)</f>
        <v/>
      </c>
      <c r="AV661" s="7">
        <f>IF(OR(N(W661)&lt;=0,N(BG661)=0),0,N(W661)*IF(N(R661)/N(W661)&gt;=60,N(BG661),1))</f>
        <v/>
      </c>
      <c r="AW661" s="7">
        <f>N(W661)*N(AF661)*N(BH661)</f>
        <v/>
      </c>
      <c r="AX661" s="7">
        <f>N(AL661)*(Assumptions!$B$13*N(BJ661)-(1-Assumptions!$B$13)*Assumptions!$B$14)+N(AM661)</f>
        <v/>
      </c>
      <c r="AY661" s="7">
        <f>N(AU661)*N(R661)/90+N(AV661)+N(AW661)+N(AX661)</f>
        <v/>
      </c>
      <c r="AZ661" s="3">
        <f>IF(N(R661)&lt;=0,0,(N(AY661)-N(AX661))*90/N(R661))</f>
        <v/>
      </c>
      <c r="BA661" s="7">
        <f>IFERROR(AY661-VLOOKUP($E661,Assumptions!$A$40:$C$43,3,FALSE),"")</f>
        <v/>
      </c>
      <c r="BB661" s="3">
        <f>IFERROR(BA661/H661,"")</f>
        <v/>
      </c>
      <c r="BC661">
        <f>IF(AND($G661=TRUE,$E661="GKP"),AY661,"")</f>
        <v/>
      </c>
      <c r="BD661">
        <f>IF(AND($G661=TRUE,$E661="DEF"),AY661,"")</f>
        <v/>
      </c>
      <c r="BE661">
        <f>IF(AND($G661=TRUE,$E661="MID"),AY661,"")</f>
        <v/>
      </c>
      <c r="BF661">
        <f>IF(AND($G661=TRUE,$E661="FWD"),AY661,"")</f>
        <v/>
      </c>
      <c r="BG661" t="n">
        <v>0</v>
      </c>
      <c r="BH661" t="n">
        <v>0</v>
      </c>
      <c r="BI661" t="n">
        <v>0</v>
      </c>
      <c r="BJ661" t="n">
        <v>0</v>
      </c>
    </row>
    <row r="662">
      <c r="A662" t="inlineStr">
        <is>
          <t>Abdul Fatawu</t>
        </is>
      </c>
      <c r="B662" t="inlineStr">
        <is>
          <t>IPS</t>
        </is>
      </c>
      <c r="D662" t="b">
        <v>0</v>
      </c>
      <c r="E662" t="inlineStr">
        <is>
          <t>MID</t>
        </is>
      </c>
      <c r="G662" t="b">
        <v>1</v>
      </c>
      <c r="H662" s="2" t="n">
        <v>5.5</v>
      </c>
      <c r="I662" t="inlineStr">
        <is>
          <t>a</t>
        </is>
      </c>
      <c r="K662" s="2" t="n"/>
      <c r="M662" s="3" t="n">
        <v>2189</v>
      </c>
      <c r="N662" s="8" t="n">
        <v>2189</v>
      </c>
      <c r="O662" s="8" t="n">
        <v>0</v>
      </c>
      <c r="Q662" t="inlineStr">
        <is>
          <t>flat</t>
        </is>
      </c>
      <c r="R662" s="6" t="n">
        <v>2189</v>
      </c>
      <c r="S662" t="inlineStr">
        <is>
          <t>Solio</t>
        </is>
      </c>
      <c r="U662" s="6" t="n">
        <v>85</v>
      </c>
      <c r="V662" s="2" t="n"/>
      <c r="W662" s="7">
        <f>IF(N(U662)&lt;=0,0,MIN(Assumptions!$B$15,N(R662)/N(U662)))</f>
        <v/>
      </c>
      <c r="X662" s="6" t="n">
        <v>0.17</v>
      </c>
      <c r="Y662" s="3" t="n"/>
      <c r="Z662" t="inlineStr"/>
      <c r="AA662" s="3" t="n">
        <v>1</v>
      </c>
      <c r="AB662" s="3" t="n"/>
      <c r="AC662" s="3" t="n"/>
      <c r="AD662" s="3" t="n"/>
      <c r="AE662" s="3" t="n"/>
      <c r="AF662" s="3" t="n">
        <v>0</v>
      </c>
      <c r="AG662" s="3" t="n"/>
      <c r="AH662" s="3" t="n"/>
      <c r="AI662" s="3" t="n">
        <v>3.5741</v>
      </c>
      <c r="AJ662" s="3" t="n">
        <v>1.8319</v>
      </c>
      <c r="AK662" s="3" t="n">
        <v>-0.1774481848741362</v>
      </c>
      <c r="AL662" s="6" t="n">
        <v>0</v>
      </c>
      <c r="AM662" s="3" t="n">
        <v>0</v>
      </c>
      <c r="AN662" s="3" t="n">
        <v>0</v>
      </c>
      <c r="AO662" s="3" t="n">
        <v>0</v>
      </c>
      <c r="AP662" s="3">
        <f>N(X662)*N(BI662)</f>
        <v/>
      </c>
      <c r="AQ662" s="3" t="n">
        <v>0</v>
      </c>
      <c r="AR662" s="3" t="n">
        <v>0</v>
      </c>
      <c r="AS662" s="3" t="n">
        <v>-0</v>
      </c>
      <c r="AT662" s="3" t="n">
        <v>-0.1774481848741362</v>
      </c>
      <c r="AU662" s="3">
        <f>SUM(AN662:AT662)</f>
        <v/>
      </c>
      <c r="AV662" s="7">
        <f>IF(OR(N(W662)&lt;=0,N(BG662)=0),0,N(W662)*IF(N(R662)/N(W662)&gt;=60,N(BG662),1))</f>
        <v/>
      </c>
      <c r="AW662" s="7">
        <f>N(W662)*N(AF662)*N(BH662)</f>
        <v/>
      </c>
      <c r="AX662" s="7">
        <f>N(AL662)*(Assumptions!$B$13*N(BJ662)-(1-Assumptions!$B$13)*Assumptions!$B$14)+N(AM662)</f>
        <v/>
      </c>
      <c r="AY662" s="7">
        <f>N(AU662)*N(R662)/90+N(AV662)+N(AW662)+N(AX662)</f>
        <v/>
      </c>
      <c r="AZ662" s="3">
        <f>IF(N(R662)&lt;=0,0,(N(AY662)-N(AX662))*90/N(R662))</f>
        <v/>
      </c>
      <c r="BA662" s="7">
        <f>IFERROR(AY662-VLOOKUP($E662,Assumptions!$A$40:$C$43,3,FALSE),"")</f>
        <v/>
      </c>
      <c r="BB662" s="3">
        <f>IFERROR(BA662/H662,"")</f>
        <v/>
      </c>
      <c r="BC662">
        <f>IF(AND($G662=TRUE,$E662="GKP"),AY662,"")</f>
        <v/>
      </c>
      <c r="BD662">
        <f>IF(AND($G662=TRUE,$E662="DEF"),AY662,"")</f>
        <v/>
      </c>
      <c r="BE662">
        <f>IF(AND($G662=TRUE,$E662="MID"),AY662,"")</f>
        <v/>
      </c>
      <c r="BF662">
        <f>IF(AND($G662=TRUE,$E662="FWD"),AY662,"")</f>
        <v/>
      </c>
      <c r="BG662" t="n">
        <v>2</v>
      </c>
      <c r="BH662" t="n">
        <v>2</v>
      </c>
      <c r="BI662" t="n">
        <v>1</v>
      </c>
      <c r="BJ662" t="n">
        <v>5</v>
      </c>
    </row>
    <row r="663">
      <c r="A663" t="inlineStr">
        <is>
          <t>Mason Burstow</t>
        </is>
      </c>
      <c r="B663" t="inlineStr">
        <is>
          <t>HUL</t>
        </is>
      </c>
      <c r="D663" t="b">
        <v>0</v>
      </c>
      <c r="E663" t="inlineStr">
        <is>
          <t>FWD</t>
        </is>
      </c>
      <c r="G663" t="b">
        <v>1</v>
      </c>
      <c r="H663" s="2" t="n">
        <v>4.5</v>
      </c>
      <c r="I663" t="inlineStr">
        <is>
          <t>u</t>
        </is>
      </c>
      <c r="J663" t="inlineStr">
        <is>
          <t>Has joined Sheffield Wednesday on loan for the rest of the season</t>
        </is>
      </c>
      <c r="K663" s="2" t="n"/>
      <c r="M663" s="3" t="n"/>
      <c r="N663" s="8" t="n"/>
      <c r="O663" s="8" t="n"/>
      <c r="R663" s="6" t="n"/>
      <c r="S663" t="inlineStr"/>
      <c r="U663" s="6" t="n">
        <v>85</v>
      </c>
      <c r="V663" s="2" t="n"/>
      <c r="W663" s="7">
        <f>IF(N(U663)&lt;=0,0,MIN(Assumptions!$B$15,N(R663)/N(U663)))</f>
        <v/>
      </c>
      <c r="X663" s="6" t="n">
        <v>0.143</v>
      </c>
      <c r="Y663" s="3" t="n"/>
      <c r="Z663" t="inlineStr"/>
      <c r="AA663" s="3" t="n">
        <v>1</v>
      </c>
      <c r="AB663" s="3" t="n"/>
      <c r="AC663" s="3" t="n"/>
      <c r="AD663" s="3" t="n"/>
      <c r="AE663" s="3" t="n"/>
      <c r="AF663" s="3" t="n">
        <v>0</v>
      </c>
      <c r="AG663" s="3" t="n"/>
      <c r="AH663" s="3" t="n"/>
      <c r="AI663" s="3" t="n">
        <v>3.9421</v>
      </c>
      <c r="AJ663" s="3" t="n">
        <v>1.99</v>
      </c>
      <c r="AK663" s="3" t="n">
        <v>-0.1743297292253898</v>
      </c>
      <c r="AL663" s="6" t="n">
        <v>0</v>
      </c>
      <c r="AM663" s="3" t="n">
        <v>0</v>
      </c>
      <c r="AN663" s="3" t="n">
        <v>0</v>
      </c>
      <c r="AO663" s="3" t="n">
        <v>0</v>
      </c>
      <c r="AP663" s="3">
        <f>N(X663)*N(BI663)</f>
        <v/>
      </c>
      <c r="AQ663" s="3" t="n">
        <v>0</v>
      </c>
      <c r="AR663" s="3" t="n">
        <v>0</v>
      </c>
      <c r="AS663" s="3" t="n">
        <v>-0</v>
      </c>
      <c r="AT663" s="3" t="n">
        <v>-0.1743297292253898</v>
      </c>
      <c r="AU663" s="3">
        <f>SUM(AN663:AT663)</f>
        <v/>
      </c>
      <c r="AV663" s="7">
        <f>IF(OR(N(W663)&lt;=0,N(BG663)=0),0,N(W663)*IF(N(R663)/N(W663)&gt;=60,N(BG663),1))</f>
        <v/>
      </c>
      <c r="AW663" s="7">
        <f>N(W663)*N(AF663)*N(BH663)</f>
        <v/>
      </c>
      <c r="AX663" s="7">
        <f>N(AL663)*(Assumptions!$B$13*N(BJ663)-(1-Assumptions!$B$13)*Assumptions!$B$14)+N(AM663)</f>
        <v/>
      </c>
      <c r="AY663" s="7">
        <f>N(AU663)*N(R663)/90+N(AV663)+N(AW663)+N(AX663)</f>
        <v/>
      </c>
      <c r="AZ663" s="3">
        <f>IF(N(R663)&lt;=0,0,(N(AY663)-N(AX663))*90/N(R663))</f>
        <v/>
      </c>
      <c r="BA663" s="7">
        <f>IFERROR(AY663-VLOOKUP($E663,Assumptions!$A$40:$C$43,3,FALSE),"")</f>
        <v/>
      </c>
      <c r="BB663" s="3">
        <f>IFERROR(BA663/H663,"")</f>
        <v/>
      </c>
      <c r="BC663">
        <f>IF(AND($G663=TRUE,$E663="GKP"),AY663,"")</f>
        <v/>
      </c>
      <c r="BD663">
        <f>IF(AND($G663=TRUE,$E663="DEF"),AY663,"")</f>
        <v/>
      </c>
      <c r="BE663">
        <f>IF(AND($G663=TRUE,$E663="MID"),AY663,"")</f>
        <v/>
      </c>
      <c r="BF663">
        <f>IF(AND($G663=TRUE,$E663="FWD"),AY663,"")</f>
        <v/>
      </c>
      <c r="BG663" t="n">
        <v>2</v>
      </c>
      <c r="BH663" t="n">
        <v>2</v>
      </c>
      <c r="BI663" t="n">
        <v>0</v>
      </c>
      <c r="BJ663" t="n">
        <v>4</v>
      </c>
    </row>
    <row r="664">
      <c r="A664" t="inlineStr">
        <is>
          <t>Ollie Scarles</t>
        </is>
      </c>
      <c r="C664" t="inlineStr">
        <is>
          <t>WHU</t>
        </is>
      </c>
      <c r="D664" t="b">
        <v>0</v>
      </c>
      <c r="F664" t="inlineStr">
        <is>
          <t>DEF</t>
        </is>
      </c>
      <c r="G664" t="b">
        <v>0</v>
      </c>
      <c r="H664" s="2" t="n"/>
      <c r="K664" s="2" t="n">
        <v>659</v>
      </c>
      <c r="M664" s="3" t="n"/>
      <c r="N664" s="8" t="n">
        <v>659</v>
      </c>
      <c r="O664" s="8" t="n">
        <v>0</v>
      </c>
      <c r="R664" s="6" t="n">
        <v>659</v>
      </c>
      <c r="S664" t="inlineStr">
        <is>
          <t>25/26 actual</t>
        </is>
      </c>
      <c r="U664" s="6" t="n">
        <v>77.8</v>
      </c>
      <c r="V664" s="2" t="n">
        <v>9</v>
      </c>
      <c r="W664" s="7">
        <f>IF(N(U664)&lt;=0,0,MIN(Assumptions!$B$15,N(R664)/N(U664)))</f>
        <v/>
      </c>
      <c r="X664" s="6" t="n"/>
      <c r="Y664" s="3" t="n">
        <v>0.0238</v>
      </c>
      <c r="Z664" t="inlineStr">
        <is>
          <t>adjusted xGOT</t>
        </is>
      </c>
      <c r="AA664" s="3" t="n">
        <v>1</v>
      </c>
      <c r="AB664" s="3" t="n">
        <v>0.965</v>
      </c>
      <c r="AC664" s="3" t="n">
        <v>0.3</v>
      </c>
      <c r="AD664" s="3" t="n">
        <v>0.1333</v>
      </c>
      <c r="AE664" s="3" t="n">
        <v>8.861000000000001</v>
      </c>
      <c r="AF664" s="3" t="n">
        <v>0</v>
      </c>
      <c r="AG664" s="3" t="n">
        <v>0</v>
      </c>
      <c r="AH664" s="3" t="n">
        <v>20</v>
      </c>
      <c r="AI664" s="3" t="n"/>
      <c r="AJ664" s="3" t="n"/>
      <c r="AK664" s="3" t="n"/>
      <c r="AL664" s="6" t="n">
        <v>0</v>
      </c>
      <c r="AM664" s="3" t="n">
        <v>0</v>
      </c>
      <c r="AN664" s="3" t="n">
        <v>0</v>
      </c>
      <c r="AO664" s="3" t="n">
        <v>0</v>
      </c>
      <c r="AP664" s="3">
        <f>N(X664)*N(BI664)</f>
        <v/>
      </c>
      <c r="AQ664" s="3" t="n">
        <v>0</v>
      </c>
      <c r="AR664" s="3" t="n">
        <v>0</v>
      </c>
      <c r="AS664" s="3" t="n">
        <v>0</v>
      </c>
      <c r="AT664" s="3" t="n">
        <v>0</v>
      </c>
      <c r="AU664" s="3">
        <f>SUM(AN664:AT664)</f>
        <v/>
      </c>
      <c r="AV664" s="7">
        <f>IF(OR(N(W664)&lt;=0,N(BG664)=0),0,N(W664)*IF(N(R664)/N(W664)&gt;=60,N(BG664),1))</f>
        <v/>
      </c>
      <c r="AW664" s="7">
        <f>N(W664)*N(AF664)*N(BH664)</f>
        <v/>
      </c>
      <c r="AX664" s="7">
        <f>N(AL664)*(Assumptions!$B$13*N(BJ664)-(1-Assumptions!$B$13)*Assumptions!$B$14)+N(AM664)</f>
        <v/>
      </c>
      <c r="AY664" s="7">
        <f>N(AU664)*N(R664)/90+N(AV664)+N(AW664)+N(AX664)</f>
        <v/>
      </c>
      <c r="AZ664" s="3">
        <f>IF(N(R664)&lt;=0,0,(N(AY664)-N(AX664))*90/N(R664))</f>
        <v/>
      </c>
      <c r="BA664" s="7">
        <f>IFERROR(AY664-VLOOKUP($E664,Assumptions!$A$40:$C$43,3,FALSE),"")</f>
        <v/>
      </c>
      <c r="BB664" s="3">
        <f>IFERROR(BA664/H664,"")</f>
        <v/>
      </c>
      <c r="BC664">
        <f>IF(AND($G664=TRUE,$E664="GKP"),AY664,"")</f>
        <v/>
      </c>
      <c r="BD664">
        <f>IF(AND($G664=TRUE,$E664="DEF"),AY664,"")</f>
        <v/>
      </c>
      <c r="BE664">
        <f>IF(AND($G664=TRUE,$E664="MID"),AY664,"")</f>
        <v/>
      </c>
      <c r="BF664">
        <f>IF(AND($G664=TRUE,$E664="FWD"),AY664,"")</f>
        <v/>
      </c>
      <c r="BG664" t="n">
        <v>0</v>
      </c>
      <c r="BH664" t="n">
        <v>0</v>
      </c>
      <c r="BI664" t="n">
        <v>0</v>
      </c>
      <c r="BJ664" t="n">
        <v>0</v>
      </c>
    </row>
    <row r="665">
      <c r="A665" t="inlineStr">
        <is>
          <t>Tyler Bindon</t>
        </is>
      </c>
      <c r="B665" t="inlineStr">
        <is>
          <t>NFO</t>
        </is>
      </c>
      <c r="D665" t="b">
        <v>0</v>
      </c>
      <c r="E665" t="inlineStr">
        <is>
          <t>DEF</t>
        </is>
      </c>
      <c r="G665" t="b">
        <v>1</v>
      </c>
      <c r="H665" s="2" t="n">
        <v>4</v>
      </c>
      <c r="I665" t="inlineStr">
        <is>
          <t>a</t>
        </is>
      </c>
      <c r="K665" s="2" t="n"/>
      <c r="M665" s="3" t="n">
        <v>0</v>
      </c>
      <c r="N665" s="8" t="n">
        <v>0</v>
      </c>
      <c r="O665" s="8" t="n">
        <v>0</v>
      </c>
      <c r="Q665" t="inlineStr">
        <is>
          <t>flat</t>
        </is>
      </c>
      <c r="R665" s="6" t="n">
        <v>0</v>
      </c>
      <c r="S665" t="inlineStr">
        <is>
          <t>Solio</t>
        </is>
      </c>
      <c r="U665" s="6" t="n">
        <v>85</v>
      </c>
      <c r="V665" s="2" t="n"/>
      <c r="W665" s="7">
        <f>IF(N(U665)&lt;=0,0,MIN(Assumptions!$B$15,N(R665)/N(U665)))</f>
        <v/>
      </c>
      <c r="X665" s="6" t="n">
        <v>0.224</v>
      </c>
      <c r="Y665" s="3" t="n"/>
      <c r="Z665" t="inlineStr"/>
      <c r="AA665" s="3" t="n">
        <v>1</v>
      </c>
      <c r="AB665" s="3" t="n"/>
      <c r="AC665" s="3" t="n"/>
      <c r="AD665" s="3" t="n"/>
      <c r="AE665" s="3" t="n"/>
      <c r="AF665" s="3" t="n">
        <v>0</v>
      </c>
      <c r="AG665" s="3" t="n"/>
      <c r="AH665" s="3" t="n"/>
      <c r="AI665" s="3" t="n">
        <v>3.1134</v>
      </c>
      <c r="AJ665" s="3" t="n">
        <v>1.5588</v>
      </c>
      <c r="AK665" s="3" t="n">
        <v>-0.2045226422080557</v>
      </c>
      <c r="AL665" s="6" t="n">
        <v>0</v>
      </c>
      <c r="AM665" s="3" t="n">
        <v>0</v>
      </c>
      <c r="AN665" s="3" t="n">
        <v>0</v>
      </c>
      <c r="AO665" s="3" t="n">
        <v>0</v>
      </c>
      <c r="AP665" s="3">
        <f>N(X665)*N(BI665)</f>
        <v/>
      </c>
      <c r="AQ665" s="3" t="n">
        <v>0</v>
      </c>
      <c r="AR665" s="3" t="n">
        <v>0</v>
      </c>
      <c r="AS665" s="3" t="n">
        <v>-0.5404658182244797</v>
      </c>
      <c r="AT665" s="3" t="n">
        <v>-0.2045226422080557</v>
      </c>
      <c r="AU665" s="3">
        <f>SUM(AN665:AT665)</f>
        <v/>
      </c>
      <c r="AV665" s="7">
        <f>IF(OR(N(W665)&lt;=0,N(BG665)=0),0,N(W665)*IF(N(R665)/N(W665)&gt;=60,N(BG665),1))</f>
        <v/>
      </c>
      <c r="AW665" s="7">
        <f>N(W665)*N(AF665)*N(BH665)</f>
        <v/>
      </c>
      <c r="AX665" s="7">
        <f>N(AL665)*(Assumptions!$B$13*N(BJ665)-(1-Assumptions!$B$13)*Assumptions!$B$14)+N(AM665)</f>
        <v/>
      </c>
      <c r="AY665" s="7">
        <f>N(AU665)*N(R665)/90+N(AV665)+N(AW665)+N(AX665)</f>
        <v/>
      </c>
      <c r="AZ665" s="3">
        <f>IF(N(R665)&lt;=0,0,(N(AY665)-N(AX665))*90/N(R665))</f>
        <v/>
      </c>
      <c r="BA665" s="7">
        <f>IFERROR(AY665-VLOOKUP($E665,Assumptions!$A$40:$C$43,3,FALSE),"")</f>
        <v/>
      </c>
      <c r="BB665" s="3">
        <f>IFERROR(BA665/H665,"")</f>
        <v/>
      </c>
      <c r="BC665">
        <f>IF(AND($G665=TRUE,$E665="GKP"),AY665,"")</f>
        <v/>
      </c>
      <c r="BD665">
        <f>IF(AND($G665=TRUE,$E665="DEF"),AY665,"")</f>
        <v/>
      </c>
      <c r="BE665">
        <f>IF(AND($G665=TRUE,$E665="MID"),AY665,"")</f>
        <v/>
      </c>
      <c r="BF665">
        <f>IF(AND($G665=TRUE,$E665="FWD"),AY665,"")</f>
        <v/>
      </c>
      <c r="BG665" t="n">
        <v>2</v>
      </c>
      <c r="BH665" t="n">
        <v>2</v>
      </c>
      <c r="BI665" t="n">
        <v>4</v>
      </c>
      <c r="BJ665" t="n">
        <v>6</v>
      </c>
    </row>
    <row r="666">
      <c r="A666" t="inlineStr">
        <is>
          <t>Aurèle Amenda</t>
        </is>
      </c>
      <c r="B666" t="inlineStr">
        <is>
          <t>COV</t>
        </is>
      </c>
      <c r="D666" t="b">
        <v>0</v>
      </c>
      <c r="E666" t="inlineStr">
        <is>
          <t>DEF</t>
        </is>
      </c>
      <c r="G666" t="b">
        <v>1</v>
      </c>
      <c r="H666" s="2" t="n">
        <v>4</v>
      </c>
      <c r="I666" t="inlineStr">
        <is>
          <t>a</t>
        </is>
      </c>
      <c r="K666" s="2" t="n"/>
      <c r="M666" s="3" t="n">
        <v>2725</v>
      </c>
      <c r="N666" s="8" t="n">
        <v>2725</v>
      </c>
      <c r="O666" s="8" t="n">
        <v>0</v>
      </c>
      <c r="Q666" t="inlineStr">
        <is>
          <t>flat</t>
        </is>
      </c>
      <c r="R666" s="6" t="n">
        <v>2725</v>
      </c>
      <c r="S666" t="inlineStr">
        <is>
          <t>Solio</t>
        </is>
      </c>
      <c r="U666" s="6" t="n">
        <v>85</v>
      </c>
      <c r="V666" s="2" t="n"/>
      <c r="W666" s="7">
        <f>IF(N(U666)&lt;=0,0,MIN(Assumptions!$B$15,N(R666)/N(U666)))</f>
        <v/>
      </c>
      <c r="X666" s="6" t="n">
        <v>0.17</v>
      </c>
      <c r="Y666" s="3" t="n"/>
      <c r="Z666" t="inlineStr"/>
      <c r="AA666" s="3" t="n">
        <v>1</v>
      </c>
      <c r="AB666" s="3" t="n"/>
      <c r="AC666" s="3" t="n"/>
      <c r="AD666" s="3" t="n"/>
      <c r="AE666" s="3" t="n"/>
      <c r="AF666" s="3" t="n">
        <v>0</v>
      </c>
      <c r="AG666" s="3" t="n"/>
      <c r="AH666" s="3" t="n"/>
      <c r="AI666" s="3" t="n">
        <v>3.6194</v>
      </c>
      <c r="AJ666" s="3" t="n">
        <v>1.8271</v>
      </c>
      <c r="AK666" s="3" t="n">
        <v>-0.2045226422080557</v>
      </c>
      <c r="AL666" s="6" t="n">
        <v>0</v>
      </c>
      <c r="AM666" s="3" t="n">
        <v>0</v>
      </c>
      <c r="AN666" s="3" t="n">
        <v>0</v>
      </c>
      <c r="AO666" s="3" t="n">
        <v>0</v>
      </c>
      <c r="AP666" s="3">
        <f>N(X666)*N(BI666)</f>
        <v/>
      </c>
      <c r="AQ666" s="3" t="n">
        <v>0</v>
      </c>
      <c r="AR666" s="3" t="n">
        <v>0</v>
      </c>
      <c r="AS666" s="3" t="n">
        <v>-0.670020548738316</v>
      </c>
      <c r="AT666" s="3" t="n">
        <v>-0.2045226422080557</v>
      </c>
      <c r="AU666" s="3">
        <f>SUM(AN666:AT666)</f>
        <v/>
      </c>
      <c r="AV666" s="7">
        <f>IF(OR(N(W666)&lt;=0,N(BG666)=0),0,N(W666)*IF(N(R666)/N(W666)&gt;=60,N(BG666),1))</f>
        <v/>
      </c>
      <c r="AW666" s="7">
        <f>N(W666)*N(AF666)*N(BH666)</f>
        <v/>
      </c>
      <c r="AX666" s="7">
        <f>N(AL666)*(Assumptions!$B$13*N(BJ666)-(1-Assumptions!$B$13)*Assumptions!$B$14)+N(AM666)</f>
        <v/>
      </c>
      <c r="AY666" s="7">
        <f>N(AU666)*N(R666)/90+N(AV666)+N(AW666)+N(AX666)</f>
        <v/>
      </c>
      <c r="AZ666" s="3">
        <f>IF(N(R666)&lt;=0,0,(N(AY666)-N(AX666))*90/N(R666))</f>
        <v/>
      </c>
      <c r="BA666" s="7">
        <f>IFERROR(AY666-VLOOKUP($E666,Assumptions!$A$40:$C$43,3,FALSE),"")</f>
        <v/>
      </c>
      <c r="BB666" s="3">
        <f>IFERROR(BA666/H666,"")</f>
        <v/>
      </c>
      <c r="BC666">
        <f>IF(AND($G666=TRUE,$E666="GKP"),AY666,"")</f>
        <v/>
      </c>
      <c r="BD666">
        <f>IF(AND($G666=TRUE,$E666="DEF"),AY666,"")</f>
        <v/>
      </c>
      <c r="BE666">
        <f>IF(AND($G666=TRUE,$E666="MID"),AY666,"")</f>
        <v/>
      </c>
      <c r="BF666">
        <f>IF(AND($G666=TRUE,$E666="FWD"),AY666,"")</f>
        <v/>
      </c>
      <c r="BG666" t="n">
        <v>2</v>
      </c>
      <c r="BH666" t="n">
        <v>2</v>
      </c>
      <c r="BI666" t="n">
        <v>4</v>
      </c>
      <c r="BJ666" t="n">
        <v>6</v>
      </c>
    </row>
    <row r="667">
      <c r="A667" t="inlineStr">
        <is>
          <t>Mohamed Belloumi</t>
        </is>
      </c>
      <c r="B667" t="inlineStr">
        <is>
          <t>HUL</t>
        </is>
      </c>
      <c r="D667" t="b">
        <v>0</v>
      </c>
      <c r="E667" t="inlineStr">
        <is>
          <t>MID</t>
        </is>
      </c>
      <c r="G667" t="b">
        <v>1</v>
      </c>
      <c r="H667" s="2" t="n">
        <v>5</v>
      </c>
      <c r="I667" t="inlineStr">
        <is>
          <t>a</t>
        </is>
      </c>
      <c r="K667" s="2" t="n"/>
      <c r="M667" s="3" t="n">
        <v>2257</v>
      </c>
      <c r="N667" s="8" t="n">
        <v>2257</v>
      </c>
      <c r="O667" s="8" t="n">
        <v>0</v>
      </c>
      <c r="Q667" t="inlineStr">
        <is>
          <t>flat</t>
        </is>
      </c>
      <c r="R667" s="6" t="n">
        <v>2257</v>
      </c>
      <c r="S667" t="inlineStr">
        <is>
          <t>Solio</t>
        </is>
      </c>
      <c r="U667" s="6" t="n">
        <v>85</v>
      </c>
      <c r="V667" s="2" t="n"/>
      <c r="W667" s="7">
        <f>IF(N(U667)&lt;=0,0,MIN(Assumptions!$B$15,N(R667)/N(U667)))</f>
        <v/>
      </c>
      <c r="X667" s="6" t="n">
        <v>0.143</v>
      </c>
      <c r="Y667" s="3" t="n"/>
      <c r="Z667" t="inlineStr"/>
      <c r="AA667" s="3" t="n">
        <v>1</v>
      </c>
      <c r="AB667" s="3" t="n"/>
      <c r="AC667" s="3" t="n"/>
      <c r="AD667" s="3" t="n"/>
      <c r="AE667" s="3" t="n"/>
      <c r="AF667" s="3" t="n">
        <v>0</v>
      </c>
      <c r="AG667" s="3" t="n"/>
      <c r="AH667" s="3" t="n"/>
      <c r="AI667" s="3" t="n">
        <v>3.9421</v>
      </c>
      <c r="AJ667" s="3" t="n">
        <v>1.99</v>
      </c>
      <c r="AK667" s="3" t="n">
        <v>-0.2160434166173144</v>
      </c>
      <c r="AL667" s="6" t="n">
        <v>0</v>
      </c>
      <c r="AM667" s="3" t="n">
        <v>0</v>
      </c>
      <c r="AN667" s="3" t="n">
        <v>0</v>
      </c>
      <c r="AO667" s="3" t="n">
        <v>0</v>
      </c>
      <c r="AP667" s="3">
        <f>N(X667)*N(BI667)</f>
        <v/>
      </c>
      <c r="AQ667" s="3" t="n">
        <v>0</v>
      </c>
      <c r="AR667" s="3" t="n">
        <v>0</v>
      </c>
      <c r="AS667" s="3" t="n">
        <v>-0</v>
      </c>
      <c r="AT667" s="3" t="n">
        <v>-0.2160434166173144</v>
      </c>
      <c r="AU667" s="3">
        <f>SUM(AN667:AT667)</f>
        <v/>
      </c>
      <c r="AV667" s="7">
        <f>IF(OR(N(W667)&lt;=0,N(BG667)=0),0,N(W667)*IF(N(R667)/N(W667)&gt;=60,N(BG667),1))</f>
        <v/>
      </c>
      <c r="AW667" s="7">
        <f>N(W667)*N(AF667)*N(BH667)</f>
        <v/>
      </c>
      <c r="AX667" s="7">
        <f>N(AL667)*(Assumptions!$B$13*N(BJ667)-(1-Assumptions!$B$13)*Assumptions!$B$14)+N(AM667)</f>
        <v/>
      </c>
      <c r="AY667" s="7">
        <f>N(AU667)*N(R667)/90+N(AV667)+N(AW667)+N(AX667)</f>
        <v/>
      </c>
      <c r="AZ667" s="3">
        <f>IF(N(R667)&lt;=0,0,(N(AY667)-N(AX667))*90/N(R667))</f>
        <v/>
      </c>
      <c r="BA667" s="7">
        <f>IFERROR(AY667-VLOOKUP($E667,Assumptions!$A$40:$C$43,3,FALSE),"")</f>
        <v/>
      </c>
      <c r="BB667" s="3">
        <f>IFERROR(BA667/H667,"")</f>
        <v/>
      </c>
      <c r="BC667">
        <f>IF(AND($G667=TRUE,$E667="GKP"),AY667,"")</f>
        <v/>
      </c>
      <c r="BD667">
        <f>IF(AND($G667=TRUE,$E667="DEF"),AY667,"")</f>
        <v/>
      </c>
      <c r="BE667">
        <f>IF(AND($G667=TRUE,$E667="MID"),AY667,"")</f>
        <v/>
      </c>
      <c r="BF667">
        <f>IF(AND($G667=TRUE,$E667="FWD"),AY667,"")</f>
        <v/>
      </c>
      <c r="BG667" t="n">
        <v>2</v>
      </c>
      <c r="BH667" t="n">
        <v>2</v>
      </c>
      <c r="BI667" t="n">
        <v>1</v>
      </c>
      <c r="BJ667" t="n">
        <v>5</v>
      </c>
    </row>
    <row r="668">
      <c r="A668" t="inlineStr">
        <is>
          <t>Valentín Barco</t>
        </is>
      </c>
      <c r="B668" t="inlineStr">
        <is>
          <t>CHE</t>
        </is>
      </c>
      <c r="D668" t="b">
        <v>0</v>
      </c>
      <c r="E668" t="inlineStr">
        <is>
          <t>MID</t>
        </is>
      </c>
      <c r="G668" t="b">
        <v>1</v>
      </c>
      <c r="H668" s="2" t="n">
        <v>5.5</v>
      </c>
      <c r="I668" t="inlineStr">
        <is>
          <t>a</t>
        </is>
      </c>
      <c r="K668" s="2" t="n"/>
      <c r="M668" s="3" t="n">
        <v>315</v>
      </c>
      <c r="N668" s="8" t="n">
        <v>315</v>
      </c>
      <c r="O668" s="8" t="n">
        <v>0</v>
      </c>
      <c r="Q668" t="inlineStr">
        <is>
          <t>flat</t>
        </is>
      </c>
      <c r="R668" s="6" t="n">
        <v>315</v>
      </c>
      <c r="S668" t="inlineStr">
        <is>
          <t>Solio</t>
        </is>
      </c>
      <c r="U668" s="6" t="n">
        <v>85</v>
      </c>
      <c r="V668" s="2" t="n"/>
      <c r="W668" s="7">
        <f>IF(N(U668)&lt;=0,0,MIN(Assumptions!$B$15,N(R668)/N(U668)))</f>
        <v/>
      </c>
      <c r="X668" s="6" t="n">
        <v>0.322</v>
      </c>
      <c r="Y668" s="3" t="n"/>
      <c r="Z668" t="inlineStr"/>
      <c r="AA668" s="3" t="n">
        <v>1</v>
      </c>
      <c r="AB668" s="3" t="n"/>
      <c r="AC668" s="3" t="n"/>
      <c r="AD668" s="3" t="n"/>
      <c r="AE668" s="3" t="n"/>
      <c r="AF668" s="3" t="n">
        <v>0</v>
      </c>
      <c r="AG668" s="3" t="n"/>
      <c r="AH668" s="3" t="n"/>
      <c r="AI668" s="3" t="n">
        <v>2.4232</v>
      </c>
      <c r="AJ668" s="3" t="n">
        <v>1.1851</v>
      </c>
      <c r="AK668" s="3" t="n">
        <v>-0.2234100738777944</v>
      </c>
      <c r="AL668" s="6" t="n">
        <v>0</v>
      </c>
      <c r="AM668" s="3" t="n">
        <v>0</v>
      </c>
      <c r="AN668" s="3" t="n">
        <v>0</v>
      </c>
      <c r="AO668" s="3" t="n">
        <v>0</v>
      </c>
      <c r="AP668" s="3">
        <f>N(X668)*N(BI668)</f>
        <v/>
      </c>
      <c r="AQ668" s="3" t="n">
        <v>0</v>
      </c>
      <c r="AR668" s="3" t="n">
        <v>0</v>
      </c>
      <c r="AS668" s="3" t="n">
        <v>-0</v>
      </c>
      <c r="AT668" s="3" t="n">
        <v>-0.2234100738777944</v>
      </c>
      <c r="AU668" s="3">
        <f>SUM(AN668:AT668)</f>
        <v/>
      </c>
      <c r="AV668" s="7">
        <f>IF(OR(N(W668)&lt;=0,N(BG668)=0),0,N(W668)*IF(N(R668)/N(W668)&gt;=60,N(BG668),1))</f>
        <v/>
      </c>
      <c r="AW668" s="7">
        <f>N(W668)*N(AF668)*N(BH668)</f>
        <v/>
      </c>
      <c r="AX668" s="7">
        <f>N(AL668)*(Assumptions!$B$13*N(BJ668)-(1-Assumptions!$B$13)*Assumptions!$B$14)+N(AM668)</f>
        <v/>
      </c>
      <c r="AY668" s="7">
        <f>N(AU668)*N(R668)/90+N(AV668)+N(AW668)+N(AX668)</f>
        <v/>
      </c>
      <c r="AZ668" s="3">
        <f>IF(N(R668)&lt;=0,0,(N(AY668)-N(AX668))*90/N(R668))</f>
        <v/>
      </c>
      <c r="BA668" s="7">
        <f>IFERROR(AY668-VLOOKUP($E668,Assumptions!$A$40:$C$43,3,FALSE),"")</f>
        <v/>
      </c>
      <c r="BB668" s="3">
        <f>IFERROR(BA668/H668,"")</f>
        <v/>
      </c>
      <c r="BC668">
        <f>IF(AND($G668=TRUE,$E668="GKP"),AY668,"")</f>
        <v/>
      </c>
      <c r="BD668">
        <f>IF(AND($G668=TRUE,$E668="DEF"),AY668,"")</f>
        <v/>
      </c>
      <c r="BE668">
        <f>IF(AND($G668=TRUE,$E668="MID"),AY668,"")</f>
        <v/>
      </c>
      <c r="BF668">
        <f>IF(AND($G668=TRUE,$E668="FWD"),AY668,"")</f>
        <v/>
      </c>
      <c r="BG668" t="n">
        <v>2</v>
      </c>
      <c r="BH668" t="n">
        <v>2</v>
      </c>
      <c r="BI668" t="n">
        <v>1</v>
      </c>
      <c r="BJ668" t="n">
        <v>5</v>
      </c>
    </row>
    <row r="669">
      <c r="A669" t="inlineStr">
        <is>
          <t>Emersonn Correia da Silva</t>
        </is>
      </c>
      <c r="B669" t="inlineStr">
        <is>
          <t>IPS</t>
        </is>
      </c>
      <c r="D669" t="b">
        <v>0</v>
      </c>
      <c r="E669" t="inlineStr">
        <is>
          <t>FWD</t>
        </is>
      </c>
      <c r="G669" t="b">
        <v>1</v>
      </c>
      <c r="H669" s="2" t="n">
        <v>5.5</v>
      </c>
      <c r="I669" t="inlineStr">
        <is>
          <t>a</t>
        </is>
      </c>
      <c r="K669" s="2" t="n"/>
      <c r="M669" s="3" t="n">
        <v>2366</v>
      </c>
      <c r="N669" s="8" t="n">
        <v>2366</v>
      </c>
      <c r="O669" s="8" t="n">
        <v>0</v>
      </c>
      <c r="Q669" t="inlineStr">
        <is>
          <t>flat</t>
        </is>
      </c>
      <c r="R669" s="6" t="n">
        <v>2366</v>
      </c>
      <c r="S669" t="inlineStr">
        <is>
          <t>Solio</t>
        </is>
      </c>
      <c r="U669" s="6" t="n">
        <v>85</v>
      </c>
      <c r="V669" s="2" t="n"/>
      <c r="W669" s="7">
        <f>IF(N(U669)&lt;=0,0,MIN(Assumptions!$B$15,N(R669)/N(U669)))</f>
        <v/>
      </c>
      <c r="X669" s="6" t="n">
        <v>0.17</v>
      </c>
      <c r="Y669" s="3" t="n"/>
      <c r="Z669" t="inlineStr"/>
      <c r="AA669" s="3" t="n">
        <v>1</v>
      </c>
      <c r="AB669" s="3" t="n"/>
      <c r="AC669" s="3" t="n"/>
      <c r="AD669" s="3" t="n"/>
      <c r="AE669" s="3" t="n"/>
      <c r="AF669" s="3" t="n">
        <v>0</v>
      </c>
      <c r="AG669" s="3" t="n"/>
      <c r="AH669" s="3" t="n"/>
      <c r="AI669" s="3" t="n">
        <v>3.5741</v>
      </c>
      <c r="AJ669" s="3" t="n">
        <v>1.8319</v>
      </c>
      <c r="AK669" s="3" t="n">
        <v>-0.174691292596322</v>
      </c>
      <c r="AL669" s="6" t="n">
        <v>1.585577986957572</v>
      </c>
      <c r="AM669" s="3" t="n">
        <v>0</v>
      </c>
      <c r="AN669" s="3" t="n">
        <v>0</v>
      </c>
      <c r="AO669" s="3" t="n">
        <v>0</v>
      </c>
      <c r="AP669" s="3">
        <f>N(X669)*N(BI669)</f>
        <v/>
      </c>
      <c r="AQ669" s="3" t="n">
        <v>0</v>
      </c>
      <c r="AR669" s="3" t="n">
        <v>0</v>
      </c>
      <c r="AS669" s="3" t="n">
        <v>-0</v>
      </c>
      <c r="AT669" s="3" t="n">
        <v>-0.174691292596322</v>
      </c>
      <c r="AU669" s="3">
        <f>SUM(AN669:AT669)</f>
        <v/>
      </c>
      <c r="AV669" s="7">
        <f>IF(OR(N(W669)&lt;=0,N(BG669)=0),0,N(W669)*IF(N(R669)/N(W669)&gt;=60,N(BG669),1))</f>
        <v/>
      </c>
      <c r="AW669" s="7">
        <f>N(W669)*N(AF669)*N(BH669)</f>
        <v/>
      </c>
      <c r="AX669" s="7">
        <f>N(AL669)*(Assumptions!$B$13*N(BJ669)-(1-Assumptions!$B$13)*Assumptions!$B$14)+N(AM669)</f>
        <v/>
      </c>
      <c r="AY669" s="7">
        <f>N(AU669)*N(R669)/90+N(AV669)+N(AW669)+N(AX669)</f>
        <v/>
      </c>
      <c r="AZ669" s="3">
        <f>IF(N(R669)&lt;=0,0,(N(AY669)-N(AX669))*90/N(R669))</f>
        <v/>
      </c>
      <c r="BA669" s="7">
        <f>IFERROR(AY669-VLOOKUP($E669,Assumptions!$A$40:$C$43,3,FALSE),"")</f>
        <v/>
      </c>
      <c r="BB669" s="3">
        <f>IFERROR(BA669/H669,"")</f>
        <v/>
      </c>
      <c r="BC669">
        <f>IF(AND($G669=TRUE,$E669="GKP"),AY669,"")</f>
        <v/>
      </c>
      <c r="BD669">
        <f>IF(AND($G669=TRUE,$E669="DEF"),AY669,"")</f>
        <v/>
      </c>
      <c r="BE669">
        <f>IF(AND($G669=TRUE,$E669="MID"),AY669,"")</f>
        <v/>
      </c>
      <c r="BF669">
        <f>IF(AND($G669=TRUE,$E669="FWD"),AY669,"")</f>
        <v/>
      </c>
      <c r="BG669" t="n">
        <v>2</v>
      </c>
      <c r="BH669" t="n">
        <v>2</v>
      </c>
      <c r="BI669" t="n">
        <v>0</v>
      </c>
      <c r="BJ669" t="n">
        <v>4</v>
      </c>
    </row>
    <row r="670">
      <c r="A670" t="inlineStr">
        <is>
          <t>Kayne van Oevelen</t>
        </is>
      </c>
      <c r="B670" t="inlineStr">
        <is>
          <t>IPS</t>
        </is>
      </c>
      <c r="D670" t="b">
        <v>0</v>
      </c>
      <c r="E670" t="inlineStr">
        <is>
          <t>GKP</t>
        </is>
      </c>
      <c r="G670" t="b">
        <v>1</v>
      </c>
      <c r="H670" s="2" t="n">
        <v>4.5</v>
      </c>
      <c r="I670" t="inlineStr">
        <is>
          <t>a</t>
        </is>
      </c>
      <c r="K670" s="2" t="n"/>
      <c r="M670" s="3" t="n">
        <v>35</v>
      </c>
      <c r="N670" s="8" t="n">
        <v>35</v>
      </c>
      <c r="O670" s="8" t="n">
        <v>0</v>
      </c>
      <c r="Q670" t="inlineStr">
        <is>
          <t>flat</t>
        </is>
      </c>
      <c r="R670" s="6" t="n">
        <v>35</v>
      </c>
      <c r="S670" t="inlineStr">
        <is>
          <t>Solio</t>
        </is>
      </c>
      <c r="U670" s="6" t="n">
        <v>85</v>
      </c>
      <c r="V670" s="2" t="n"/>
      <c r="W670" s="7">
        <f>IF(N(U670)&lt;=0,0,MIN(Assumptions!$B$15,N(R670)/N(U670)))</f>
        <v/>
      </c>
      <c r="X670" s="6" t="n">
        <v>0.17</v>
      </c>
      <c r="Y670" s="3" t="n"/>
      <c r="Z670" t="inlineStr"/>
      <c r="AA670" s="3" t="n">
        <v>1</v>
      </c>
      <c r="AB670" s="3" t="n"/>
      <c r="AC670" s="3" t="n"/>
      <c r="AD670" s="3" t="n"/>
      <c r="AE670" s="3" t="n">
        <v>0</v>
      </c>
      <c r="AF670" s="3" t="n">
        <v>0</v>
      </c>
      <c r="AG670" s="3" t="n"/>
      <c r="AH670" s="3" t="n"/>
      <c r="AI670" s="3" t="n">
        <v>3.5741</v>
      </c>
      <c r="AJ670" s="3" t="n">
        <v>1.8319</v>
      </c>
      <c r="AK670" s="3" t="n">
        <v>-0.0763216474948735</v>
      </c>
      <c r="AL670" s="6" t="n">
        <v>0</v>
      </c>
      <c r="AM670" s="3" t="n">
        <v>0.0400226050740512</v>
      </c>
      <c r="AN670" s="3" t="n">
        <v>0</v>
      </c>
      <c r="AO670" s="3" t="n">
        <v>0</v>
      </c>
      <c r="AP670" s="3">
        <f>N(X670)*N(BI670)</f>
        <v/>
      </c>
      <c r="AQ670" s="3" t="n">
        <v>0</v>
      </c>
      <c r="AR670" s="3" t="n">
        <v>0.8565116974562608</v>
      </c>
      <c r="AS670" s="3" t="n">
        <v>-0.6723587286814016</v>
      </c>
      <c r="AT670" s="3" t="n">
        <v>-0.0763216474948735</v>
      </c>
      <c r="AU670" s="3">
        <f>SUM(AN670:AT670)</f>
        <v/>
      </c>
      <c r="AV670" s="7">
        <f>IF(OR(N(W670)&lt;=0,N(BG670)=0),0,N(W670)*IF(N(R670)/N(W670)&gt;=60,N(BG670),1))</f>
        <v/>
      </c>
      <c r="AW670" s="7">
        <f>N(W670)*N(AF670)*N(BH670)</f>
        <v/>
      </c>
      <c r="AX670" s="7">
        <f>N(AL670)*(Assumptions!$B$13*N(BJ670)-(1-Assumptions!$B$13)*Assumptions!$B$14)+N(AM670)</f>
        <v/>
      </c>
      <c r="AY670" s="7">
        <f>N(AU670)*N(R670)/90+N(AV670)+N(AW670)+N(AX670)</f>
        <v/>
      </c>
      <c r="AZ670" s="3">
        <f>IF(N(R670)&lt;=0,0,(N(AY670)-N(AX670))*90/N(R670))</f>
        <v/>
      </c>
      <c r="BA670" s="7">
        <f>IFERROR(AY670-VLOOKUP($E670,Assumptions!$A$40:$C$43,3,FALSE),"")</f>
        <v/>
      </c>
      <c r="BB670" s="3">
        <f>IFERROR(BA670/H670,"")</f>
        <v/>
      </c>
      <c r="BC670">
        <f>IF(AND($G670=TRUE,$E670="GKP"),AY670,"")</f>
        <v/>
      </c>
      <c r="BD670">
        <f>IF(AND($G670=TRUE,$E670="DEF"),AY670,"")</f>
        <v/>
      </c>
      <c r="BE670">
        <f>IF(AND($G670=TRUE,$E670="MID"),AY670,"")</f>
        <v/>
      </c>
      <c r="BF670">
        <f>IF(AND($G670=TRUE,$E670="FWD"),AY670,"")</f>
        <v/>
      </c>
      <c r="BG670" t="n">
        <v>2</v>
      </c>
      <c r="BH670" t="n">
        <v>0</v>
      </c>
      <c r="BI670" t="n">
        <v>4</v>
      </c>
      <c r="BJ670" t="n">
        <v>10</v>
      </c>
    </row>
    <row r="671">
      <c r="A671" t="inlineStr">
        <is>
          <t>Lucas Pires</t>
        </is>
      </c>
      <c r="C671" t="inlineStr">
        <is>
          <t>BUR</t>
        </is>
      </c>
      <c r="D671" t="b">
        <v>0</v>
      </c>
      <c r="F671" t="inlineStr">
        <is>
          <t>DEF</t>
        </is>
      </c>
      <c r="G671" t="b">
        <v>0</v>
      </c>
      <c r="H671" s="2" t="n"/>
      <c r="K671" s="2" t="n">
        <v>1406</v>
      </c>
      <c r="M671" s="3" t="n"/>
      <c r="N671" s="8" t="n">
        <v>1406</v>
      </c>
      <c r="O671" s="8" t="n">
        <v>0</v>
      </c>
      <c r="R671" s="6" t="n">
        <v>1406</v>
      </c>
      <c r="S671" t="inlineStr">
        <is>
          <t>25/26 actual</t>
        </is>
      </c>
      <c r="U671" s="6" t="n">
        <v>88.09999999999999</v>
      </c>
      <c r="V671" s="2" t="n">
        <v>14</v>
      </c>
      <c r="W671" s="7">
        <f>IF(N(U671)&lt;=0,0,MIN(Assumptions!$B$15,N(R671)/N(U671)))</f>
        <v/>
      </c>
      <c r="X671" s="6" t="n"/>
      <c r="Y671" s="3" t="n">
        <v>0.0371</v>
      </c>
      <c r="Z671" t="inlineStr">
        <is>
          <t>adjusted xGOT</t>
        </is>
      </c>
      <c r="AA671" s="3" t="n">
        <v>1</v>
      </c>
      <c r="AB671" s="3" t="n">
        <v>0.965</v>
      </c>
      <c r="AC671" s="3" t="n">
        <v>0.6</v>
      </c>
      <c r="AD671" s="3" t="n">
        <v>0.0973</v>
      </c>
      <c r="AE671" s="3" t="n">
        <v>6.543</v>
      </c>
      <c r="AF671" s="3" t="n">
        <v>0</v>
      </c>
      <c r="AG671" s="3" t="n">
        <v>0</v>
      </c>
      <c r="AH671" s="3" t="n">
        <v>34</v>
      </c>
      <c r="AI671" s="3" t="n"/>
      <c r="AJ671" s="3" t="n"/>
      <c r="AK671" s="3" t="n"/>
      <c r="AL671" s="6" t="n">
        <v>0</v>
      </c>
      <c r="AM671" s="3" t="n">
        <v>0</v>
      </c>
      <c r="AN671" s="3" t="n">
        <v>0</v>
      </c>
      <c r="AO671" s="3" t="n">
        <v>0</v>
      </c>
      <c r="AP671" s="3">
        <f>N(X671)*N(BI671)</f>
        <v/>
      </c>
      <c r="AQ671" s="3" t="n">
        <v>0</v>
      </c>
      <c r="AR671" s="3" t="n">
        <v>0</v>
      </c>
      <c r="AS671" s="3" t="n">
        <v>0</v>
      </c>
      <c r="AT671" s="3" t="n">
        <v>0</v>
      </c>
      <c r="AU671" s="3">
        <f>SUM(AN671:AT671)</f>
        <v/>
      </c>
      <c r="AV671" s="7">
        <f>IF(OR(N(W671)&lt;=0,N(BG671)=0),0,N(W671)*IF(N(R671)/N(W671)&gt;=60,N(BG671),1))</f>
        <v/>
      </c>
      <c r="AW671" s="7">
        <f>N(W671)*N(AF671)*N(BH671)</f>
        <v/>
      </c>
      <c r="AX671" s="7">
        <f>N(AL671)*(Assumptions!$B$13*N(BJ671)-(1-Assumptions!$B$13)*Assumptions!$B$14)+N(AM671)</f>
        <v/>
      </c>
      <c r="AY671" s="7">
        <f>N(AU671)*N(R671)/90+N(AV671)+N(AW671)+N(AX671)</f>
        <v/>
      </c>
      <c r="AZ671" s="3">
        <f>IF(N(R671)&lt;=0,0,(N(AY671)-N(AX671))*90/N(R671))</f>
        <v/>
      </c>
      <c r="BA671" s="7">
        <f>IFERROR(AY671-VLOOKUP($E671,Assumptions!$A$40:$C$43,3,FALSE),"")</f>
        <v/>
      </c>
      <c r="BB671" s="3">
        <f>IFERROR(BA671/H671,"")</f>
        <v/>
      </c>
      <c r="BC671">
        <f>IF(AND($G671=TRUE,$E671="GKP"),AY671,"")</f>
        <v/>
      </c>
      <c r="BD671">
        <f>IF(AND($G671=TRUE,$E671="DEF"),AY671,"")</f>
        <v/>
      </c>
      <c r="BE671">
        <f>IF(AND($G671=TRUE,$E671="MID"),AY671,"")</f>
        <v/>
      </c>
      <c r="BF671">
        <f>IF(AND($G671=TRUE,$E671="FWD"),AY671,"")</f>
        <v/>
      </c>
      <c r="BG671" t="n">
        <v>0</v>
      </c>
      <c r="BH671" t="n">
        <v>0</v>
      </c>
      <c r="BI671" t="n">
        <v>0</v>
      </c>
      <c r="BJ671" t="n">
        <v>0</v>
      </c>
    </row>
    <row r="672">
      <c r="A672" t="inlineStr">
        <is>
          <t>Norman Bassette</t>
        </is>
      </c>
      <c r="B672" t="inlineStr">
        <is>
          <t>COV</t>
        </is>
      </c>
      <c r="D672" t="b">
        <v>0</v>
      </c>
      <c r="E672" t="inlineStr">
        <is>
          <t>FWD</t>
        </is>
      </c>
      <c r="G672" t="b">
        <v>1</v>
      </c>
      <c r="H672" s="2" t="n">
        <v>4.5</v>
      </c>
      <c r="I672" t="inlineStr">
        <is>
          <t>u</t>
        </is>
      </c>
      <c r="J672" t="inlineStr">
        <is>
          <t>Has joined KVC Westerlo on loan for the rest of the season</t>
        </is>
      </c>
      <c r="K672" s="2" t="n"/>
      <c r="M672" s="3" t="n"/>
      <c r="N672" s="8" t="n"/>
      <c r="O672" s="8" t="n"/>
      <c r="R672" s="6" t="n"/>
      <c r="S672" t="inlineStr"/>
      <c r="U672" s="6" t="n">
        <v>85</v>
      </c>
      <c r="V672" s="2" t="n"/>
      <c r="W672" s="7">
        <f>IF(N(U672)&lt;=0,0,MIN(Assumptions!$B$15,N(R672)/N(U672)))</f>
        <v/>
      </c>
      <c r="X672" s="6" t="n">
        <v>0.17</v>
      </c>
      <c r="Y672" s="3" t="n"/>
      <c r="Z672" t="inlineStr"/>
      <c r="AA672" s="3" t="n">
        <v>1</v>
      </c>
      <c r="AB672" s="3" t="n"/>
      <c r="AC672" s="3" t="n"/>
      <c r="AD672" s="3" t="n"/>
      <c r="AE672" s="3" t="n"/>
      <c r="AF672" s="3" t="n">
        <v>0</v>
      </c>
      <c r="AG672" s="3" t="n"/>
      <c r="AH672" s="3" t="n"/>
      <c r="AI672" s="3" t="n">
        <v>3.6194</v>
      </c>
      <c r="AJ672" s="3" t="n">
        <v>1.8271</v>
      </c>
      <c r="AK672" s="3" t="n">
        <v>-0.174691292596322</v>
      </c>
      <c r="AL672" s="6" t="n">
        <v>0</v>
      </c>
      <c r="AM672" s="3" t="n">
        <v>0</v>
      </c>
      <c r="AN672" s="3" t="n">
        <v>0</v>
      </c>
      <c r="AO672" s="3" t="n">
        <v>0</v>
      </c>
      <c r="AP672" s="3">
        <f>N(X672)*N(BI672)</f>
        <v/>
      </c>
      <c r="AQ672" s="3" t="n">
        <v>0</v>
      </c>
      <c r="AR672" s="3" t="n">
        <v>0</v>
      </c>
      <c r="AS672" s="3" t="n">
        <v>-0</v>
      </c>
      <c r="AT672" s="3" t="n">
        <v>-0.174691292596322</v>
      </c>
      <c r="AU672" s="3">
        <f>SUM(AN672:AT672)</f>
        <v/>
      </c>
      <c r="AV672" s="7">
        <f>IF(OR(N(W672)&lt;=0,N(BG672)=0),0,N(W672)*IF(N(R672)/N(W672)&gt;=60,N(BG672),1))</f>
        <v/>
      </c>
      <c r="AW672" s="7">
        <f>N(W672)*N(AF672)*N(BH672)</f>
        <v/>
      </c>
      <c r="AX672" s="7">
        <f>N(AL672)*(Assumptions!$B$13*N(BJ672)-(1-Assumptions!$B$13)*Assumptions!$B$14)+N(AM672)</f>
        <v/>
      </c>
      <c r="AY672" s="7">
        <f>N(AU672)*N(R672)/90+N(AV672)+N(AW672)+N(AX672)</f>
        <v/>
      </c>
      <c r="AZ672" s="3">
        <f>IF(N(R672)&lt;=0,0,(N(AY672)-N(AX672))*90/N(R672))</f>
        <v/>
      </c>
      <c r="BA672" s="7">
        <f>IFERROR(AY672-VLOOKUP($E672,Assumptions!$A$40:$C$43,3,FALSE),"")</f>
        <v/>
      </c>
      <c r="BB672" s="3">
        <f>IFERROR(BA672/H672,"")</f>
        <v/>
      </c>
      <c r="BC672">
        <f>IF(AND($G672=TRUE,$E672="GKP"),AY672,"")</f>
        <v/>
      </c>
      <c r="BD672">
        <f>IF(AND($G672=TRUE,$E672="DEF"),AY672,"")</f>
        <v/>
      </c>
      <c r="BE672">
        <f>IF(AND($G672=TRUE,$E672="MID"),AY672,"")</f>
        <v/>
      </c>
      <c r="BF672">
        <f>IF(AND($G672=TRUE,$E672="FWD"),AY672,"")</f>
        <v/>
      </c>
      <c r="BG672" t="n">
        <v>2</v>
      </c>
      <c r="BH672" t="n">
        <v>2</v>
      </c>
      <c r="BI672" t="n">
        <v>0</v>
      </c>
      <c r="BJ672" t="n">
        <v>4</v>
      </c>
    </row>
    <row r="673">
      <c r="A673" t="inlineStr">
        <is>
          <t>Jaydon Banel</t>
        </is>
      </c>
      <c r="C673" t="inlineStr">
        <is>
          <t>BUR</t>
        </is>
      </c>
      <c r="D673" t="b">
        <v>0</v>
      </c>
      <c r="F673" t="inlineStr">
        <is>
          <t>MID</t>
        </is>
      </c>
      <c r="G673" t="b">
        <v>0</v>
      </c>
      <c r="H673" s="2" t="n"/>
      <c r="K673" s="2" t="n">
        <v>9</v>
      </c>
      <c r="M673" s="3" t="n"/>
      <c r="N673" s="8" t="n">
        <v>9</v>
      </c>
      <c r="O673" s="8" t="n">
        <v>0</v>
      </c>
      <c r="R673" s="6" t="n">
        <v>9</v>
      </c>
      <c r="S673" t="inlineStr">
        <is>
          <t>25/26 actual</t>
        </is>
      </c>
      <c r="U673" s="6" t="n">
        <v>80.09999999999999</v>
      </c>
      <c r="V673" s="2" t="n">
        <v>0</v>
      </c>
      <c r="W673" s="7">
        <f>IF(N(U673)&lt;=0,0,MIN(Assumptions!$B$15,N(R673)/N(U673)))</f>
        <v/>
      </c>
      <c r="X673" s="6" t="n"/>
      <c r="Y673" s="3" t="n">
        <v>0</v>
      </c>
      <c r="Z673" t="inlineStr">
        <is>
          <t>blended xG</t>
        </is>
      </c>
      <c r="AA673" s="3" t="n">
        <v>1</v>
      </c>
      <c r="AB673" s="3" t="n">
        <v>1</v>
      </c>
      <c r="AC673" s="3" t="n">
        <v>0</v>
      </c>
      <c r="AD673" s="3" t="n">
        <v>0</v>
      </c>
      <c r="AE673" s="3" t="n">
        <v>8.471</v>
      </c>
      <c r="AF673" s="3" t="n">
        <v>0</v>
      </c>
      <c r="AG673" s="3" t="n">
        <v>0</v>
      </c>
      <c r="AH673" s="3" t="n">
        <v>1</v>
      </c>
      <c r="AI673" s="3" t="n"/>
      <c r="AJ673" s="3" t="n"/>
      <c r="AK673" s="3" t="n"/>
      <c r="AL673" s="6" t="n">
        <v>0</v>
      </c>
      <c r="AM673" s="3" t="n">
        <v>0</v>
      </c>
      <c r="AN673" s="3" t="n">
        <v>0</v>
      </c>
      <c r="AO673" s="3" t="n">
        <v>0</v>
      </c>
      <c r="AP673" s="3">
        <f>N(X673)*N(BI673)</f>
        <v/>
      </c>
      <c r="AQ673" s="3" t="n">
        <v>0</v>
      </c>
      <c r="AR673" s="3" t="n">
        <v>0</v>
      </c>
      <c r="AS673" s="3" t="n">
        <v>0</v>
      </c>
      <c r="AT673" s="3" t="n">
        <v>0</v>
      </c>
      <c r="AU673" s="3">
        <f>SUM(AN673:AT673)</f>
        <v/>
      </c>
      <c r="AV673" s="7">
        <f>IF(OR(N(W673)&lt;=0,N(BG673)=0),0,N(W673)*IF(N(R673)/N(W673)&gt;=60,N(BG673),1))</f>
        <v/>
      </c>
      <c r="AW673" s="7">
        <f>N(W673)*N(AF673)*N(BH673)</f>
        <v/>
      </c>
      <c r="AX673" s="7">
        <f>N(AL673)*(Assumptions!$B$13*N(BJ673)-(1-Assumptions!$B$13)*Assumptions!$B$14)+N(AM673)</f>
        <v/>
      </c>
      <c r="AY673" s="7">
        <f>N(AU673)*N(R673)/90+N(AV673)+N(AW673)+N(AX673)</f>
        <v/>
      </c>
      <c r="AZ673" s="3">
        <f>IF(N(R673)&lt;=0,0,(N(AY673)-N(AX673))*90/N(R673))</f>
        <v/>
      </c>
      <c r="BA673" s="7">
        <f>IFERROR(AY673-VLOOKUP($E673,Assumptions!$A$40:$C$43,3,FALSE),"")</f>
        <v/>
      </c>
      <c r="BB673" s="3">
        <f>IFERROR(BA673/H673,"")</f>
        <v/>
      </c>
      <c r="BC673">
        <f>IF(AND($G673=TRUE,$E673="GKP"),AY673,"")</f>
        <v/>
      </c>
      <c r="BD673">
        <f>IF(AND($G673=TRUE,$E673="DEF"),AY673,"")</f>
        <v/>
      </c>
      <c r="BE673">
        <f>IF(AND($G673=TRUE,$E673="MID"),AY673,"")</f>
        <v/>
      </c>
      <c r="BF673">
        <f>IF(AND($G673=TRUE,$E673="FWD"),AY673,"")</f>
        <v/>
      </c>
      <c r="BG673" t="n">
        <v>0</v>
      </c>
      <c r="BH673" t="n">
        <v>0</v>
      </c>
      <c r="BI673" t="n">
        <v>0</v>
      </c>
      <c r="BJ673" t="n">
        <v>0</v>
      </c>
    </row>
    <row r="674">
      <c r="A674" t="inlineStr">
        <is>
          <t>Jahnoah Markelo</t>
        </is>
      </c>
      <c r="B674" t="inlineStr">
        <is>
          <t>COV</t>
        </is>
      </c>
      <c r="D674" t="b">
        <v>0</v>
      </c>
      <c r="E674" t="inlineStr">
        <is>
          <t>FWD</t>
        </is>
      </c>
      <c r="G674" t="b">
        <v>1</v>
      </c>
      <c r="H674" s="2" t="n">
        <v>5</v>
      </c>
      <c r="I674" t="inlineStr">
        <is>
          <t>a</t>
        </is>
      </c>
      <c r="K674" s="2" t="n"/>
      <c r="M674" s="3" t="n">
        <v>0</v>
      </c>
      <c r="N674" s="8" t="n">
        <v>0</v>
      </c>
      <c r="O674" s="8" t="n">
        <v>0</v>
      </c>
      <c r="Q674" t="inlineStr">
        <is>
          <t>flat</t>
        </is>
      </c>
      <c r="R674" s="6" t="n">
        <v>0</v>
      </c>
      <c r="S674" t="inlineStr">
        <is>
          <t>Solio</t>
        </is>
      </c>
      <c r="U674" s="6" t="n">
        <v>85</v>
      </c>
      <c r="V674" s="2" t="n"/>
      <c r="W674" s="7">
        <f>IF(N(U674)&lt;=0,0,MIN(Assumptions!$B$15,N(R674)/N(U674)))</f>
        <v/>
      </c>
      <c r="X674" s="6" t="n">
        <v>0.17</v>
      </c>
      <c r="Y674" s="3" t="n"/>
      <c r="Z674" t="inlineStr"/>
      <c r="AA674" s="3" t="n">
        <v>1</v>
      </c>
      <c r="AB674" s="3" t="n"/>
      <c r="AC674" s="3" t="n"/>
      <c r="AD674" s="3" t="n"/>
      <c r="AE674" s="3" t="n"/>
      <c r="AF674" s="3" t="n">
        <v>0</v>
      </c>
      <c r="AG674" s="3" t="n"/>
      <c r="AH674" s="3" t="n"/>
      <c r="AI674" s="3" t="n">
        <v>3.6194</v>
      </c>
      <c r="AJ674" s="3" t="n">
        <v>1.8271</v>
      </c>
      <c r="AK674" s="3" t="n">
        <v>-0.174691292596322</v>
      </c>
      <c r="AL674" s="6" t="n">
        <v>0</v>
      </c>
      <c r="AM674" s="3" t="n">
        <v>0</v>
      </c>
      <c r="AN674" s="3" t="n">
        <v>0</v>
      </c>
      <c r="AO674" s="3" t="n">
        <v>0</v>
      </c>
      <c r="AP674" s="3">
        <f>N(X674)*N(BI674)</f>
        <v/>
      </c>
      <c r="AQ674" s="3" t="n">
        <v>0</v>
      </c>
      <c r="AR674" s="3" t="n">
        <v>0</v>
      </c>
      <c r="AS674" s="3" t="n">
        <v>-0</v>
      </c>
      <c r="AT674" s="3" t="n">
        <v>-0.174691292596322</v>
      </c>
      <c r="AU674" s="3">
        <f>SUM(AN674:AT674)</f>
        <v/>
      </c>
      <c r="AV674" s="7">
        <f>IF(OR(N(W674)&lt;=0,N(BG674)=0),0,N(W674)*IF(N(R674)/N(W674)&gt;=60,N(BG674),1))</f>
        <v/>
      </c>
      <c r="AW674" s="7">
        <f>N(W674)*N(AF674)*N(BH674)</f>
        <v/>
      </c>
      <c r="AX674" s="7">
        <f>N(AL674)*(Assumptions!$B$13*N(BJ674)-(1-Assumptions!$B$13)*Assumptions!$B$14)+N(AM674)</f>
        <v/>
      </c>
      <c r="AY674" s="7">
        <f>N(AU674)*N(R674)/90+N(AV674)+N(AW674)+N(AX674)</f>
        <v/>
      </c>
      <c r="AZ674" s="3">
        <f>IF(N(R674)&lt;=0,0,(N(AY674)-N(AX674))*90/N(R674))</f>
        <v/>
      </c>
      <c r="BA674" s="7">
        <f>IFERROR(AY674-VLOOKUP($E674,Assumptions!$A$40:$C$43,3,FALSE),"")</f>
        <v/>
      </c>
      <c r="BB674" s="3">
        <f>IFERROR(BA674/H674,"")</f>
        <v/>
      </c>
      <c r="BC674">
        <f>IF(AND($G674=TRUE,$E674="GKP"),AY674,"")</f>
        <v/>
      </c>
      <c r="BD674">
        <f>IF(AND($G674=TRUE,$E674="DEF"),AY674,"")</f>
        <v/>
      </c>
      <c r="BE674">
        <f>IF(AND($G674=TRUE,$E674="MID"),AY674,"")</f>
        <v/>
      </c>
      <c r="BF674">
        <f>IF(AND($G674=TRUE,$E674="FWD"),AY674,"")</f>
        <v/>
      </c>
      <c r="BG674" t="n">
        <v>2</v>
      </c>
      <c r="BH674" t="n">
        <v>2</v>
      </c>
      <c r="BI674" t="n">
        <v>0</v>
      </c>
      <c r="BJ674" t="n">
        <v>4</v>
      </c>
    </row>
    <row r="675">
      <c r="A675" t="inlineStr">
        <is>
          <t>Gonzalo García</t>
        </is>
      </c>
      <c r="B675" t="inlineStr">
        <is>
          <t>FUL</t>
        </is>
      </c>
      <c r="D675" t="b">
        <v>0</v>
      </c>
      <c r="E675" t="inlineStr">
        <is>
          <t>FWD</t>
        </is>
      </c>
      <c r="G675" t="b">
        <v>1</v>
      </c>
      <c r="H675" s="2" t="n">
        <v>6</v>
      </c>
      <c r="I675" t="inlineStr">
        <is>
          <t>a</t>
        </is>
      </c>
      <c r="K675" s="2" t="n"/>
      <c r="M675" s="3" t="n">
        <v>2696</v>
      </c>
      <c r="N675" s="8" t="n">
        <v>2696</v>
      </c>
      <c r="O675" s="8" t="n">
        <v>0</v>
      </c>
      <c r="Q675" t="inlineStr">
        <is>
          <t>flat</t>
        </is>
      </c>
      <c r="R675" s="6" t="n">
        <v>2696</v>
      </c>
      <c r="S675" t="inlineStr">
        <is>
          <t>Solio</t>
        </is>
      </c>
      <c r="U675" s="6" t="n">
        <v>85</v>
      </c>
      <c r="V675" s="2" t="n"/>
      <c r="W675" s="7">
        <f>IF(N(U675)&lt;=0,0,MIN(Assumptions!$B$15,N(R675)/N(U675)))</f>
        <v/>
      </c>
      <c r="X675" s="6" t="n">
        <v>0.214</v>
      </c>
      <c r="Y675" s="3" t="n"/>
      <c r="Z675" t="inlineStr"/>
      <c r="AA675" s="3" t="n">
        <v>1</v>
      </c>
      <c r="AB675" s="3" t="n"/>
      <c r="AC675" s="3" t="n"/>
      <c r="AD675" s="3" t="n"/>
      <c r="AE675" s="3" t="n"/>
      <c r="AF675" s="3" t="n">
        <v>0</v>
      </c>
      <c r="AG675" s="3" t="n"/>
      <c r="AH675" s="3" t="n"/>
      <c r="AI675" s="3" t="n">
        <v>3.22</v>
      </c>
      <c r="AJ675" s="3" t="n">
        <v>1.6019</v>
      </c>
      <c r="AK675" s="3" t="n">
        <v>-0.174691292596322</v>
      </c>
      <c r="AL675" s="6" t="n">
        <v>3.327363353167932</v>
      </c>
      <c r="AM675" s="3" t="n">
        <v>0</v>
      </c>
      <c r="AN675" s="3" t="n">
        <v>0</v>
      </c>
      <c r="AO675" s="3" t="n">
        <v>0</v>
      </c>
      <c r="AP675" s="3">
        <f>N(X675)*N(BI675)</f>
        <v/>
      </c>
      <c r="AQ675" s="3" t="n">
        <v>0</v>
      </c>
      <c r="AR675" s="3" t="n">
        <v>0</v>
      </c>
      <c r="AS675" s="3" t="n">
        <v>-0</v>
      </c>
      <c r="AT675" s="3" t="n">
        <v>-0.174691292596322</v>
      </c>
      <c r="AU675" s="3">
        <f>SUM(AN675:AT675)</f>
        <v/>
      </c>
      <c r="AV675" s="7">
        <f>IF(OR(N(W675)&lt;=0,N(BG675)=0),0,N(W675)*IF(N(R675)/N(W675)&gt;=60,N(BG675),1))</f>
        <v/>
      </c>
      <c r="AW675" s="7">
        <f>N(W675)*N(AF675)*N(BH675)</f>
        <v/>
      </c>
      <c r="AX675" s="7">
        <f>N(AL675)*(Assumptions!$B$13*N(BJ675)-(1-Assumptions!$B$13)*Assumptions!$B$14)+N(AM675)</f>
        <v/>
      </c>
      <c r="AY675" s="7">
        <f>N(AU675)*N(R675)/90+N(AV675)+N(AW675)+N(AX675)</f>
        <v/>
      </c>
      <c r="AZ675" s="3">
        <f>IF(N(R675)&lt;=0,0,(N(AY675)-N(AX675))*90/N(R675))</f>
        <v/>
      </c>
      <c r="BA675" s="7">
        <f>IFERROR(AY675-VLOOKUP($E675,Assumptions!$A$40:$C$43,3,FALSE),"")</f>
        <v/>
      </c>
      <c r="BB675" s="3">
        <f>IFERROR(BA675/H675,"")</f>
        <v/>
      </c>
      <c r="BC675">
        <f>IF(AND($G675=TRUE,$E675="GKP"),AY675,"")</f>
        <v/>
      </c>
      <c r="BD675">
        <f>IF(AND($G675=TRUE,$E675="DEF"),AY675,"")</f>
        <v/>
      </c>
      <c r="BE675">
        <f>IF(AND($G675=TRUE,$E675="MID"),AY675,"")</f>
        <v/>
      </c>
      <c r="BF675">
        <f>IF(AND($G675=TRUE,$E675="FWD"),AY675,"")</f>
        <v/>
      </c>
      <c r="BG675" t="n">
        <v>2</v>
      </c>
      <c r="BH675" t="n">
        <v>2</v>
      </c>
      <c r="BI675" t="n">
        <v>0</v>
      </c>
      <c r="BJ675" t="n">
        <v>4</v>
      </c>
    </row>
    <row r="676">
      <c r="A676" t="inlineStr">
        <is>
          <t>Álex Jiménez</t>
        </is>
      </c>
      <c r="C676" t="inlineStr">
        <is>
          <t>BOU</t>
        </is>
      </c>
      <c r="D676" t="b">
        <v>0</v>
      </c>
      <c r="F676" t="inlineStr">
        <is>
          <t>DEF</t>
        </is>
      </c>
      <c r="G676" t="b">
        <v>0</v>
      </c>
      <c r="H676" s="2" t="n"/>
      <c r="K676" s="2" t="n">
        <v>2323</v>
      </c>
      <c r="M676" s="3" t="n"/>
      <c r="N676" s="8" t="n">
        <v>2323</v>
      </c>
      <c r="O676" s="8" t="n">
        <v>0</v>
      </c>
      <c r="R676" s="6" t="n">
        <v>2323</v>
      </c>
      <c r="S676" t="inlineStr">
        <is>
          <t>25/26 actual</t>
        </is>
      </c>
      <c r="U676" s="6" t="n">
        <v>84.09999999999999</v>
      </c>
      <c r="V676" s="2" t="n">
        <v>26</v>
      </c>
      <c r="W676" s="7">
        <f>IF(N(U676)&lt;=0,0,MIN(Assumptions!$B$15,N(R676)/N(U676)))</f>
        <v/>
      </c>
      <c r="X676" s="6" t="n"/>
      <c r="Y676" s="3" t="n">
        <v>0.0423</v>
      </c>
      <c r="Z676" t="inlineStr">
        <is>
          <t>adjusted xGOT</t>
        </is>
      </c>
      <c r="AA676" s="3" t="n">
        <v>1</v>
      </c>
      <c r="AB676" s="3" t="n">
        <v>1.001</v>
      </c>
      <c r="AC676" s="3" t="n">
        <v>1.1</v>
      </c>
      <c r="AD676" s="3" t="n">
        <v>0.066</v>
      </c>
      <c r="AE676" s="3" t="n">
        <v>6.212</v>
      </c>
      <c r="AF676" s="3" t="n">
        <v>0</v>
      </c>
      <c r="AG676" s="3" t="n">
        <v>0.1162</v>
      </c>
      <c r="AH676" s="3" t="n">
        <v>56</v>
      </c>
      <c r="AI676" s="3" t="n"/>
      <c r="AJ676" s="3" t="n"/>
      <c r="AK676" s="3" t="n"/>
      <c r="AL676" s="6" t="n">
        <v>0</v>
      </c>
      <c r="AM676" s="3" t="n">
        <v>0</v>
      </c>
      <c r="AN676" s="3" t="n">
        <v>0</v>
      </c>
      <c r="AO676" s="3" t="n">
        <v>0</v>
      </c>
      <c r="AP676" s="3">
        <f>N(X676)*N(BI676)</f>
        <v/>
      </c>
      <c r="AQ676" s="3" t="n">
        <v>0</v>
      </c>
      <c r="AR676" s="3" t="n">
        <v>0</v>
      </c>
      <c r="AS676" s="3" t="n">
        <v>0</v>
      </c>
      <c r="AT676" s="3" t="n">
        <v>0</v>
      </c>
      <c r="AU676" s="3">
        <f>SUM(AN676:AT676)</f>
        <v/>
      </c>
      <c r="AV676" s="7">
        <f>IF(OR(N(W676)&lt;=0,N(BG676)=0),0,N(W676)*IF(N(R676)/N(W676)&gt;=60,N(BG676),1))</f>
        <v/>
      </c>
      <c r="AW676" s="7">
        <f>N(W676)*N(AF676)*N(BH676)</f>
        <v/>
      </c>
      <c r="AX676" s="7">
        <f>N(AL676)*(Assumptions!$B$13*N(BJ676)-(1-Assumptions!$B$13)*Assumptions!$B$14)+N(AM676)</f>
        <v/>
      </c>
      <c r="AY676" s="7">
        <f>N(AU676)*N(R676)/90+N(AV676)+N(AW676)+N(AX676)</f>
        <v/>
      </c>
      <c r="AZ676" s="3">
        <f>IF(N(R676)&lt;=0,0,(N(AY676)-N(AX676))*90/N(R676))</f>
        <v/>
      </c>
      <c r="BA676" s="7">
        <f>IFERROR(AY676-VLOOKUP($E676,Assumptions!$A$40:$C$43,3,FALSE),"")</f>
        <v/>
      </c>
      <c r="BB676" s="3">
        <f>IFERROR(BA676/H676,"")</f>
        <v/>
      </c>
      <c r="BC676">
        <f>IF(AND($G676=TRUE,$E676="GKP"),AY676,"")</f>
        <v/>
      </c>
      <c r="BD676">
        <f>IF(AND($G676=TRUE,$E676="DEF"),AY676,"")</f>
        <v/>
      </c>
      <c r="BE676">
        <f>IF(AND($G676=TRUE,$E676="MID"),AY676,"")</f>
        <v/>
      </c>
      <c r="BF676">
        <f>IF(AND($G676=TRUE,$E676="FWD"),AY676,"")</f>
        <v/>
      </c>
      <c r="BG676" t="n">
        <v>0</v>
      </c>
      <c r="BH676" t="n">
        <v>0</v>
      </c>
      <c r="BI676" t="n">
        <v>0</v>
      </c>
      <c r="BJ676" t="n">
        <v>0</v>
      </c>
    </row>
    <row r="677">
      <c r="A677" t="inlineStr">
        <is>
          <t>Victor Munoz</t>
        </is>
      </c>
      <c r="B677" t="inlineStr">
        <is>
          <t>LIV</t>
        </is>
      </c>
      <c r="D677" t="b">
        <v>0</v>
      </c>
      <c r="E677" t="inlineStr">
        <is>
          <t>MID</t>
        </is>
      </c>
      <c r="G677" t="b">
        <v>1</v>
      </c>
      <c r="H677" s="2" t="n">
        <v>6.5</v>
      </c>
      <c r="I677" t="inlineStr">
        <is>
          <t>a</t>
        </is>
      </c>
      <c r="K677" s="2" t="n"/>
      <c r="M677" s="3" t="n">
        <v>796</v>
      </c>
      <c r="N677" s="4" t="n">
        <v>1600</v>
      </c>
      <c r="O677" s="4" t="n">
        <v>804</v>
      </c>
      <c r="P677" s="5" t="inlineStr">
        <is>
          <t>medium</t>
        </is>
      </c>
      <c r="Q677" t="inlineStr">
        <is>
          <t>flat</t>
        </is>
      </c>
      <c r="R677" s="6" t="n">
        <v>1600</v>
      </c>
      <c r="S677" t="inlineStr">
        <is>
          <t>research</t>
        </is>
      </c>
      <c r="T677" s="5" t="inlineStr">
        <is>
          <t>Solio gives Liverpool's £34.7m first signing of the Iraola regime only 796 minutes. He is named at left wing in This Is Anfield's Anfield 'dress rehearsal for Newcastle' XI (Alisson; Frimpong, Araujo, Van Dijk, Kerkez; Gravenberch, Szoboszlai; Ngumoha, Wirtz, Munoz; Isak), and the Premier League's own preview has him occupying left wing in Iraola's 4-2-3-1. Held below a full starter's allocation because he returned late from winning the World Cup with Spain and because Liverpool are still chasing Bradley Barcola as a first-choice left winger.</t>
        </is>
      </c>
      <c r="U677" s="6" t="n">
        <v>85</v>
      </c>
      <c r="V677" s="2" t="n"/>
      <c r="W677" s="7">
        <f>IF(N(U677)&lt;=0,0,MIN(Assumptions!$B$15,N(R677)/N(U677)))</f>
        <v/>
      </c>
      <c r="X677" s="6" t="n">
        <v>0.342</v>
      </c>
      <c r="Y677" s="3" t="n"/>
      <c r="Z677" t="inlineStr"/>
      <c r="AA677" s="3" t="n">
        <v>1</v>
      </c>
      <c r="AB677" s="3" t="n"/>
      <c r="AC677" s="3" t="n"/>
      <c r="AD677" s="3" t="n"/>
      <c r="AE677" s="3" t="n"/>
      <c r="AF677" s="3" t="n">
        <v>0</v>
      </c>
      <c r="AG677" s="3" t="n"/>
      <c r="AH677" s="3" t="n"/>
      <c r="AI677" s="3" t="n">
        <v>2.409</v>
      </c>
      <c r="AJ677" s="3" t="n">
        <v>1.1228</v>
      </c>
      <c r="AK677" s="3" t="n">
        <v>-0.2160434166173144</v>
      </c>
      <c r="AL677" s="6" t="n">
        <v>0</v>
      </c>
      <c r="AM677" s="3" t="n">
        <v>0</v>
      </c>
      <c r="AN677" s="3" t="n">
        <v>0</v>
      </c>
      <c r="AO677" s="3" t="n">
        <v>0</v>
      </c>
      <c r="AP677" s="3">
        <f>N(X677)*N(BI677)</f>
        <v/>
      </c>
      <c r="AQ677" s="3" t="n">
        <v>0</v>
      </c>
      <c r="AR677" s="3" t="n">
        <v>0</v>
      </c>
      <c r="AS677" s="3" t="n">
        <v>-0</v>
      </c>
      <c r="AT677" s="3" t="n">
        <v>-0.2160434166173144</v>
      </c>
      <c r="AU677" s="3">
        <f>SUM(AN677:AT677)</f>
        <v/>
      </c>
      <c r="AV677" s="7">
        <f>IF(OR(N(W677)&lt;=0,N(BG677)=0),0,N(W677)*IF(N(R677)/N(W677)&gt;=60,N(BG677),1))</f>
        <v/>
      </c>
      <c r="AW677" s="7">
        <f>N(W677)*N(AF677)*N(BH677)</f>
        <v/>
      </c>
      <c r="AX677" s="7">
        <f>N(AL677)*(Assumptions!$B$13*N(BJ677)-(1-Assumptions!$B$13)*Assumptions!$B$14)+N(AM677)</f>
        <v/>
      </c>
      <c r="AY677" s="7">
        <f>N(AU677)*N(R677)/90+N(AV677)+N(AW677)+N(AX677)</f>
        <v/>
      </c>
      <c r="AZ677" s="3">
        <f>IF(N(R677)&lt;=0,0,(N(AY677)-N(AX677))*90/N(R677))</f>
        <v/>
      </c>
      <c r="BA677" s="7">
        <f>IFERROR(AY677-VLOOKUP($E677,Assumptions!$A$40:$C$43,3,FALSE),"")</f>
        <v/>
      </c>
      <c r="BB677" s="3">
        <f>IFERROR(BA677/H677,"")</f>
        <v/>
      </c>
      <c r="BC677">
        <f>IF(AND($G677=TRUE,$E677="GKP"),AY677,"")</f>
        <v/>
      </c>
      <c r="BD677">
        <f>IF(AND($G677=TRUE,$E677="DEF"),AY677,"")</f>
        <v/>
      </c>
      <c r="BE677">
        <f>IF(AND($G677=TRUE,$E677="MID"),AY677,"")</f>
        <v/>
      </c>
      <c r="BF677">
        <f>IF(AND($G677=TRUE,$E677="FWD"),AY677,"")</f>
        <v/>
      </c>
      <c r="BG677" t="n">
        <v>2</v>
      </c>
      <c r="BH677" t="n">
        <v>2</v>
      </c>
      <c r="BI677" t="n">
        <v>1</v>
      </c>
      <c r="BJ677" t="n">
        <v>5</v>
      </c>
    </row>
    <row r="678">
      <c r="A678" t="inlineStr">
        <is>
          <t>Jens Hjertø-Dahl</t>
        </is>
      </c>
      <c r="B678" t="inlineStr">
        <is>
          <t>HUL</t>
        </is>
      </c>
      <c r="D678" t="b">
        <v>0</v>
      </c>
      <c r="E678" t="inlineStr">
        <is>
          <t>MID</t>
        </is>
      </c>
      <c r="G678" t="b">
        <v>1</v>
      </c>
      <c r="H678" s="2" t="n">
        <v>5</v>
      </c>
      <c r="I678" t="inlineStr">
        <is>
          <t>a</t>
        </is>
      </c>
      <c r="K678" s="2" t="n"/>
      <c r="M678" s="3" t="n">
        <v>1750</v>
      </c>
      <c r="N678" s="8" t="n">
        <v>1750</v>
      </c>
      <c r="O678" s="8" t="n">
        <v>0</v>
      </c>
      <c r="Q678" t="inlineStr">
        <is>
          <t>flat</t>
        </is>
      </c>
      <c r="R678" s="6" t="n">
        <v>1750</v>
      </c>
      <c r="S678" t="inlineStr">
        <is>
          <t>Solio</t>
        </is>
      </c>
      <c r="U678" s="6" t="n">
        <v>85</v>
      </c>
      <c r="V678" s="2" t="n"/>
      <c r="W678" s="7">
        <f>IF(N(U678)&lt;=0,0,MIN(Assumptions!$B$15,N(R678)/N(U678)))</f>
        <v/>
      </c>
      <c r="X678" s="6" t="n">
        <v>0.143</v>
      </c>
      <c r="Y678" s="3" t="n"/>
      <c r="Z678" t="inlineStr"/>
      <c r="AA678" s="3" t="n">
        <v>1</v>
      </c>
      <c r="AB678" s="3" t="n"/>
      <c r="AC678" s="3" t="n"/>
      <c r="AD678" s="3" t="n"/>
      <c r="AE678" s="3" t="n"/>
      <c r="AF678" s="3" t="n">
        <v>0</v>
      </c>
      <c r="AG678" s="3" t="n"/>
      <c r="AH678" s="3" t="n"/>
      <c r="AI678" s="3" t="n">
        <v>3.9421</v>
      </c>
      <c r="AJ678" s="3" t="n">
        <v>1.99</v>
      </c>
      <c r="AK678" s="3" t="n">
        <v>-0.2160434166173144</v>
      </c>
      <c r="AL678" s="6" t="n">
        <v>0</v>
      </c>
      <c r="AM678" s="3" t="n">
        <v>0</v>
      </c>
      <c r="AN678" s="3" t="n">
        <v>0</v>
      </c>
      <c r="AO678" s="3" t="n">
        <v>0</v>
      </c>
      <c r="AP678" s="3">
        <f>N(X678)*N(BI678)</f>
        <v/>
      </c>
      <c r="AQ678" s="3" t="n">
        <v>0</v>
      </c>
      <c r="AR678" s="3" t="n">
        <v>0</v>
      </c>
      <c r="AS678" s="3" t="n">
        <v>-0</v>
      </c>
      <c r="AT678" s="3" t="n">
        <v>-0.2160434166173144</v>
      </c>
      <c r="AU678" s="3">
        <f>SUM(AN678:AT678)</f>
        <v/>
      </c>
      <c r="AV678" s="7">
        <f>IF(OR(N(W678)&lt;=0,N(BG678)=0),0,N(W678)*IF(N(R678)/N(W678)&gt;=60,N(BG678),1))</f>
        <v/>
      </c>
      <c r="AW678" s="7">
        <f>N(W678)*N(AF678)*N(BH678)</f>
        <v/>
      </c>
      <c r="AX678" s="7">
        <f>N(AL678)*(Assumptions!$B$13*N(BJ678)-(1-Assumptions!$B$13)*Assumptions!$B$14)+N(AM678)</f>
        <v/>
      </c>
      <c r="AY678" s="7">
        <f>N(AU678)*N(R678)/90+N(AV678)+N(AW678)+N(AX678)</f>
        <v/>
      </c>
      <c r="AZ678" s="3">
        <f>IF(N(R678)&lt;=0,0,(N(AY678)-N(AX678))*90/N(R678))</f>
        <v/>
      </c>
      <c r="BA678" s="7">
        <f>IFERROR(AY678-VLOOKUP($E678,Assumptions!$A$40:$C$43,3,FALSE),"")</f>
        <v/>
      </c>
      <c r="BB678" s="3">
        <f>IFERROR(BA678/H678,"")</f>
        <v/>
      </c>
      <c r="BC678">
        <f>IF(AND($G678=TRUE,$E678="GKP"),AY678,"")</f>
        <v/>
      </c>
      <c r="BD678">
        <f>IF(AND($G678=TRUE,$E678="DEF"),AY678,"")</f>
        <v/>
      </c>
      <c r="BE678">
        <f>IF(AND($G678=TRUE,$E678="MID"),AY678,"")</f>
        <v/>
      </c>
      <c r="BF678">
        <f>IF(AND($G678=TRUE,$E678="FWD"),AY678,"")</f>
        <v/>
      </c>
      <c r="BG678" t="n">
        <v>2</v>
      </c>
      <c r="BH678" t="n">
        <v>2</v>
      </c>
      <c r="BI678" t="n">
        <v>1</v>
      </c>
      <c r="BJ678" t="n">
        <v>5</v>
      </c>
    </row>
    <row r="679">
      <c r="A679" t="inlineStr">
        <is>
          <t>Óscar Zambrano</t>
        </is>
      </c>
      <c r="B679" t="inlineStr">
        <is>
          <t>HUL</t>
        </is>
      </c>
      <c r="D679" t="b">
        <v>0</v>
      </c>
      <c r="E679" t="inlineStr">
        <is>
          <t>MID</t>
        </is>
      </c>
      <c r="G679" t="b">
        <v>1</v>
      </c>
      <c r="H679" s="2" t="n">
        <v>4.5</v>
      </c>
      <c r="I679" t="inlineStr">
        <is>
          <t>i</t>
        </is>
      </c>
      <c r="J679" t="inlineStr">
        <is>
          <t>Thigh injury - Unknown return date</t>
        </is>
      </c>
      <c r="K679" s="2" t="n"/>
      <c r="M679" s="3" t="n">
        <v>88</v>
      </c>
      <c r="N679" s="8" t="n">
        <v>88</v>
      </c>
      <c r="O679" s="8" t="n">
        <v>0</v>
      </c>
      <c r="Q679" t="inlineStr">
        <is>
          <t>flat</t>
        </is>
      </c>
      <c r="R679" s="6" t="n">
        <v>88</v>
      </c>
      <c r="S679" t="inlineStr">
        <is>
          <t>Solio</t>
        </is>
      </c>
      <c r="U679" s="6" t="n">
        <v>85</v>
      </c>
      <c r="V679" s="2" t="n"/>
      <c r="W679" s="7">
        <f>IF(N(U679)&lt;=0,0,MIN(Assumptions!$B$15,N(R679)/N(U679)))</f>
        <v/>
      </c>
      <c r="X679" s="6" t="n">
        <v>0.143</v>
      </c>
      <c r="Y679" s="3" t="n"/>
      <c r="Z679" t="inlineStr"/>
      <c r="AA679" s="3" t="n">
        <v>1</v>
      </c>
      <c r="AB679" s="3" t="n"/>
      <c r="AC679" s="3" t="n"/>
      <c r="AD679" s="3" t="n"/>
      <c r="AE679" s="3" t="n"/>
      <c r="AF679" s="3" t="n">
        <v>0</v>
      </c>
      <c r="AG679" s="3" t="n"/>
      <c r="AH679" s="3" t="n"/>
      <c r="AI679" s="3" t="n">
        <v>3.9421</v>
      </c>
      <c r="AJ679" s="3" t="n">
        <v>1.99</v>
      </c>
      <c r="AK679" s="3" t="n">
        <v>-0.2160434166173144</v>
      </c>
      <c r="AL679" s="6" t="n">
        <v>0</v>
      </c>
      <c r="AM679" s="3" t="n">
        <v>0</v>
      </c>
      <c r="AN679" s="3" t="n">
        <v>0</v>
      </c>
      <c r="AO679" s="3" t="n">
        <v>0</v>
      </c>
      <c r="AP679" s="3">
        <f>N(X679)*N(BI679)</f>
        <v/>
      </c>
      <c r="AQ679" s="3" t="n">
        <v>0</v>
      </c>
      <c r="AR679" s="3" t="n">
        <v>0</v>
      </c>
      <c r="AS679" s="3" t="n">
        <v>-0</v>
      </c>
      <c r="AT679" s="3" t="n">
        <v>-0.2160434166173144</v>
      </c>
      <c r="AU679" s="3">
        <f>SUM(AN679:AT679)</f>
        <v/>
      </c>
      <c r="AV679" s="7">
        <f>IF(OR(N(W679)&lt;=0,N(BG679)=0),0,N(W679)*IF(N(R679)/N(W679)&gt;=60,N(BG679),1))</f>
        <v/>
      </c>
      <c r="AW679" s="7">
        <f>N(W679)*N(AF679)*N(BH679)</f>
        <v/>
      </c>
      <c r="AX679" s="7">
        <f>N(AL679)*(Assumptions!$B$13*N(BJ679)-(1-Assumptions!$B$13)*Assumptions!$B$14)+N(AM679)</f>
        <v/>
      </c>
      <c r="AY679" s="7">
        <f>N(AU679)*N(R679)/90+N(AV679)+N(AW679)+N(AX679)</f>
        <v/>
      </c>
      <c r="AZ679" s="3">
        <f>IF(N(R679)&lt;=0,0,(N(AY679)-N(AX679))*90/N(R679))</f>
        <v/>
      </c>
      <c r="BA679" s="7">
        <f>IFERROR(AY679-VLOOKUP($E679,Assumptions!$A$40:$C$43,3,FALSE),"")</f>
        <v/>
      </c>
      <c r="BB679" s="3">
        <f>IFERROR(BA679/H679,"")</f>
        <v/>
      </c>
      <c r="BC679">
        <f>IF(AND($G679=TRUE,$E679="GKP"),AY679,"")</f>
        <v/>
      </c>
      <c r="BD679">
        <f>IF(AND($G679=TRUE,$E679="DEF"),AY679,"")</f>
        <v/>
      </c>
      <c r="BE679">
        <f>IF(AND($G679=TRUE,$E679="MID"),AY679,"")</f>
        <v/>
      </c>
      <c r="BF679">
        <f>IF(AND($G679=TRUE,$E679="FWD"),AY679,"")</f>
        <v/>
      </c>
      <c r="BG679" t="n">
        <v>2</v>
      </c>
      <c r="BH679" t="n">
        <v>2</v>
      </c>
      <c r="BI679" t="n">
        <v>1</v>
      </c>
      <c r="BJ679" t="n">
        <v>5</v>
      </c>
    </row>
    <row r="680">
      <c r="A680" t="inlineStr">
        <is>
          <t>Ewen Jaouen</t>
        </is>
      </c>
      <c r="B680" t="inlineStr">
        <is>
          <t>NEW</t>
        </is>
      </c>
      <c r="D680" t="b">
        <v>0</v>
      </c>
      <c r="E680" t="inlineStr">
        <is>
          <t>GKP</t>
        </is>
      </c>
      <c r="G680" t="b">
        <v>1</v>
      </c>
      <c r="H680" s="2" t="n">
        <v>4.5</v>
      </c>
      <c r="I680" t="inlineStr">
        <is>
          <t>a</t>
        </is>
      </c>
      <c r="K680" s="2" t="n"/>
      <c r="M680" s="3" t="n">
        <v>34</v>
      </c>
      <c r="N680" s="8" t="n">
        <v>34</v>
      </c>
      <c r="O680" s="8" t="n">
        <v>0</v>
      </c>
      <c r="Q680" t="inlineStr">
        <is>
          <t>flat</t>
        </is>
      </c>
      <c r="R680" s="6" t="n">
        <v>34</v>
      </c>
      <c r="S680" t="inlineStr">
        <is>
          <t>Solio</t>
        </is>
      </c>
      <c r="U680" s="6" t="n">
        <v>85</v>
      </c>
      <c r="V680" s="2" t="n"/>
      <c r="W680" s="7">
        <f>IF(N(U680)&lt;=0,0,MIN(Assumptions!$B$15,N(R680)/N(U680)))</f>
        <v/>
      </c>
      <c r="X680" s="6" t="n">
        <v>0.248</v>
      </c>
      <c r="Y680" s="3" t="n"/>
      <c r="Z680" t="inlineStr"/>
      <c r="AA680" s="3" t="n">
        <v>1</v>
      </c>
      <c r="AB680" s="3" t="n"/>
      <c r="AC680" s="3" t="n"/>
      <c r="AD680" s="3" t="n"/>
      <c r="AE680" s="3" t="n">
        <v>0</v>
      </c>
      <c r="AF680" s="3" t="n">
        <v>0</v>
      </c>
      <c r="AG680" s="3" t="n"/>
      <c r="AH680" s="3" t="n"/>
      <c r="AI680" s="3" t="n">
        <v>3.0912</v>
      </c>
      <c r="AJ680" s="3" t="n">
        <v>1.4534</v>
      </c>
      <c r="AK680" s="3" t="n">
        <v>-0.0763216474948735</v>
      </c>
      <c r="AL680" s="6" t="n">
        <v>0</v>
      </c>
      <c r="AM680" s="3" t="n">
        <v>0.0308459158642866</v>
      </c>
      <c r="AN680" s="3" t="n">
        <v>0</v>
      </c>
      <c r="AO680" s="3" t="n">
        <v>0</v>
      </c>
      <c r="AP680" s="3">
        <f>N(X680)*N(BI680)</f>
        <v/>
      </c>
      <c r="AQ680" s="3" t="n">
        <v>0</v>
      </c>
      <c r="AR680" s="3" t="n">
        <v>0.6950146973483665</v>
      </c>
      <c r="AS680" s="3" t="n">
        <v>-0.4903625828545308</v>
      </c>
      <c r="AT680" s="3" t="n">
        <v>-0.0763216474948735</v>
      </c>
      <c r="AU680" s="3">
        <f>SUM(AN680:AT680)</f>
        <v/>
      </c>
      <c r="AV680" s="7">
        <f>IF(OR(N(W680)&lt;=0,N(BG680)=0),0,N(W680)*IF(N(R680)/N(W680)&gt;=60,N(BG680),1))</f>
        <v/>
      </c>
      <c r="AW680" s="7">
        <f>N(W680)*N(AF680)*N(BH680)</f>
        <v/>
      </c>
      <c r="AX680" s="7">
        <f>N(AL680)*(Assumptions!$B$13*N(BJ680)-(1-Assumptions!$B$13)*Assumptions!$B$14)+N(AM680)</f>
        <v/>
      </c>
      <c r="AY680" s="7">
        <f>N(AU680)*N(R680)/90+N(AV680)+N(AW680)+N(AX680)</f>
        <v/>
      </c>
      <c r="AZ680" s="3">
        <f>IF(N(R680)&lt;=0,0,(N(AY680)-N(AX680))*90/N(R680))</f>
        <v/>
      </c>
      <c r="BA680" s="7">
        <f>IFERROR(AY680-VLOOKUP($E680,Assumptions!$A$40:$C$43,3,FALSE),"")</f>
        <v/>
      </c>
      <c r="BB680" s="3">
        <f>IFERROR(BA680/H680,"")</f>
        <v/>
      </c>
      <c r="BC680">
        <f>IF(AND($G680=TRUE,$E680="GKP"),AY680,"")</f>
        <v/>
      </c>
      <c r="BD680">
        <f>IF(AND($G680=TRUE,$E680="DEF"),AY680,"")</f>
        <v/>
      </c>
      <c r="BE680">
        <f>IF(AND($G680=TRUE,$E680="MID"),AY680,"")</f>
        <v/>
      </c>
      <c r="BF680">
        <f>IF(AND($G680=TRUE,$E680="FWD"),AY680,"")</f>
        <v/>
      </c>
      <c r="BG680" t="n">
        <v>2</v>
      </c>
      <c r="BH680" t="n">
        <v>0</v>
      </c>
      <c r="BI680" t="n">
        <v>4</v>
      </c>
      <c r="BJ680" t="n">
        <v>10</v>
      </c>
    </row>
    <row r="681">
      <c r="A681" t="inlineStr">
        <is>
          <t>Sindre Walle Egeli</t>
        </is>
      </c>
      <c r="B681" t="inlineStr">
        <is>
          <t>IPS</t>
        </is>
      </c>
      <c r="D681" t="b">
        <v>0</v>
      </c>
      <c r="E681" t="inlineStr">
        <is>
          <t>FWD</t>
        </is>
      </c>
      <c r="G681" t="b">
        <v>1</v>
      </c>
      <c r="H681" s="2" t="n">
        <v>4.5</v>
      </c>
      <c r="I681" t="inlineStr">
        <is>
          <t>a</t>
        </is>
      </c>
      <c r="K681" s="2" t="n"/>
      <c r="M681" s="3" t="n">
        <v>616</v>
      </c>
      <c r="N681" s="8" t="n">
        <v>616</v>
      </c>
      <c r="O681" s="8" t="n">
        <v>0</v>
      </c>
      <c r="Q681" t="inlineStr">
        <is>
          <t>flat</t>
        </is>
      </c>
      <c r="R681" s="6" t="n">
        <v>616</v>
      </c>
      <c r="S681" t="inlineStr">
        <is>
          <t>Solio</t>
        </is>
      </c>
      <c r="U681" s="6" t="n">
        <v>85</v>
      </c>
      <c r="V681" s="2" t="n"/>
      <c r="W681" s="7">
        <f>IF(N(U681)&lt;=0,0,MIN(Assumptions!$B$15,N(R681)/N(U681)))</f>
        <v/>
      </c>
      <c r="X681" s="6" t="n">
        <v>0.17</v>
      </c>
      <c r="Y681" s="3" t="n"/>
      <c r="Z681" t="inlineStr"/>
      <c r="AA681" s="3" t="n">
        <v>1</v>
      </c>
      <c r="AB681" s="3" t="n"/>
      <c r="AC681" s="3" t="n"/>
      <c r="AD681" s="3" t="n"/>
      <c r="AE681" s="3" t="n"/>
      <c r="AF681" s="3" t="n">
        <v>0</v>
      </c>
      <c r="AG681" s="3" t="n"/>
      <c r="AH681" s="3" t="n"/>
      <c r="AI681" s="3" t="n">
        <v>3.5741</v>
      </c>
      <c r="AJ681" s="3" t="n">
        <v>1.8319</v>
      </c>
      <c r="AK681" s="3" t="n">
        <v>-0.174691292596322</v>
      </c>
      <c r="AL681" s="6" t="n">
        <v>0</v>
      </c>
      <c r="AM681" s="3" t="n">
        <v>0</v>
      </c>
      <c r="AN681" s="3" t="n">
        <v>0</v>
      </c>
      <c r="AO681" s="3" t="n">
        <v>0</v>
      </c>
      <c r="AP681" s="3">
        <f>N(X681)*N(BI681)</f>
        <v/>
      </c>
      <c r="AQ681" s="3" t="n">
        <v>0</v>
      </c>
      <c r="AR681" s="3" t="n">
        <v>0</v>
      </c>
      <c r="AS681" s="3" t="n">
        <v>-0</v>
      </c>
      <c r="AT681" s="3" t="n">
        <v>-0.174691292596322</v>
      </c>
      <c r="AU681" s="3">
        <f>SUM(AN681:AT681)</f>
        <v/>
      </c>
      <c r="AV681" s="7">
        <f>IF(OR(N(W681)&lt;=0,N(BG681)=0),0,N(W681)*IF(N(R681)/N(W681)&gt;=60,N(BG681),1))</f>
        <v/>
      </c>
      <c r="AW681" s="7">
        <f>N(W681)*N(AF681)*N(BH681)</f>
        <v/>
      </c>
      <c r="AX681" s="7">
        <f>N(AL681)*(Assumptions!$B$13*N(BJ681)-(1-Assumptions!$B$13)*Assumptions!$B$14)+N(AM681)</f>
        <v/>
      </c>
      <c r="AY681" s="7">
        <f>N(AU681)*N(R681)/90+N(AV681)+N(AW681)+N(AX681)</f>
        <v/>
      </c>
      <c r="AZ681" s="3">
        <f>IF(N(R681)&lt;=0,0,(N(AY681)-N(AX681))*90/N(R681))</f>
        <v/>
      </c>
      <c r="BA681" s="7">
        <f>IFERROR(AY681-VLOOKUP($E681,Assumptions!$A$40:$C$43,3,FALSE),"")</f>
        <v/>
      </c>
      <c r="BB681" s="3">
        <f>IFERROR(BA681/H681,"")</f>
        <v/>
      </c>
      <c r="BC681">
        <f>IF(AND($G681=TRUE,$E681="GKP"),AY681,"")</f>
        <v/>
      </c>
      <c r="BD681">
        <f>IF(AND($G681=TRUE,$E681="DEF"),AY681,"")</f>
        <v/>
      </c>
      <c r="BE681">
        <f>IF(AND($G681=TRUE,$E681="MID"),AY681,"")</f>
        <v/>
      </c>
      <c r="BF681">
        <f>IF(AND($G681=TRUE,$E681="FWD"),AY681,"")</f>
        <v/>
      </c>
      <c r="BG681" t="n">
        <v>2</v>
      </c>
      <c r="BH681" t="n">
        <v>2</v>
      </c>
      <c r="BI681" t="n">
        <v>0</v>
      </c>
      <c r="BJ681" t="n">
        <v>4</v>
      </c>
    </row>
    <row r="682">
      <c r="A682" t="inlineStr">
        <is>
          <t>Jamaldeen Jimoh-Aloba</t>
        </is>
      </c>
      <c r="C682" t="inlineStr">
        <is>
          <t>AVL</t>
        </is>
      </c>
      <c r="D682" t="b">
        <v>0</v>
      </c>
      <c r="F682" t="inlineStr">
        <is>
          <t>MID</t>
        </is>
      </c>
      <c r="G682" t="b">
        <v>0</v>
      </c>
      <c r="H682" s="2" t="n"/>
      <c r="K682" s="2" t="n">
        <v>8</v>
      </c>
      <c r="M682" s="3" t="n"/>
      <c r="N682" s="8" t="n">
        <v>8</v>
      </c>
      <c r="O682" s="8" t="n">
        <v>0</v>
      </c>
      <c r="R682" s="6" t="n">
        <v>8</v>
      </c>
      <c r="S682" t="inlineStr">
        <is>
          <t>25/26 actual</t>
        </is>
      </c>
      <c r="U682" s="6" t="n">
        <v>80.09999999999999</v>
      </c>
      <c r="V682" s="2" t="n">
        <v>0</v>
      </c>
      <c r="W682" s="7">
        <f>IF(N(U682)&lt;=0,0,MIN(Assumptions!$B$15,N(R682)/N(U682)))</f>
        <v/>
      </c>
      <c r="X682" s="6" t="n"/>
      <c r="Y682" s="3" t="n"/>
      <c r="Z682" t="inlineStr"/>
      <c r="AA682" s="3" t="n">
        <v>1</v>
      </c>
      <c r="AB682" s="3" t="n">
        <v>1</v>
      </c>
      <c r="AC682" s="3" t="n">
        <v>0</v>
      </c>
      <c r="AD682" s="3" t="n"/>
      <c r="AE682" s="3" t="n">
        <v>8.606</v>
      </c>
      <c r="AF682" s="3" t="n">
        <v>0</v>
      </c>
      <c r="AG682" s="3" t="n">
        <v>0</v>
      </c>
      <c r="AH682" s="3" t="n">
        <v>1</v>
      </c>
      <c r="AI682" s="3" t="n"/>
      <c r="AJ682" s="3" t="n"/>
      <c r="AK682" s="3" t="n"/>
      <c r="AL682" s="6" t="n">
        <v>0</v>
      </c>
      <c r="AM682" s="3" t="n">
        <v>0</v>
      </c>
      <c r="AN682" s="3" t="n">
        <v>0</v>
      </c>
      <c r="AO682" s="3" t="n">
        <v>0</v>
      </c>
      <c r="AP682" s="3">
        <f>N(X682)*N(BI682)</f>
        <v/>
      </c>
      <c r="AQ682" s="3" t="n">
        <v>0</v>
      </c>
      <c r="AR682" s="3" t="n">
        <v>0</v>
      </c>
      <c r="AS682" s="3" t="n">
        <v>0</v>
      </c>
      <c r="AT682" s="3" t="n">
        <v>0</v>
      </c>
      <c r="AU682" s="3">
        <f>SUM(AN682:AT682)</f>
        <v/>
      </c>
      <c r="AV682" s="7">
        <f>IF(OR(N(W682)&lt;=0,N(BG682)=0),0,N(W682)*IF(N(R682)/N(W682)&gt;=60,N(BG682),1))</f>
        <v/>
      </c>
      <c r="AW682" s="7">
        <f>N(W682)*N(AF682)*N(BH682)</f>
        <v/>
      </c>
      <c r="AX682" s="7">
        <f>N(AL682)*(Assumptions!$B$13*N(BJ682)-(1-Assumptions!$B$13)*Assumptions!$B$14)+N(AM682)</f>
        <v/>
      </c>
      <c r="AY682" s="7">
        <f>N(AU682)*N(R682)/90+N(AV682)+N(AW682)+N(AX682)</f>
        <v/>
      </c>
      <c r="AZ682" s="3">
        <f>IF(N(R682)&lt;=0,0,(N(AY682)-N(AX682))*90/N(R682))</f>
        <v/>
      </c>
      <c r="BA682" s="7">
        <f>IFERROR(AY682-VLOOKUP($E682,Assumptions!$A$40:$C$43,3,FALSE),"")</f>
        <v/>
      </c>
      <c r="BB682" s="3">
        <f>IFERROR(BA682/H682,"")</f>
        <v/>
      </c>
      <c r="BC682">
        <f>IF(AND($G682=TRUE,$E682="GKP"),AY682,"")</f>
        <v/>
      </c>
      <c r="BD682">
        <f>IF(AND($G682=TRUE,$E682="DEF"),AY682,"")</f>
        <v/>
      </c>
      <c r="BE682">
        <f>IF(AND($G682=TRUE,$E682="MID"),AY682,"")</f>
        <v/>
      </c>
      <c r="BF682">
        <f>IF(AND($G682=TRUE,$E682="FWD"),AY682,"")</f>
        <v/>
      </c>
      <c r="BG682" t="n">
        <v>0</v>
      </c>
      <c r="BH682" t="n">
        <v>0</v>
      </c>
      <c r="BI682" t="n">
        <v>0</v>
      </c>
      <c r="BJ682" t="n">
        <v>0</v>
      </c>
    </row>
    <row r="683">
      <c r="A683" t="inlineStr">
        <is>
          <t>Álvaro Rodríguez</t>
        </is>
      </c>
      <c r="B683" t="inlineStr">
        <is>
          <t>BOU</t>
        </is>
      </c>
      <c r="D683" t="b">
        <v>0</v>
      </c>
      <c r="E683" t="inlineStr">
        <is>
          <t>FWD</t>
        </is>
      </c>
      <c r="G683" t="b">
        <v>1</v>
      </c>
      <c r="H683" s="2" t="n">
        <v>6</v>
      </c>
      <c r="I683" t="inlineStr">
        <is>
          <t>a</t>
        </is>
      </c>
      <c r="K683" s="2" t="n"/>
      <c r="M683" s="3" t="n">
        <v>719</v>
      </c>
      <c r="N683" s="4" t="n">
        <v>1350</v>
      </c>
      <c r="O683" s="4" t="n">
        <v>631</v>
      </c>
      <c r="P683" s="5" t="inlineStr">
        <is>
          <t>medium</t>
        </is>
      </c>
      <c r="Q683" t="inlineStr">
        <is>
          <t>flat</t>
        </is>
      </c>
      <c r="R683" s="6" t="n">
        <v>1350</v>
      </c>
      <c r="S683" t="inlineStr">
        <is>
          <t>research</t>
        </is>
      </c>
      <c r="T683" s="5" t="inlineStr">
        <is>
          <t>A c.GBP 25.7m striker signed 14 Jul on a five-year deal, explicitly briefed as competition for Evanilson and as Enes Unal's successor in the relief-striker role. With Kroupi out until roughly the turn of the year and Unal now sold, he is the only backup centre-forward at the club for the first third of the season, on top of a Europa League league phase. 719 minutes is a bench-warmer's allocation for a club-record-bracket signing. Held to 1350 rather than higher because he is currently a 75% doubt with an unspecified injury and missed both the Betis and Mainz friendlies.</t>
        </is>
      </c>
      <c r="U683" s="6" t="n">
        <v>85</v>
      </c>
      <c r="V683" s="2" t="n"/>
      <c r="W683" s="7">
        <f>IF(N(U683)&lt;=0,0,MIN(Assumptions!$B$15,N(R683)/N(U683)))</f>
        <v/>
      </c>
      <c r="X683" s="6" t="n">
        <v>0.23</v>
      </c>
      <c r="Y683" s="3" t="n"/>
      <c r="Z683" t="inlineStr"/>
      <c r="AA683" s="3" t="n">
        <v>1</v>
      </c>
      <c r="AB683" s="3" t="n"/>
      <c r="AC683" s="3" t="n"/>
      <c r="AD683" s="3" t="n"/>
      <c r="AE683" s="3" t="n"/>
      <c r="AF683" s="3" t="n">
        <v>0</v>
      </c>
      <c r="AG683" s="3" t="n"/>
      <c r="AH683" s="3" t="n"/>
      <c r="AI683" s="3" t="n">
        <v>3.0957</v>
      </c>
      <c r="AJ683" s="3" t="n">
        <v>1.53</v>
      </c>
      <c r="AK683" s="3" t="n">
        <v>-0.174691292596322</v>
      </c>
      <c r="AL683" s="6" t="n">
        <v>0</v>
      </c>
      <c r="AM683" s="3" t="n">
        <v>0</v>
      </c>
      <c r="AN683" s="3" t="n">
        <v>0</v>
      </c>
      <c r="AO683" s="3" t="n">
        <v>0</v>
      </c>
      <c r="AP683" s="3">
        <f>N(X683)*N(BI683)</f>
        <v/>
      </c>
      <c r="AQ683" s="3" t="n">
        <v>0</v>
      </c>
      <c r="AR683" s="3" t="n">
        <v>0</v>
      </c>
      <c r="AS683" s="3" t="n">
        <v>-0</v>
      </c>
      <c r="AT683" s="3" t="n">
        <v>-0.174691292596322</v>
      </c>
      <c r="AU683" s="3">
        <f>SUM(AN683:AT683)</f>
        <v/>
      </c>
      <c r="AV683" s="7">
        <f>IF(OR(N(W683)&lt;=0,N(BG683)=0),0,N(W683)*IF(N(R683)/N(W683)&gt;=60,N(BG683),1))</f>
        <v/>
      </c>
      <c r="AW683" s="7">
        <f>N(W683)*N(AF683)*N(BH683)</f>
        <v/>
      </c>
      <c r="AX683" s="7">
        <f>N(AL683)*(Assumptions!$B$13*N(BJ683)-(1-Assumptions!$B$13)*Assumptions!$B$14)+N(AM683)</f>
        <v/>
      </c>
      <c r="AY683" s="7">
        <f>N(AU683)*N(R683)/90+N(AV683)+N(AW683)+N(AX683)</f>
        <v/>
      </c>
      <c r="AZ683" s="3">
        <f>IF(N(R683)&lt;=0,0,(N(AY683)-N(AX683))*90/N(R683))</f>
        <v/>
      </c>
      <c r="BA683" s="7">
        <f>IFERROR(AY683-VLOOKUP($E683,Assumptions!$A$40:$C$43,3,FALSE),"")</f>
        <v/>
      </c>
      <c r="BB683" s="3">
        <f>IFERROR(BA683/H683,"")</f>
        <v/>
      </c>
      <c r="BC683">
        <f>IF(AND($G683=TRUE,$E683="GKP"),AY683,"")</f>
        <v/>
      </c>
      <c r="BD683">
        <f>IF(AND($G683=TRUE,$E683="DEF"),AY683,"")</f>
        <v/>
      </c>
      <c r="BE683">
        <f>IF(AND($G683=TRUE,$E683="MID"),AY683,"")</f>
        <v/>
      </c>
      <c r="BF683">
        <f>IF(AND($G683=TRUE,$E683="FWD"),AY683,"")</f>
        <v/>
      </c>
      <c r="BG683" t="n">
        <v>2</v>
      </c>
      <c r="BH683" t="n">
        <v>2</v>
      </c>
      <c r="BI683" t="n">
        <v>0</v>
      </c>
      <c r="BJ683" t="n">
        <v>4</v>
      </c>
    </row>
    <row r="684">
      <c r="A684" t="inlineStr">
        <is>
          <t>Eliezer Mayenda</t>
        </is>
      </c>
      <c r="C684" t="inlineStr">
        <is>
          <t>SUN</t>
        </is>
      </c>
      <c r="D684" t="b">
        <v>0</v>
      </c>
      <c r="F684" t="inlineStr">
        <is>
          <t>FWD</t>
        </is>
      </c>
      <c r="G684" t="b">
        <v>0</v>
      </c>
      <c r="H684" s="2" t="n"/>
      <c r="K684" s="2" t="n">
        <v>756</v>
      </c>
      <c r="M684" s="3" t="n"/>
      <c r="N684" s="8" t="n">
        <v>756</v>
      </c>
      <c r="O684" s="8" t="n">
        <v>0</v>
      </c>
      <c r="R684" s="6" t="n">
        <v>756</v>
      </c>
      <c r="S684" t="inlineStr">
        <is>
          <t>25/26 actual</t>
        </is>
      </c>
      <c r="U684" s="6" t="n">
        <v>76.40000000000001</v>
      </c>
      <c r="V684" s="2" t="n">
        <v>8</v>
      </c>
      <c r="W684" s="7">
        <f>IF(N(U684)&lt;=0,0,MIN(Assumptions!$B$15,N(R684)/N(U684)))</f>
        <v/>
      </c>
      <c r="X684" s="6" t="n"/>
      <c r="Y684" s="3" t="n">
        <v>0.2954</v>
      </c>
      <c r="Z684" t="inlineStr">
        <is>
          <t>adjusted xGOT</t>
        </is>
      </c>
      <c r="AA684" s="3" t="n">
        <v>1</v>
      </c>
      <c r="AB684" s="3" t="n">
        <v>1.165</v>
      </c>
      <c r="AC684" s="3" t="n">
        <v>2.1</v>
      </c>
      <c r="AD684" s="3" t="n">
        <v>0.08840000000000001</v>
      </c>
      <c r="AE684" s="3" t="n">
        <v>3.937</v>
      </c>
      <c r="AF684" s="3" t="n">
        <v>0</v>
      </c>
      <c r="AG684" s="3" t="n">
        <v>0.5952</v>
      </c>
      <c r="AH684" s="3" t="n">
        <v>27</v>
      </c>
      <c r="AI684" s="3" t="n"/>
      <c r="AJ684" s="3" t="n"/>
      <c r="AK684" s="3" t="n"/>
      <c r="AL684" s="6" t="n">
        <v>0</v>
      </c>
      <c r="AM684" s="3" t="n">
        <v>0</v>
      </c>
      <c r="AN684" s="3" t="n">
        <v>0</v>
      </c>
      <c r="AO684" s="3" t="n">
        <v>0</v>
      </c>
      <c r="AP684" s="3">
        <f>N(X684)*N(BI684)</f>
        <v/>
      </c>
      <c r="AQ684" s="3" t="n">
        <v>0</v>
      </c>
      <c r="AR684" s="3" t="n">
        <v>0</v>
      </c>
      <c r="AS684" s="3" t="n">
        <v>0</v>
      </c>
      <c r="AT684" s="3" t="n">
        <v>0</v>
      </c>
      <c r="AU684" s="3">
        <f>SUM(AN684:AT684)</f>
        <v/>
      </c>
      <c r="AV684" s="7">
        <f>IF(OR(N(W684)&lt;=0,N(BG684)=0),0,N(W684)*IF(N(R684)/N(W684)&gt;=60,N(BG684),1))</f>
        <v/>
      </c>
      <c r="AW684" s="7">
        <f>N(W684)*N(AF684)*N(BH684)</f>
        <v/>
      </c>
      <c r="AX684" s="7">
        <f>N(AL684)*(Assumptions!$B$13*N(BJ684)-(1-Assumptions!$B$13)*Assumptions!$B$14)+N(AM684)</f>
        <v/>
      </c>
      <c r="AY684" s="7">
        <f>N(AU684)*N(R684)/90+N(AV684)+N(AW684)+N(AX684)</f>
        <v/>
      </c>
      <c r="AZ684" s="3">
        <f>IF(N(R684)&lt;=0,0,(N(AY684)-N(AX684))*90/N(R684))</f>
        <v/>
      </c>
      <c r="BA684" s="7">
        <f>IFERROR(AY684-VLOOKUP($E684,Assumptions!$A$40:$C$43,3,FALSE),"")</f>
        <v/>
      </c>
      <c r="BB684" s="3">
        <f>IFERROR(BA684/H684,"")</f>
        <v/>
      </c>
      <c r="BC684">
        <f>IF(AND($G684=TRUE,$E684="GKP"),AY684,"")</f>
        <v/>
      </c>
      <c r="BD684">
        <f>IF(AND($G684=TRUE,$E684="DEF"),AY684,"")</f>
        <v/>
      </c>
      <c r="BE684">
        <f>IF(AND($G684=TRUE,$E684="MID"),AY684,"")</f>
        <v/>
      </c>
      <c r="BF684">
        <f>IF(AND($G684=TRUE,$E684="FWD"),AY684,"")</f>
        <v/>
      </c>
      <c r="BG684" t="n">
        <v>0</v>
      </c>
      <c r="BH684" t="n">
        <v>0</v>
      </c>
      <c r="BI684" t="n">
        <v>0</v>
      </c>
      <c r="BJ684" t="n">
        <v>0</v>
      </c>
    </row>
    <row r="685">
      <c r="A685" t="inlineStr">
        <is>
          <t>Soungoutou Magassa</t>
        </is>
      </c>
      <c r="C685" t="inlineStr">
        <is>
          <t>WHU</t>
        </is>
      </c>
      <c r="D685" t="b">
        <v>0</v>
      </c>
      <c r="F685" t="inlineStr">
        <is>
          <t>MID</t>
        </is>
      </c>
      <c r="G685" t="b">
        <v>0</v>
      </c>
      <c r="H685" s="2" t="n"/>
      <c r="K685" s="2" t="n">
        <v>979</v>
      </c>
      <c r="M685" s="3" t="n"/>
      <c r="N685" s="8" t="n">
        <v>979</v>
      </c>
      <c r="O685" s="8" t="n">
        <v>0</v>
      </c>
      <c r="R685" s="6" t="n">
        <v>979</v>
      </c>
      <c r="S685" t="inlineStr">
        <is>
          <t>25/26 actual</t>
        </is>
      </c>
      <c r="U685" s="6" t="n">
        <v>76.8</v>
      </c>
      <c r="V685" s="2" t="n">
        <v>11</v>
      </c>
      <c r="W685" s="7">
        <f>IF(N(U685)&lt;=0,0,MIN(Assumptions!$B$15,N(R685)/N(U685)))</f>
        <v/>
      </c>
      <c r="X685" s="6" t="n"/>
      <c r="Y685" s="3" t="n">
        <v>0.0431</v>
      </c>
      <c r="Z685" t="inlineStr">
        <is>
          <t>adjusted xGOT</t>
        </is>
      </c>
      <c r="AA685" s="3" t="n">
        <v>1</v>
      </c>
      <c r="AB685" s="3" t="n">
        <v>1.066</v>
      </c>
      <c r="AC685" s="3" t="n">
        <v>0.4</v>
      </c>
      <c r="AD685" s="3" t="n">
        <v>0.06859999999999999</v>
      </c>
      <c r="AE685" s="3" t="n">
        <v>10.411</v>
      </c>
      <c r="AF685" s="3" t="n">
        <v>0</v>
      </c>
      <c r="AG685" s="3" t="n">
        <v>0.1839</v>
      </c>
      <c r="AH685" s="3" t="n">
        <v>31</v>
      </c>
      <c r="AI685" s="3" t="n"/>
      <c r="AJ685" s="3" t="n"/>
      <c r="AK685" s="3" t="n"/>
      <c r="AL685" s="6" t="n">
        <v>0</v>
      </c>
      <c r="AM685" s="3" t="n">
        <v>0</v>
      </c>
      <c r="AN685" s="3" t="n">
        <v>0</v>
      </c>
      <c r="AO685" s="3" t="n">
        <v>0</v>
      </c>
      <c r="AP685" s="3">
        <f>N(X685)*N(BI685)</f>
        <v/>
      </c>
      <c r="AQ685" s="3" t="n">
        <v>0</v>
      </c>
      <c r="AR685" s="3" t="n">
        <v>0</v>
      </c>
      <c r="AS685" s="3" t="n">
        <v>0</v>
      </c>
      <c r="AT685" s="3" t="n">
        <v>0</v>
      </c>
      <c r="AU685" s="3">
        <f>SUM(AN685:AT685)</f>
        <v/>
      </c>
      <c r="AV685" s="7">
        <f>IF(OR(N(W685)&lt;=0,N(BG685)=0),0,N(W685)*IF(N(R685)/N(W685)&gt;=60,N(BG685),1))</f>
        <v/>
      </c>
      <c r="AW685" s="7">
        <f>N(W685)*N(AF685)*N(BH685)</f>
        <v/>
      </c>
      <c r="AX685" s="7">
        <f>N(AL685)*(Assumptions!$B$13*N(BJ685)-(1-Assumptions!$B$13)*Assumptions!$B$14)+N(AM685)</f>
        <v/>
      </c>
      <c r="AY685" s="7">
        <f>N(AU685)*N(R685)/90+N(AV685)+N(AW685)+N(AX685)</f>
        <v/>
      </c>
      <c r="AZ685" s="3">
        <f>IF(N(R685)&lt;=0,0,(N(AY685)-N(AX685))*90/N(R685))</f>
        <v/>
      </c>
      <c r="BA685" s="7">
        <f>IFERROR(AY685-VLOOKUP($E685,Assumptions!$A$40:$C$43,3,FALSE),"")</f>
        <v/>
      </c>
      <c r="BB685" s="3">
        <f>IFERROR(BA685/H685,"")</f>
        <v/>
      </c>
      <c r="BC685">
        <f>IF(AND($G685=TRUE,$E685="GKP"),AY685,"")</f>
        <v/>
      </c>
      <c r="BD685">
        <f>IF(AND($G685=TRUE,$E685="DEF"),AY685,"")</f>
        <v/>
      </c>
      <c r="BE685">
        <f>IF(AND($G685=TRUE,$E685="MID"),AY685,"")</f>
        <v/>
      </c>
      <c r="BF685">
        <f>IF(AND($G685=TRUE,$E685="FWD"),AY685,"")</f>
        <v/>
      </c>
      <c r="BG685" t="n">
        <v>0</v>
      </c>
      <c r="BH685" t="n">
        <v>0</v>
      </c>
      <c r="BI685" t="n">
        <v>0</v>
      </c>
      <c r="BJ685" t="n">
        <v>0</v>
      </c>
    </row>
    <row r="686">
      <c r="A686" t="inlineStr">
        <is>
          <t>Callum Marshall</t>
        </is>
      </c>
      <c r="C686" t="inlineStr">
        <is>
          <t>WHU</t>
        </is>
      </c>
      <c r="D686" t="b">
        <v>0</v>
      </c>
      <c r="F686" t="inlineStr">
        <is>
          <t>FWD</t>
        </is>
      </c>
      <c r="G686" t="b">
        <v>0</v>
      </c>
      <c r="H686" s="2" t="n"/>
      <c r="K686" s="2" t="n">
        <v>58</v>
      </c>
      <c r="M686" s="3" t="n"/>
      <c r="N686" s="8" t="n">
        <v>58</v>
      </c>
      <c r="O686" s="8" t="n">
        <v>0</v>
      </c>
      <c r="R686" s="6" t="n">
        <v>58</v>
      </c>
      <c r="S686" t="inlineStr">
        <is>
          <t>25/26 actual</t>
        </is>
      </c>
      <c r="U686" s="6" t="n">
        <v>78.5</v>
      </c>
      <c r="V686" s="2" t="n">
        <v>0</v>
      </c>
      <c r="W686" s="7">
        <f>IF(N(U686)&lt;=0,0,MIN(Assumptions!$B$15,N(R686)/N(U686)))</f>
        <v/>
      </c>
      <c r="X686" s="6" t="n"/>
      <c r="Y686" s="3" t="n">
        <v>0.1986</v>
      </c>
      <c r="Z686" t="inlineStr">
        <is>
          <t>adjusted xGOT</t>
        </is>
      </c>
      <c r="AA686" s="3" t="n">
        <v>1</v>
      </c>
      <c r="AB686" s="3" t="n">
        <v>0.984</v>
      </c>
      <c r="AC686" s="3" t="n">
        <v>0.1</v>
      </c>
      <c r="AD686" s="3" t="n">
        <v>0</v>
      </c>
      <c r="AE686" s="3" t="n">
        <v>4.783</v>
      </c>
      <c r="AF686" s="3" t="n">
        <v>0</v>
      </c>
      <c r="AG686" s="3" t="n">
        <v>0</v>
      </c>
      <c r="AH686" s="3" t="n">
        <v>2</v>
      </c>
      <c r="AI686" s="3" t="n"/>
      <c r="AJ686" s="3" t="n"/>
      <c r="AK686" s="3" t="n"/>
      <c r="AL686" s="6" t="n">
        <v>0</v>
      </c>
      <c r="AM686" s="3" t="n">
        <v>0</v>
      </c>
      <c r="AN686" s="3" t="n">
        <v>0</v>
      </c>
      <c r="AO686" s="3" t="n">
        <v>0</v>
      </c>
      <c r="AP686" s="3">
        <f>N(X686)*N(BI686)</f>
        <v/>
      </c>
      <c r="AQ686" s="3" t="n">
        <v>0</v>
      </c>
      <c r="AR686" s="3" t="n">
        <v>0</v>
      </c>
      <c r="AS686" s="3" t="n">
        <v>0</v>
      </c>
      <c r="AT686" s="3" t="n">
        <v>0</v>
      </c>
      <c r="AU686" s="3">
        <f>SUM(AN686:AT686)</f>
        <v/>
      </c>
      <c r="AV686" s="7">
        <f>IF(OR(N(W686)&lt;=0,N(BG686)=0),0,N(W686)*IF(N(R686)/N(W686)&gt;=60,N(BG686),1))</f>
        <v/>
      </c>
      <c r="AW686" s="7">
        <f>N(W686)*N(AF686)*N(BH686)</f>
        <v/>
      </c>
      <c r="AX686" s="7">
        <f>N(AL686)*(Assumptions!$B$13*N(BJ686)-(1-Assumptions!$B$13)*Assumptions!$B$14)+N(AM686)</f>
        <v/>
      </c>
      <c r="AY686" s="7">
        <f>N(AU686)*N(R686)/90+N(AV686)+N(AW686)+N(AX686)</f>
        <v/>
      </c>
      <c r="AZ686" s="3">
        <f>IF(N(R686)&lt;=0,0,(N(AY686)-N(AX686))*90/N(R686))</f>
        <v/>
      </c>
      <c r="BA686" s="7">
        <f>IFERROR(AY686-VLOOKUP($E686,Assumptions!$A$40:$C$43,3,FALSE),"")</f>
        <v/>
      </c>
      <c r="BB686" s="3">
        <f>IFERROR(BA686/H686,"")</f>
        <v/>
      </c>
      <c r="BC686">
        <f>IF(AND($G686=TRUE,$E686="GKP"),AY686,"")</f>
        <v/>
      </c>
      <c r="BD686">
        <f>IF(AND($G686=TRUE,$E686="DEF"),AY686,"")</f>
        <v/>
      </c>
      <c r="BE686">
        <f>IF(AND($G686=TRUE,$E686="MID"),AY686,"")</f>
        <v/>
      </c>
      <c r="BF686">
        <f>IF(AND($G686=TRUE,$E686="FWD"),AY686,"")</f>
        <v/>
      </c>
      <c r="BG686" t="n">
        <v>0</v>
      </c>
      <c r="BH686" t="n">
        <v>0</v>
      </c>
      <c r="BI686" t="n">
        <v>0</v>
      </c>
      <c r="BJ686" t="n">
        <v>0</v>
      </c>
    </row>
    <row r="687">
      <c r="A687" t="inlineStr">
        <is>
          <t>Joe Knight</t>
        </is>
      </c>
      <c r="C687" t="inlineStr">
        <is>
          <t>BHA</t>
        </is>
      </c>
      <c r="D687" t="b">
        <v>0</v>
      </c>
      <c r="F687" t="inlineStr">
        <is>
          <t>MID</t>
        </is>
      </c>
      <c r="G687" t="b">
        <v>0</v>
      </c>
      <c r="H687" s="2" t="n"/>
      <c r="K687" s="2" t="n">
        <v>1</v>
      </c>
      <c r="M687" s="3" t="n"/>
      <c r="N687" s="8" t="n">
        <v>1</v>
      </c>
      <c r="O687" s="8" t="n">
        <v>0</v>
      </c>
      <c r="R687" s="6" t="n">
        <v>1</v>
      </c>
      <c r="S687" t="inlineStr">
        <is>
          <t>25/26 actual</t>
        </is>
      </c>
      <c r="U687" s="6" t="n">
        <v>80.09999999999999</v>
      </c>
      <c r="V687" s="2" t="n">
        <v>0</v>
      </c>
      <c r="W687" s="7">
        <f>IF(N(U687)&lt;=0,0,MIN(Assumptions!$B$15,N(R687)/N(U687)))</f>
        <v/>
      </c>
      <c r="X687" s="6" t="n"/>
      <c r="Y687" s="3" t="n">
        <v>0</v>
      </c>
      <c r="Z687" t="inlineStr">
        <is>
          <t>blended xG</t>
        </is>
      </c>
      <c r="AA687" s="3" t="n">
        <v>1</v>
      </c>
      <c r="AB687" s="3" t="n">
        <v>1</v>
      </c>
      <c r="AC687" s="3" t="n">
        <v>0</v>
      </c>
      <c r="AD687" s="3" t="n">
        <v>0</v>
      </c>
      <c r="AE687" s="3" t="n">
        <v>8.565</v>
      </c>
      <c r="AF687" s="3" t="n">
        <v>0</v>
      </c>
      <c r="AG687" s="3" t="n">
        <v>0</v>
      </c>
      <c r="AH687" s="3" t="n">
        <v>1</v>
      </c>
      <c r="AI687" s="3" t="n"/>
      <c r="AJ687" s="3" t="n"/>
      <c r="AK687" s="3" t="n"/>
      <c r="AL687" s="6" t="n">
        <v>0</v>
      </c>
      <c r="AM687" s="3" t="n">
        <v>0</v>
      </c>
      <c r="AN687" s="3" t="n">
        <v>0</v>
      </c>
      <c r="AO687" s="3" t="n">
        <v>0</v>
      </c>
      <c r="AP687" s="3">
        <f>N(X687)*N(BI687)</f>
        <v/>
      </c>
      <c r="AQ687" s="3" t="n">
        <v>0</v>
      </c>
      <c r="AR687" s="3" t="n">
        <v>0</v>
      </c>
      <c r="AS687" s="3" t="n">
        <v>0</v>
      </c>
      <c r="AT687" s="3" t="n">
        <v>0</v>
      </c>
      <c r="AU687" s="3">
        <f>SUM(AN687:AT687)</f>
        <v/>
      </c>
      <c r="AV687" s="7">
        <f>IF(OR(N(W687)&lt;=0,N(BG687)=0),0,N(W687)*IF(N(R687)/N(W687)&gt;=60,N(BG687),1))</f>
        <v/>
      </c>
      <c r="AW687" s="7">
        <f>N(W687)*N(AF687)*N(BH687)</f>
        <v/>
      </c>
      <c r="AX687" s="7">
        <f>N(AL687)*(Assumptions!$B$13*N(BJ687)-(1-Assumptions!$B$13)*Assumptions!$B$14)+N(AM687)</f>
        <v/>
      </c>
      <c r="AY687" s="7">
        <f>N(AU687)*N(R687)/90+N(AV687)+N(AW687)+N(AX687)</f>
        <v/>
      </c>
      <c r="AZ687" s="3">
        <f>IF(N(R687)&lt;=0,0,(N(AY687)-N(AX687))*90/N(R687))</f>
        <v/>
      </c>
      <c r="BA687" s="7">
        <f>IFERROR(AY687-VLOOKUP($E687,Assumptions!$A$40:$C$43,3,FALSE),"")</f>
        <v/>
      </c>
      <c r="BB687" s="3">
        <f>IFERROR(BA687/H687,"")</f>
        <v/>
      </c>
      <c r="BC687">
        <f>IF(AND($G687=TRUE,$E687="GKP"),AY687,"")</f>
        <v/>
      </c>
      <c r="BD687">
        <f>IF(AND($G687=TRUE,$E687="DEF"),AY687,"")</f>
        <v/>
      </c>
      <c r="BE687">
        <f>IF(AND($G687=TRUE,$E687="MID"),AY687,"")</f>
        <v/>
      </c>
      <c r="BF687">
        <f>IF(AND($G687=TRUE,$E687="FWD"),AY687,"")</f>
        <v/>
      </c>
      <c r="BG687" t="n">
        <v>0</v>
      </c>
      <c r="BH687" t="n">
        <v>0</v>
      </c>
      <c r="BI687" t="n">
        <v>0</v>
      </c>
      <c r="BJ687" t="n">
        <v>0</v>
      </c>
    </row>
    <row r="688">
      <c r="A688" t="inlineStr">
        <is>
          <t>Ousmane Diomande</t>
        </is>
      </c>
      <c r="B688" t="inlineStr">
        <is>
          <t>NFO</t>
        </is>
      </c>
      <c r="D688" t="b">
        <v>0</v>
      </c>
      <c r="E688" t="inlineStr">
        <is>
          <t>DEF</t>
        </is>
      </c>
      <c r="G688" t="b">
        <v>1</v>
      </c>
      <c r="H688" s="2" t="n">
        <v>5.5</v>
      </c>
      <c r="I688" t="inlineStr">
        <is>
          <t>a</t>
        </is>
      </c>
      <c r="K688" s="2" t="n"/>
      <c r="M688" s="3" t="n">
        <v>2861</v>
      </c>
      <c r="N688" s="4" t="n">
        <v>2700</v>
      </c>
      <c r="O688" s="4" t="n">
        <v>-161</v>
      </c>
      <c r="P688" s="5" t="inlineStr">
        <is>
          <t>medium</t>
        </is>
      </c>
      <c r="Q688" t="inlineStr">
        <is>
          <t>flat</t>
        </is>
      </c>
      <c r="R688" s="6" t="n">
        <v>2700</v>
      </c>
      <c r="S688" t="inlineStr">
        <is>
          <t>research</t>
        </is>
      </c>
      <c r="T688" s="5" t="inlineStr">
        <is>
          <t>Signed from Sporting CP on 11 Aug 2026 and started the next day, so the starting role is right. Trimmed only for first-season-in-England adaptation and the fact that Morato and Jair Cunha are established alternatives in the same back three.</t>
        </is>
      </c>
      <c r="U688" s="6" t="n">
        <v>85</v>
      </c>
      <c r="V688" s="2" t="n"/>
      <c r="W688" s="7">
        <f>IF(N(U688)&lt;=0,0,MIN(Assumptions!$B$15,N(R688)/N(U688)))</f>
        <v/>
      </c>
      <c r="X688" s="6" t="n">
        <v>0.224</v>
      </c>
      <c r="Y688" s="3" t="n"/>
      <c r="Z688" t="inlineStr"/>
      <c r="AA688" s="3" t="n">
        <v>1</v>
      </c>
      <c r="AB688" s="3" t="n"/>
      <c r="AC688" s="3" t="n"/>
      <c r="AD688" s="3" t="n"/>
      <c r="AE688" s="3" t="n"/>
      <c r="AF688" s="3" t="n">
        <v>0</v>
      </c>
      <c r="AG688" s="3" t="n"/>
      <c r="AH688" s="3" t="n"/>
      <c r="AI688" s="3" t="n">
        <v>3.1134</v>
      </c>
      <c r="AJ688" s="3" t="n">
        <v>1.5588</v>
      </c>
      <c r="AK688" s="3" t="n">
        <v>-0.2045226422080557</v>
      </c>
      <c r="AL688" s="6" t="n">
        <v>0</v>
      </c>
      <c r="AM688" s="3" t="n">
        <v>0</v>
      </c>
      <c r="AN688" s="3" t="n">
        <v>0</v>
      </c>
      <c r="AO688" s="3" t="n">
        <v>0</v>
      </c>
      <c r="AP688" s="3">
        <f>N(X688)*N(BI688)</f>
        <v/>
      </c>
      <c r="AQ688" s="3" t="n">
        <v>0</v>
      </c>
      <c r="AR688" s="3" t="n">
        <v>0</v>
      </c>
      <c r="AS688" s="3" t="n">
        <v>-0.5404658182244797</v>
      </c>
      <c r="AT688" s="3" t="n">
        <v>-0.2045226422080557</v>
      </c>
      <c r="AU688" s="3">
        <f>SUM(AN688:AT688)</f>
        <v/>
      </c>
      <c r="AV688" s="7">
        <f>IF(OR(N(W688)&lt;=0,N(BG688)=0),0,N(W688)*IF(N(R688)/N(W688)&gt;=60,N(BG688),1))</f>
        <v/>
      </c>
      <c r="AW688" s="7">
        <f>N(W688)*N(AF688)*N(BH688)</f>
        <v/>
      </c>
      <c r="AX688" s="7">
        <f>N(AL688)*(Assumptions!$B$13*N(BJ688)-(1-Assumptions!$B$13)*Assumptions!$B$14)+N(AM688)</f>
        <v/>
      </c>
      <c r="AY688" s="7">
        <f>N(AU688)*N(R688)/90+N(AV688)+N(AW688)+N(AX688)</f>
        <v/>
      </c>
      <c r="AZ688" s="3">
        <f>IF(N(R688)&lt;=0,0,(N(AY688)-N(AX688))*90/N(R688))</f>
        <v/>
      </c>
      <c r="BA688" s="7">
        <f>IFERROR(AY688-VLOOKUP($E688,Assumptions!$A$40:$C$43,3,FALSE),"")</f>
        <v/>
      </c>
      <c r="BB688" s="3">
        <f>IFERROR(BA688/H688,"")</f>
        <v/>
      </c>
      <c r="BC688">
        <f>IF(AND($G688=TRUE,$E688="GKP"),AY688,"")</f>
        <v/>
      </c>
      <c r="BD688">
        <f>IF(AND($G688=TRUE,$E688="DEF"),AY688,"")</f>
        <v/>
      </c>
      <c r="BE688">
        <f>IF(AND($G688=TRUE,$E688="MID"),AY688,"")</f>
        <v/>
      </c>
      <c r="BF688">
        <f>IF(AND($G688=TRUE,$E688="FWD"),AY688,"")</f>
        <v/>
      </c>
      <c r="BG688" t="n">
        <v>2</v>
      </c>
      <c r="BH688" t="n">
        <v>2</v>
      </c>
      <c r="BI688" t="n">
        <v>4</v>
      </c>
      <c r="BJ688" t="n">
        <v>6</v>
      </c>
    </row>
    <row r="689">
      <c r="A689" t="inlineStr">
        <is>
          <t>César Palacios</t>
        </is>
      </c>
      <c r="B689" t="inlineStr">
        <is>
          <t>FUL</t>
        </is>
      </c>
      <c r="D689" t="b">
        <v>0</v>
      </c>
      <c r="E689" t="inlineStr">
        <is>
          <t>MID</t>
        </is>
      </c>
      <c r="G689" t="b">
        <v>1</v>
      </c>
      <c r="H689" s="2" t="n">
        <v>5.5</v>
      </c>
      <c r="I689" t="inlineStr">
        <is>
          <t>a</t>
        </is>
      </c>
      <c r="K689" s="2" t="n"/>
      <c r="M689" s="3" t="n">
        <v>1072</v>
      </c>
      <c r="N689" s="4" t="n">
        <v>1400</v>
      </c>
      <c r="O689" s="4" t="n">
        <v>328</v>
      </c>
      <c r="P689" s="5" t="inlineStr">
        <is>
          <t>medium</t>
        </is>
      </c>
      <c r="Q689" t="inlineStr">
        <is>
          <t>flat</t>
        </is>
      </c>
      <c r="R689" s="6" t="n">
        <v>1400</v>
      </c>
      <c r="S689" t="inlineStr">
        <is>
          <t>research</t>
        </is>
      </c>
      <c r="T689" s="5" t="inlineStr">
        <is>
          <t>Signed from Real Madrid 3 Aug 2026 in the €50m double deal with Gonzalo Garcia; Arbeloa's personal signing from Real Madrid Castilla and handed the No.8 shirt. Started two of the last three friendlies including the final dress rehearsal v Stuttgart on 15 Aug. Solio's 1072 (and a 5 Aug scouting read of 'bench minutes initially') pre-dates those two starts.</t>
        </is>
      </c>
      <c r="U689" s="6" t="n">
        <v>85</v>
      </c>
      <c r="V689" s="2" t="n"/>
      <c r="W689" s="7">
        <f>IF(N(U689)&lt;=0,0,MIN(Assumptions!$B$15,N(R689)/N(U689)))</f>
        <v/>
      </c>
      <c r="X689" s="6" t="n">
        <v>0.214</v>
      </c>
      <c r="Y689" s="3" t="n"/>
      <c r="Z689" t="inlineStr"/>
      <c r="AA689" s="3" t="n">
        <v>1</v>
      </c>
      <c r="AB689" s="3" t="n"/>
      <c r="AC689" s="3" t="n"/>
      <c r="AD689" s="3" t="n"/>
      <c r="AE689" s="3" t="n"/>
      <c r="AF689" s="3" t="n">
        <v>0</v>
      </c>
      <c r="AG689" s="3" t="n"/>
      <c r="AH689" s="3" t="n"/>
      <c r="AI689" s="3" t="n">
        <v>3.22</v>
      </c>
      <c r="AJ689" s="3" t="n">
        <v>1.6019</v>
      </c>
      <c r="AK689" s="3" t="n">
        <v>-0.2160434166173144</v>
      </c>
      <c r="AL689" s="6" t="n">
        <v>0</v>
      </c>
      <c r="AM689" s="3" t="n">
        <v>0</v>
      </c>
      <c r="AN689" s="3" t="n">
        <v>0</v>
      </c>
      <c r="AO689" s="3" t="n">
        <v>0</v>
      </c>
      <c r="AP689" s="3">
        <f>N(X689)*N(BI689)</f>
        <v/>
      </c>
      <c r="AQ689" s="3" t="n">
        <v>0</v>
      </c>
      <c r="AR689" s="3" t="n">
        <v>0</v>
      </c>
      <c r="AS689" s="3" t="n">
        <v>-0</v>
      </c>
      <c r="AT689" s="3" t="n">
        <v>-0.2160434166173144</v>
      </c>
      <c r="AU689" s="3">
        <f>SUM(AN689:AT689)</f>
        <v/>
      </c>
      <c r="AV689" s="7">
        <f>IF(OR(N(W689)&lt;=0,N(BG689)=0),0,N(W689)*IF(N(R689)/N(W689)&gt;=60,N(BG689),1))</f>
        <v/>
      </c>
      <c r="AW689" s="7">
        <f>N(W689)*N(AF689)*N(BH689)</f>
        <v/>
      </c>
      <c r="AX689" s="7">
        <f>N(AL689)*(Assumptions!$B$13*N(BJ689)-(1-Assumptions!$B$13)*Assumptions!$B$14)+N(AM689)</f>
        <v/>
      </c>
      <c r="AY689" s="7">
        <f>N(AU689)*N(R689)/90+N(AV689)+N(AW689)+N(AX689)</f>
        <v/>
      </c>
      <c r="AZ689" s="3">
        <f>IF(N(R689)&lt;=0,0,(N(AY689)-N(AX689))*90/N(R689))</f>
        <v/>
      </c>
      <c r="BA689" s="7">
        <f>IFERROR(AY689-VLOOKUP($E689,Assumptions!$A$40:$C$43,3,FALSE),"")</f>
        <v/>
      </c>
      <c r="BB689" s="3">
        <f>IFERROR(BA689/H689,"")</f>
        <v/>
      </c>
      <c r="BC689">
        <f>IF(AND($G689=TRUE,$E689="GKP"),AY689,"")</f>
        <v/>
      </c>
      <c r="BD689">
        <f>IF(AND($G689=TRUE,$E689="DEF"),AY689,"")</f>
        <v/>
      </c>
      <c r="BE689">
        <f>IF(AND($G689=TRUE,$E689="MID"),AY689,"")</f>
        <v/>
      </c>
      <c r="BF689">
        <f>IF(AND($G689=TRUE,$E689="FWD"),AY689,"")</f>
        <v/>
      </c>
      <c r="BG689" t="n">
        <v>2</v>
      </c>
      <c r="BH689" t="n">
        <v>2</v>
      </c>
      <c r="BI689" t="n">
        <v>1</v>
      </c>
      <c r="BJ689" t="n">
        <v>5</v>
      </c>
    </row>
    <row r="690">
      <c r="A690" t="inlineStr">
        <is>
          <t>Luis Guilherme</t>
        </is>
      </c>
      <c r="C690" t="inlineStr">
        <is>
          <t>WHU</t>
        </is>
      </c>
      <c r="D690" t="b">
        <v>0</v>
      </c>
      <c r="F690" t="inlineStr">
        <is>
          <t>MID</t>
        </is>
      </c>
      <c r="G690" t="b">
        <v>0</v>
      </c>
      <c r="H690" s="2" t="n"/>
      <c r="K690" s="2" t="n">
        <v>121</v>
      </c>
      <c r="M690" s="3" t="n"/>
      <c r="N690" s="8" t="n">
        <v>121</v>
      </c>
      <c r="O690" s="8" t="n">
        <v>0</v>
      </c>
      <c r="R690" s="6" t="n">
        <v>121</v>
      </c>
      <c r="S690" t="inlineStr">
        <is>
          <t>25/26 actual</t>
        </is>
      </c>
      <c r="U690" s="6" t="n">
        <v>76.90000000000001</v>
      </c>
      <c r="V690" s="2" t="n">
        <v>1</v>
      </c>
      <c r="W690" s="7">
        <f>IF(N(U690)&lt;=0,0,MIN(Assumptions!$B$15,N(R690)/N(U690)))</f>
        <v/>
      </c>
      <c r="X690" s="6" t="n"/>
      <c r="Y690" s="3" t="n">
        <v>0.0498</v>
      </c>
      <c r="Z690" t="inlineStr">
        <is>
          <t>adjusted xGOT</t>
        </is>
      </c>
      <c r="AA690" s="3" t="n">
        <v>1</v>
      </c>
      <c r="AB690" s="3" t="n">
        <v>0.954</v>
      </c>
      <c r="AC690" s="3" t="n">
        <v>0.5</v>
      </c>
      <c r="AD690" s="3" t="n">
        <v>0.0385</v>
      </c>
      <c r="AE690" s="3" t="n">
        <v>8.52</v>
      </c>
      <c r="AF690" s="3" t="n">
        <v>0</v>
      </c>
      <c r="AG690" s="3" t="n">
        <v>0</v>
      </c>
      <c r="AH690" s="3" t="n">
        <v>5</v>
      </c>
      <c r="AI690" s="3" t="n"/>
      <c r="AJ690" s="3" t="n"/>
      <c r="AK690" s="3" t="n"/>
      <c r="AL690" s="6" t="n">
        <v>0</v>
      </c>
      <c r="AM690" s="3" t="n">
        <v>0</v>
      </c>
      <c r="AN690" s="3" t="n">
        <v>0</v>
      </c>
      <c r="AO690" s="3" t="n">
        <v>0</v>
      </c>
      <c r="AP690" s="3">
        <f>N(X690)*N(BI690)</f>
        <v/>
      </c>
      <c r="AQ690" s="3" t="n">
        <v>0</v>
      </c>
      <c r="AR690" s="3" t="n">
        <v>0</v>
      </c>
      <c r="AS690" s="3" t="n">
        <v>0</v>
      </c>
      <c r="AT690" s="3" t="n">
        <v>0</v>
      </c>
      <c r="AU690" s="3">
        <f>SUM(AN690:AT690)</f>
        <v/>
      </c>
      <c r="AV690" s="7">
        <f>IF(OR(N(W690)&lt;=0,N(BG690)=0),0,N(W690)*IF(N(R690)/N(W690)&gt;=60,N(BG690),1))</f>
        <v/>
      </c>
      <c r="AW690" s="7">
        <f>N(W690)*N(AF690)*N(BH690)</f>
        <v/>
      </c>
      <c r="AX690" s="7">
        <f>N(AL690)*(Assumptions!$B$13*N(BJ690)-(1-Assumptions!$B$13)*Assumptions!$B$14)+N(AM690)</f>
        <v/>
      </c>
      <c r="AY690" s="7">
        <f>N(AU690)*N(R690)/90+N(AV690)+N(AW690)+N(AX690)</f>
        <v/>
      </c>
      <c r="AZ690" s="3">
        <f>IF(N(R690)&lt;=0,0,(N(AY690)-N(AX690))*90/N(R690))</f>
        <v/>
      </c>
      <c r="BA690" s="7">
        <f>IFERROR(AY690-VLOOKUP($E690,Assumptions!$A$40:$C$43,3,FALSE),"")</f>
        <v/>
      </c>
      <c r="BB690" s="3">
        <f>IFERROR(BA690/H690,"")</f>
        <v/>
      </c>
      <c r="BC690">
        <f>IF(AND($G690=TRUE,$E690="GKP"),AY690,"")</f>
        <v/>
      </c>
      <c r="BD690">
        <f>IF(AND($G690=TRUE,$E690="DEF"),AY690,"")</f>
        <v/>
      </c>
      <c r="BE690">
        <f>IF(AND($G690=TRUE,$E690="MID"),AY690,"")</f>
        <v/>
      </c>
      <c r="BF690">
        <f>IF(AND($G690=TRUE,$E690="FWD"),AY690,"")</f>
        <v/>
      </c>
      <c r="BG690" t="n">
        <v>0</v>
      </c>
      <c r="BH690" t="n">
        <v>0</v>
      </c>
      <c r="BI690" t="n">
        <v>0</v>
      </c>
      <c r="BJ690" t="n">
        <v>0</v>
      </c>
    </row>
    <row r="691">
      <c r="A691" t="inlineStr">
        <is>
          <t>Miguel Brau</t>
        </is>
      </c>
      <c r="B691" t="inlineStr">
        <is>
          <t>COV</t>
        </is>
      </c>
      <c r="D691" t="b">
        <v>0</v>
      </c>
      <c r="E691" t="inlineStr">
        <is>
          <t>DEF</t>
        </is>
      </c>
      <c r="G691" t="b">
        <v>1</v>
      </c>
      <c r="H691" s="2" t="n">
        <v>4</v>
      </c>
      <c r="I691" t="inlineStr">
        <is>
          <t>a</t>
        </is>
      </c>
      <c r="K691" s="2" t="n"/>
      <c r="M691" s="3" t="n">
        <v>0</v>
      </c>
      <c r="N691" s="8" t="n">
        <v>0</v>
      </c>
      <c r="O691" s="8" t="n">
        <v>0</v>
      </c>
      <c r="Q691" t="inlineStr">
        <is>
          <t>flat</t>
        </is>
      </c>
      <c r="R691" s="6" t="n">
        <v>0</v>
      </c>
      <c r="S691" t="inlineStr">
        <is>
          <t>Solio</t>
        </is>
      </c>
      <c r="U691" s="6" t="n">
        <v>85</v>
      </c>
      <c r="V691" s="2" t="n"/>
      <c r="W691" s="7">
        <f>IF(N(U691)&lt;=0,0,MIN(Assumptions!$B$15,N(R691)/N(U691)))</f>
        <v/>
      </c>
      <c r="X691" s="6" t="n">
        <v>0.17</v>
      </c>
      <c r="Y691" s="3" t="n"/>
      <c r="Z691" t="inlineStr"/>
      <c r="AA691" s="3" t="n">
        <v>1</v>
      </c>
      <c r="AB691" s="3" t="n"/>
      <c r="AC691" s="3" t="n"/>
      <c r="AD691" s="3" t="n"/>
      <c r="AE691" s="3" t="n"/>
      <c r="AF691" s="3" t="n">
        <v>0</v>
      </c>
      <c r="AG691" s="3" t="n"/>
      <c r="AH691" s="3" t="n"/>
      <c r="AI691" s="3" t="n">
        <v>3.6194</v>
      </c>
      <c r="AJ691" s="3" t="n">
        <v>1.8271</v>
      </c>
      <c r="AK691" s="3" t="n">
        <v>-0.2045226422080557</v>
      </c>
      <c r="AL691" s="6" t="n">
        <v>0</v>
      </c>
      <c r="AM691" s="3" t="n">
        <v>0</v>
      </c>
      <c r="AN691" s="3" t="n">
        <v>0</v>
      </c>
      <c r="AO691" s="3" t="n">
        <v>0</v>
      </c>
      <c r="AP691" s="3">
        <f>N(X691)*N(BI691)</f>
        <v/>
      </c>
      <c r="AQ691" s="3" t="n">
        <v>0</v>
      </c>
      <c r="AR691" s="3" t="n">
        <v>0</v>
      </c>
      <c r="AS691" s="3" t="n">
        <v>-0.670020548738316</v>
      </c>
      <c r="AT691" s="3" t="n">
        <v>-0.2045226422080557</v>
      </c>
      <c r="AU691" s="3">
        <f>SUM(AN691:AT691)</f>
        <v/>
      </c>
      <c r="AV691" s="7">
        <f>IF(OR(N(W691)&lt;=0,N(BG691)=0),0,N(W691)*IF(N(R691)/N(W691)&gt;=60,N(BG691),1))</f>
        <v/>
      </c>
      <c r="AW691" s="7">
        <f>N(W691)*N(AF691)*N(BH691)</f>
        <v/>
      </c>
      <c r="AX691" s="7">
        <f>N(AL691)*(Assumptions!$B$13*N(BJ691)-(1-Assumptions!$B$13)*Assumptions!$B$14)+N(AM691)</f>
        <v/>
      </c>
      <c r="AY691" s="7">
        <f>N(AU691)*N(R691)/90+N(AV691)+N(AW691)+N(AX691)</f>
        <v/>
      </c>
      <c r="AZ691" s="3">
        <f>IF(N(R691)&lt;=0,0,(N(AY691)-N(AX691))*90/N(R691))</f>
        <v/>
      </c>
      <c r="BA691" s="7">
        <f>IFERROR(AY691-VLOOKUP($E691,Assumptions!$A$40:$C$43,3,FALSE),"")</f>
        <v/>
      </c>
      <c r="BB691" s="3">
        <f>IFERROR(BA691/H691,"")</f>
        <v/>
      </c>
      <c r="BC691">
        <f>IF(AND($G691=TRUE,$E691="GKP"),AY691,"")</f>
        <v/>
      </c>
      <c r="BD691">
        <f>IF(AND($G691=TRUE,$E691="DEF"),AY691,"")</f>
        <v/>
      </c>
      <c r="BE691">
        <f>IF(AND($G691=TRUE,$E691="MID"),AY691,"")</f>
        <v/>
      </c>
      <c r="BF691">
        <f>IF(AND($G691=TRUE,$E691="FWD"),AY691,"")</f>
        <v/>
      </c>
      <c r="BG691" t="n">
        <v>2</v>
      </c>
      <c r="BH691" t="n">
        <v>2</v>
      </c>
      <c r="BI691" t="n">
        <v>4</v>
      </c>
      <c r="BJ691" t="n">
        <v>6</v>
      </c>
    </row>
    <row r="692">
      <c r="A692" t="inlineStr">
        <is>
          <t>Kosta Nedeljkovic</t>
        </is>
      </c>
      <c r="B692" t="inlineStr">
        <is>
          <t>AVL</t>
        </is>
      </c>
      <c r="D692" t="b">
        <v>0</v>
      </c>
      <c r="E692" t="inlineStr">
        <is>
          <t>DEF</t>
        </is>
      </c>
      <c r="G692" t="b">
        <v>1</v>
      </c>
      <c r="H692" s="2" t="n">
        <v>4</v>
      </c>
      <c r="I692" t="inlineStr">
        <is>
          <t>a</t>
        </is>
      </c>
      <c r="K692" s="2" t="n"/>
      <c r="M692" s="3" t="n">
        <v>0</v>
      </c>
      <c r="N692" s="4" t="n">
        <v>200</v>
      </c>
      <c r="O692" s="4" t="n">
        <v>200</v>
      </c>
      <c r="P692" s="5" t="inlineStr">
        <is>
          <t>low</t>
        </is>
      </c>
      <c r="Q692" t="inlineStr">
        <is>
          <t>flat</t>
        </is>
      </c>
      <c r="R692" s="6" t="n">
        <v>200</v>
      </c>
      <c r="S692" t="inlineStr">
        <is>
          <t>research</t>
        </is>
      </c>
      <c r="T692" s="5" t="inlineStr">
        <is>
          <t>Solio has him at zero, but he is back from his RB Leipzig loan, is listed in the 2026/27 first-team squad, was in the Super Cup squad and started at right-back against Monchengladbach - and Andres Garcia's loan to Getafe left the deputy right-back slot vacant. Kept low because Rangers want him on loan and Villa are chasing Wan-Bissaka, either of which would take this back to zero.</t>
        </is>
      </c>
      <c r="U692" s="6" t="n">
        <v>85</v>
      </c>
      <c r="V692" s="2" t="n"/>
      <c r="W692" s="7">
        <f>IF(N(U692)&lt;=0,0,MIN(Assumptions!$B$15,N(R692)/N(U692)))</f>
        <v/>
      </c>
      <c r="X692" s="6" t="n">
        <v>0.273</v>
      </c>
      <c r="Y692" s="3" t="n"/>
      <c r="Z692" t="inlineStr"/>
      <c r="AA692" s="3" t="n">
        <v>1</v>
      </c>
      <c r="AB692" s="3" t="n"/>
      <c r="AC692" s="3" t="n"/>
      <c r="AD692" s="3" t="n"/>
      <c r="AE692" s="3" t="n"/>
      <c r="AF692" s="3" t="n">
        <v>0</v>
      </c>
      <c r="AG692" s="3" t="n"/>
      <c r="AH692" s="3" t="n"/>
      <c r="AI692" s="3" t="n">
        <v>2.7451</v>
      </c>
      <c r="AJ692" s="3" t="n">
        <v>1.3575</v>
      </c>
      <c r="AK692" s="3" t="n">
        <v>-0.1957236914779764</v>
      </c>
      <c r="AL692" s="6" t="n">
        <v>0</v>
      </c>
      <c r="AM692" s="3" t="n">
        <v>0</v>
      </c>
      <c r="AN692" s="3" t="n">
        <v>0</v>
      </c>
      <c r="AO692" s="3" t="n">
        <v>0</v>
      </c>
      <c r="AP692" s="3">
        <f>N(X692)*N(BI692)</f>
        <v/>
      </c>
      <c r="AQ692" s="3" t="n">
        <v>0</v>
      </c>
      <c r="AR692" s="3" t="n">
        <v>0</v>
      </c>
      <c r="AS692" s="3" t="n">
        <v>-0.4453012382517575</v>
      </c>
      <c r="AT692" s="3" t="n">
        <v>-0.1957236914779764</v>
      </c>
      <c r="AU692" s="3">
        <f>SUM(AN692:AT692)</f>
        <v/>
      </c>
      <c r="AV692" s="7">
        <f>IF(OR(N(W692)&lt;=0,N(BG692)=0),0,N(W692)*IF(N(R692)/N(W692)&gt;=60,N(BG692),1))</f>
        <v/>
      </c>
      <c r="AW692" s="7">
        <f>N(W692)*N(AF692)*N(BH692)</f>
        <v/>
      </c>
      <c r="AX692" s="7">
        <f>N(AL692)*(Assumptions!$B$13*N(BJ692)-(1-Assumptions!$B$13)*Assumptions!$B$14)+N(AM692)</f>
        <v/>
      </c>
      <c r="AY692" s="7">
        <f>N(AU692)*N(R692)/90+N(AV692)+N(AW692)+N(AX692)</f>
        <v/>
      </c>
      <c r="AZ692" s="3">
        <f>IF(N(R692)&lt;=0,0,(N(AY692)-N(AX692))*90/N(R692))</f>
        <v/>
      </c>
      <c r="BA692" s="7">
        <f>IFERROR(AY692-VLOOKUP($E692,Assumptions!$A$40:$C$43,3,FALSE),"")</f>
        <v/>
      </c>
      <c r="BB692" s="3">
        <f>IFERROR(BA692/H692,"")</f>
        <v/>
      </c>
      <c r="BC692">
        <f>IF(AND($G692=TRUE,$E692="GKP"),AY692,"")</f>
        <v/>
      </c>
      <c r="BD692">
        <f>IF(AND($G692=TRUE,$E692="DEF"),AY692,"")</f>
        <v/>
      </c>
      <c r="BE692">
        <f>IF(AND($G692=TRUE,$E692="MID"),AY692,"")</f>
        <v/>
      </c>
      <c r="BF692">
        <f>IF(AND($G692=TRUE,$E692="FWD"),AY692,"")</f>
        <v/>
      </c>
      <c r="BG692" t="n">
        <v>2</v>
      </c>
      <c r="BH692" t="n">
        <v>2</v>
      </c>
      <c r="BI692" t="n">
        <v>4</v>
      </c>
      <c r="BJ692" t="n">
        <v>6</v>
      </c>
    </row>
    <row r="693">
      <c r="A693" t="inlineStr">
        <is>
          <t>Geovany Quenda</t>
        </is>
      </c>
      <c r="B693" t="inlineStr">
        <is>
          <t>CHE</t>
        </is>
      </c>
      <c r="D693" t="b">
        <v>0</v>
      </c>
      <c r="E693" t="inlineStr">
        <is>
          <t>MID</t>
        </is>
      </c>
      <c r="G693" t="b">
        <v>1</v>
      </c>
      <c r="H693" s="2" t="n">
        <v>5.5</v>
      </c>
      <c r="I693" t="inlineStr">
        <is>
          <t>a</t>
        </is>
      </c>
      <c r="K693" s="2" t="n"/>
      <c r="M693" s="3" t="n">
        <v>866</v>
      </c>
      <c r="N693" s="8" t="n">
        <v>866</v>
      </c>
      <c r="O693" s="8" t="n">
        <v>0</v>
      </c>
      <c r="Q693" t="inlineStr">
        <is>
          <t>flat</t>
        </is>
      </c>
      <c r="R693" s="6" t="n">
        <v>866</v>
      </c>
      <c r="S693" t="inlineStr">
        <is>
          <t>Solio</t>
        </is>
      </c>
      <c r="U693" s="6" t="n">
        <v>85</v>
      </c>
      <c r="V693" s="2" t="n"/>
      <c r="W693" s="7">
        <f>IF(N(U693)&lt;=0,0,MIN(Assumptions!$B$15,N(R693)/N(U693)))</f>
        <v/>
      </c>
      <c r="X693" s="6" t="n">
        <v>0.322</v>
      </c>
      <c r="Y693" s="3" t="n"/>
      <c r="Z693" t="inlineStr"/>
      <c r="AA693" s="3" t="n">
        <v>1</v>
      </c>
      <c r="AB693" s="3" t="n"/>
      <c r="AC693" s="3" t="n"/>
      <c r="AD693" s="3" t="n"/>
      <c r="AE693" s="3" t="n"/>
      <c r="AF693" s="3" t="n">
        <v>0</v>
      </c>
      <c r="AG693" s="3" t="n"/>
      <c r="AH693" s="3" t="n"/>
      <c r="AI693" s="3" t="n">
        <v>2.4232</v>
      </c>
      <c r="AJ693" s="3" t="n">
        <v>1.1851</v>
      </c>
      <c r="AK693" s="3" t="n">
        <v>-0.2160434166173144</v>
      </c>
      <c r="AL693" s="6" t="n">
        <v>0</v>
      </c>
      <c r="AM693" s="3" t="n">
        <v>0</v>
      </c>
      <c r="AN693" s="3" t="n">
        <v>0</v>
      </c>
      <c r="AO693" s="3" t="n">
        <v>0</v>
      </c>
      <c r="AP693" s="3">
        <f>N(X693)*N(BI693)</f>
        <v/>
      </c>
      <c r="AQ693" s="3" t="n">
        <v>0</v>
      </c>
      <c r="AR693" s="3" t="n">
        <v>0</v>
      </c>
      <c r="AS693" s="3" t="n">
        <v>-0</v>
      </c>
      <c r="AT693" s="3" t="n">
        <v>-0.2160434166173144</v>
      </c>
      <c r="AU693" s="3">
        <f>SUM(AN693:AT693)</f>
        <v/>
      </c>
      <c r="AV693" s="7">
        <f>IF(OR(N(W693)&lt;=0,N(BG693)=0),0,N(W693)*IF(N(R693)/N(W693)&gt;=60,N(BG693),1))</f>
        <v/>
      </c>
      <c r="AW693" s="7">
        <f>N(W693)*N(AF693)*N(BH693)</f>
        <v/>
      </c>
      <c r="AX693" s="7">
        <f>N(AL693)*(Assumptions!$B$13*N(BJ693)-(1-Assumptions!$B$13)*Assumptions!$B$14)+N(AM693)</f>
        <v/>
      </c>
      <c r="AY693" s="7">
        <f>N(AU693)*N(R693)/90+N(AV693)+N(AW693)+N(AX693)</f>
        <v/>
      </c>
      <c r="AZ693" s="3">
        <f>IF(N(R693)&lt;=0,0,(N(AY693)-N(AX693))*90/N(R693))</f>
        <v/>
      </c>
      <c r="BA693" s="7">
        <f>IFERROR(AY693-VLOOKUP($E693,Assumptions!$A$40:$C$43,3,FALSE),"")</f>
        <v/>
      </c>
      <c r="BB693" s="3">
        <f>IFERROR(BA693/H693,"")</f>
        <v/>
      </c>
      <c r="BC693">
        <f>IF(AND($G693=TRUE,$E693="GKP"),AY693,"")</f>
        <v/>
      </c>
      <c r="BD693">
        <f>IF(AND($G693=TRUE,$E693="DEF"),AY693,"")</f>
        <v/>
      </c>
      <c r="BE693">
        <f>IF(AND($G693=TRUE,$E693="MID"),AY693,"")</f>
        <v/>
      </c>
      <c r="BF693">
        <f>IF(AND($G693=TRUE,$E693="FWD"),AY693,"")</f>
        <v/>
      </c>
      <c r="BG693" t="n">
        <v>2</v>
      </c>
      <c r="BH693" t="n">
        <v>2</v>
      </c>
      <c r="BI693" t="n">
        <v>1</v>
      </c>
      <c r="BJ693" t="n">
        <v>5</v>
      </c>
    </row>
    <row r="694">
      <c r="A694" t="inlineStr">
        <is>
          <t>Tom Edozie</t>
        </is>
      </c>
      <c r="C694" t="inlineStr">
        <is>
          <t>WOL</t>
        </is>
      </c>
      <c r="D694" t="b">
        <v>0</v>
      </c>
      <c r="F694" t="inlineStr">
        <is>
          <t>MID</t>
        </is>
      </c>
      <c r="G694" t="b">
        <v>0</v>
      </c>
      <c r="H694" s="2" t="n"/>
      <c r="K694" s="2" t="n">
        <v>12</v>
      </c>
      <c r="M694" s="3" t="n"/>
      <c r="N694" s="8" t="n">
        <v>12</v>
      </c>
      <c r="O694" s="8" t="n">
        <v>0</v>
      </c>
      <c r="R694" s="6" t="n">
        <v>12</v>
      </c>
      <c r="S694" t="inlineStr">
        <is>
          <t>25/26 actual</t>
        </is>
      </c>
      <c r="U694" s="6" t="n">
        <v>80.09999999999999</v>
      </c>
      <c r="V694" s="2" t="n">
        <v>0</v>
      </c>
      <c r="W694" s="7">
        <f>IF(N(U694)&lt;=0,0,MIN(Assumptions!$B$15,N(R694)/N(U694)))</f>
        <v/>
      </c>
      <c r="X694" s="6" t="n"/>
      <c r="Y694" s="3" t="n">
        <v>1.845</v>
      </c>
      <c r="Z694" t="inlineStr">
        <is>
          <t>adjusted xGOT</t>
        </is>
      </c>
      <c r="AA694" s="3" t="n">
        <v>1</v>
      </c>
      <c r="AB694" s="3" t="n">
        <v>1.069</v>
      </c>
      <c r="AC694" s="3" t="n">
        <v>0.2</v>
      </c>
      <c r="AD694" s="3" t="n"/>
      <c r="AE694" s="3" t="n">
        <v>8.558999999999999</v>
      </c>
      <c r="AF694" s="3" t="n">
        <v>0</v>
      </c>
      <c r="AG694" s="3" t="n">
        <v>0</v>
      </c>
      <c r="AH694" s="3" t="n">
        <v>3</v>
      </c>
      <c r="AI694" s="3" t="n"/>
      <c r="AJ694" s="3" t="n"/>
      <c r="AK694" s="3" t="n"/>
      <c r="AL694" s="6" t="n">
        <v>0</v>
      </c>
      <c r="AM694" s="3" t="n">
        <v>0</v>
      </c>
      <c r="AN694" s="3" t="n">
        <v>0</v>
      </c>
      <c r="AO694" s="3" t="n">
        <v>0</v>
      </c>
      <c r="AP694" s="3">
        <f>N(X694)*N(BI694)</f>
        <v/>
      </c>
      <c r="AQ694" s="3" t="n">
        <v>0</v>
      </c>
      <c r="AR694" s="3" t="n">
        <v>0</v>
      </c>
      <c r="AS694" s="3" t="n">
        <v>0</v>
      </c>
      <c r="AT694" s="3" t="n">
        <v>0</v>
      </c>
      <c r="AU694" s="3">
        <f>SUM(AN694:AT694)</f>
        <v/>
      </c>
      <c r="AV694" s="7">
        <f>IF(OR(N(W694)&lt;=0,N(BG694)=0),0,N(W694)*IF(N(R694)/N(W694)&gt;=60,N(BG694),1))</f>
        <v/>
      </c>
      <c r="AW694" s="7">
        <f>N(W694)*N(AF694)*N(BH694)</f>
        <v/>
      </c>
      <c r="AX694" s="7">
        <f>N(AL694)*(Assumptions!$B$13*N(BJ694)-(1-Assumptions!$B$13)*Assumptions!$B$14)+N(AM694)</f>
        <v/>
      </c>
      <c r="AY694" s="7">
        <f>N(AU694)*N(R694)/90+N(AV694)+N(AW694)+N(AX694)</f>
        <v/>
      </c>
      <c r="AZ694" s="3">
        <f>IF(N(R694)&lt;=0,0,(N(AY694)-N(AX694))*90/N(R694))</f>
        <v/>
      </c>
      <c r="BA694" s="7">
        <f>IFERROR(AY694-VLOOKUP($E694,Assumptions!$A$40:$C$43,3,FALSE),"")</f>
        <v/>
      </c>
      <c r="BB694" s="3">
        <f>IFERROR(BA694/H694,"")</f>
        <v/>
      </c>
      <c r="BC694">
        <f>IF(AND($G694=TRUE,$E694="GKP"),AY694,"")</f>
        <v/>
      </c>
      <c r="BD694">
        <f>IF(AND($G694=TRUE,$E694="DEF"),AY694,"")</f>
        <v/>
      </c>
      <c r="BE694">
        <f>IF(AND($G694=TRUE,$E694="MID"),AY694,"")</f>
        <v/>
      </c>
      <c r="BF694">
        <f>IF(AND($G694=TRUE,$E694="FWD"),AY694,"")</f>
        <v/>
      </c>
      <c r="BG694" t="n">
        <v>0</v>
      </c>
      <c r="BH694" t="n">
        <v>0</v>
      </c>
      <c r="BI694" t="n">
        <v>0</v>
      </c>
      <c r="BJ694" t="n">
        <v>0</v>
      </c>
    </row>
    <row r="695">
      <c r="A695" t="inlineStr">
        <is>
          <t>Lucas Herrington</t>
        </is>
      </c>
      <c r="B695" t="inlineStr">
        <is>
          <t>HUL</t>
        </is>
      </c>
      <c r="D695" t="b">
        <v>0</v>
      </c>
      <c r="E695" t="inlineStr">
        <is>
          <t>DEF</t>
        </is>
      </c>
      <c r="G695" t="b">
        <v>1</v>
      </c>
      <c r="H695" s="2" t="n">
        <v>4</v>
      </c>
      <c r="I695" t="inlineStr">
        <is>
          <t>a</t>
        </is>
      </c>
      <c r="K695" s="2" t="n"/>
      <c r="M695" s="3" t="n">
        <v>0</v>
      </c>
      <c r="N695" s="8" t="n">
        <v>0</v>
      </c>
      <c r="O695" s="8" t="n">
        <v>0</v>
      </c>
      <c r="Q695" t="inlineStr">
        <is>
          <t>flat</t>
        </is>
      </c>
      <c r="R695" s="6" t="n">
        <v>0</v>
      </c>
      <c r="S695" t="inlineStr">
        <is>
          <t>Solio</t>
        </is>
      </c>
      <c r="U695" s="6" t="n">
        <v>85</v>
      </c>
      <c r="V695" s="2" t="n"/>
      <c r="W695" s="7">
        <f>IF(N(U695)&lt;=0,0,MIN(Assumptions!$B$15,N(R695)/N(U695)))</f>
        <v/>
      </c>
      <c r="X695" s="6" t="n">
        <v>0.143</v>
      </c>
      <c r="Y695" s="3" t="n"/>
      <c r="Z695" t="inlineStr"/>
      <c r="AA695" s="3" t="n">
        <v>1</v>
      </c>
      <c r="AB695" s="3" t="n"/>
      <c r="AC695" s="3" t="n"/>
      <c r="AD695" s="3" t="n"/>
      <c r="AE695" s="3" t="n"/>
      <c r="AF695" s="3" t="n">
        <v>0</v>
      </c>
      <c r="AG695" s="3" t="n"/>
      <c r="AH695" s="3" t="n"/>
      <c r="AI695" s="3" t="n">
        <v>3.9421</v>
      </c>
      <c r="AJ695" s="3" t="n">
        <v>1.99</v>
      </c>
      <c r="AK695" s="3" t="n">
        <v>-0.2045226422080557</v>
      </c>
      <c r="AL695" s="6" t="n">
        <v>0</v>
      </c>
      <c r="AM695" s="3" t="n">
        <v>0</v>
      </c>
      <c r="AN695" s="3" t="n">
        <v>0</v>
      </c>
      <c r="AO695" s="3" t="n">
        <v>0</v>
      </c>
      <c r="AP695" s="3">
        <f>N(X695)*N(BI695)</f>
        <v/>
      </c>
      <c r="AQ695" s="3" t="n">
        <v>0</v>
      </c>
      <c r="AR695" s="3" t="n">
        <v>0</v>
      </c>
      <c r="AS695" s="3" t="n">
        <v>-0.7496714098286652</v>
      </c>
      <c r="AT695" s="3" t="n">
        <v>-0.2045226422080557</v>
      </c>
      <c r="AU695" s="3">
        <f>SUM(AN695:AT695)</f>
        <v/>
      </c>
      <c r="AV695" s="7">
        <f>IF(OR(N(W695)&lt;=0,N(BG695)=0),0,N(W695)*IF(N(R695)/N(W695)&gt;=60,N(BG695),1))</f>
        <v/>
      </c>
      <c r="AW695" s="7">
        <f>N(W695)*N(AF695)*N(BH695)</f>
        <v/>
      </c>
      <c r="AX695" s="7">
        <f>N(AL695)*(Assumptions!$B$13*N(BJ695)-(1-Assumptions!$B$13)*Assumptions!$B$14)+N(AM695)</f>
        <v/>
      </c>
      <c r="AY695" s="7">
        <f>N(AU695)*N(R695)/90+N(AV695)+N(AW695)+N(AX695)</f>
        <v/>
      </c>
      <c r="AZ695" s="3">
        <f>IF(N(R695)&lt;=0,0,(N(AY695)-N(AX695))*90/N(R695))</f>
        <v/>
      </c>
      <c r="BA695" s="7">
        <f>IFERROR(AY695-VLOOKUP($E695,Assumptions!$A$40:$C$43,3,FALSE),"")</f>
        <v/>
      </c>
      <c r="BB695" s="3">
        <f>IFERROR(BA695/H695,"")</f>
        <v/>
      </c>
      <c r="BC695">
        <f>IF(AND($G695=TRUE,$E695="GKP"),AY695,"")</f>
        <v/>
      </c>
      <c r="BD695">
        <f>IF(AND($G695=TRUE,$E695="DEF"),AY695,"")</f>
        <v/>
      </c>
      <c r="BE695">
        <f>IF(AND($G695=TRUE,$E695="MID"),AY695,"")</f>
        <v/>
      </c>
      <c r="BF695">
        <f>IF(AND($G695=TRUE,$E695="FWD"),AY695,"")</f>
        <v/>
      </c>
      <c r="BG695" t="n">
        <v>2</v>
      </c>
      <c r="BH695" t="n">
        <v>2</v>
      </c>
      <c r="BI695" t="n">
        <v>4</v>
      </c>
      <c r="BJ695" t="n">
        <v>6</v>
      </c>
    </row>
    <row r="696">
      <c r="A696" t="inlineStr">
        <is>
          <t>Ezra Mayers</t>
        </is>
      </c>
      <c r="C696" t="inlineStr">
        <is>
          <t>WHU</t>
        </is>
      </c>
      <c r="D696" t="b">
        <v>0</v>
      </c>
      <c r="F696" t="inlineStr">
        <is>
          <t>DEF</t>
        </is>
      </c>
      <c r="G696" t="b">
        <v>0</v>
      </c>
      <c r="H696" s="2" t="n"/>
      <c r="K696" s="2" t="n">
        <v>113</v>
      </c>
      <c r="M696" s="3" t="n"/>
      <c r="N696" s="8" t="n">
        <v>113</v>
      </c>
      <c r="O696" s="8" t="n">
        <v>0</v>
      </c>
      <c r="R696" s="6" t="n">
        <v>113</v>
      </c>
      <c r="S696" t="inlineStr">
        <is>
          <t>25/26 actual</t>
        </is>
      </c>
      <c r="U696" s="6" t="n">
        <v>85.5</v>
      </c>
      <c r="V696" s="2" t="n">
        <v>0</v>
      </c>
      <c r="W696" s="7">
        <f>IF(N(U696)&lt;=0,0,MIN(Assumptions!$B$15,N(R696)/N(U696)))</f>
        <v/>
      </c>
      <c r="X696" s="6" t="n"/>
      <c r="Y696" s="3" t="n">
        <v>0.094</v>
      </c>
      <c r="Z696" t="inlineStr">
        <is>
          <t>adjusted xGOT</t>
        </is>
      </c>
      <c r="AA696" s="3" t="n">
        <v>1</v>
      </c>
      <c r="AB696" s="3" t="n">
        <v>0.985</v>
      </c>
      <c r="AC696" s="3" t="n">
        <v>0.1</v>
      </c>
      <c r="AD696" s="3" t="n">
        <v>0.0927</v>
      </c>
      <c r="AE696" s="3" t="n">
        <v>7.183</v>
      </c>
      <c r="AF696" s="3" t="n">
        <v>0</v>
      </c>
      <c r="AG696" s="3" t="n">
        <v>0</v>
      </c>
      <c r="AH696" s="3" t="n">
        <v>6</v>
      </c>
      <c r="AI696" s="3" t="n"/>
      <c r="AJ696" s="3" t="n"/>
      <c r="AK696" s="3" t="n"/>
      <c r="AL696" s="6" t="n">
        <v>0</v>
      </c>
      <c r="AM696" s="3" t="n">
        <v>0</v>
      </c>
      <c r="AN696" s="3" t="n">
        <v>0</v>
      </c>
      <c r="AO696" s="3" t="n">
        <v>0</v>
      </c>
      <c r="AP696" s="3">
        <f>N(X696)*N(BI696)</f>
        <v/>
      </c>
      <c r="AQ696" s="3" t="n">
        <v>0</v>
      </c>
      <c r="AR696" s="3" t="n">
        <v>0</v>
      </c>
      <c r="AS696" s="3" t="n">
        <v>0</v>
      </c>
      <c r="AT696" s="3" t="n">
        <v>0</v>
      </c>
      <c r="AU696" s="3">
        <f>SUM(AN696:AT696)</f>
        <v/>
      </c>
      <c r="AV696" s="7">
        <f>IF(OR(N(W696)&lt;=0,N(BG696)=0),0,N(W696)*IF(N(R696)/N(W696)&gt;=60,N(BG696),1))</f>
        <v/>
      </c>
      <c r="AW696" s="7">
        <f>N(W696)*N(AF696)*N(BH696)</f>
        <v/>
      </c>
      <c r="AX696" s="7">
        <f>N(AL696)*(Assumptions!$B$13*N(BJ696)-(1-Assumptions!$B$13)*Assumptions!$B$14)+N(AM696)</f>
        <v/>
      </c>
      <c r="AY696" s="7">
        <f>N(AU696)*N(R696)/90+N(AV696)+N(AW696)+N(AX696)</f>
        <v/>
      </c>
      <c r="AZ696" s="3">
        <f>IF(N(R696)&lt;=0,0,(N(AY696)-N(AX696))*90/N(R696))</f>
        <v/>
      </c>
      <c r="BA696" s="7">
        <f>IFERROR(AY696-VLOOKUP($E696,Assumptions!$A$40:$C$43,3,FALSE),"")</f>
        <v/>
      </c>
      <c r="BB696" s="3">
        <f>IFERROR(BA696/H696,"")</f>
        <v/>
      </c>
      <c r="BC696">
        <f>IF(AND($G696=TRUE,$E696="GKP"),AY696,"")</f>
        <v/>
      </c>
      <c r="BD696">
        <f>IF(AND($G696=TRUE,$E696="DEF"),AY696,"")</f>
        <v/>
      </c>
      <c r="BE696">
        <f>IF(AND($G696=TRUE,$E696="MID"),AY696,"")</f>
        <v/>
      </c>
      <c r="BF696">
        <f>IF(AND($G696=TRUE,$E696="FWD"),AY696,"")</f>
        <v/>
      </c>
      <c r="BG696" t="n">
        <v>0</v>
      </c>
      <c r="BH696" t="n">
        <v>0</v>
      </c>
      <c r="BI696" t="n">
        <v>0</v>
      </c>
      <c r="BJ696" t="n">
        <v>0</v>
      </c>
    </row>
    <row r="697">
      <c r="A697" t="inlineStr">
        <is>
          <t>Romelle Donovan</t>
        </is>
      </c>
      <c r="C697" t="inlineStr">
        <is>
          <t>BRE</t>
        </is>
      </c>
      <c r="D697" t="b">
        <v>0</v>
      </c>
      <c r="F697" t="inlineStr">
        <is>
          <t>MID</t>
        </is>
      </c>
      <c r="G697" t="b">
        <v>0</v>
      </c>
      <c r="H697" s="2" t="n"/>
      <c r="K697" s="2" t="n">
        <v>38</v>
      </c>
      <c r="M697" s="3" t="n"/>
      <c r="N697" s="8" t="n">
        <v>38</v>
      </c>
      <c r="O697" s="8" t="n">
        <v>0</v>
      </c>
      <c r="R697" s="6" t="n">
        <v>38</v>
      </c>
      <c r="S697" t="inlineStr">
        <is>
          <t>25/26 actual</t>
        </is>
      </c>
      <c r="U697" s="6" t="n">
        <v>80.09999999999999</v>
      </c>
      <c r="V697" s="2" t="n">
        <v>0</v>
      </c>
      <c r="W697" s="7">
        <f>IF(N(U697)&lt;=0,0,MIN(Assumptions!$B$15,N(R697)/N(U697)))</f>
        <v/>
      </c>
      <c r="X697" s="6" t="n"/>
      <c r="Y697" s="3" t="n">
        <v>0.2108</v>
      </c>
      <c r="Z697" t="inlineStr">
        <is>
          <t>adjusted xGOT</t>
        </is>
      </c>
      <c r="AA697" s="3" t="n">
        <v>1</v>
      </c>
      <c r="AB697" s="3" t="n">
        <v>0.989</v>
      </c>
      <c r="AC697" s="3" t="n">
        <v>0.1</v>
      </c>
      <c r="AD697" s="3" t="n">
        <v>0.0759</v>
      </c>
      <c r="AE697" s="3" t="n">
        <v>8.741</v>
      </c>
      <c r="AF697" s="3" t="n">
        <v>0</v>
      </c>
      <c r="AG697" s="3" t="n">
        <v>0</v>
      </c>
      <c r="AH697" s="3" t="n">
        <v>4</v>
      </c>
      <c r="AI697" s="3" t="n"/>
      <c r="AJ697" s="3" t="n"/>
      <c r="AK697" s="3" t="n"/>
      <c r="AL697" s="6" t="n">
        <v>0</v>
      </c>
      <c r="AM697" s="3" t="n">
        <v>0</v>
      </c>
      <c r="AN697" s="3" t="n">
        <v>0</v>
      </c>
      <c r="AO697" s="3" t="n">
        <v>0</v>
      </c>
      <c r="AP697" s="3">
        <f>N(X697)*N(BI697)</f>
        <v/>
      </c>
      <c r="AQ697" s="3" t="n">
        <v>0</v>
      </c>
      <c r="AR697" s="3" t="n">
        <v>0</v>
      </c>
      <c r="AS697" s="3" t="n">
        <v>0</v>
      </c>
      <c r="AT697" s="3" t="n">
        <v>0</v>
      </c>
      <c r="AU697" s="3">
        <f>SUM(AN697:AT697)</f>
        <v/>
      </c>
      <c r="AV697" s="7">
        <f>IF(OR(N(W697)&lt;=0,N(BG697)=0),0,N(W697)*IF(N(R697)/N(W697)&gt;=60,N(BG697),1))</f>
        <v/>
      </c>
      <c r="AW697" s="7">
        <f>N(W697)*N(AF697)*N(BH697)</f>
        <v/>
      </c>
      <c r="AX697" s="7">
        <f>N(AL697)*(Assumptions!$B$13*N(BJ697)-(1-Assumptions!$B$13)*Assumptions!$B$14)+N(AM697)</f>
        <v/>
      </c>
      <c r="AY697" s="7">
        <f>N(AU697)*N(R697)/90+N(AV697)+N(AW697)+N(AX697)</f>
        <v/>
      </c>
      <c r="AZ697" s="3">
        <f>IF(N(R697)&lt;=0,0,(N(AY697)-N(AX697))*90/N(R697))</f>
        <v/>
      </c>
      <c r="BA697" s="7">
        <f>IFERROR(AY697-VLOOKUP($E697,Assumptions!$A$40:$C$43,3,FALSE),"")</f>
        <v/>
      </c>
      <c r="BB697" s="3">
        <f>IFERROR(BA697/H697,"")</f>
        <v/>
      </c>
      <c r="BC697">
        <f>IF(AND($G697=TRUE,$E697="GKP"),AY697,"")</f>
        <v/>
      </c>
      <c r="BD697">
        <f>IF(AND($G697=TRUE,$E697="DEF"),AY697,"")</f>
        <v/>
      </c>
      <c r="BE697">
        <f>IF(AND($G697=TRUE,$E697="MID"),AY697,"")</f>
        <v/>
      </c>
      <c r="BF697">
        <f>IF(AND($G697=TRUE,$E697="FWD"),AY697,"")</f>
        <v/>
      </c>
      <c r="BG697" t="n">
        <v>0</v>
      </c>
      <c r="BH697" t="n">
        <v>0</v>
      </c>
      <c r="BI697" t="n">
        <v>0</v>
      </c>
      <c r="BJ697" t="n">
        <v>0</v>
      </c>
    </row>
    <row r="698">
      <c r="A698" t="inlineStr">
        <is>
          <t>Jeremy Jacquet</t>
        </is>
      </c>
      <c r="B698" t="inlineStr">
        <is>
          <t>LIV</t>
        </is>
      </c>
      <c r="D698" t="b">
        <v>0</v>
      </c>
      <c r="E698" t="inlineStr">
        <is>
          <t>DEF</t>
        </is>
      </c>
      <c r="G698" t="b">
        <v>1</v>
      </c>
      <c r="H698" s="2" t="n">
        <v>5</v>
      </c>
      <c r="I698" t="inlineStr">
        <is>
          <t>a</t>
        </is>
      </c>
      <c r="K698" s="2" t="n"/>
      <c r="M698" s="3" t="n">
        <v>1442</v>
      </c>
      <c r="N698" s="4" t="n">
        <v>1000</v>
      </c>
      <c r="O698" s="4" t="n">
        <v>-442</v>
      </c>
      <c r="P698" s="5" t="inlineStr">
        <is>
          <t>medium</t>
        </is>
      </c>
      <c r="Q698" t="inlineStr">
        <is>
          <t>flat</t>
        </is>
      </c>
      <c r="R698" s="6" t="n">
        <v>1000</v>
      </c>
      <c r="S698" t="inlineStr">
        <is>
          <t>research</t>
        </is>
      </c>
      <c r="T698" s="5" t="inlineStr">
        <is>
          <t>Jacquet has been out since a shoulder injury in February, sat out all three US friendlies, and only rejoined full training on 12 August. Iraola on 9 August: 'He's taking a little bit more time than we expected.' This Is Anfield says Newcastle is 'looking too far ahead' for him and lists him as minutes-managed. He should displace Araujo later in the season, but not from the start, so Solio's 1442 starts him too early.</t>
        </is>
      </c>
      <c r="U698" s="6" t="n">
        <v>85</v>
      </c>
      <c r="V698" s="2" t="n"/>
      <c r="W698" s="7">
        <f>IF(N(U698)&lt;=0,0,MIN(Assumptions!$B$15,N(R698)/N(U698)))</f>
        <v/>
      </c>
      <c r="X698" s="6" t="n">
        <v>0.342</v>
      </c>
      <c r="Y698" s="3" t="n"/>
      <c r="Z698" t="inlineStr"/>
      <c r="AA698" s="3" t="n">
        <v>1</v>
      </c>
      <c r="AB698" s="3" t="n"/>
      <c r="AC698" s="3" t="n"/>
      <c r="AD698" s="3" t="n"/>
      <c r="AE698" s="3" t="n"/>
      <c r="AF698" s="3" t="n">
        <v>0</v>
      </c>
      <c r="AG698" s="3" t="n"/>
      <c r="AH698" s="3" t="n"/>
      <c r="AI698" s="3" t="n">
        <v>2.409</v>
      </c>
      <c r="AJ698" s="3" t="n">
        <v>1.1228</v>
      </c>
      <c r="AK698" s="3" t="n">
        <v>-0.2045226422080557</v>
      </c>
      <c r="AL698" s="6" t="n">
        <v>0</v>
      </c>
      <c r="AM698" s="3" t="n">
        <v>0</v>
      </c>
      <c r="AN698" s="3" t="n">
        <v>0</v>
      </c>
      <c r="AO698" s="3" t="n">
        <v>0</v>
      </c>
      <c r="AP698" s="3">
        <f>N(X698)*N(BI698)</f>
        <v/>
      </c>
      <c r="AQ698" s="3" t="n">
        <v>0</v>
      </c>
      <c r="AR698" s="3" t="n">
        <v>0</v>
      </c>
      <c r="AS698" s="3" t="n">
        <v>-0.3378660007281162</v>
      </c>
      <c r="AT698" s="3" t="n">
        <v>-0.2045226422080557</v>
      </c>
      <c r="AU698" s="3">
        <f>SUM(AN698:AT698)</f>
        <v/>
      </c>
      <c r="AV698" s="7">
        <f>IF(OR(N(W698)&lt;=0,N(BG698)=0),0,N(W698)*IF(N(R698)/N(W698)&gt;=60,N(BG698),1))</f>
        <v/>
      </c>
      <c r="AW698" s="7">
        <f>N(W698)*N(AF698)*N(BH698)</f>
        <v/>
      </c>
      <c r="AX698" s="7">
        <f>N(AL698)*(Assumptions!$B$13*N(BJ698)-(1-Assumptions!$B$13)*Assumptions!$B$14)+N(AM698)</f>
        <v/>
      </c>
      <c r="AY698" s="7">
        <f>N(AU698)*N(R698)/90+N(AV698)+N(AW698)+N(AX698)</f>
        <v/>
      </c>
      <c r="AZ698" s="3">
        <f>IF(N(R698)&lt;=0,0,(N(AY698)-N(AX698))*90/N(R698))</f>
        <v/>
      </c>
      <c r="BA698" s="7">
        <f>IFERROR(AY698-VLOOKUP($E698,Assumptions!$A$40:$C$43,3,FALSE),"")</f>
        <v/>
      </c>
      <c r="BB698" s="3">
        <f>IFERROR(BA698/H698,"")</f>
        <v/>
      </c>
      <c r="BC698">
        <f>IF(AND($G698=TRUE,$E698="GKP"),AY698,"")</f>
        <v/>
      </c>
      <c r="BD698">
        <f>IF(AND($G698=TRUE,$E698="DEF"),AY698,"")</f>
        <v/>
      </c>
      <c r="BE698">
        <f>IF(AND($G698=TRUE,$E698="MID"),AY698,"")</f>
        <v/>
      </c>
      <c r="BF698">
        <f>IF(AND($G698=TRUE,$E698="FWD"),AY698,"")</f>
        <v/>
      </c>
      <c r="BG698" t="n">
        <v>2</v>
      </c>
      <c r="BH698" t="n">
        <v>2</v>
      </c>
      <c r="BI698" t="n">
        <v>4</v>
      </c>
      <c r="BJ698" t="n">
        <v>6</v>
      </c>
    </row>
    <row r="699">
      <c r="A699" t="inlineStr">
        <is>
          <t>Ben Winterburn</t>
        </is>
      </c>
      <c r="C699" t="inlineStr">
        <is>
          <t>BOU</t>
        </is>
      </c>
      <c r="D699" t="b">
        <v>0</v>
      </c>
      <c r="F699" t="inlineStr">
        <is>
          <t>MID</t>
        </is>
      </c>
      <c r="G699" t="b">
        <v>0</v>
      </c>
      <c r="H699" s="2" t="n"/>
      <c r="K699" s="2" t="n">
        <v>6</v>
      </c>
      <c r="M699" s="3" t="n"/>
      <c r="N699" s="8" t="n">
        <v>6</v>
      </c>
      <c r="O699" s="8" t="n">
        <v>0</v>
      </c>
      <c r="R699" s="6" t="n">
        <v>6</v>
      </c>
      <c r="S699" t="inlineStr">
        <is>
          <t>25/26 actual</t>
        </is>
      </c>
      <c r="U699" s="6" t="n">
        <v>80.09999999999999</v>
      </c>
      <c r="V699" s="2" t="n">
        <v>0</v>
      </c>
      <c r="W699" s="7">
        <f>IF(N(U699)&lt;=0,0,MIN(Assumptions!$B$15,N(R699)/N(U699)))</f>
        <v/>
      </c>
      <c r="X699" s="6" t="n"/>
      <c r="Y699" s="3" t="n"/>
      <c r="Z699" t="inlineStr"/>
      <c r="AA699" s="3" t="n">
        <v>1</v>
      </c>
      <c r="AB699" s="3" t="n">
        <v>1</v>
      </c>
      <c r="AC699" s="3" t="n">
        <v>0</v>
      </c>
      <c r="AD699" s="3" t="n"/>
      <c r="AE699" s="3" t="n">
        <v>8.506</v>
      </c>
      <c r="AF699" s="3" t="n">
        <v>0</v>
      </c>
      <c r="AG699" s="3" t="n">
        <v>0</v>
      </c>
      <c r="AH699" s="3" t="n">
        <v>1</v>
      </c>
      <c r="AI699" s="3" t="n"/>
      <c r="AJ699" s="3" t="n"/>
      <c r="AK699" s="3" t="n"/>
      <c r="AL699" s="6" t="n">
        <v>0</v>
      </c>
      <c r="AM699" s="3" t="n">
        <v>0</v>
      </c>
      <c r="AN699" s="3" t="n">
        <v>0</v>
      </c>
      <c r="AO699" s="3" t="n">
        <v>0</v>
      </c>
      <c r="AP699" s="3">
        <f>N(X699)*N(BI699)</f>
        <v/>
      </c>
      <c r="AQ699" s="3" t="n">
        <v>0</v>
      </c>
      <c r="AR699" s="3" t="n">
        <v>0</v>
      </c>
      <c r="AS699" s="3" t="n">
        <v>0</v>
      </c>
      <c r="AT699" s="3" t="n">
        <v>0</v>
      </c>
      <c r="AU699" s="3">
        <f>SUM(AN699:AT699)</f>
        <v/>
      </c>
      <c r="AV699" s="7">
        <f>IF(OR(N(W699)&lt;=0,N(BG699)=0),0,N(W699)*IF(N(R699)/N(W699)&gt;=60,N(BG699),1))</f>
        <v/>
      </c>
      <c r="AW699" s="7">
        <f>N(W699)*N(AF699)*N(BH699)</f>
        <v/>
      </c>
      <c r="AX699" s="7">
        <f>N(AL699)*(Assumptions!$B$13*N(BJ699)-(1-Assumptions!$B$13)*Assumptions!$B$14)+N(AM699)</f>
        <v/>
      </c>
      <c r="AY699" s="7">
        <f>N(AU699)*N(R699)/90+N(AV699)+N(AW699)+N(AX699)</f>
        <v/>
      </c>
      <c r="AZ699" s="3">
        <f>IF(N(R699)&lt;=0,0,(N(AY699)-N(AX699))*90/N(R699))</f>
        <v/>
      </c>
      <c r="BA699" s="7">
        <f>IFERROR(AY699-VLOOKUP($E699,Assumptions!$A$40:$C$43,3,FALSE),"")</f>
        <v/>
      </c>
      <c r="BB699" s="3">
        <f>IFERROR(BA699/H699,"")</f>
        <v/>
      </c>
      <c r="BC699">
        <f>IF(AND($G699=TRUE,$E699="GKP"),AY699,"")</f>
        <v/>
      </c>
      <c r="BD699">
        <f>IF(AND($G699=TRUE,$E699="DEF"),AY699,"")</f>
        <v/>
      </c>
      <c r="BE699">
        <f>IF(AND($G699=TRUE,$E699="MID"),AY699,"")</f>
        <v/>
      </c>
      <c r="BF699">
        <f>IF(AND($G699=TRUE,$E699="FWD"),AY699,"")</f>
        <v/>
      </c>
      <c r="BG699" t="n">
        <v>0</v>
      </c>
      <c r="BH699" t="n">
        <v>0</v>
      </c>
      <c r="BI699" t="n">
        <v>0</v>
      </c>
      <c r="BJ699" t="n">
        <v>0</v>
      </c>
    </row>
    <row r="700">
      <c r="A700" t="inlineStr">
        <is>
          <t>Nobel Mendy</t>
        </is>
      </c>
      <c r="B700" t="inlineStr">
        <is>
          <t>HUL</t>
        </is>
      </c>
      <c r="D700" t="b">
        <v>0</v>
      </c>
      <c r="E700" t="inlineStr">
        <is>
          <t>DEF</t>
        </is>
      </c>
      <c r="G700" t="b">
        <v>1</v>
      </c>
      <c r="H700" s="2" t="n">
        <v>4</v>
      </c>
      <c r="I700" t="inlineStr">
        <is>
          <t>a</t>
        </is>
      </c>
      <c r="K700" s="2" t="n"/>
      <c r="M700" s="3" t="n">
        <v>0</v>
      </c>
      <c r="N700" s="8" t="n">
        <v>0</v>
      </c>
      <c r="O700" s="8" t="n">
        <v>0</v>
      </c>
      <c r="Q700" t="inlineStr">
        <is>
          <t>flat</t>
        </is>
      </c>
      <c r="R700" s="6" t="n">
        <v>0</v>
      </c>
      <c r="S700" t="inlineStr">
        <is>
          <t>Solio</t>
        </is>
      </c>
      <c r="U700" s="6" t="n">
        <v>85</v>
      </c>
      <c r="V700" s="2" t="n"/>
      <c r="W700" s="7">
        <f>IF(N(U700)&lt;=0,0,MIN(Assumptions!$B$15,N(R700)/N(U700)))</f>
        <v/>
      </c>
      <c r="X700" s="6" t="n">
        <v>0.143</v>
      </c>
      <c r="Y700" s="3" t="n"/>
      <c r="Z700" t="inlineStr"/>
      <c r="AA700" s="3" t="n">
        <v>1</v>
      </c>
      <c r="AB700" s="3" t="n"/>
      <c r="AC700" s="3" t="n"/>
      <c r="AD700" s="3" t="n"/>
      <c r="AE700" s="3" t="n"/>
      <c r="AF700" s="3" t="n">
        <v>0</v>
      </c>
      <c r="AG700" s="3" t="n"/>
      <c r="AH700" s="3" t="n"/>
      <c r="AI700" s="3" t="n">
        <v>3.9421</v>
      </c>
      <c r="AJ700" s="3" t="n">
        <v>1.99</v>
      </c>
      <c r="AK700" s="3" t="n">
        <v>-0.2045226422080557</v>
      </c>
      <c r="AL700" s="6" t="n">
        <v>0</v>
      </c>
      <c r="AM700" s="3" t="n">
        <v>0</v>
      </c>
      <c r="AN700" s="3" t="n">
        <v>0</v>
      </c>
      <c r="AO700" s="3" t="n">
        <v>0</v>
      </c>
      <c r="AP700" s="3">
        <f>N(X700)*N(BI700)</f>
        <v/>
      </c>
      <c r="AQ700" s="3" t="n">
        <v>0</v>
      </c>
      <c r="AR700" s="3" t="n">
        <v>0</v>
      </c>
      <c r="AS700" s="3" t="n">
        <v>-0.7496714098286652</v>
      </c>
      <c r="AT700" s="3" t="n">
        <v>-0.2045226422080557</v>
      </c>
      <c r="AU700" s="3">
        <f>SUM(AN700:AT700)</f>
        <v/>
      </c>
      <c r="AV700" s="7">
        <f>IF(OR(N(W700)&lt;=0,N(BG700)=0),0,N(W700)*IF(N(R700)/N(W700)&gt;=60,N(BG700),1))</f>
        <v/>
      </c>
      <c r="AW700" s="7">
        <f>N(W700)*N(AF700)*N(BH700)</f>
        <v/>
      </c>
      <c r="AX700" s="7">
        <f>N(AL700)*(Assumptions!$B$13*N(BJ700)-(1-Assumptions!$B$13)*Assumptions!$B$14)+N(AM700)</f>
        <v/>
      </c>
      <c r="AY700" s="7">
        <f>N(AU700)*N(R700)/90+N(AV700)+N(AW700)+N(AX700)</f>
        <v/>
      </c>
      <c r="AZ700" s="3">
        <f>IF(N(R700)&lt;=0,0,(N(AY700)-N(AX700))*90/N(R700))</f>
        <v/>
      </c>
      <c r="BA700" s="7">
        <f>IFERROR(AY700-VLOOKUP($E700,Assumptions!$A$40:$C$43,3,FALSE),"")</f>
        <v/>
      </c>
      <c r="BB700" s="3">
        <f>IFERROR(BA700/H700,"")</f>
        <v/>
      </c>
      <c r="BC700">
        <f>IF(AND($G700=TRUE,$E700="GKP"),AY700,"")</f>
        <v/>
      </c>
      <c r="BD700">
        <f>IF(AND($G700=TRUE,$E700="DEF"),AY700,"")</f>
        <v/>
      </c>
      <c r="BE700">
        <f>IF(AND($G700=TRUE,$E700="MID"),AY700,"")</f>
        <v/>
      </c>
      <c r="BF700">
        <f>IF(AND($G700=TRUE,$E700="FWD"),AY700,"")</f>
        <v/>
      </c>
      <c r="BG700" t="n">
        <v>2</v>
      </c>
      <c r="BH700" t="n">
        <v>2</v>
      </c>
      <c r="BI700" t="n">
        <v>4</v>
      </c>
      <c r="BJ700" t="n">
        <v>6</v>
      </c>
    </row>
    <row r="701">
      <c r="A701" t="inlineStr">
        <is>
          <t>Elliot Stroud</t>
        </is>
      </c>
      <c r="B701" t="inlineStr">
        <is>
          <t>HUL</t>
        </is>
      </c>
      <c r="D701" t="b">
        <v>0</v>
      </c>
      <c r="E701" t="inlineStr">
        <is>
          <t>MID</t>
        </is>
      </c>
      <c r="G701" t="b">
        <v>1</v>
      </c>
      <c r="H701" s="2" t="n">
        <v>5</v>
      </c>
      <c r="I701" t="inlineStr">
        <is>
          <t>a</t>
        </is>
      </c>
      <c r="K701" s="2" t="n"/>
      <c r="M701" s="3" t="n">
        <v>2554</v>
      </c>
      <c r="N701" s="8" t="n">
        <v>2554</v>
      </c>
      <c r="O701" s="8" t="n">
        <v>0</v>
      </c>
      <c r="Q701" t="inlineStr">
        <is>
          <t>flat</t>
        </is>
      </c>
      <c r="R701" s="6" t="n">
        <v>2554</v>
      </c>
      <c r="S701" t="inlineStr">
        <is>
          <t>Solio</t>
        </is>
      </c>
      <c r="U701" s="6" t="n">
        <v>85</v>
      </c>
      <c r="V701" s="2" t="n"/>
      <c r="W701" s="7">
        <f>IF(N(U701)&lt;=0,0,MIN(Assumptions!$B$15,N(R701)/N(U701)))</f>
        <v/>
      </c>
      <c r="X701" s="6" t="n">
        <v>0.143</v>
      </c>
      <c r="Y701" s="3" t="n"/>
      <c r="Z701" t="inlineStr"/>
      <c r="AA701" s="3" t="n">
        <v>1</v>
      </c>
      <c r="AB701" s="3" t="n"/>
      <c r="AC701" s="3" t="n"/>
      <c r="AD701" s="3" t="n"/>
      <c r="AE701" s="3" t="n"/>
      <c r="AF701" s="3" t="n">
        <v>0</v>
      </c>
      <c r="AG701" s="3" t="n"/>
      <c r="AH701" s="3" t="n"/>
      <c r="AI701" s="3" t="n">
        <v>3.9421</v>
      </c>
      <c r="AJ701" s="3" t="n">
        <v>1.99</v>
      </c>
      <c r="AK701" s="3" t="n">
        <v>-0.2160434166173144</v>
      </c>
      <c r="AL701" s="6" t="n">
        <v>0</v>
      </c>
      <c r="AM701" s="3" t="n">
        <v>0</v>
      </c>
      <c r="AN701" s="3" t="n">
        <v>0</v>
      </c>
      <c r="AO701" s="3" t="n">
        <v>0</v>
      </c>
      <c r="AP701" s="3">
        <f>N(X701)*N(BI701)</f>
        <v/>
      </c>
      <c r="AQ701" s="3" t="n">
        <v>0</v>
      </c>
      <c r="AR701" s="3" t="n">
        <v>0</v>
      </c>
      <c r="AS701" s="3" t="n">
        <v>-0</v>
      </c>
      <c r="AT701" s="3" t="n">
        <v>-0.2160434166173144</v>
      </c>
      <c r="AU701" s="3">
        <f>SUM(AN701:AT701)</f>
        <v/>
      </c>
      <c r="AV701" s="7">
        <f>IF(OR(N(W701)&lt;=0,N(BG701)=0),0,N(W701)*IF(N(R701)/N(W701)&gt;=60,N(BG701),1))</f>
        <v/>
      </c>
      <c r="AW701" s="7">
        <f>N(W701)*N(AF701)*N(BH701)</f>
        <v/>
      </c>
      <c r="AX701" s="7">
        <f>N(AL701)*(Assumptions!$B$13*N(BJ701)-(1-Assumptions!$B$13)*Assumptions!$B$14)+N(AM701)</f>
        <v/>
      </c>
      <c r="AY701" s="7">
        <f>N(AU701)*N(R701)/90+N(AV701)+N(AW701)+N(AX701)</f>
        <v/>
      </c>
      <c r="AZ701" s="3">
        <f>IF(N(R701)&lt;=0,0,(N(AY701)-N(AX701))*90/N(R701))</f>
        <v/>
      </c>
      <c r="BA701" s="7">
        <f>IFERROR(AY701-VLOOKUP($E701,Assumptions!$A$40:$C$43,3,FALSE),"")</f>
        <v/>
      </c>
      <c r="BB701" s="3">
        <f>IFERROR(BA701/H701,"")</f>
        <v/>
      </c>
      <c r="BC701">
        <f>IF(AND($G701=TRUE,$E701="GKP"),AY701,"")</f>
        <v/>
      </c>
      <c r="BD701">
        <f>IF(AND($G701=TRUE,$E701="DEF"),AY701,"")</f>
        <v/>
      </c>
      <c r="BE701">
        <f>IF(AND($G701=TRUE,$E701="MID"),AY701,"")</f>
        <v/>
      </c>
      <c r="BF701">
        <f>IF(AND($G701=TRUE,$E701="FWD"),AY701,"")</f>
        <v/>
      </c>
      <c r="BG701" t="n">
        <v>2</v>
      </c>
      <c r="BH701" t="n">
        <v>2</v>
      </c>
      <c r="BI701" t="n">
        <v>1</v>
      </c>
      <c r="BJ701" t="n">
        <v>5</v>
      </c>
    </row>
    <row r="702">
      <c r="A702" t="inlineStr">
        <is>
          <t>Bazoumana Touré</t>
        </is>
      </c>
      <c r="B702" t="inlineStr">
        <is>
          <t>NEW</t>
        </is>
      </c>
      <c r="D702" t="b">
        <v>0</v>
      </c>
      <c r="E702" t="inlineStr">
        <is>
          <t>MID</t>
        </is>
      </c>
      <c r="G702" t="b">
        <v>1</v>
      </c>
      <c r="H702" s="2" t="n">
        <v>6</v>
      </c>
      <c r="I702" t="inlineStr">
        <is>
          <t>a</t>
        </is>
      </c>
      <c r="K702" s="2" t="n"/>
      <c r="M702" s="3" t="n">
        <v>1197</v>
      </c>
      <c r="N702" s="4" t="n">
        <v>1400</v>
      </c>
      <c r="O702" s="4" t="n">
        <v>203</v>
      </c>
      <c r="P702" s="5" t="inlineStr">
        <is>
          <t>medium</t>
        </is>
      </c>
      <c r="Q702" t="inlineStr">
        <is>
          <t>flat</t>
        </is>
      </c>
      <c r="R702" s="6" t="n">
        <v>1400</v>
      </c>
      <c r="S702" t="inlineStr">
        <is>
          <t>research</t>
        </is>
      </c>
      <c r="T702" s="5" t="inlineStr">
        <is>
          <t>A GBP 42.8m signing from Hoffenheim on 5 Jul 2026, explicitly bought to help fill the hole left by Anthony Gordon's sale, who started on the left v Everton in Jaissle's second match. Raised only slightly: he is 20, has no Premier League record, and Harvey Barnes signed a new contract and started the other friendly on that flank.</t>
        </is>
      </c>
      <c r="U702" s="6" t="n">
        <v>85</v>
      </c>
      <c r="V702" s="2" t="n"/>
      <c r="W702" s="7">
        <f>IF(N(U702)&lt;=0,0,MIN(Assumptions!$B$15,N(R702)/N(U702)))</f>
        <v/>
      </c>
      <c r="X702" s="6" t="n">
        <v>0.248</v>
      </c>
      <c r="Y702" s="3" t="n"/>
      <c r="Z702" t="inlineStr"/>
      <c r="AA702" s="3" t="n">
        <v>1</v>
      </c>
      <c r="AB702" s="3" t="n"/>
      <c r="AC702" s="3" t="n"/>
      <c r="AD702" s="3" t="n"/>
      <c r="AE702" s="3" t="n"/>
      <c r="AF702" s="3" t="n">
        <v>0</v>
      </c>
      <c r="AG702" s="3" t="n"/>
      <c r="AH702" s="3" t="n"/>
      <c r="AI702" s="3" t="n">
        <v>3.0912</v>
      </c>
      <c r="AJ702" s="3" t="n">
        <v>1.4534</v>
      </c>
      <c r="AK702" s="3" t="n">
        <v>-0.2160434166173144</v>
      </c>
      <c r="AL702" s="6" t="n">
        <v>0</v>
      </c>
      <c r="AM702" s="3" t="n">
        <v>0</v>
      </c>
      <c r="AN702" s="3" t="n">
        <v>0</v>
      </c>
      <c r="AO702" s="3" t="n">
        <v>0</v>
      </c>
      <c r="AP702" s="3">
        <f>N(X702)*N(BI702)</f>
        <v/>
      </c>
      <c r="AQ702" s="3" t="n">
        <v>0</v>
      </c>
      <c r="AR702" s="3" t="n">
        <v>0</v>
      </c>
      <c r="AS702" s="3" t="n">
        <v>-0</v>
      </c>
      <c r="AT702" s="3" t="n">
        <v>-0.2160434166173144</v>
      </c>
      <c r="AU702" s="3">
        <f>SUM(AN702:AT702)</f>
        <v/>
      </c>
      <c r="AV702" s="7">
        <f>IF(OR(N(W702)&lt;=0,N(BG702)=0),0,N(W702)*IF(N(R702)/N(W702)&gt;=60,N(BG702),1))</f>
        <v/>
      </c>
      <c r="AW702" s="7">
        <f>N(W702)*N(AF702)*N(BH702)</f>
        <v/>
      </c>
      <c r="AX702" s="7">
        <f>N(AL702)*(Assumptions!$B$13*N(BJ702)-(1-Assumptions!$B$13)*Assumptions!$B$14)+N(AM702)</f>
        <v/>
      </c>
      <c r="AY702" s="7">
        <f>N(AU702)*N(R702)/90+N(AV702)+N(AW702)+N(AX702)</f>
        <v/>
      </c>
      <c r="AZ702" s="3">
        <f>IF(N(R702)&lt;=0,0,(N(AY702)-N(AX702))*90/N(R702))</f>
        <v/>
      </c>
      <c r="BA702" s="7">
        <f>IFERROR(AY702-VLOOKUP($E702,Assumptions!$A$40:$C$43,3,FALSE),"")</f>
        <v/>
      </c>
      <c r="BB702" s="3">
        <f>IFERROR(BA702/H702,"")</f>
        <v/>
      </c>
      <c r="BC702">
        <f>IF(AND($G702=TRUE,$E702="GKP"),AY702,"")</f>
        <v/>
      </c>
      <c r="BD702">
        <f>IF(AND($G702=TRUE,$E702="DEF"),AY702,"")</f>
        <v/>
      </c>
      <c r="BE702">
        <f>IF(AND($G702=TRUE,$E702="MID"),AY702,"")</f>
        <v/>
      </c>
      <c r="BF702">
        <f>IF(AND($G702=TRUE,$E702="FWD"),AY702,"")</f>
        <v/>
      </c>
      <c r="BG702" t="n">
        <v>2</v>
      </c>
      <c r="BH702" t="n">
        <v>2</v>
      </c>
      <c r="BI702" t="n">
        <v>1</v>
      </c>
      <c r="BJ702" t="n">
        <v>5</v>
      </c>
    </row>
    <row r="703">
      <c r="A703" t="inlineStr">
        <is>
          <t>El Hadji Malick Diouf</t>
        </is>
      </c>
      <c r="C703" t="inlineStr">
        <is>
          <t>WHU</t>
        </is>
      </c>
      <c r="D703" t="b">
        <v>0</v>
      </c>
      <c r="F703" t="inlineStr">
        <is>
          <t>DEF</t>
        </is>
      </c>
      <c r="G703" t="b">
        <v>0</v>
      </c>
      <c r="H703" s="2" t="n"/>
      <c r="K703" s="2" t="n">
        <v>2711</v>
      </c>
      <c r="M703" s="3" t="n"/>
      <c r="N703" s="8" t="n">
        <v>2711</v>
      </c>
      <c r="O703" s="8" t="n">
        <v>0</v>
      </c>
      <c r="R703" s="6" t="n">
        <v>2711</v>
      </c>
      <c r="S703" t="inlineStr">
        <is>
          <t>25/26 actual</t>
        </is>
      </c>
      <c r="U703" s="6" t="n">
        <v>87.40000000000001</v>
      </c>
      <c r="V703" s="2" t="n">
        <v>30</v>
      </c>
      <c r="W703" s="7">
        <f>IF(N(U703)&lt;=0,0,MIN(Assumptions!$B$15,N(R703)/N(U703)))</f>
        <v/>
      </c>
      <c r="X703" s="6" t="n"/>
      <c r="Y703" s="3" t="n">
        <v>0.0179</v>
      </c>
      <c r="Z703" t="inlineStr">
        <is>
          <t>adjusted xGOT</t>
        </is>
      </c>
      <c r="AA703" s="3" t="n">
        <v>1</v>
      </c>
      <c r="AB703" s="3" t="n">
        <v>0.945</v>
      </c>
      <c r="AC703" s="3" t="n">
        <v>0.6</v>
      </c>
      <c r="AD703" s="3" t="n">
        <v>0.108</v>
      </c>
      <c r="AE703" s="3" t="n">
        <v>7</v>
      </c>
      <c r="AF703" s="3" t="n">
        <v>0</v>
      </c>
      <c r="AG703" s="3" t="n">
        <v>0.09959999999999999</v>
      </c>
      <c r="AH703" s="3" t="n">
        <v>62</v>
      </c>
      <c r="AI703" s="3" t="n"/>
      <c r="AJ703" s="3" t="n"/>
      <c r="AK703" s="3" t="n"/>
      <c r="AL703" s="6" t="n">
        <v>0</v>
      </c>
      <c r="AM703" s="3" t="n">
        <v>0</v>
      </c>
      <c r="AN703" s="3" t="n">
        <v>0</v>
      </c>
      <c r="AO703" s="3" t="n">
        <v>0</v>
      </c>
      <c r="AP703" s="3">
        <f>N(X703)*N(BI703)</f>
        <v/>
      </c>
      <c r="AQ703" s="3" t="n">
        <v>0</v>
      </c>
      <c r="AR703" s="3" t="n">
        <v>0</v>
      </c>
      <c r="AS703" s="3" t="n">
        <v>0</v>
      </c>
      <c r="AT703" s="3" t="n">
        <v>0</v>
      </c>
      <c r="AU703" s="3">
        <f>SUM(AN703:AT703)</f>
        <v/>
      </c>
      <c r="AV703" s="7">
        <f>IF(OR(N(W703)&lt;=0,N(BG703)=0),0,N(W703)*IF(N(R703)/N(W703)&gt;=60,N(BG703),1))</f>
        <v/>
      </c>
      <c r="AW703" s="7">
        <f>N(W703)*N(AF703)*N(BH703)</f>
        <v/>
      </c>
      <c r="AX703" s="7">
        <f>N(AL703)*(Assumptions!$B$13*N(BJ703)-(1-Assumptions!$B$13)*Assumptions!$B$14)+N(AM703)</f>
        <v/>
      </c>
      <c r="AY703" s="7">
        <f>N(AU703)*N(R703)/90+N(AV703)+N(AW703)+N(AX703)</f>
        <v/>
      </c>
      <c r="AZ703" s="3">
        <f>IF(N(R703)&lt;=0,0,(N(AY703)-N(AX703))*90/N(R703))</f>
        <v/>
      </c>
      <c r="BA703" s="7">
        <f>IFERROR(AY703-VLOOKUP($E703,Assumptions!$A$40:$C$43,3,FALSE),"")</f>
        <v/>
      </c>
      <c r="BB703" s="3">
        <f>IFERROR(BA703/H703,"")</f>
        <v/>
      </c>
      <c r="BC703">
        <f>IF(AND($G703=TRUE,$E703="GKP"),AY703,"")</f>
        <v/>
      </c>
      <c r="BD703">
        <f>IF(AND($G703=TRUE,$E703="DEF"),AY703,"")</f>
        <v/>
      </c>
      <c r="BE703">
        <f>IF(AND($G703=TRUE,$E703="MID"),AY703,"")</f>
        <v/>
      </c>
      <c r="BF703">
        <f>IF(AND($G703=TRUE,$E703="FWD"),AY703,"")</f>
        <v/>
      </c>
      <c r="BG703" t="n">
        <v>0</v>
      </c>
      <c r="BH703" t="n">
        <v>0</v>
      </c>
      <c r="BI703" t="n">
        <v>0</v>
      </c>
      <c r="BJ703" t="n">
        <v>0</v>
      </c>
    </row>
    <row r="704">
      <c r="A704" t="inlineStr">
        <is>
          <t>Johan Manzambi</t>
        </is>
      </c>
      <c r="B704" t="inlineStr">
        <is>
          <t>AVL</t>
        </is>
      </c>
      <c r="D704" t="b">
        <v>0</v>
      </c>
      <c r="E704" t="inlineStr">
        <is>
          <t>MID</t>
        </is>
      </c>
      <c r="G704" t="b">
        <v>1</v>
      </c>
      <c r="H704" s="2" t="n">
        <v>6</v>
      </c>
      <c r="I704" t="inlineStr">
        <is>
          <t>a</t>
        </is>
      </c>
      <c r="K704" s="2" t="n"/>
      <c r="M704" s="3" t="n">
        <v>2069</v>
      </c>
      <c r="N704" s="4" t="n">
        <v>1750</v>
      </c>
      <c r="O704" s="4" t="n">
        <v>-319</v>
      </c>
      <c r="P704" s="5" t="inlineStr">
        <is>
          <t>medium</t>
        </is>
      </c>
      <c r="Q704" t="inlineStr">
        <is>
          <t>flat</t>
        </is>
      </c>
      <c r="R704" s="6" t="n">
        <v>1750</v>
      </c>
      <c r="S704" t="inlineStr">
        <is>
          <t>research</t>
        </is>
      </c>
      <c r="T704" s="5" t="inlineStr">
        <is>
          <t>Has a knee injury carried over from the World Cup, has not appeared in pre-season at all, and was still not ready for the 15 August friendly. A GBP 52m signing who will play a lot once fit, but he starts behind schedule, has no Premier League record and has to adapt to Emery's system from a standing start.</t>
        </is>
      </c>
      <c r="U704" s="6" t="n">
        <v>85</v>
      </c>
      <c r="V704" s="2" t="n"/>
      <c r="W704" s="7">
        <f>IF(N(U704)&lt;=0,0,MIN(Assumptions!$B$15,N(R704)/N(U704)))</f>
        <v/>
      </c>
      <c r="X704" s="6" t="n">
        <v>0.273</v>
      </c>
      <c r="Y704" s="3" t="n"/>
      <c r="Z704" t="inlineStr"/>
      <c r="AA704" s="3" t="n">
        <v>1</v>
      </c>
      <c r="AB704" s="3" t="n"/>
      <c r="AC704" s="3" t="n"/>
      <c r="AD704" s="3" t="n"/>
      <c r="AE704" s="3" t="n"/>
      <c r="AF704" s="3" t="n">
        <v>0</v>
      </c>
      <c r="AG704" s="3" t="n"/>
      <c r="AH704" s="3" t="n"/>
      <c r="AI704" s="3" t="n">
        <v>2.7451</v>
      </c>
      <c r="AJ704" s="3" t="n">
        <v>1.3575</v>
      </c>
      <c r="AK704" s="3" t="n">
        <v>-0.2160434166173144</v>
      </c>
      <c r="AL704" s="6" t="n">
        <v>0</v>
      </c>
      <c r="AM704" s="3" t="n">
        <v>0</v>
      </c>
      <c r="AN704" s="3" t="n">
        <v>0</v>
      </c>
      <c r="AO704" s="3" t="n">
        <v>0</v>
      </c>
      <c r="AP704" s="3">
        <f>N(X704)*N(BI704)</f>
        <v/>
      </c>
      <c r="AQ704" s="3" t="n">
        <v>0</v>
      </c>
      <c r="AR704" s="3" t="n">
        <v>0</v>
      </c>
      <c r="AS704" s="3" t="n">
        <v>-0</v>
      </c>
      <c r="AT704" s="3" t="n">
        <v>-0.2160434166173144</v>
      </c>
      <c r="AU704" s="3">
        <f>SUM(AN704:AT704)</f>
        <v/>
      </c>
      <c r="AV704" s="7">
        <f>IF(OR(N(W704)&lt;=0,N(BG704)=0),0,N(W704)*IF(N(R704)/N(W704)&gt;=60,N(BG704),1))</f>
        <v/>
      </c>
      <c r="AW704" s="7">
        <f>N(W704)*N(AF704)*N(BH704)</f>
        <v/>
      </c>
      <c r="AX704" s="7">
        <f>N(AL704)*(Assumptions!$B$13*N(BJ704)-(1-Assumptions!$B$13)*Assumptions!$B$14)+N(AM704)</f>
        <v/>
      </c>
      <c r="AY704" s="7">
        <f>N(AU704)*N(R704)/90+N(AV704)+N(AW704)+N(AX704)</f>
        <v/>
      </c>
      <c r="AZ704" s="3">
        <f>IF(N(R704)&lt;=0,0,(N(AY704)-N(AX704))*90/N(R704))</f>
        <v/>
      </c>
      <c r="BA704" s="7">
        <f>IFERROR(AY704-VLOOKUP($E704,Assumptions!$A$40:$C$43,3,FALSE),"")</f>
        <v/>
      </c>
      <c r="BB704" s="3">
        <f>IFERROR(BA704/H704,"")</f>
        <v/>
      </c>
      <c r="BC704">
        <f>IF(AND($G704=TRUE,$E704="GKP"),AY704,"")</f>
        <v/>
      </c>
      <c r="BD704">
        <f>IF(AND($G704=TRUE,$E704="DEF"),AY704,"")</f>
        <v/>
      </c>
      <c r="BE704">
        <f>IF(AND($G704=TRUE,$E704="MID"),AY704,"")</f>
        <v/>
      </c>
      <c r="BF704">
        <f>IF(AND($G704=TRUE,$E704="FWD"),AY704,"")</f>
        <v/>
      </c>
      <c r="BG704" t="n">
        <v>2</v>
      </c>
      <c r="BH704" t="n">
        <v>2</v>
      </c>
      <c r="BI704" t="n">
        <v>1</v>
      </c>
      <c r="BJ704" t="n">
        <v>5</v>
      </c>
    </row>
    <row r="705">
      <c r="A705" t="inlineStr">
        <is>
          <t>Jesse Derry</t>
        </is>
      </c>
      <c r="C705" t="inlineStr">
        <is>
          <t>CHE</t>
        </is>
      </c>
      <c r="D705" t="b">
        <v>0</v>
      </c>
      <c r="F705" t="inlineStr">
        <is>
          <t>MID</t>
        </is>
      </c>
      <c r="G705" t="b">
        <v>0</v>
      </c>
      <c r="H705" s="2" t="n"/>
      <c r="K705" s="2" t="n">
        <v>44</v>
      </c>
      <c r="M705" s="3" t="n"/>
      <c r="N705" s="8" t="n">
        <v>44</v>
      </c>
      <c r="O705" s="8" t="n">
        <v>0</v>
      </c>
      <c r="R705" s="6" t="n">
        <v>44</v>
      </c>
      <c r="S705" t="inlineStr">
        <is>
          <t>25/26 actual</t>
        </is>
      </c>
      <c r="U705" s="6" t="n">
        <v>76.90000000000001</v>
      </c>
      <c r="V705" s="2" t="n">
        <v>1</v>
      </c>
      <c r="W705" s="7">
        <f>IF(N(U705)&lt;=0,0,MIN(Assumptions!$B$15,N(R705)/N(U705)))</f>
        <v/>
      </c>
      <c r="X705" s="6" t="n"/>
      <c r="Y705" s="3" t="n">
        <v>0.2045</v>
      </c>
      <c r="Z705" t="inlineStr">
        <is>
          <t>adjusted xGOT</t>
        </is>
      </c>
      <c r="AA705" s="3" t="n">
        <v>1</v>
      </c>
      <c r="AB705" s="3" t="n">
        <v>1</v>
      </c>
      <c r="AC705" s="3" t="n">
        <v>0.1</v>
      </c>
      <c r="AD705" s="3" t="n">
        <v>0</v>
      </c>
      <c r="AE705" s="3" t="n">
        <v>8.425000000000001</v>
      </c>
      <c r="AF705" s="3" t="n">
        <v>0</v>
      </c>
      <c r="AG705" s="3" t="n">
        <v>0</v>
      </c>
      <c r="AH705" s="3" t="n">
        <v>1</v>
      </c>
      <c r="AI705" s="3" t="n"/>
      <c r="AJ705" s="3" t="n"/>
      <c r="AK705" s="3" t="n"/>
      <c r="AL705" s="6" t="n">
        <v>0</v>
      </c>
      <c r="AM705" s="3" t="n">
        <v>0</v>
      </c>
      <c r="AN705" s="3" t="n">
        <v>0</v>
      </c>
      <c r="AO705" s="3" t="n">
        <v>0</v>
      </c>
      <c r="AP705" s="3">
        <f>N(X705)*N(BI705)</f>
        <v/>
      </c>
      <c r="AQ705" s="3" t="n">
        <v>0</v>
      </c>
      <c r="AR705" s="3" t="n">
        <v>0</v>
      </c>
      <c r="AS705" s="3" t="n">
        <v>0</v>
      </c>
      <c r="AT705" s="3" t="n">
        <v>0</v>
      </c>
      <c r="AU705" s="3">
        <f>SUM(AN705:AT705)</f>
        <v/>
      </c>
      <c r="AV705" s="7">
        <f>IF(OR(N(W705)&lt;=0,N(BG705)=0),0,N(W705)*IF(N(R705)/N(W705)&gt;=60,N(BG705),1))</f>
        <v/>
      </c>
      <c r="AW705" s="7">
        <f>N(W705)*N(AF705)*N(BH705)</f>
        <v/>
      </c>
      <c r="AX705" s="7">
        <f>N(AL705)*(Assumptions!$B$13*N(BJ705)-(1-Assumptions!$B$13)*Assumptions!$B$14)+N(AM705)</f>
        <v/>
      </c>
      <c r="AY705" s="7">
        <f>N(AU705)*N(R705)/90+N(AV705)+N(AW705)+N(AX705)</f>
        <v/>
      </c>
      <c r="AZ705" s="3">
        <f>IF(N(R705)&lt;=0,0,(N(AY705)-N(AX705))*90/N(R705))</f>
        <v/>
      </c>
      <c r="BA705" s="7">
        <f>IFERROR(AY705-VLOOKUP($E705,Assumptions!$A$40:$C$43,3,FALSE),"")</f>
        <v/>
      </c>
      <c r="BB705" s="3">
        <f>IFERROR(BA705/H705,"")</f>
        <v/>
      </c>
      <c r="BC705">
        <f>IF(AND($G705=TRUE,$E705="GKP"),AY705,"")</f>
        <v/>
      </c>
      <c r="BD705">
        <f>IF(AND($G705=TRUE,$E705="DEF"),AY705,"")</f>
        <v/>
      </c>
      <c r="BE705">
        <f>IF(AND($G705=TRUE,$E705="MID"),AY705,"")</f>
        <v/>
      </c>
      <c r="BF705">
        <f>IF(AND($G705=TRUE,$E705="FWD"),AY705,"")</f>
        <v/>
      </c>
      <c r="BG705" t="n">
        <v>0</v>
      </c>
      <c r="BH705" t="n">
        <v>0</v>
      </c>
      <c r="BI705" t="n">
        <v>0</v>
      </c>
      <c r="BJ705" t="n">
        <v>0</v>
      </c>
    </row>
    <row r="706">
      <c r="A706" t="inlineStr">
        <is>
          <t>Marco Palestra</t>
        </is>
      </c>
      <c r="B706" t="inlineStr">
        <is>
          <t>CHE</t>
        </is>
      </c>
      <c r="D706" t="b">
        <v>0</v>
      </c>
      <c r="E706" t="inlineStr">
        <is>
          <t>DEF</t>
        </is>
      </c>
      <c r="G706" t="b">
        <v>1</v>
      </c>
      <c r="H706" s="2" t="n">
        <v>5.5</v>
      </c>
      <c r="I706" t="inlineStr">
        <is>
          <t>a</t>
        </is>
      </c>
      <c r="K706" s="2" t="n"/>
      <c r="M706" s="3" t="n">
        <v>2588</v>
      </c>
      <c r="N706" s="8" t="n">
        <v>2588</v>
      </c>
      <c r="O706" s="8" t="n">
        <v>0</v>
      </c>
      <c r="Q706" t="inlineStr">
        <is>
          <t>flat</t>
        </is>
      </c>
      <c r="R706" s="6" t="n">
        <v>2588</v>
      </c>
      <c r="S706" t="inlineStr">
        <is>
          <t>Solio</t>
        </is>
      </c>
      <c r="U706" s="6" t="n">
        <v>85</v>
      </c>
      <c r="V706" s="2" t="n"/>
      <c r="W706" s="7">
        <f>IF(N(U706)&lt;=0,0,MIN(Assumptions!$B$15,N(R706)/N(U706)))</f>
        <v/>
      </c>
      <c r="X706" s="6" t="n">
        <v>0.322</v>
      </c>
      <c r="Y706" s="3" t="n"/>
      <c r="Z706" t="inlineStr"/>
      <c r="AA706" s="3" t="n">
        <v>1</v>
      </c>
      <c r="AB706" s="3" t="n"/>
      <c r="AC706" s="3" t="n"/>
      <c r="AD706" s="3" t="n"/>
      <c r="AE706" s="3" t="n"/>
      <c r="AF706" s="3" t="n">
        <v>0</v>
      </c>
      <c r="AG706" s="3" t="n"/>
      <c r="AH706" s="3" t="n"/>
      <c r="AI706" s="3" t="n">
        <v>2.4232</v>
      </c>
      <c r="AJ706" s="3" t="n">
        <v>1.1851</v>
      </c>
      <c r="AK706" s="3" t="n">
        <v>-0.2045226422080557</v>
      </c>
      <c r="AL706" s="6" t="n">
        <v>0</v>
      </c>
      <c r="AM706" s="3" t="n">
        <v>0</v>
      </c>
      <c r="AN706" s="3" t="n">
        <v>0</v>
      </c>
      <c r="AO706" s="3" t="n">
        <v>0</v>
      </c>
      <c r="AP706" s="3">
        <f>N(X706)*N(BI706)</f>
        <v/>
      </c>
      <c r="AQ706" s="3" t="n">
        <v>0</v>
      </c>
      <c r="AR706" s="3" t="n">
        <v>0</v>
      </c>
      <c r="AS706" s="3" t="n">
        <v>-0.365915508000572</v>
      </c>
      <c r="AT706" s="3" t="n">
        <v>-0.2045226422080557</v>
      </c>
      <c r="AU706" s="3">
        <f>SUM(AN706:AT706)</f>
        <v/>
      </c>
      <c r="AV706" s="7">
        <f>IF(OR(N(W706)&lt;=0,N(BG706)=0),0,N(W706)*IF(N(R706)/N(W706)&gt;=60,N(BG706),1))</f>
        <v/>
      </c>
      <c r="AW706" s="7">
        <f>N(W706)*N(AF706)*N(BH706)</f>
        <v/>
      </c>
      <c r="AX706" s="7">
        <f>N(AL706)*(Assumptions!$B$13*N(BJ706)-(1-Assumptions!$B$13)*Assumptions!$B$14)+N(AM706)</f>
        <v/>
      </c>
      <c r="AY706" s="7">
        <f>N(AU706)*N(R706)/90+N(AV706)+N(AW706)+N(AX706)</f>
        <v/>
      </c>
      <c r="AZ706" s="3">
        <f>IF(N(R706)&lt;=0,0,(N(AY706)-N(AX706))*90/N(R706))</f>
        <v/>
      </c>
      <c r="BA706" s="7">
        <f>IFERROR(AY706-VLOOKUP($E706,Assumptions!$A$40:$C$43,3,FALSE),"")</f>
        <v/>
      </c>
      <c r="BB706" s="3">
        <f>IFERROR(BA706/H706,"")</f>
        <v/>
      </c>
      <c r="BC706">
        <f>IF(AND($G706=TRUE,$E706="GKP"),AY706,"")</f>
        <v/>
      </c>
      <c r="BD706">
        <f>IF(AND($G706=TRUE,$E706="DEF"),AY706,"")</f>
        <v/>
      </c>
      <c r="BE706">
        <f>IF(AND($G706=TRUE,$E706="MID"),AY706,"")</f>
        <v/>
      </c>
      <c r="BF706">
        <f>IF(AND($G706=TRUE,$E706="FWD"),AY706,"")</f>
        <v/>
      </c>
      <c r="BG706" t="n">
        <v>2</v>
      </c>
      <c r="BH706" t="n">
        <v>2</v>
      </c>
      <c r="BI706" t="n">
        <v>4</v>
      </c>
      <c r="BJ706" t="n">
        <v>6</v>
      </c>
    </row>
    <row r="707">
      <c r="A707" t="inlineStr">
        <is>
          <t>Kaine Andrews</t>
        </is>
      </c>
      <c r="B707" t="inlineStr">
        <is>
          <t>COV</t>
        </is>
      </c>
      <c r="D707" t="b">
        <v>0</v>
      </c>
      <c r="E707" t="inlineStr">
        <is>
          <t>MID</t>
        </is>
      </c>
      <c r="G707" t="b">
        <v>1</v>
      </c>
      <c r="H707" s="2" t="n">
        <v>4.5</v>
      </c>
      <c r="I707" t="inlineStr">
        <is>
          <t>a</t>
        </is>
      </c>
      <c r="K707" s="2" t="n"/>
      <c r="M707" s="3" t="n">
        <v>0</v>
      </c>
      <c r="N707" s="8" t="n">
        <v>0</v>
      </c>
      <c r="O707" s="8" t="n">
        <v>0</v>
      </c>
      <c r="Q707" t="inlineStr">
        <is>
          <t>flat</t>
        </is>
      </c>
      <c r="R707" s="6" t="n">
        <v>0</v>
      </c>
      <c r="S707" t="inlineStr">
        <is>
          <t>Solio</t>
        </is>
      </c>
      <c r="U707" s="6" t="n">
        <v>85</v>
      </c>
      <c r="V707" s="2" t="n"/>
      <c r="W707" s="7">
        <f>IF(N(U707)&lt;=0,0,MIN(Assumptions!$B$15,N(R707)/N(U707)))</f>
        <v/>
      </c>
      <c r="X707" s="6" t="n">
        <v>0.17</v>
      </c>
      <c r="Y707" s="3" t="n"/>
      <c r="Z707" t="inlineStr"/>
      <c r="AA707" s="3" t="n">
        <v>1</v>
      </c>
      <c r="AB707" s="3" t="n"/>
      <c r="AC707" s="3" t="n"/>
      <c r="AD707" s="3" t="n"/>
      <c r="AE707" s="3" t="n"/>
      <c r="AF707" s="3" t="n">
        <v>0</v>
      </c>
      <c r="AG707" s="3" t="n"/>
      <c r="AH707" s="3" t="n"/>
      <c r="AI707" s="3" t="n">
        <v>3.6194</v>
      </c>
      <c r="AJ707" s="3" t="n">
        <v>1.8271</v>
      </c>
      <c r="AK707" s="3" t="n">
        <v>-0.2160434166173144</v>
      </c>
      <c r="AL707" s="6" t="n">
        <v>0</v>
      </c>
      <c r="AM707" s="3" t="n">
        <v>0</v>
      </c>
      <c r="AN707" s="3" t="n">
        <v>0</v>
      </c>
      <c r="AO707" s="3" t="n">
        <v>0</v>
      </c>
      <c r="AP707" s="3">
        <f>N(X707)*N(BI707)</f>
        <v/>
      </c>
      <c r="AQ707" s="3" t="n">
        <v>0</v>
      </c>
      <c r="AR707" s="3" t="n">
        <v>0</v>
      </c>
      <c r="AS707" s="3" t="n">
        <v>-0</v>
      </c>
      <c r="AT707" s="3" t="n">
        <v>-0.2160434166173144</v>
      </c>
      <c r="AU707" s="3">
        <f>SUM(AN707:AT707)</f>
        <v/>
      </c>
      <c r="AV707" s="7">
        <f>IF(OR(N(W707)&lt;=0,N(BG707)=0),0,N(W707)*IF(N(R707)/N(W707)&gt;=60,N(BG707),1))</f>
        <v/>
      </c>
      <c r="AW707" s="7">
        <f>N(W707)*N(AF707)*N(BH707)</f>
        <v/>
      </c>
      <c r="AX707" s="7">
        <f>N(AL707)*(Assumptions!$B$13*N(BJ707)-(1-Assumptions!$B$13)*Assumptions!$B$14)+N(AM707)</f>
        <v/>
      </c>
      <c r="AY707" s="7">
        <f>N(AU707)*N(R707)/90+N(AV707)+N(AW707)+N(AX707)</f>
        <v/>
      </c>
      <c r="AZ707" s="3">
        <f>IF(N(R707)&lt;=0,0,(N(AY707)-N(AX707))*90/N(R707))</f>
        <v/>
      </c>
      <c r="BA707" s="7">
        <f>IFERROR(AY707-VLOOKUP($E707,Assumptions!$A$40:$C$43,3,FALSE),"")</f>
        <v/>
      </c>
      <c r="BB707" s="3">
        <f>IFERROR(BA707/H707,"")</f>
        <v/>
      </c>
      <c r="BC707">
        <f>IF(AND($G707=TRUE,$E707="GKP"),AY707,"")</f>
        <v/>
      </c>
      <c r="BD707">
        <f>IF(AND($G707=TRUE,$E707="DEF"),AY707,"")</f>
        <v/>
      </c>
      <c r="BE707">
        <f>IF(AND($G707=TRUE,$E707="MID"),AY707,"")</f>
        <v/>
      </c>
      <c r="BF707">
        <f>IF(AND($G707=TRUE,$E707="FWD"),AY707,"")</f>
        <v/>
      </c>
      <c r="BG707" t="n">
        <v>2</v>
      </c>
      <c r="BH707" t="n">
        <v>2</v>
      </c>
      <c r="BI707" t="n">
        <v>1</v>
      </c>
      <c r="BJ707" t="n">
        <v>5</v>
      </c>
    </row>
    <row r="708">
      <c r="A708" t="inlineStr">
        <is>
          <t>Mohamadou Kanté</t>
        </is>
      </c>
      <c r="C708" t="inlineStr">
        <is>
          <t>WHU</t>
        </is>
      </c>
      <c r="D708" t="b">
        <v>0</v>
      </c>
      <c r="F708" t="inlineStr">
        <is>
          <t>MID</t>
        </is>
      </c>
      <c r="G708" t="b">
        <v>0</v>
      </c>
      <c r="H708" s="2" t="n"/>
      <c r="K708" s="2" t="n">
        <v>67</v>
      </c>
      <c r="M708" s="3" t="n"/>
      <c r="N708" s="8" t="n">
        <v>67</v>
      </c>
      <c r="O708" s="8" t="n">
        <v>0</v>
      </c>
      <c r="R708" s="6" t="n">
        <v>67</v>
      </c>
      <c r="S708" t="inlineStr">
        <is>
          <t>25/26 actual</t>
        </is>
      </c>
      <c r="U708" s="6" t="n">
        <v>80.09999999999999</v>
      </c>
      <c r="V708" s="2" t="n">
        <v>0</v>
      </c>
      <c r="W708" s="7">
        <f>IF(N(U708)&lt;=0,0,MIN(Assumptions!$B$15,N(R708)/N(U708)))</f>
        <v/>
      </c>
      <c r="X708" s="6" t="n"/>
      <c r="Y708" s="3" t="n">
        <v>0.0927</v>
      </c>
      <c r="Z708" t="inlineStr">
        <is>
          <t>adjusted xGOT</t>
        </is>
      </c>
      <c r="AA708" s="3" t="n">
        <v>1</v>
      </c>
      <c r="AB708" s="3" t="n">
        <v>0.991</v>
      </c>
      <c r="AC708" s="3" t="n">
        <v>0.1</v>
      </c>
      <c r="AD708" s="3" t="n">
        <v>0.1476</v>
      </c>
      <c r="AE708" s="3" t="n">
        <v>9.677</v>
      </c>
      <c r="AF708" s="3" t="n">
        <v>0</v>
      </c>
      <c r="AG708" s="3" t="n">
        <v>0</v>
      </c>
      <c r="AH708" s="3" t="n">
        <v>11</v>
      </c>
      <c r="AI708" s="3" t="n"/>
      <c r="AJ708" s="3" t="n"/>
      <c r="AK708" s="3" t="n"/>
      <c r="AL708" s="6" t="n">
        <v>0</v>
      </c>
      <c r="AM708" s="3" t="n">
        <v>0</v>
      </c>
      <c r="AN708" s="3" t="n">
        <v>0</v>
      </c>
      <c r="AO708" s="3" t="n">
        <v>0</v>
      </c>
      <c r="AP708" s="3">
        <f>N(X708)*N(BI708)</f>
        <v/>
      </c>
      <c r="AQ708" s="3" t="n">
        <v>0</v>
      </c>
      <c r="AR708" s="3" t="n">
        <v>0</v>
      </c>
      <c r="AS708" s="3" t="n">
        <v>0</v>
      </c>
      <c r="AT708" s="3" t="n">
        <v>0</v>
      </c>
      <c r="AU708" s="3">
        <f>SUM(AN708:AT708)</f>
        <v/>
      </c>
      <c r="AV708" s="7">
        <f>IF(OR(N(W708)&lt;=0,N(BG708)=0),0,N(W708)*IF(N(R708)/N(W708)&gt;=60,N(BG708),1))</f>
        <v/>
      </c>
      <c r="AW708" s="7">
        <f>N(W708)*N(AF708)*N(BH708)</f>
        <v/>
      </c>
      <c r="AX708" s="7">
        <f>N(AL708)*(Assumptions!$B$13*N(BJ708)-(1-Assumptions!$B$13)*Assumptions!$B$14)+N(AM708)</f>
        <v/>
      </c>
      <c r="AY708" s="7">
        <f>N(AU708)*N(R708)/90+N(AV708)+N(AW708)+N(AX708)</f>
        <v/>
      </c>
      <c r="AZ708" s="3">
        <f>IF(N(R708)&lt;=0,0,(N(AY708)-N(AX708))*90/N(R708))</f>
        <v/>
      </c>
      <c r="BA708" s="7">
        <f>IFERROR(AY708-VLOOKUP($E708,Assumptions!$A$40:$C$43,3,FALSE),"")</f>
        <v/>
      </c>
      <c r="BB708" s="3">
        <f>IFERROR(BA708/H708,"")</f>
        <v/>
      </c>
      <c r="BC708">
        <f>IF(AND($G708=TRUE,$E708="GKP"),AY708,"")</f>
        <v/>
      </c>
      <c r="BD708">
        <f>IF(AND($G708=TRUE,$E708="DEF"),AY708,"")</f>
        <v/>
      </c>
      <c r="BE708">
        <f>IF(AND($G708=TRUE,$E708="MID"),AY708,"")</f>
        <v/>
      </c>
      <c r="BF708">
        <f>IF(AND($G708=TRUE,$E708="FWD"),AY708,"")</f>
        <v/>
      </c>
      <c r="BG708" t="n">
        <v>0</v>
      </c>
      <c r="BH708" t="n">
        <v>0</v>
      </c>
      <c r="BI708" t="n">
        <v>0</v>
      </c>
      <c r="BJ708" t="n">
        <v>0</v>
      </c>
    </row>
    <row r="709">
      <c r="A709" t="inlineStr">
        <is>
          <t>Aladji Bamba</t>
        </is>
      </c>
      <c r="B709" t="inlineStr">
        <is>
          <t>NEW</t>
        </is>
      </c>
      <c r="D709" t="b">
        <v>0</v>
      </c>
      <c r="E709" t="inlineStr">
        <is>
          <t>MID</t>
        </is>
      </c>
      <c r="G709" t="b">
        <v>1</v>
      </c>
      <c r="H709" s="2" t="n">
        <v>5</v>
      </c>
      <c r="I709" t="inlineStr">
        <is>
          <t>a</t>
        </is>
      </c>
      <c r="K709" s="2" t="n"/>
      <c r="M709" s="3" t="n">
        <v>2018</v>
      </c>
      <c r="N709" s="8" t="n">
        <v>2018</v>
      </c>
      <c r="O709" s="8" t="n">
        <v>0</v>
      </c>
      <c r="Q709" t="inlineStr">
        <is>
          <t>flat</t>
        </is>
      </c>
      <c r="R709" s="6" t="n">
        <v>2018</v>
      </c>
      <c r="S709" t="inlineStr">
        <is>
          <t>Solio</t>
        </is>
      </c>
      <c r="U709" s="6" t="n">
        <v>85</v>
      </c>
      <c r="V709" s="2" t="n"/>
      <c r="W709" s="7">
        <f>IF(N(U709)&lt;=0,0,MIN(Assumptions!$B$15,N(R709)/N(U709)))</f>
        <v/>
      </c>
      <c r="X709" s="6" t="n">
        <v>0.248</v>
      </c>
      <c r="Y709" s="3" t="n"/>
      <c r="Z709" t="inlineStr"/>
      <c r="AA709" s="3" t="n">
        <v>1</v>
      </c>
      <c r="AB709" s="3" t="n"/>
      <c r="AC709" s="3" t="n"/>
      <c r="AD709" s="3" t="n"/>
      <c r="AE709" s="3" t="n"/>
      <c r="AF709" s="3" t="n">
        <v>0</v>
      </c>
      <c r="AG709" s="3" t="n"/>
      <c r="AH709" s="3" t="n"/>
      <c r="AI709" s="3" t="n">
        <v>3.0912</v>
      </c>
      <c r="AJ709" s="3" t="n">
        <v>1.4534</v>
      </c>
      <c r="AK709" s="3" t="n">
        <v>-0.2160434166173144</v>
      </c>
      <c r="AL709" s="6" t="n">
        <v>0</v>
      </c>
      <c r="AM709" s="3" t="n">
        <v>0</v>
      </c>
      <c r="AN709" s="3" t="n">
        <v>0</v>
      </c>
      <c r="AO709" s="3" t="n">
        <v>0</v>
      </c>
      <c r="AP709" s="3">
        <f>N(X709)*N(BI709)</f>
        <v/>
      </c>
      <c r="AQ709" s="3" t="n">
        <v>0</v>
      </c>
      <c r="AR709" s="3" t="n">
        <v>0</v>
      </c>
      <c r="AS709" s="3" t="n">
        <v>-0</v>
      </c>
      <c r="AT709" s="3" t="n">
        <v>-0.2160434166173144</v>
      </c>
      <c r="AU709" s="3">
        <f>SUM(AN709:AT709)</f>
        <v/>
      </c>
      <c r="AV709" s="7">
        <f>IF(OR(N(W709)&lt;=0,N(BG709)=0),0,N(W709)*IF(N(R709)/N(W709)&gt;=60,N(BG709),1))</f>
        <v/>
      </c>
      <c r="AW709" s="7">
        <f>N(W709)*N(AF709)*N(BH709)</f>
        <v/>
      </c>
      <c r="AX709" s="7">
        <f>N(AL709)*(Assumptions!$B$13*N(BJ709)-(1-Assumptions!$B$13)*Assumptions!$B$14)+N(AM709)</f>
        <v/>
      </c>
      <c r="AY709" s="7">
        <f>N(AU709)*N(R709)/90+N(AV709)+N(AW709)+N(AX709)</f>
        <v/>
      </c>
      <c r="AZ709" s="3">
        <f>IF(N(R709)&lt;=0,0,(N(AY709)-N(AX709))*90/N(R709))</f>
        <v/>
      </c>
      <c r="BA709" s="7">
        <f>IFERROR(AY709-VLOOKUP($E709,Assumptions!$A$40:$C$43,3,FALSE),"")</f>
        <v/>
      </c>
      <c r="BB709" s="3">
        <f>IFERROR(BA709/H709,"")</f>
        <v/>
      </c>
      <c r="BC709">
        <f>IF(AND($G709=TRUE,$E709="GKP"),AY709,"")</f>
        <v/>
      </c>
      <c r="BD709">
        <f>IF(AND($G709=TRUE,$E709="DEF"),AY709,"")</f>
        <v/>
      </c>
      <c r="BE709">
        <f>IF(AND($G709=TRUE,$E709="MID"),AY709,"")</f>
        <v/>
      </c>
      <c r="BF709">
        <f>IF(AND($G709=TRUE,$E709="FWD"),AY709,"")</f>
        <v/>
      </c>
      <c r="BG709" t="n">
        <v>2</v>
      </c>
      <c r="BH709" t="n">
        <v>2</v>
      </c>
      <c r="BI709" t="n">
        <v>1</v>
      </c>
      <c r="BJ709" t="n">
        <v>5</v>
      </c>
    </row>
    <row r="710">
      <c r="A710" t="inlineStr">
        <is>
          <t>Sean Steur</t>
        </is>
      </c>
      <c r="B710" t="inlineStr">
        <is>
          <t>NEW</t>
        </is>
      </c>
      <c r="D710" t="b">
        <v>0</v>
      </c>
      <c r="E710" t="inlineStr">
        <is>
          <t>MID</t>
        </is>
      </c>
      <c r="G710" t="b">
        <v>1</v>
      </c>
      <c r="H710" s="2" t="n">
        <v>5</v>
      </c>
      <c r="I710" t="inlineStr">
        <is>
          <t>a</t>
        </is>
      </c>
      <c r="K710" s="2" t="n"/>
      <c r="M710" s="3" t="n">
        <v>1379</v>
      </c>
      <c r="N710" s="4" t="n">
        <v>1080</v>
      </c>
      <c r="O710" s="4" t="n">
        <v>-299</v>
      </c>
      <c r="P710" s="5" t="inlineStr">
        <is>
          <t>medium</t>
        </is>
      </c>
      <c r="Q710" t="inlineStr">
        <is>
          <t>flat</t>
        </is>
      </c>
      <c r="R710" s="6" t="n">
        <v>1080</v>
      </c>
      <c r="S710" t="inlineStr">
        <is>
          <t>research</t>
        </is>
      </c>
      <c r="T710" s="5" t="inlineStr">
        <is>
          <t>Steur is 18, arrived from Ajax on 9 Jul 2026 with no Premier League record, and Newcastle are actively pursuing an experienced central midfielder (Hojbjerg reported furthest advanced at around GBP 13m, with Palhinha also targeted) precisely to shield him and Bamba. The Mag judged him likely too young for the Liverpool opener. Offset by the fact he did start v Leverkusen, so the cut is modest.</t>
        </is>
      </c>
      <c r="U710" s="6" t="n">
        <v>85</v>
      </c>
      <c r="V710" s="2" t="n"/>
      <c r="W710" s="7">
        <f>IF(N(U710)&lt;=0,0,MIN(Assumptions!$B$15,N(R710)/N(U710)))</f>
        <v/>
      </c>
      <c r="X710" s="6" t="n">
        <v>0.248</v>
      </c>
      <c r="Y710" s="3" t="n"/>
      <c r="Z710" t="inlineStr"/>
      <c r="AA710" s="3" t="n">
        <v>1</v>
      </c>
      <c r="AB710" s="3" t="n"/>
      <c r="AC710" s="3" t="n"/>
      <c r="AD710" s="3" t="n"/>
      <c r="AE710" s="3" t="n"/>
      <c r="AF710" s="3" t="n">
        <v>0</v>
      </c>
      <c r="AG710" s="3" t="n"/>
      <c r="AH710" s="3" t="n"/>
      <c r="AI710" s="3" t="n">
        <v>3.0912</v>
      </c>
      <c r="AJ710" s="3" t="n">
        <v>1.4534</v>
      </c>
      <c r="AK710" s="3" t="n">
        <v>-0.2160434166173144</v>
      </c>
      <c r="AL710" s="6" t="n">
        <v>0</v>
      </c>
      <c r="AM710" s="3" t="n">
        <v>0</v>
      </c>
      <c r="AN710" s="3" t="n">
        <v>0</v>
      </c>
      <c r="AO710" s="3" t="n">
        <v>0</v>
      </c>
      <c r="AP710" s="3">
        <f>N(X710)*N(BI710)</f>
        <v/>
      </c>
      <c r="AQ710" s="3" t="n">
        <v>0</v>
      </c>
      <c r="AR710" s="3" t="n">
        <v>0</v>
      </c>
      <c r="AS710" s="3" t="n">
        <v>-0</v>
      </c>
      <c r="AT710" s="3" t="n">
        <v>-0.2160434166173144</v>
      </c>
      <c r="AU710" s="3">
        <f>SUM(AN710:AT710)</f>
        <v/>
      </c>
      <c r="AV710" s="7">
        <f>IF(OR(N(W710)&lt;=0,N(BG710)=0),0,N(W710)*IF(N(R710)/N(W710)&gt;=60,N(BG710),1))</f>
        <v/>
      </c>
      <c r="AW710" s="7">
        <f>N(W710)*N(AF710)*N(BH710)</f>
        <v/>
      </c>
      <c r="AX710" s="7">
        <f>N(AL710)*(Assumptions!$B$13*N(BJ710)-(1-Assumptions!$B$13)*Assumptions!$B$14)+N(AM710)</f>
        <v/>
      </c>
      <c r="AY710" s="7">
        <f>N(AU710)*N(R710)/90+N(AV710)+N(AW710)+N(AX710)</f>
        <v/>
      </c>
      <c r="AZ710" s="3">
        <f>IF(N(R710)&lt;=0,0,(N(AY710)-N(AX710))*90/N(R710))</f>
        <v/>
      </c>
      <c r="BA710" s="7">
        <f>IFERROR(AY710-VLOOKUP($E710,Assumptions!$A$40:$C$43,3,FALSE),"")</f>
        <v/>
      </c>
      <c r="BB710" s="3">
        <f>IFERROR(BA710/H710,"")</f>
        <v/>
      </c>
      <c r="BC710">
        <f>IF(AND($G710=TRUE,$E710="GKP"),AY710,"")</f>
        <v/>
      </c>
      <c r="BD710">
        <f>IF(AND($G710=TRUE,$E710="DEF"),AY710,"")</f>
        <v/>
      </c>
      <c r="BE710">
        <f>IF(AND($G710=TRUE,$E710="MID"),AY710,"")</f>
        <v/>
      </c>
      <c r="BF710">
        <f>IF(AND($G710=TRUE,$E710="FWD"),AY710,"")</f>
        <v/>
      </c>
      <c r="BG710" t="n">
        <v>2</v>
      </c>
      <c r="BH710" t="n">
        <v>2</v>
      </c>
      <c r="BI710" t="n">
        <v>1</v>
      </c>
      <c r="BJ710" t="n">
        <v>5</v>
      </c>
    </row>
    <row r="711">
      <c r="A711" t="inlineStr">
        <is>
          <t>Pedro Lima</t>
        </is>
      </c>
      <c r="C711" t="inlineStr">
        <is>
          <t>WOL</t>
        </is>
      </c>
      <c r="D711" t="b">
        <v>0</v>
      </c>
      <c r="F711" t="inlineStr">
        <is>
          <t>DEF</t>
        </is>
      </c>
      <c r="G711" t="b">
        <v>0</v>
      </c>
      <c r="H711" s="2" t="n"/>
      <c r="K711" s="2" t="n">
        <v>259</v>
      </c>
      <c r="M711" s="3" t="n"/>
      <c r="N711" s="8" t="n">
        <v>259</v>
      </c>
      <c r="O711" s="8" t="n">
        <v>0</v>
      </c>
      <c r="R711" s="6" t="n">
        <v>259</v>
      </c>
      <c r="S711" t="inlineStr">
        <is>
          <t>25/26 actual</t>
        </is>
      </c>
      <c r="U711" s="6" t="n">
        <v>80.8</v>
      </c>
      <c r="V711" s="2" t="n">
        <v>3</v>
      </c>
      <c r="W711" s="7">
        <f>IF(N(U711)&lt;=0,0,MIN(Assumptions!$B$15,N(R711)/N(U711)))</f>
        <v/>
      </c>
      <c r="X711" s="6" t="n"/>
      <c r="Y711" s="3" t="n">
        <v>0.1216</v>
      </c>
      <c r="Z711" t="inlineStr">
        <is>
          <t>adjusted xGOT</t>
        </is>
      </c>
      <c r="AA711" s="3" t="n">
        <v>1</v>
      </c>
      <c r="AB711" s="3" t="n">
        <v>0.999</v>
      </c>
      <c r="AC711" s="3" t="n">
        <v>0.4</v>
      </c>
      <c r="AD711" s="3" t="n">
        <v>0.07530000000000001</v>
      </c>
      <c r="AE711" s="3" t="n">
        <v>7.414</v>
      </c>
      <c r="AF711" s="3" t="n">
        <v>0</v>
      </c>
      <c r="AG711" s="3" t="n">
        <v>0</v>
      </c>
      <c r="AH711" s="3" t="n">
        <v>11</v>
      </c>
      <c r="AI711" s="3" t="n"/>
      <c r="AJ711" s="3" t="n"/>
      <c r="AK711" s="3" t="n"/>
      <c r="AL711" s="6" t="n">
        <v>0</v>
      </c>
      <c r="AM711" s="3" t="n">
        <v>0</v>
      </c>
      <c r="AN711" s="3" t="n">
        <v>0</v>
      </c>
      <c r="AO711" s="3" t="n">
        <v>0</v>
      </c>
      <c r="AP711" s="3">
        <f>N(X711)*N(BI711)</f>
        <v/>
      </c>
      <c r="AQ711" s="3" t="n">
        <v>0</v>
      </c>
      <c r="AR711" s="3" t="n">
        <v>0</v>
      </c>
      <c r="AS711" s="3" t="n">
        <v>0</v>
      </c>
      <c r="AT711" s="3" t="n">
        <v>0</v>
      </c>
      <c r="AU711" s="3">
        <f>SUM(AN711:AT711)</f>
        <v/>
      </c>
      <c r="AV711" s="7">
        <f>IF(OR(N(W711)&lt;=0,N(BG711)=0),0,N(W711)*IF(N(R711)/N(W711)&gt;=60,N(BG711),1))</f>
        <v/>
      </c>
      <c r="AW711" s="7">
        <f>N(W711)*N(AF711)*N(BH711)</f>
        <v/>
      </c>
      <c r="AX711" s="7">
        <f>N(AL711)*(Assumptions!$B$13*N(BJ711)-(1-Assumptions!$B$13)*Assumptions!$B$14)+N(AM711)</f>
        <v/>
      </c>
      <c r="AY711" s="7">
        <f>N(AU711)*N(R711)/90+N(AV711)+N(AW711)+N(AX711)</f>
        <v/>
      </c>
      <c r="AZ711" s="3">
        <f>IF(N(R711)&lt;=0,0,(N(AY711)-N(AX711))*90/N(R711))</f>
        <v/>
      </c>
      <c r="BA711" s="7">
        <f>IFERROR(AY711-VLOOKUP($E711,Assumptions!$A$40:$C$43,3,FALSE),"")</f>
        <v/>
      </c>
      <c r="BB711" s="3">
        <f>IFERROR(BA711/H711,"")</f>
        <v/>
      </c>
      <c r="BC711">
        <f>IF(AND($G711=TRUE,$E711="GKP"),AY711,"")</f>
        <v/>
      </c>
      <c r="BD711">
        <f>IF(AND($G711=TRUE,$E711="DEF"),AY711,"")</f>
        <v/>
      </c>
      <c r="BE711">
        <f>IF(AND($G711=TRUE,$E711="MID"),AY711,"")</f>
        <v/>
      </c>
      <c r="BF711">
        <f>IF(AND($G711=TRUE,$E711="FWD"),AY711,"")</f>
        <v/>
      </c>
      <c r="BG711" t="n">
        <v>0</v>
      </c>
      <c r="BH711" t="n">
        <v>0</v>
      </c>
      <c r="BI711" t="n">
        <v>0</v>
      </c>
      <c r="BJ711" t="n">
        <v>0</v>
      </c>
    </row>
    <row r="712">
      <c r="A712" t="inlineStr">
        <is>
          <t>Fer López</t>
        </is>
      </c>
      <c r="C712" t="inlineStr">
        <is>
          <t>WOL</t>
        </is>
      </c>
      <c r="D712" t="b">
        <v>0</v>
      </c>
      <c r="F712" t="inlineStr">
        <is>
          <t>MID</t>
        </is>
      </c>
      <c r="G712" t="b">
        <v>0</v>
      </c>
      <c r="H712" s="2" t="n"/>
      <c r="K712" s="2" t="n">
        <v>229</v>
      </c>
      <c r="M712" s="3" t="n"/>
      <c r="N712" s="8" t="n">
        <v>229</v>
      </c>
      <c r="O712" s="8" t="n">
        <v>0</v>
      </c>
      <c r="R712" s="6" t="n">
        <v>229</v>
      </c>
      <c r="S712" t="inlineStr">
        <is>
          <t>25/26 actual</t>
        </is>
      </c>
      <c r="U712" s="6" t="n">
        <v>75.8</v>
      </c>
      <c r="V712" s="2" t="n">
        <v>2</v>
      </c>
      <c r="W712" s="7">
        <f>IF(N(U712)&lt;=0,0,MIN(Assumptions!$B$15,N(R712)/N(U712)))</f>
        <v/>
      </c>
      <c r="X712" s="6" t="n"/>
      <c r="Y712" s="3" t="n">
        <v>0.0633</v>
      </c>
      <c r="Z712" t="inlineStr">
        <is>
          <t>adjusted xGOT</t>
        </is>
      </c>
      <c r="AA712" s="3" t="n">
        <v>1</v>
      </c>
      <c r="AB712" s="3" t="n">
        <v>1.005</v>
      </c>
      <c r="AC712" s="3" t="n">
        <v>0.2</v>
      </c>
      <c r="AD712" s="3" t="n">
        <v>0.2012</v>
      </c>
      <c r="AE712" s="3" t="n">
        <v>7.653</v>
      </c>
      <c r="AF712" s="3" t="n">
        <v>0</v>
      </c>
      <c r="AG712" s="3" t="n">
        <v>0</v>
      </c>
      <c r="AH712" s="3" t="n">
        <v>10</v>
      </c>
      <c r="AI712" s="3" t="n"/>
      <c r="AJ712" s="3" t="n"/>
      <c r="AK712" s="3" t="n"/>
      <c r="AL712" s="6" t="n">
        <v>0</v>
      </c>
      <c r="AM712" s="3" t="n">
        <v>0</v>
      </c>
      <c r="AN712" s="3" t="n">
        <v>0</v>
      </c>
      <c r="AO712" s="3" t="n">
        <v>0</v>
      </c>
      <c r="AP712" s="3">
        <f>N(X712)*N(BI712)</f>
        <v/>
      </c>
      <c r="AQ712" s="3" t="n">
        <v>0</v>
      </c>
      <c r="AR712" s="3" t="n">
        <v>0</v>
      </c>
      <c r="AS712" s="3" t="n">
        <v>0</v>
      </c>
      <c r="AT712" s="3" t="n">
        <v>0</v>
      </c>
      <c r="AU712" s="3">
        <f>SUM(AN712:AT712)</f>
        <v/>
      </c>
      <c r="AV712" s="7">
        <f>IF(OR(N(W712)&lt;=0,N(BG712)=0),0,N(W712)*IF(N(R712)/N(W712)&gt;=60,N(BG712),1))</f>
        <v/>
      </c>
      <c r="AW712" s="7">
        <f>N(W712)*N(AF712)*N(BH712)</f>
        <v/>
      </c>
      <c r="AX712" s="7">
        <f>N(AL712)*(Assumptions!$B$13*N(BJ712)-(1-Assumptions!$B$13)*Assumptions!$B$14)+N(AM712)</f>
        <v/>
      </c>
      <c r="AY712" s="7">
        <f>N(AU712)*N(R712)/90+N(AV712)+N(AW712)+N(AX712)</f>
        <v/>
      </c>
      <c r="AZ712" s="3">
        <f>IF(N(R712)&lt;=0,0,(N(AY712)-N(AX712))*90/N(R712))</f>
        <v/>
      </c>
      <c r="BA712" s="7">
        <f>IFERROR(AY712-VLOOKUP($E712,Assumptions!$A$40:$C$43,3,FALSE),"")</f>
        <v/>
      </c>
      <c r="BB712" s="3">
        <f>IFERROR(BA712/H712,"")</f>
        <v/>
      </c>
      <c r="BC712">
        <f>IF(AND($G712=TRUE,$E712="GKP"),AY712,"")</f>
        <v/>
      </c>
      <c r="BD712">
        <f>IF(AND($G712=TRUE,$E712="DEF"),AY712,"")</f>
        <v/>
      </c>
      <c r="BE712">
        <f>IF(AND($G712=TRUE,$E712="MID"),AY712,"")</f>
        <v/>
      </c>
      <c r="BF712">
        <f>IF(AND($G712=TRUE,$E712="FWD"),AY712,"")</f>
        <v/>
      </c>
      <c r="BG712" t="n">
        <v>0</v>
      </c>
      <c r="BH712" t="n">
        <v>0</v>
      </c>
      <c r="BI712" t="n">
        <v>0</v>
      </c>
      <c r="BJ712" t="n">
        <v>0</v>
      </c>
    </row>
    <row r="713">
      <c r="A713" t="inlineStr">
        <is>
          <t>Mateus Mané</t>
        </is>
      </c>
      <c r="C713" t="inlineStr">
        <is>
          <t>WOL</t>
        </is>
      </c>
      <c r="D713" t="b">
        <v>0</v>
      </c>
      <c r="F713" t="inlineStr">
        <is>
          <t>FWD</t>
        </is>
      </c>
      <c r="G713" t="b">
        <v>0</v>
      </c>
      <c r="H713" s="2" t="n"/>
      <c r="K713" s="2" t="n">
        <v>1790</v>
      </c>
      <c r="M713" s="3" t="n"/>
      <c r="N713" s="8" t="n">
        <v>1790</v>
      </c>
      <c r="O713" s="8" t="n">
        <v>0</v>
      </c>
      <c r="R713" s="6" t="n">
        <v>1790</v>
      </c>
      <c r="S713" t="inlineStr">
        <is>
          <t>25/26 actual</t>
        </is>
      </c>
      <c r="U713" s="6" t="n">
        <v>82.8</v>
      </c>
      <c r="V713" s="2" t="n">
        <v>19</v>
      </c>
      <c r="W713" s="7">
        <f>IF(N(U713)&lt;=0,0,MIN(Assumptions!$B$15,N(R713)/N(U713)))</f>
        <v/>
      </c>
      <c r="X713" s="6" t="n"/>
      <c r="Y713" s="3" t="n">
        <v>0.1151</v>
      </c>
      <c r="Z713" t="inlineStr">
        <is>
          <t>adjusted xGOT</t>
        </is>
      </c>
      <c r="AA713" s="3" t="n">
        <v>1</v>
      </c>
      <c r="AB713" s="3" t="n">
        <v>1.139</v>
      </c>
      <c r="AC713" s="3" t="n">
        <v>2</v>
      </c>
      <c r="AD713" s="3" t="n">
        <v>0.165</v>
      </c>
      <c r="AE713" s="3" t="n">
        <v>6.295</v>
      </c>
      <c r="AF713" s="3" t="n">
        <v>0</v>
      </c>
      <c r="AG713" s="3" t="n">
        <v>0.4525</v>
      </c>
      <c r="AH713" s="3" t="n">
        <v>45</v>
      </c>
      <c r="AI713" s="3" t="n"/>
      <c r="AJ713" s="3" t="n"/>
      <c r="AK713" s="3" t="n"/>
      <c r="AL713" s="6" t="n">
        <v>0</v>
      </c>
      <c r="AM713" s="3" t="n">
        <v>0</v>
      </c>
      <c r="AN713" s="3" t="n">
        <v>0</v>
      </c>
      <c r="AO713" s="3" t="n">
        <v>0</v>
      </c>
      <c r="AP713" s="3">
        <f>N(X713)*N(BI713)</f>
        <v/>
      </c>
      <c r="AQ713" s="3" t="n">
        <v>0</v>
      </c>
      <c r="AR713" s="3" t="n">
        <v>0</v>
      </c>
      <c r="AS713" s="3" t="n">
        <v>0</v>
      </c>
      <c r="AT713" s="3" t="n">
        <v>0</v>
      </c>
      <c r="AU713" s="3">
        <f>SUM(AN713:AT713)</f>
        <v/>
      </c>
      <c r="AV713" s="7">
        <f>IF(OR(N(W713)&lt;=0,N(BG713)=0),0,N(W713)*IF(N(R713)/N(W713)&gt;=60,N(BG713),1))</f>
        <v/>
      </c>
      <c r="AW713" s="7">
        <f>N(W713)*N(AF713)*N(BH713)</f>
        <v/>
      </c>
      <c r="AX713" s="7">
        <f>N(AL713)*(Assumptions!$B$13*N(BJ713)-(1-Assumptions!$B$13)*Assumptions!$B$14)+N(AM713)</f>
        <v/>
      </c>
      <c r="AY713" s="7">
        <f>N(AU713)*N(R713)/90+N(AV713)+N(AW713)+N(AX713)</f>
        <v/>
      </c>
      <c r="AZ713" s="3">
        <f>IF(N(R713)&lt;=0,0,(N(AY713)-N(AX713))*90/N(R713))</f>
        <v/>
      </c>
      <c r="BA713" s="7">
        <f>IFERROR(AY713-VLOOKUP($E713,Assumptions!$A$40:$C$43,3,FALSE),"")</f>
        <v/>
      </c>
      <c r="BB713" s="3">
        <f>IFERROR(BA713/H713,"")</f>
        <v/>
      </c>
      <c r="BC713">
        <f>IF(AND($G713=TRUE,$E713="GKP"),AY713,"")</f>
        <v/>
      </c>
      <c r="BD713">
        <f>IF(AND($G713=TRUE,$E713="DEF"),AY713,"")</f>
        <v/>
      </c>
      <c r="BE713">
        <f>IF(AND($G713=TRUE,$E713="MID"),AY713,"")</f>
        <v/>
      </c>
      <c r="BF713">
        <f>IF(AND($G713=TRUE,$E713="FWD"),AY713,"")</f>
        <v/>
      </c>
      <c r="BG713" t="n">
        <v>0</v>
      </c>
      <c r="BH713" t="n">
        <v>0</v>
      </c>
      <c r="BI713" t="n">
        <v>0</v>
      </c>
      <c r="BJ713" t="n">
        <v>0</v>
      </c>
    </row>
    <row r="714">
      <c r="A714" t="inlineStr">
        <is>
          <t>Jeremy Monga</t>
        </is>
      </c>
      <c r="B714" t="inlineStr">
        <is>
          <t>MCI</t>
        </is>
      </c>
      <c r="D714" t="b">
        <v>0</v>
      </c>
      <c r="E714" t="inlineStr">
        <is>
          <t>MID</t>
        </is>
      </c>
      <c r="G714" t="b">
        <v>1</v>
      </c>
      <c r="H714" s="2" t="n">
        <v>5</v>
      </c>
      <c r="I714" t="inlineStr">
        <is>
          <t>a</t>
        </is>
      </c>
      <c r="K714" s="2" t="n"/>
      <c r="M714" s="3" t="n">
        <v>0</v>
      </c>
      <c r="N714" s="8" t="n">
        <v>0</v>
      </c>
      <c r="O714" s="8" t="n">
        <v>0</v>
      </c>
      <c r="Q714" t="inlineStr">
        <is>
          <t>flat</t>
        </is>
      </c>
      <c r="R714" s="6" t="n">
        <v>0</v>
      </c>
      <c r="S714" t="inlineStr">
        <is>
          <t>Solio</t>
        </is>
      </c>
      <c r="U714" s="6" t="n">
        <v>85</v>
      </c>
      <c r="V714" s="2" t="n"/>
      <c r="W714" s="7">
        <f>IF(N(U714)&lt;=0,0,MIN(Assumptions!$B$15,N(R714)/N(U714)))</f>
        <v/>
      </c>
      <c r="X714" s="6" t="n">
        <v>0.371</v>
      </c>
      <c r="Y714" s="3" t="n"/>
      <c r="Z714" t="inlineStr"/>
      <c r="AA714" s="3" t="n">
        <v>1</v>
      </c>
      <c r="AB714" s="3" t="n"/>
      <c r="AC714" s="3" t="n"/>
      <c r="AD714" s="3" t="n"/>
      <c r="AE714" s="3" t="n"/>
      <c r="AF714" s="3" t="n">
        <v>0</v>
      </c>
      <c r="AG714" s="3" t="n"/>
      <c r="AH714" s="3" t="n"/>
      <c r="AI714" s="3" t="n">
        <v>1.9737</v>
      </c>
      <c r="AJ714" s="3" t="n">
        <v>1.0365</v>
      </c>
      <c r="AK714" s="3" t="n">
        <v>-0.2076849682258277</v>
      </c>
      <c r="AL714" s="6" t="n">
        <v>0</v>
      </c>
      <c r="AM714" s="3" t="n">
        <v>0</v>
      </c>
      <c r="AN714" s="3" t="n">
        <v>0</v>
      </c>
      <c r="AO714" s="3" t="n">
        <v>0</v>
      </c>
      <c r="AP714" s="3">
        <f>N(X714)*N(BI714)</f>
        <v/>
      </c>
      <c r="AQ714" s="3" t="n">
        <v>0</v>
      </c>
      <c r="AR714" s="3" t="n">
        <v>0</v>
      </c>
      <c r="AS714" s="3" t="n">
        <v>-0</v>
      </c>
      <c r="AT714" s="3" t="n">
        <v>-0.2076849682258277</v>
      </c>
      <c r="AU714" s="3">
        <f>SUM(AN714:AT714)</f>
        <v/>
      </c>
      <c r="AV714" s="7">
        <f>IF(OR(N(W714)&lt;=0,N(BG714)=0),0,N(W714)*IF(N(R714)/N(W714)&gt;=60,N(BG714),1))</f>
        <v/>
      </c>
      <c r="AW714" s="7">
        <f>N(W714)*N(AF714)*N(BH714)</f>
        <v/>
      </c>
      <c r="AX714" s="7">
        <f>N(AL714)*(Assumptions!$B$13*N(BJ714)-(1-Assumptions!$B$13)*Assumptions!$B$14)+N(AM714)</f>
        <v/>
      </c>
      <c r="AY714" s="7">
        <f>N(AU714)*N(R714)/90+N(AV714)+N(AW714)+N(AX714)</f>
        <v/>
      </c>
      <c r="AZ714" s="3">
        <f>IF(N(R714)&lt;=0,0,(N(AY714)-N(AX714))*90/N(R714))</f>
        <v/>
      </c>
      <c r="BA714" s="7">
        <f>IFERROR(AY714-VLOOKUP($E714,Assumptions!$A$40:$C$43,3,FALSE),"")</f>
        <v/>
      </c>
      <c r="BB714" s="3">
        <f>IFERROR(BA714/H714,"")</f>
        <v/>
      </c>
      <c r="BC714">
        <f>IF(AND($G714=TRUE,$E714="GKP"),AY714,"")</f>
        <v/>
      </c>
      <c r="BD714">
        <f>IF(AND($G714=TRUE,$E714="DEF"),AY714,"")</f>
        <v/>
      </c>
      <c r="BE714">
        <f>IF(AND($G714=TRUE,$E714="MID"),AY714,"")</f>
        <v/>
      </c>
      <c r="BF714">
        <f>IF(AND($G714=TRUE,$E714="FWD"),AY714,"")</f>
        <v/>
      </c>
      <c r="BG714" t="n">
        <v>2</v>
      </c>
      <c r="BH714" t="n">
        <v>2</v>
      </c>
      <c r="BI714" t="n">
        <v>1</v>
      </c>
      <c r="BJ714" t="n">
        <v>5</v>
      </c>
    </row>
    <row r="715">
      <c r="A715" t="inlineStr">
        <is>
          <t>Cathal McCarthy</t>
        </is>
      </c>
      <c r="B715" t="inlineStr">
        <is>
          <t>HUL</t>
        </is>
      </c>
      <c r="D715" t="b">
        <v>0</v>
      </c>
      <c r="E715" t="inlineStr">
        <is>
          <t>DEF</t>
        </is>
      </c>
      <c r="G715" t="b">
        <v>1</v>
      </c>
      <c r="H715" s="2" t="n">
        <v>4</v>
      </c>
      <c r="I715" t="inlineStr">
        <is>
          <t>a</t>
        </is>
      </c>
      <c r="K715" s="2" t="n"/>
      <c r="M715" s="3" t="n">
        <v>10</v>
      </c>
      <c r="N715" s="8" t="n">
        <v>10</v>
      </c>
      <c r="O715" s="8" t="n">
        <v>0</v>
      </c>
      <c r="Q715" t="inlineStr">
        <is>
          <t>flat</t>
        </is>
      </c>
      <c r="R715" s="6" t="n">
        <v>10</v>
      </c>
      <c r="S715" t="inlineStr">
        <is>
          <t>Solio</t>
        </is>
      </c>
      <c r="U715" s="6" t="n">
        <v>85</v>
      </c>
      <c r="V715" s="2" t="n"/>
      <c r="W715" s="7">
        <f>IF(N(U715)&lt;=0,0,MIN(Assumptions!$B$15,N(R715)/N(U715)))</f>
        <v/>
      </c>
      <c r="X715" s="6" t="n">
        <v>0.143</v>
      </c>
      <c r="Y715" s="3" t="n"/>
      <c r="Z715" t="inlineStr"/>
      <c r="AA715" s="3" t="n">
        <v>1</v>
      </c>
      <c r="AB715" s="3" t="n"/>
      <c r="AC715" s="3" t="n"/>
      <c r="AD715" s="3" t="n"/>
      <c r="AE715" s="3" t="n"/>
      <c r="AF715" s="3" t="n">
        <v>0</v>
      </c>
      <c r="AG715" s="3" t="n"/>
      <c r="AH715" s="3" t="n"/>
      <c r="AI715" s="3" t="n">
        <v>3.9421</v>
      </c>
      <c r="AJ715" s="3" t="n">
        <v>1.99</v>
      </c>
      <c r="AK715" s="3" t="n">
        <v>-0.2045226422080557</v>
      </c>
      <c r="AL715" s="6" t="n">
        <v>0</v>
      </c>
      <c r="AM715" s="3" t="n">
        <v>0</v>
      </c>
      <c r="AN715" s="3" t="n">
        <v>0</v>
      </c>
      <c r="AO715" s="3" t="n">
        <v>0</v>
      </c>
      <c r="AP715" s="3">
        <f>N(X715)*N(BI715)</f>
        <v/>
      </c>
      <c r="AQ715" s="3" t="n">
        <v>0</v>
      </c>
      <c r="AR715" s="3" t="n">
        <v>0</v>
      </c>
      <c r="AS715" s="3" t="n">
        <v>-0.7496714098286652</v>
      </c>
      <c r="AT715" s="3" t="n">
        <v>-0.2045226422080557</v>
      </c>
      <c r="AU715" s="3">
        <f>SUM(AN715:AT715)</f>
        <v/>
      </c>
      <c r="AV715" s="7">
        <f>IF(OR(N(W715)&lt;=0,N(BG715)=0),0,N(W715)*IF(N(R715)/N(W715)&gt;=60,N(BG715),1))</f>
        <v/>
      </c>
      <c r="AW715" s="7">
        <f>N(W715)*N(AF715)*N(BH715)</f>
        <v/>
      </c>
      <c r="AX715" s="7">
        <f>N(AL715)*(Assumptions!$B$13*N(BJ715)-(1-Assumptions!$B$13)*Assumptions!$B$14)+N(AM715)</f>
        <v/>
      </c>
      <c r="AY715" s="7">
        <f>N(AU715)*N(R715)/90+N(AV715)+N(AW715)+N(AX715)</f>
        <v/>
      </c>
      <c r="AZ715" s="3">
        <f>IF(N(R715)&lt;=0,0,(N(AY715)-N(AX715))*90/N(R715))</f>
        <v/>
      </c>
      <c r="BA715" s="7">
        <f>IFERROR(AY715-VLOOKUP($E715,Assumptions!$A$40:$C$43,3,FALSE),"")</f>
        <v/>
      </c>
      <c r="BB715" s="3">
        <f>IFERROR(BA715/H715,"")</f>
        <v/>
      </c>
      <c r="BC715">
        <f>IF(AND($G715=TRUE,$E715="GKP"),AY715,"")</f>
        <v/>
      </c>
      <c r="BD715">
        <f>IF(AND($G715=TRUE,$E715="DEF"),AY715,"")</f>
        <v/>
      </c>
      <c r="BE715">
        <f>IF(AND($G715=TRUE,$E715="MID"),AY715,"")</f>
        <v/>
      </c>
      <c r="BF715">
        <f>IF(AND($G715=TRUE,$E715="FWD"),AY715,"")</f>
        <v/>
      </c>
      <c r="BG715" t="n">
        <v>2</v>
      </c>
      <c r="BH715" t="n">
        <v>2</v>
      </c>
      <c r="BI715" t="n">
        <v>4</v>
      </c>
      <c r="BJ715" t="n">
        <v>6</v>
      </c>
    </row>
    <row r="716">
      <c r="A716" t="inlineStr">
        <is>
          <t>Caleb Yirenkyi</t>
        </is>
      </c>
      <c r="B716" t="inlineStr">
        <is>
          <t>COV</t>
        </is>
      </c>
      <c r="D716" t="b">
        <v>0</v>
      </c>
      <c r="E716" t="inlineStr">
        <is>
          <t>MID</t>
        </is>
      </c>
      <c r="G716" t="b">
        <v>1</v>
      </c>
      <c r="H716" s="2" t="n">
        <v>5</v>
      </c>
      <c r="I716" t="inlineStr">
        <is>
          <t>a</t>
        </is>
      </c>
      <c r="K716" s="2" t="n"/>
      <c r="M716" s="3" t="n">
        <v>2696</v>
      </c>
      <c r="N716" s="8" t="n">
        <v>2696</v>
      </c>
      <c r="O716" s="8" t="n">
        <v>0</v>
      </c>
      <c r="Q716" t="inlineStr">
        <is>
          <t>flat</t>
        </is>
      </c>
      <c r="R716" s="6" t="n">
        <v>2696</v>
      </c>
      <c r="S716" t="inlineStr">
        <is>
          <t>Solio</t>
        </is>
      </c>
      <c r="U716" s="6" t="n">
        <v>85</v>
      </c>
      <c r="V716" s="2" t="n"/>
      <c r="W716" s="7">
        <f>IF(N(U716)&lt;=0,0,MIN(Assumptions!$B$15,N(R716)/N(U716)))</f>
        <v/>
      </c>
      <c r="X716" s="6" t="n">
        <v>0.17</v>
      </c>
      <c r="Y716" s="3" t="n"/>
      <c r="Z716" t="inlineStr"/>
      <c r="AA716" s="3" t="n">
        <v>1</v>
      </c>
      <c r="AB716" s="3" t="n"/>
      <c r="AC716" s="3" t="n"/>
      <c r="AD716" s="3" t="n"/>
      <c r="AE716" s="3" t="n"/>
      <c r="AF716" s="3" t="n">
        <v>0</v>
      </c>
      <c r="AG716" s="3" t="n"/>
      <c r="AH716" s="3" t="n"/>
      <c r="AI716" s="3" t="n">
        <v>3.6194</v>
      </c>
      <c r="AJ716" s="3" t="n">
        <v>1.8271</v>
      </c>
      <c r="AK716" s="3" t="n">
        <v>-0.2160434166173144</v>
      </c>
      <c r="AL716" s="6" t="n">
        <v>0</v>
      </c>
      <c r="AM716" s="3" t="n">
        <v>0</v>
      </c>
      <c r="AN716" s="3" t="n">
        <v>0</v>
      </c>
      <c r="AO716" s="3" t="n">
        <v>0</v>
      </c>
      <c r="AP716" s="3">
        <f>N(X716)*N(BI716)</f>
        <v/>
      </c>
      <c r="AQ716" s="3" t="n">
        <v>0</v>
      </c>
      <c r="AR716" s="3" t="n">
        <v>0</v>
      </c>
      <c r="AS716" s="3" t="n">
        <v>-0</v>
      </c>
      <c r="AT716" s="3" t="n">
        <v>-0.2160434166173144</v>
      </c>
      <c r="AU716" s="3">
        <f>SUM(AN716:AT716)</f>
        <v/>
      </c>
      <c r="AV716" s="7">
        <f>IF(OR(N(W716)&lt;=0,N(BG716)=0),0,N(W716)*IF(N(R716)/N(W716)&gt;=60,N(BG716),1))</f>
        <v/>
      </c>
      <c r="AW716" s="7">
        <f>N(W716)*N(AF716)*N(BH716)</f>
        <v/>
      </c>
      <c r="AX716" s="7">
        <f>N(AL716)*(Assumptions!$B$13*N(BJ716)-(1-Assumptions!$B$13)*Assumptions!$B$14)+N(AM716)</f>
        <v/>
      </c>
      <c r="AY716" s="7">
        <f>N(AU716)*N(R716)/90+N(AV716)+N(AW716)+N(AX716)</f>
        <v/>
      </c>
      <c r="AZ716" s="3">
        <f>IF(N(R716)&lt;=0,0,(N(AY716)-N(AX716))*90/N(R716))</f>
        <v/>
      </c>
      <c r="BA716" s="7">
        <f>IFERROR(AY716-VLOOKUP($E716,Assumptions!$A$40:$C$43,3,FALSE),"")</f>
        <v/>
      </c>
      <c r="BB716" s="3">
        <f>IFERROR(BA716/H716,"")</f>
        <v/>
      </c>
      <c r="BC716">
        <f>IF(AND($G716=TRUE,$E716="GKP"),AY716,"")</f>
        <v/>
      </c>
      <c r="BD716">
        <f>IF(AND($G716=TRUE,$E716="DEF"),AY716,"")</f>
        <v/>
      </c>
      <c r="BE716">
        <f>IF(AND($G716=TRUE,$E716="MID"),AY716,"")</f>
        <v/>
      </c>
      <c r="BF716">
        <f>IF(AND($G716=TRUE,$E716="FWD"),AY716,"")</f>
        <v/>
      </c>
      <c r="BG716" t="n">
        <v>2</v>
      </c>
      <c r="BH716" t="n">
        <v>2</v>
      </c>
      <c r="BI716" t="n">
        <v>1</v>
      </c>
      <c r="BJ716" t="n">
        <v>5</v>
      </c>
    </row>
    <row r="717">
      <c r="A717" t="inlineStr">
        <is>
          <t>George Shepherd</t>
        </is>
      </c>
      <c r="B717" t="inlineStr">
        <is>
          <t>COV</t>
        </is>
      </c>
      <c r="D717" t="b">
        <v>0</v>
      </c>
      <c r="E717" t="inlineStr">
        <is>
          <t>MID</t>
        </is>
      </c>
      <c r="G717" t="b">
        <v>1</v>
      </c>
      <c r="H717" s="2" t="n">
        <v>4.5</v>
      </c>
      <c r="I717" t="inlineStr">
        <is>
          <t>a</t>
        </is>
      </c>
      <c r="K717" s="2" t="n"/>
      <c r="M717" s="3" t="n">
        <v>0</v>
      </c>
      <c r="N717" s="8" t="n">
        <v>0</v>
      </c>
      <c r="O717" s="8" t="n">
        <v>0</v>
      </c>
      <c r="Q717" t="inlineStr">
        <is>
          <t>flat</t>
        </is>
      </c>
      <c r="R717" s="6" t="n">
        <v>0</v>
      </c>
      <c r="S717" t="inlineStr">
        <is>
          <t>Solio</t>
        </is>
      </c>
      <c r="U717" s="6" t="n">
        <v>85</v>
      </c>
      <c r="V717" s="2" t="n"/>
      <c r="W717" s="7">
        <f>IF(N(U717)&lt;=0,0,MIN(Assumptions!$B$15,N(R717)/N(U717)))</f>
        <v/>
      </c>
      <c r="X717" s="6" t="n">
        <v>0.17</v>
      </c>
      <c r="Y717" s="3" t="n"/>
      <c r="Z717" t="inlineStr"/>
      <c r="AA717" s="3" t="n">
        <v>1</v>
      </c>
      <c r="AB717" s="3" t="n"/>
      <c r="AC717" s="3" t="n"/>
      <c r="AD717" s="3" t="n"/>
      <c r="AE717" s="3" t="n"/>
      <c r="AF717" s="3" t="n">
        <v>0</v>
      </c>
      <c r="AG717" s="3" t="n"/>
      <c r="AH717" s="3" t="n"/>
      <c r="AI717" s="3" t="n">
        <v>3.6194</v>
      </c>
      <c r="AJ717" s="3" t="n">
        <v>1.8271</v>
      </c>
      <c r="AK717" s="3" t="n">
        <v>-0.2160434166173144</v>
      </c>
      <c r="AL717" s="6" t="n">
        <v>0</v>
      </c>
      <c r="AM717" s="3" t="n">
        <v>0</v>
      </c>
      <c r="AN717" s="3" t="n">
        <v>0</v>
      </c>
      <c r="AO717" s="3" t="n">
        <v>0</v>
      </c>
      <c r="AP717" s="3">
        <f>N(X717)*N(BI717)</f>
        <v/>
      </c>
      <c r="AQ717" s="3" t="n">
        <v>0</v>
      </c>
      <c r="AR717" s="3" t="n">
        <v>0</v>
      </c>
      <c r="AS717" s="3" t="n">
        <v>-0</v>
      </c>
      <c r="AT717" s="3" t="n">
        <v>-0.2160434166173144</v>
      </c>
      <c r="AU717" s="3">
        <f>SUM(AN717:AT717)</f>
        <v/>
      </c>
      <c r="AV717" s="7">
        <f>IF(OR(N(W717)&lt;=0,N(BG717)=0),0,N(W717)*IF(N(R717)/N(W717)&gt;=60,N(BG717),1))</f>
        <v/>
      </c>
      <c r="AW717" s="7">
        <f>N(W717)*N(AF717)*N(BH717)</f>
        <v/>
      </c>
      <c r="AX717" s="7">
        <f>N(AL717)*(Assumptions!$B$13*N(BJ717)-(1-Assumptions!$B$13)*Assumptions!$B$14)+N(AM717)</f>
        <v/>
      </c>
      <c r="AY717" s="7">
        <f>N(AU717)*N(R717)/90+N(AV717)+N(AW717)+N(AX717)</f>
        <v/>
      </c>
      <c r="AZ717" s="3">
        <f>IF(N(R717)&lt;=0,0,(N(AY717)-N(AX717))*90/N(R717))</f>
        <v/>
      </c>
      <c r="BA717" s="7">
        <f>IFERROR(AY717-VLOOKUP($E717,Assumptions!$A$40:$C$43,3,FALSE),"")</f>
        <v/>
      </c>
      <c r="BB717" s="3">
        <f>IFERROR(BA717/H717,"")</f>
        <v/>
      </c>
      <c r="BC717">
        <f>IF(AND($G717=TRUE,$E717="GKP"),AY717,"")</f>
        <v/>
      </c>
      <c r="BD717">
        <f>IF(AND($G717=TRUE,$E717="DEF"),AY717,"")</f>
        <v/>
      </c>
      <c r="BE717">
        <f>IF(AND($G717=TRUE,$E717="MID"),AY717,"")</f>
        <v/>
      </c>
      <c r="BF717">
        <f>IF(AND($G717=TRUE,$E717="FWD"),AY717,"")</f>
        <v/>
      </c>
      <c r="BG717" t="n">
        <v>2</v>
      </c>
      <c r="BH717" t="n">
        <v>2</v>
      </c>
      <c r="BI717" t="n">
        <v>1</v>
      </c>
      <c r="BJ717" t="n">
        <v>5</v>
      </c>
    </row>
    <row r="718">
      <c r="A718" t="inlineStr">
        <is>
          <t>Jerome Abbey</t>
        </is>
      </c>
      <c r="C718" t="inlineStr">
        <is>
          <t>WOL</t>
        </is>
      </c>
      <c r="D718" t="b">
        <v>0</v>
      </c>
      <c r="F718" t="inlineStr">
        <is>
          <t>MID</t>
        </is>
      </c>
      <c r="G718" t="b">
        <v>0</v>
      </c>
      <c r="H718" s="2" t="n"/>
      <c r="K718" s="2" t="n">
        <v>16</v>
      </c>
      <c r="M718" s="3" t="n"/>
      <c r="N718" s="8" t="n">
        <v>16</v>
      </c>
      <c r="O718" s="8" t="n">
        <v>0</v>
      </c>
      <c r="R718" s="6" t="n">
        <v>16</v>
      </c>
      <c r="S718" t="inlineStr">
        <is>
          <t>25/26 actual</t>
        </is>
      </c>
      <c r="U718" s="6" t="n">
        <v>80.09999999999999</v>
      </c>
      <c r="V718" s="2" t="n">
        <v>0</v>
      </c>
      <c r="W718" s="7">
        <f>IF(N(U718)&lt;=0,0,MIN(Assumptions!$B$15,N(R718)/N(U718)))</f>
        <v/>
      </c>
      <c r="X718" s="6" t="n"/>
      <c r="Y718" s="3" t="n"/>
      <c r="Z718" t="inlineStr"/>
      <c r="AA718" s="3" t="n">
        <v>1</v>
      </c>
      <c r="AB718" s="3" t="n">
        <v>1</v>
      </c>
      <c r="AC718" s="3" t="n">
        <v>0</v>
      </c>
      <c r="AD718" s="3" t="n"/>
      <c r="AE718" s="3" t="n">
        <v>8.635</v>
      </c>
      <c r="AF718" s="3" t="n">
        <v>0</v>
      </c>
      <c r="AG718" s="3" t="n">
        <v>0</v>
      </c>
      <c r="AH718" s="3" t="n">
        <v>1</v>
      </c>
      <c r="AI718" s="3" t="n"/>
      <c r="AJ718" s="3" t="n"/>
      <c r="AK718" s="3" t="n"/>
      <c r="AL718" s="6" t="n">
        <v>0</v>
      </c>
      <c r="AM718" s="3" t="n">
        <v>0</v>
      </c>
      <c r="AN718" s="3" t="n">
        <v>0</v>
      </c>
      <c r="AO718" s="3" t="n">
        <v>0</v>
      </c>
      <c r="AP718" s="3">
        <f>N(X718)*N(BI718)</f>
        <v/>
      </c>
      <c r="AQ718" s="3" t="n">
        <v>0</v>
      </c>
      <c r="AR718" s="3" t="n">
        <v>0</v>
      </c>
      <c r="AS718" s="3" t="n">
        <v>0</v>
      </c>
      <c r="AT718" s="3" t="n">
        <v>0</v>
      </c>
      <c r="AU718" s="3">
        <f>SUM(AN718:AT718)</f>
        <v/>
      </c>
      <c r="AV718" s="7">
        <f>IF(OR(N(W718)&lt;=0,N(BG718)=0),0,N(W718)*IF(N(R718)/N(W718)&gt;=60,N(BG718),1))</f>
        <v/>
      </c>
      <c r="AW718" s="7">
        <f>N(W718)*N(AF718)*N(BH718)</f>
        <v/>
      </c>
      <c r="AX718" s="7">
        <f>N(AL718)*(Assumptions!$B$13*N(BJ718)-(1-Assumptions!$B$13)*Assumptions!$B$14)+N(AM718)</f>
        <v/>
      </c>
      <c r="AY718" s="7">
        <f>N(AU718)*N(R718)/90+N(AV718)+N(AW718)+N(AX718)</f>
        <v/>
      </c>
      <c r="AZ718" s="3">
        <f>IF(N(R718)&lt;=0,0,(N(AY718)-N(AX718))*90/N(R718))</f>
        <v/>
      </c>
      <c r="BA718" s="7">
        <f>IFERROR(AY718-VLOOKUP($E718,Assumptions!$A$40:$C$43,3,FALSE),"")</f>
        <v/>
      </c>
      <c r="BB718" s="3">
        <f>IFERROR(BA718/H718,"")</f>
        <v/>
      </c>
      <c r="BC718">
        <f>IF(AND($G718=TRUE,$E718="GKP"),AY718,"")</f>
        <v/>
      </c>
      <c r="BD718">
        <f>IF(AND($G718=TRUE,$E718="DEF"),AY718,"")</f>
        <v/>
      </c>
      <c r="BE718">
        <f>IF(AND($G718=TRUE,$E718="MID"),AY718,"")</f>
        <v/>
      </c>
      <c r="BF718">
        <f>IF(AND($G718=TRUE,$E718="FWD"),AY718,"")</f>
        <v/>
      </c>
      <c r="BG718" t="n">
        <v>0</v>
      </c>
      <c r="BH718" t="n">
        <v>0</v>
      </c>
      <c r="BI718" t="n">
        <v>0</v>
      </c>
      <c r="BJ718" t="n">
        <v>0</v>
      </c>
    </row>
    <row r="719">
      <c r="A719" t="inlineStr">
        <is>
          <t>Brian Madjo</t>
        </is>
      </c>
      <c r="B719" t="inlineStr">
        <is>
          <t>AVL</t>
        </is>
      </c>
      <c r="D719" t="b">
        <v>0</v>
      </c>
      <c r="E719" t="inlineStr">
        <is>
          <t>FWD</t>
        </is>
      </c>
      <c r="G719" t="b">
        <v>1</v>
      </c>
      <c r="H719" s="2" t="n">
        <v>5.5</v>
      </c>
      <c r="I719" t="inlineStr">
        <is>
          <t>a</t>
        </is>
      </c>
      <c r="K719" s="2" t="n"/>
      <c r="M719" s="3" t="n">
        <v>247</v>
      </c>
      <c r="N719" s="4" t="n">
        <v>100</v>
      </c>
      <c r="O719" s="4" t="n">
        <v>-147</v>
      </c>
      <c r="P719" s="5" t="inlineStr">
        <is>
          <t>medium</t>
        </is>
      </c>
      <c r="Q719" t="inlineStr">
        <is>
          <t>flat</t>
        </is>
      </c>
      <c r="R719" s="6" t="n">
        <v>100</v>
      </c>
      <c r="S719" t="inlineStr">
        <is>
          <t>research</t>
        </is>
      </c>
      <c r="T719" s="5" t="inlineStr">
        <is>
          <t>The 17-year-old scored in the Super Cup and Emery rates him, but he picked up an injury late in that match and is out until at least September. Cut rather than removed because Emery is clearly willing to use him and the striker depth behind Watkins is thin.</t>
        </is>
      </c>
      <c r="U719" s="6" t="n">
        <v>85</v>
      </c>
      <c r="V719" s="2" t="n"/>
      <c r="W719" s="7">
        <f>IF(N(U719)&lt;=0,0,MIN(Assumptions!$B$15,N(R719)/N(U719)))</f>
        <v/>
      </c>
      <c r="X719" s="6" t="n">
        <v>0.273</v>
      </c>
      <c r="Y719" s="3" t="n"/>
      <c r="Z719" t="inlineStr"/>
      <c r="AA719" s="3" t="n">
        <v>1</v>
      </c>
      <c r="AB719" s="3" t="n"/>
      <c r="AC719" s="3" t="n"/>
      <c r="AD719" s="3" t="n"/>
      <c r="AE719" s="3" t="n"/>
      <c r="AF719" s="3" t="n">
        <v>0</v>
      </c>
      <c r="AG719" s="3" t="n"/>
      <c r="AH719" s="3" t="n"/>
      <c r="AI719" s="3" t="n">
        <v>2.7451</v>
      </c>
      <c r="AJ719" s="3" t="n">
        <v>1.3575</v>
      </c>
      <c r="AK719" s="3" t="n">
        <v>-0.174691292596322</v>
      </c>
      <c r="AL719" s="6" t="n">
        <v>0</v>
      </c>
      <c r="AM719" s="3" t="n">
        <v>0</v>
      </c>
      <c r="AN719" s="3" t="n">
        <v>0</v>
      </c>
      <c r="AO719" s="3" t="n">
        <v>0</v>
      </c>
      <c r="AP719" s="3">
        <f>N(X719)*N(BI719)</f>
        <v/>
      </c>
      <c r="AQ719" s="3" t="n">
        <v>0</v>
      </c>
      <c r="AR719" s="3" t="n">
        <v>0</v>
      </c>
      <c r="AS719" s="3" t="n">
        <v>-0</v>
      </c>
      <c r="AT719" s="3" t="n">
        <v>-0.174691292596322</v>
      </c>
      <c r="AU719" s="3">
        <f>SUM(AN719:AT719)</f>
        <v/>
      </c>
      <c r="AV719" s="7">
        <f>IF(OR(N(W719)&lt;=0,N(BG719)=0),0,N(W719)*IF(N(R719)/N(W719)&gt;=60,N(BG719),1))</f>
        <v/>
      </c>
      <c r="AW719" s="7">
        <f>N(W719)*N(AF719)*N(BH719)</f>
        <v/>
      </c>
      <c r="AX719" s="7">
        <f>N(AL719)*(Assumptions!$B$13*N(BJ719)-(1-Assumptions!$B$13)*Assumptions!$B$14)+N(AM719)</f>
        <v/>
      </c>
      <c r="AY719" s="7">
        <f>N(AU719)*N(R719)/90+N(AV719)+N(AW719)+N(AX719)</f>
        <v/>
      </c>
      <c r="AZ719" s="3">
        <f>IF(N(R719)&lt;=0,0,(N(AY719)-N(AX719))*90/N(R719))</f>
        <v/>
      </c>
      <c r="BA719" s="7">
        <f>IFERROR(AY719-VLOOKUP($E719,Assumptions!$A$40:$C$43,3,FALSE),"")</f>
        <v/>
      </c>
      <c r="BB719" s="3">
        <f>IFERROR(BA719/H719,"")</f>
        <v/>
      </c>
      <c r="BC719">
        <f>IF(AND($G719=TRUE,$E719="GKP"),AY719,"")</f>
        <v/>
      </c>
      <c r="BD719">
        <f>IF(AND($G719=TRUE,$E719="DEF"),AY719,"")</f>
        <v/>
      </c>
      <c r="BE719">
        <f>IF(AND($G719=TRUE,$E719="MID"),AY719,"")</f>
        <v/>
      </c>
      <c r="BF719">
        <f>IF(AND($G719=TRUE,$E719="FWD"),AY719,"")</f>
        <v/>
      </c>
      <c r="BG719" t="n">
        <v>2</v>
      </c>
      <c r="BH719" t="n">
        <v>2</v>
      </c>
      <c r="BI719" t="n">
        <v>0</v>
      </c>
      <c r="BJ719" t="n">
        <v>4</v>
      </c>
    </row>
    <row r="720">
      <c r="A720" t="inlineStr">
        <is>
          <t>Zadok Yohanna</t>
        </is>
      </c>
      <c r="B720" t="inlineStr">
        <is>
          <t>BHA</t>
        </is>
      </c>
      <c r="D720" t="b">
        <v>0</v>
      </c>
      <c r="E720" t="inlineStr">
        <is>
          <t>MID</t>
        </is>
      </c>
      <c r="G720" t="b">
        <v>1</v>
      </c>
      <c r="H720" s="2" t="n">
        <v>5</v>
      </c>
      <c r="I720" t="inlineStr">
        <is>
          <t>a</t>
        </is>
      </c>
      <c r="K720" s="2" t="n"/>
      <c r="M720" s="3" t="n">
        <v>162</v>
      </c>
      <c r="N720" s="4" t="n">
        <v>740</v>
      </c>
      <c r="O720" s="4" t="n">
        <v>578</v>
      </c>
      <c r="P720" s="5" t="inlineStr">
        <is>
          <t>medium</t>
        </is>
      </c>
      <c r="Q720" t="inlineStr">
        <is>
          <t>flat</t>
        </is>
      </c>
      <c r="R720" s="6" t="n">
        <v>740</v>
      </c>
      <c r="S720" t="inlineStr">
        <is>
          <t>research</t>
        </is>
      </c>
      <c r="T720" s="5" t="inlineStr">
        <is>
          <t>GBP 21.5m signing from AIK on 15 Jun 2026 on a five-year deal - Brighton beat Chelsea to him - and he came off the bench in both August friendlies. Solio's 162 minutes predates or ignores the signing. Raised but kept modest: he is 18, Hurzeler has only said he 'will be involved' in the first-team squad, and Brighton have a long record of easing teenagers in. The wide-area injuries to Minteh and Mitoma are what make even 740 plausible.</t>
        </is>
      </c>
      <c r="U720" s="6" t="n">
        <v>85</v>
      </c>
      <c r="V720" s="2" t="n"/>
      <c r="W720" s="7">
        <f>IF(N(U720)&lt;=0,0,MIN(Assumptions!$B$15,N(R720)/N(U720)))</f>
        <v/>
      </c>
      <c r="X720" s="6" t="n">
        <v>0.252</v>
      </c>
      <c r="Y720" s="3" t="n"/>
      <c r="Z720" t="inlineStr"/>
      <c r="AA720" s="3" t="n">
        <v>1</v>
      </c>
      <c r="AB720" s="3" t="n"/>
      <c r="AC720" s="3" t="n"/>
      <c r="AD720" s="3" t="n"/>
      <c r="AE720" s="3" t="n"/>
      <c r="AF720" s="3" t="n">
        <v>0</v>
      </c>
      <c r="AG720" s="3" t="n"/>
      <c r="AH720" s="3" t="n"/>
      <c r="AI720" s="3" t="n">
        <v>2.8404</v>
      </c>
      <c r="AJ720" s="3" t="n">
        <v>1.439</v>
      </c>
      <c r="AK720" s="3" t="n">
        <v>-0.2160434166173144</v>
      </c>
      <c r="AL720" s="6" t="n">
        <v>0</v>
      </c>
      <c r="AM720" s="3" t="n">
        <v>0</v>
      </c>
      <c r="AN720" s="3" t="n">
        <v>0</v>
      </c>
      <c r="AO720" s="3" t="n">
        <v>0</v>
      </c>
      <c r="AP720" s="3">
        <f>N(X720)*N(BI720)</f>
        <v/>
      </c>
      <c r="AQ720" s="3" t="n">
        <v>0</v>
      </c>
      <c r="AR720" s="3" t="n">
        <v>0</v>
      </c>
      <c r="AS720" s="3" t="n">
        <v>-0</v>
      </c>
      <c r="AT720" s="3" t="n">
        <v>-0.2160434166173144</v>
      </c>
      <c r="AU720" s="3">
        <f>SUM(AN720:AT720)</f>
        <v/>
      </c>
      <c r="AV720" s="7">
        <f>IF(OR(N(W720)&lt;=0,N(BG720)=0),0,N(W720)*IF(N(R720)/N(W720)&gt;=60,N(BG720),1))</f>
        <v/>
      </c>
      <c r="AW720" s="7">
        <f>N(W720)*N(AF720)*N(BH720)</f>
        <v/>
      </c>
      <c r="AX720" s="7">
        <f>N(AL720)*(Assumptions!$B$13*N(BJ720)-(1-Assumptions!$B$13)*Assumptions!$B$14)+N(AM720)</f>
        <v/>
      </c>
      <c r="AY720" s="7">
        <f>N(AU720)*N(R720)/90+N(AV720)+N(AW720)+N(AX720)</f>
        <v/>
      </c>
      <c r="AZ720" s="3">
        <f>IF(N(R720)&lt;=0,0,(N(AY720)-N(AX720))*90/N(R720))</f>
        <v/>
      </c>
      <c r="BA720" s="7">
        <f>IFERROR(AY720-VLOOKUP($E720,Assumptions!$A$40:$C$43,3,FALSE),"")</f>
        <v/>
      </c>
      <c r="BB720" s="3">
        <f>IFERROR(BA720/H720,"")</f>
        <v/>
      </c>
      <c r="BC720">
        <f>IF(AND($G720=TRUE,$E720="GKP"),AY720,"")</f>
        <v/>
      </c>
      <c r="BD720">
        <f>IF(AND($G720=TRUE,$E720="DEF"),AY720,"")</f>
        <v/>
      </c>
      <c r="BE720">
        <f>IF(AND($G720=TRUE,$E720="MID"),AY720,"")</f>
        <v/>
      </c>
      <c r="BF720">
        <f>IF(AND($G720=TRUE,$E720="FWD"),AY720,"")</f>
        <v/>
      </c>
      <c r="BG720" t="n">
        <v>2</v>
      </c>
      <c r="BH720" t="n">
        <v>2</v>
      </c>
      <c r="BI720" t="n">
        <v>1</v>
      </c>
      <c r="BJ720" t="n">
        <v>5</v>
      </c>
    </row>
  </sheetData>
  <autoFilter ref="A1:BJ7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6" customWidth="1" min="1" max="1"/>
    <col width="105" customWidth="1" min="2" max="2"/>
  </cols>
  <sheetData>
    <row r="1">
      <c r="A1" s="11" t="inlineStr">
        <is>
          <t>Scoring (FPL 2026/27, read from the game's own config)</t>
        </is>
      </c>
    </row>
    <row r="3">
      <c r="A3" s="12" t="inlineStr">
        <is>
          <t>Pos</t>
        </is>
      </c>
      <c r="B3" s="12" t="inlineStr">
        <is>
          <t>Goal</t>
        </is>
      </c>
      <c r="C3" s="12" t="inlineStr">
        <is>
          <t>Assist</t>
        </is>
      </c>
      <c r="D3" s="12" t="inlineStr">
        <is>
          <t>Clean sheet</t>
        </is>
      </c>
      <c r="E3" s="12" t="inlineStr">
        <is>
          <t>DefCon</t>
        </is>
      </c>
      <c r="F3" s="12" t="inlineStr">
        <is>
          <t>Appearance 60+</t>
        </is>
      </c>
      <c r="G3" s="12" t="inlineStr">
        <is>
          <t>DefCon threshold</t>
        </is>
      </c>
      <c r="H3" s="12" t="inlineStr">
        <is>
          <t>Saves per point</t>
        </is>
      </c>
      <c r="I3" s="12" t="inlineStr">
        <is>
          <t>Conceded per -1</t>
        </is>
      </c>
    </row>
    <row r="4">
      <c r="A4" t="inlineStr">
        <is>
          <t>GKP</t>
        </is>
      </c>
      <c r="B4" t="n">
        <v>10</v>
      </c>
      <c r="C4" t="n">
        <v>3</v>
      </c>
      <c r="D4" t="n">
        <v>4</v>
      </c>
      <c r="E4" t="n">
        <v>0</v>
      </c>
      <c r="F4" t="n">
        <v>2</v>
      </c>
      <c r="G4" t="n">
        <v>99</v>
      </c>
      <c r="H4" t="n">
        <v>3</v>
      </c>
      <c r="I4" t="n">
        <v>2</v>
      </c>
    </row>
    <row r="5">
      <c r="A5" t="inlineStr">
        <is>
          <t>DEF</t>
        </is>
      </c>
      <c r="B5" t="n">
        <v>6</v>
      </c>
      <c r="C5" t="n">
        <v>3</v>
      </c>
      <c r="D5" t="n">
        <v>4</v>
      </c>
      <c r="E5" t="n">
        <v>2</v>
      </c>
      <c r="F5" t="n">
        <v>2</v>
      </c>
      <c r="G5" t="n">
        <v>10</v>
      </c>
      <c r="H5" t="n">
        <v>0</v>
      </c>
      <c r="I5" t="n">
        <v>2</v>
      </c>
    </row>
    <row r="6">
      <c r="A6" t="inlineStr">
        <is>
          <t>MID</t>
        </is>
      </c>
      <c r="B6" t="n">
        <v>5</v>
      </c>
      <c r="C6" t="n">
        <v>3</v>
      </c>
      <c r="D6" t="n">
        <v>1</v>
      </c>
      <c r="E6" t="n">
        <v>2</v>
      </c>
      <c r="F6" t="n">
        <v>2</v>
      </c>
      <c r="G6" t="n">
        <v>12</v>
      </c>
      <c r="H6" t="n">
        <v>0</v>
      </c>
      <c r="I6" t="n">
        <v>0</v>
      </c>
    </row>
    <row r="7">
      <c r="A7" t="inlineStr">
        <is>
          <t>FWD</t>
        </is>
      </c>
      <c r="B7" t="n">
        <v>4</v>
      </c>
      <c r="C7" t="n">
        <v>3</v>
      </c>
      <c r="D7" t="n">
        <v>0</v>
      </c>
      <c r="E7" t="n">
        <v>2</v>
      </c>
      <c r="F7" t="n">
        <v>2</v>
      </c>
      <c r="G7" t="n">
        <v>12</v>
      </c>
      <c r="H7" t="n">
        <v>0</v>
      </c>
      <c r="I7" t="n">
        <v>0</v>
      </c>
    </row>
    <row r="10">
      <c r="A10" s="11" t="inlineStr">
        <is>
          <t>Global inputs</t>
        </is>
      </c>
    </row>
    <row r="11">
      <c r="A11" t="inlineStr">
        <is>
          <t>Assist uplift (FPL assists / Opta assists)</t>
        </is>
      </c>
      <c r="B11" t="n">
        <v>1.32</v>
      </c>
    </row>
    <row r="12">
      <c r="A12" t="inlineStr">
        <is>
          <t>DefCon points per qualifying match</t>
        </is>
      </c>
      <c r="B12" t="n">
        <v>2</v>
      </c>
    </row>
    <row r="13">
      <c r="A13" t="inlineStr">
        <is>
          <t>Penalty conversion rate</t>
        </is>
      </c>
      <c r="B13" s="6" t="n">
        <v>0.8294</v>
      </c>
    </row>
    <row r="14">
      <c r="A14" t="inlineStr">
        <is>
          <t>Points for a missed penalty</t>
        </is>
      </c>
      <c r="B14" t="n">
        <v>2</v>
      </c>
    </row>
    <row r="15">
      <c r="A15" t="inlineStr">
        <is>
          <t>Matches in a season</t>
        </is>
      </c>
      <c r="B15" t="n">
        <v>38</v>
      </c>
    </row>
    <row r="17">
      <c r="A17" s="11" t="inlineStr">
        <is>
          <t>Notes</t>
        </is>
      </c>
    </row>
    <row r="18" ht="46" customHeight="1">
      <c r="A18" s="11" t="inlineStr">
        <is>
          <t>xMins</t>
        </is>
      </c>
      <c r="B18" s="13" t="inlineStr">
        <is>
          <t>Your minutes forecast for 2026/27, in the blue cell. Three columns sit behind it. 'xMins Solio' is Solio's raw forecast, which is forward-looking and so already prices injuries and late World Cup returns. 'xMins Solio adjusted' is that figure after the club-by-club research moved it, for the 226 players the research reached; everyone else keeps Solio's number, or 2025/26 minutes where Solio has no view. 'xMins 26/27' starts at the adjusted figure and is yours to overwrite. 'xMins source' says which of the three a row is on, 'Research delta' how far the research moved it, and 'Research reason' why, with the article or podcast it came from. This is the single biggest lever in the model and the one number no dataset can settle.</t>
        </is>
      </c>
    </row>
    <row r="19" ht="46" customHeight="1">
      <c r="A19" s="11" t="inlineStr">
        <is>
          <t>Research</t>
        </is>
      </c>
      <c r="B19" s="13" t="inlineStr">
        <is>
          <t>Green cells mark the 226 players whose minutes the club-by-club research changed. It read what beat writers, local press and club podcasts were saying in the fortnight to 16 August 2026, one club at a time, and every change carries a source URL and a date. Confidence is the researcher's own: high, medium or low. It is a dated snapshot, not a live feed -- it does not know anything that happened after that date, and it cannot see January.</t>
        </is>
      </c>
    </row>
    <row r="20" ht="46" customHeight="1">
      <c r="A20" s="11" t="inlineStr">
        <is>
          <t>Saves</t>
        </is>
      </c>
      <c r="B20" s="13" t="inlineStr">
        <is>
          <t>Goalkeepers only, 1 point per 3 saves settled every match. 'Saves/match' is the club's expected saves, derived from the goals it is expected to concede and the quality of the shots it concedes them from. The sheet turns that into points with a Poisson, because two saves in a match are worth nothing: over 2025/26 that flooring was worth 0.213 points per save, not 0.333.</t>
        </is>
      </c>
    </row>
    <row r="21" ht="46" customHeight="1">
      <c r="A21" s="11" t="inlineStr">
        <is>
          <t>Goals conceded</t>
        </is>
      </c>
      <c r="B21" s="13" t="inlineStr">
        <is>
          <t>Goalkeepers and defenders, -1 per 2 conceded, settled every match. Same Poisson treatment: ignoring the per-match floor makes the penalty 57% too harsh.</t>
        </is>
      </c>
    </row>
    <row r="22" ht="46" customHeight="1">
      <c r="A22" s="11" t="inlineStr">
        <is>
          <t>Cards</t>
        </is>
      </c>
      <c r="B22" s="13" t="inlineStr">
        <is>
          <t>-1 a yellow, -3 a red. Booking rate is a real player trait -- year-on-year correlation +0.47 over 766 repeat player-seasons -- so yellows are the player's own three-season rate shrunk toward his position. Reds are not: at one per 200 nineties an individual red rate is noise, so everyone gets the position's.</t>
        </is>
      </c>
    </row>
    <row r="23" ht="46" customHeight="1">
      <c r="A23" s="11" t="inlineStr">
        <is>
          <t>Penalties</t>
        </is>
      </c>
      <c r="B23" s="13" t="inlineStr">
        <is>
          <t>Kept out of xG entirely and credited back here, because penalty duty moves between seasons and Cole Palmer's 2025/26 expected goals were 44% penalties. 'Pens/season' is the club's expected penalties times this player's share of them, which follows the listed taker order and how much of the season he is expected to play. Season-level, not per 90.</t>
        </is>
      </c>
    </row>
    <row r="24" ht="46" customHeight="1">
      <c r="A24" s="11" t="inlineStr">
        <is>
          <t>P(CS)</t>
        </is>
      </c>
      <c r="B24" s="13" t="inlineStr">
        <is>
          <t>Probability the player's club keeps a clean sheet in a given match. Defaults to the value implied by season-long betting markets: bet365 and Spreadex points totals, converted to goal difference, then to goals for and against, then to expected goals in each of 38 fixtures, then Poisson. Covers all 20 clubs including the promoted three. Validated on five seasons: the ordering across clubs is sound, the league-wide level carries about +/-13%.</t>
        </is>
      </c>
    </row>
    <row r="25" ht="46" customHeight="1">
      <c r="A25" s="11" t="inlineStr">
        <is>
          <t>Assist uplift</t>
        </is>
      </c>
      <c r="B25" s="13" t="inlineStr">
        <is>
          <t>FPL awards assists more loosely than Opta (rebounds, deflections, won penalties). Across 2025/26 that was 765 FPL assists vs 580 Opta assists, so 1.32. Both xG models measure the Opta definition, so xA needs this to become FPL assists. Applied in the model, not in the sheet: changing the number here does nothing until scripts are re-run.</t>
        </is>
      </c>
    </row>
    <row r="26" ht="46" customHeight="1">
      <c r="A26" s="11" t="inlineStr">
        <is>
          <t>xG source</t>
        </is>
      </c>
      <c r="B26" s="13" t="inlineStr">
        <is>
          <t>Adjusted xGOT where a player has shot-placement history, otherwise blended xG. Column 'xG basis' says which was used. Either way it is scaled to the non-penalty share of his 2025/26 expected goals, so penalties are counted once, in the penalty column, and not twice.</t>
        </is>
      </c>
    </row>
    <row r="27" ht="46" customHeight="1">
      <c r="A27" s="11" t="inlineStr">
        <is>
          <t>DefCon</t>
        </is>
      </c>
      <c r="B27" s="13" t="inlineStr">
        <is>
          <t>Not a frozen rate. 'DefCon actions/90' is the player's underlying rate of qualifying defensive actions, shrunk toward the position mean for thin samples. The sheet turns that into 'DefCon hit %' with a Poisson over 'Mins per start' against the threshold on the table above -- so if you change minutes per start, the hit rate moves with it, steeply. A defender on 10 actions/90 clears a threshold of 10 in 14% of 60-minute starts and 54% of 90-minute starts. Both minutes inputs matter: xMins sets how many starts he gets, mins per start sets how likely each one pays.</t>
        </is>
      </c>
    </row>
    <row r="28" ht="46" customHeight="1">
      <c r="A28" s="11" t="inlineStr">
        <is>
          <t>Mins per start</t>
        </is>
      </c>
      <c r="B28" s="13" t="inlineStr">
        <is>
          <t>Minutes played in matches he started, over starts, from 2025/26 -- with sendings-off dropped from both sides, since a red card is not rotation risk. It is shrunk toward the position mean by 10 starts, which out of sample beats both the raw average (MAE 4.07 against 5.20) and the position mean alone (4.76). 'Mins/start starts' is how many starts it rests on: a small number means the figure is mostly the prior. Editable, because the research knows things the measurement cannot -- a player promoted to nailed is usually hooked less often than he was, and no row from last season can say so. Note the direction: at a fixed xMins, a LOWER figure here means more matches and so more appearance points. The early hook costs you through xMins, not through this column.</t>
        </is>
      </c>
    </row>
    <row r="29" ht="46" customHeight="1">
      <c r="A29" s="11" t="inlineStr">
        <is>
          <t>Bonus</t>
        </is>
      </c>
      <c r="B29" s="13" t="inlineStr">
        <is>
          <t>Bonus per 90 from 2025/26 replayed under the 2026/27 BPS weighting. Modelled as a rate rather than a share of points, so it does not depend on the rest of the model.</t>
        </is>
      </c>
    </row>
    <row r="30" ht="46" customHeight="1">
      <c r="A30" s="11" t="inlineStr">
        <is>
          <t>VORP</t>
        </is>
      </c>
      <c r="B30" s="13" t="inlineStr">
        <is>
          <t>xPts season minus the replacement level at that position — the best player still on the board once every team has filled its slots. Set the league size and slots below. Raw xPts asks who scores most; VORP asks who scores most above what you would get at that slot anyway.</t>
        </is>
      </c>
    </row>
    <row r="31" ht="46" customHeight="1">
      <c r="A31" s="11" t="inlineStr">
        <is>
          <t>VORP per £m</t>
        </is>
      </c>
      <c r="B31" s="13" t="inlineStr">
        <is>
          <t>VORP divided by price. Pure VORP measures scarcity alone; this measures scarcity against the £100m budget that still binds you in a normal FPL season.</t>
        </is>
      </c>
    </row>
    <row r="32" ht="46" customHeight="1">
      <c r="A32" s="11" t="inlineStr">
        <is>
          <t>Appearance</t>
        </is>
      </c>
      <c r="B32" s="13" t="inlineStr">
        <is>
          <t>1 point for playing, 2 for 60 minutes or more, earned per match rather than per 90 -- which is why it is shown as a season total. 'Matches' is xMins divided by 'Mins per start', capped at the 38 a season has. The cap matters: Christian Nørgaard's 45 minutes per start came from a cameo-heavy year, and 2,804 forecast minutes divided by it claims 62 matches. Once capped he is making 38 longer appearances instead, which clears the 60-minute line. 'App pts 25/26' is what he actually earned last season, for comparison only -- it does not feed the model.</t>
        </is>
      </c>
    </row>
    <row r="33" ht="46" customHeight="1">
      <c r="A33" s="11" t="inlineStr">
        <is>
          <t>Moved club</t>
        </is>
      </c>
      <c r="B33" s="13" t="inlineStr">
        <is>
          <t>Amber cells mark a player who changed club over the summer, and mark exactly the numbers the move breaks. His clean sheets, saves and goals against all follow him to the new club correctly -- those are keyed on the club, never on the player. His xG and xA do not: they are the rates he produced at the old club, in the old side's shape, and nothing in any dataset repairs that. Treat the amber figures as needing your own judgement.</t>
        </is>
      </c>
    </row>
    <row r="34" ht="46" customHeight="1">
      <c r="A34" s="11" t="inlineStr">
        <is>
          <t>Live cells</t>
        </is>
      </c>
      <c r="B34" s="13" t="inlineStr">
        <is>
          <t>Almost everything on this sheet is a value, computed in Python. Six columns are still real formulas -- Matches, App pts season, DC pts season, xPts season, VORP and VORP per £m -- so that changing 'xMins 26/27' or 'Mins per start' moves a player's total and his rank the way it should. Change anything else and you are editing a number the model will overwrite on the next run.</t>
        </is>
      </c>
    </row>
    <row r="36">
      <c r="A36" s="11" t="inlineStr">
        <is>
          <t>VORP settings</t>
        </is>
      </c>
    </row>
    <row r="38">
      <c r="A38" t="inlineStr">
        <is>
          <t>Teams in league</t>
        </is>
      </c>
      <c r="B38" s="6" t="n">
        <v>8</v>
      </c>
    </row>
    <row r="39">
      <c r="A39" s="12" t="inlineStr">
        <is>
          <t>Position</t>
        </is>
      </c>
      <c r="B39" s="12" t="inlineStr">
        <is>
          <t>Squad slots per team</t>
        </is>
      </c>
      <c r="C39" s="12" t="inlineStr">
        <is>
          <t>Replacement xPts</t>
        </is>
      </c>
    </row>
    <row r="40">
      <c r="A40" t="inlineStr">
        <is>
          <t>GKP</t>
        </is>
      </c>
      <c r="B40" s="6" t="n">
        <v>2</v>
      </c>
      <c r="C40" s="14">
        <f>IFERROR(LARGE('xPts model'!$BC$2:$BC$720,$B$38*B40+1),0)</f>
        <v/>
      </c>
    </row>
    <row r="41">
      <c r="A41" t="inlineStr">
        <is>
          <t>DEF</t>
        </is>
      </c>
      <c r="B41" s="6" t="n">
        <v>5</v>
      </c>
      <c r="C41" s="14">
        <f>IFERROR(LARGE('xPts model'!$BD$2:$BD$720,$B$38*B41+1),0)</f>
        <v/>
      </c>
    </row>
    <row r="42">
      <c r="A42" t="inlineStr">
        <is>
          <t>MID</t>
        </is>
      </c>
      <c r="B42" s="6" t="n">
        <v>5</v>
      </c>
      <c r="C42" s="14">
        <f>IFERROR(LARGE('xPts model'!$BE$2:$BE$720,$B$38*B42+1),0)</f>
        <v/>
      </c>
    </row>
    <row r="43">
      <c r="A43" t="inlineStr">
        <is>
          <t>FWD</t>
        </is>
      </c>
      <c r="B43" s="6" t="n">
        <v>3</v>
      </c>
      <c r="C43" s="14">
        <f>IFERROR(LARGE('xPts model'!$BF$2:$BF$720,$B$38*B43+1),0)</f>
        <v/>
      </c>
    </row>
    <row r="45" ht="46" customHeight="1">
      <c r="A45" s="13" t="inlineStr">
        <is>
          <t>Replacement level is the best player at that position still available once every team has filled its slots: the (teams x slots + 1)-th best. Only players registered for 2026/27 count toward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t="inlineStr">
        <is>
          <t>Column</t>
        </is>
      </c>
      <c r="B1" t="inlineStr">
        <is>
          <t>Meaning</t>
        </is>
      </c>
      <c r="C1" t="inlineStr">
        <is>
          <t>Source</t>
        </is>
      </c>
    </row>
    <row r="2">
      <c r="A2" t="inlineStr">
        <is>
          <t>Player</t>
        </is>
      </c>
      <c r="B2" t="inlineStr">
        <is>
          <t>Official Premier League display name</t>
        </is>
      </c>
      <c r="C2" t="inlineStr">
        <is>
          <t>PL</t>
        </is>
      </c>
    </row>
    <row r="3">
      <c r="A3" t="inlineStr">
        <is>
          <t>Team 26/27</t>
        </is>
      </c>
      <c r="B3" t="inlineStr">
        <is>
          <t>Club for the season being drafted</t>
        </is>
      </c>
      <c r="C3" t="inlineStr">
        <is>
          <t>FPL</t>
        </is>
      </c>
    </row>
    <row r="4">
      <c r="A4" t="inlineStr">
        <is>
          <t>Pos</t>
        </is>
      </c>
      <c r="B4" t="inlineStr">
        <is>
          <t>FPL position for 2026/27: GKP/DEF/MID/FWD</t>
        </is>
      </c>
      <c r="C4" t="inlineStr">
        <is>
          <t>FPL</t>
        </is>
      </c>
    </row>
    <row r="5">
      <c r="A5" t="inlineStr">
        <is>
          <t>Pos 25/26</t>
        </is>
      </c>
      <c r="B5" t="inlineStr">
        <is>
          <t>Position held last season. If it differs from Pos, last season's DefCon points were earned against a different threshold</t>
        </is>
      </c>
      <c r="C5" t="inlineStr">
        <is>
          <t>gameweek data</t>
        </is>
      </c>
    </row>
    <row r="6">
      <c r="A6" t="inlineStr">
        <is>
          <t>Price 26/27</t>
        </is>
      </c>
      <c r="B6" t="inlineStr">
        <is>
          <t>FPL price at season start (£m)</t>
        </is>
      </c>
      <c r="C6" t="inlineStr">
        <is>
          <t>FPL</t>
        </is>
      </c>
    </row>
    <row r="7">
      <c r="A7" t="inlineStr">
        <is>
          <t>Draftable</t>
        </is>
      </c>
      <c r="B7" t="inlineStr">
        <is>
          <t>Registered in the FPL game for 2026/27</t>
        </is>
      </c>
      <c r="C7" t="inlineStr">
        <is>
          <t>FPL</t>
        </is>
      </c>
    </row>
    <row r="8">
      <c r="A8" t="inlineStr">
        <is>
          <t>Played 25/26</t>
        </is>
      </c>
      <c r="B8" t="inlineStr">
        <is>
          <t>Made at least one PL appearance in 2025/26</t>
        </is>
      </c>
      <c r="C8" t="inlineStr">
        <is>
          <t>PL</t>
        </is>
      </c>
    </row>
    <row r="9">
      <c r="A9" t="inlineStr">
        <is>
          <t>Age</t>
        </is>
      </c>
      <c r="B9" t="inlineStr">
        <is>
          <t>Age in years at 2026/27 GW1</t>
        </is>
      </c>
      <c r="C9" t="inlineStr">
        <is>
          <t>FPL</t>
        </is>
      </c>
    </row>
    <row r="10">
      <c r="A10" t="inlineStr">
        <is>
          <t>Status</t>
        </is>
      </c>
      <c r="B10" t="inlineStr">
        <is>
          <t>a=available, i=injured, s=suspended, d=doubtful, u=unavailable</t>
        </is>
      </c>
      <c r="C10" t="inlineStr">
        <is>
          <t>FPL</t>
        </is>
      </c>
    </row>
    <row r="11">
      <c r="A11" t="inlineStr">
        <is>
          <t>News</t>
        </is>
      </c>
      <c r="B11" t="inlineStr">
        <is>
          <t>FPL injury/availability note</t>
        </is>
      </c>
      <c r="C11" t="inlineStr">
        <is>
          <t>FPL</t>
        </is>
      </c>
    </row>
    <row r="12">
      <c r="A12" t="inlineStr">
        <is>
          <t>Chance next GW %</t>
        </is>
      </c>
      <c r="B12" t="inlineStr">
        <is>
          <t>FPL's stated chance of playing</t>
        </is>
      </c>
      <c r="C12" t="inlineStr">
        <is>
          <t>FPL</t>
        </is>
      </c>
    </row>
    <row r="13">
      <c r="A13" t="inlineStr">
        <is>
          <t>Opta ID</t>
        </is>
      </c>
      <c r="B13" t="inlineStr">
        <is>
          <t>Opta player id; the key every source is joined on</t>
        </is>
      </c>
      <c r="C13" t="inlineStr">
        <is>
          <t>PL/FPL</t>
        </is>
      </c>
    </row>
    <row r="14">
      <c r="A14" t="inlineStr">
        <is>
          <t>FPL ID</t>
        </is>
      </c>
      <c r="B14" t="inlineStr">
        <is>
          <t>FPL element id</t>
        </is>
      </c>
      <c r="C14" t="inlineStr">
        <is>
          <t>FPL</t>
        </is>
      </c>
    </row>
    <row r="15">
      <c r="A15" t="inlineStr">
        <is>
          <t>Pens order</t>
        </is>
      </c>
      <c r="B15" t="inlineStr">
        <is>
          <t>1 = first-choice penalty taker</t>
        </is>
      </c>
      <c r="C15" t="inlineStr">
        <is>
          <t>FPL</t>
        </is>
      </c>
    </row>
    <row r="16">
      <c r="A16" t="inlineStr">
        <is>
          <t>Corners/IFK order</t>
        </is>
      </c>
      <c r="B16" t="inlineStr">
        <is>
          <t>1 = first-choice corner taker</t>
        </is>
      </c>
      <c r="C16" t="inlineStr">
        <is>
          <t>FPL</t>
        </is>
      </c>
    </row>
    <row r="17">
      <c r="A17" t="inlineStr">
        <is>
          <t>Direct FK order</t>
        </is>
      </c>
      <c r="B17" t="inlineStr">
        <is>
          <t>1 = first-choice direct free-kick taker</t>
        </is>
      </c>
      <c r="C17" t="inlineStr">
        <is>
          <t>FPL</t>
        </is>
      </c>
    </row>
    <row r="18">
      <c r="A18" t="inlineStr">
        <is>
          <t>Mins</t>
        </is>
      </c>
      <c r="B18" t="inlineStr">
        <is>
          <t>Minutes played in 2025/26</t>
        </is>
      </c>
      <c r="C18" t="inlineStr">
        <is>
          <t>FPL</t>
        </is>
      </c>
    </row>
    <row r="19">
      <c r="A19" t="inlineStr">
        <is>
          <t>Apps</t>
        </is>
      </c>
      <c r="B19" t="inlineStr">
        <is>
          <t>Appearances in 2025/26</t>
        </is>
      </c>
      <c r="C19" t="inlineStr">
        <is>
          <t>PL</t>
        </is>
      </c>
    </row>
    <row r="20">
      <c r="A20" t="inlineStr">
        <is>
          <t>Starts</t>
        </is>
      </c>
      <c r="B20" t="inlineStr">
        <is>
          <t>Starts in 2025/26</t>
        </is>
      </c>
      <c r="C20" t="inlineStr">
        <is>
          <t>FPL</t>
        </is>
      </c>
    </row>
    <row r="21">
      <c r="A21" t="inlineStr">
        <is>
          <t>90s</t>
        </is>
      </c>
      <c r="B21" t="inlineStr">
        <is>
          <t>Minutes / 90</t>
        </is>
      </c>
      <c r="C21" t="inlineStr">
        <is>
          <t>derived</t>
        </is>
      </c>
    </row>
    <row r="22">
      <c r="A22" t="inlineStr">
        <is>
          <t>Mins per app</t>
        </is>
      </c>
      <c r="B22" t="inlineStr">
        <is>
          <t>Minutes divided by appearances</t>
        </is>
      </c>
      <c r="C22" t="inlineStr">
        <is>
          <t>derived</t>
        </is>
      </c>
    </row>
    <row r="23">
      <c r="A23" t="inlineStr">
        <is>
          <t>FPL points</t>
        </is>
      </c>
      <c r="B23" t="inlineStr">
        <is>
          <t>Total FPL points scored in 2025/26</t>
        </is>
      </c>
      <c r="C23" t="inlineStr">
        <is>
          <t>FPL</t>
        </is>
      </c>
    </row>
    <row r="24">
      <c r="A24" t="inlineStr">
        <is>
          <t>FPL pts/90</t>
        </is>
      </c>
      <c r="B24" t="inlineStr">
        <is>
          <t>FPL points per 90 minutes</t>
        </is>
      </c>
      <c r="C24" t="inlineStr">
        <is>
          <t>derived</t>
        </is>
      </c>
    </row>
    <row r="25">
      <c r="A25" t="inlineStr">
        <is>
          <t>Goals</t>
        </is>
      </c>
      <c r="B25" t="inlineStr">
        <is>
          <t>Goals scored</t>
        </is>
      </c>
      <c r="C25" t="inlineStr">
        <is>
          <t>FPL</t>
        </is>
      </c>
    </row>
    <row r="26">
      <c r="A26" t="inlineStr">
        <is>
          <t>Assists (FPL)</t>
        </is>
      </c>
      <c r="B26" t="inlineStr">
        <is>
          <t>FPL assists - looser than Opta's, and what pays points</t>
        </is>
      </c>
      <c r="C26" t="inlineStr">
        <is>
          <t>FPL</t>
        </is>
      </c>
    </row>
    <row r="27">
      <c r="A27" t="inlineStr">
        <is>
          <t>Assists (Opta)</t>
        </is>
      </c>
      <c r="B27" t="inlineStr">
        <is>
          <t>Opta assists; ~32% fewer than FPL's across the league</t>
        </is>
      </c>
      <c r="C27" t="inlineStr">
        <is>
          <t>PL</t>
        </is>
      </c>
    </row>
    <row r="28">
      <c r="A28" t="inlineStr">
        <is>
          <t>Clean sheets</t>
        </is>
      </c>
      <c r="B28" t="inlineStr">
        <is>
          <t>Clean sheets credited by FPL</t>
        </is>
      </c>
      <c r="C28" t="inlineStr">
        <is>
          <t>FPL</t>
        </is>
      </c>
    </row>
    <row r="29">
      <c r="A29" t="inlineStr">
        <is>
          <t>Goals conceded</t>
        </is>
      </c>
      <c r="B29" t="inlineStr">
        <is>
          <t>Goals conceded while on the pitch</t>
        </is>
      </c>
      <c r="C29" t="inlineStr">
        <is>
          <t>FPL</t>
        </is>
      </c>
    </row>
    <row r="30">
      <c r="A30" t="inlineStr">
        <is>
          <t>Bonus</t>
        </is>
      </c>
      <c r="B30" t="inlineStr">
        <is>
          <t>Bonus points actually earned in 2025/26</t>
        </is>
      </c>
      <c r="C30" t="inlineStr">
        <is>
          <t>FPL</t>
        </is>
      </c>
    </row>
    <row r="31">
      <c r="A31" t="inlineStr">
        <is>
          <t>Bonus (new rules)</t>
        </is>
      </c>
      <c r="B31" t="inlineStr">
        <is>
          <t>Bonus if 2025/26 were replayed under the 2026/27 CBI weighting</t>
        </is>
      </c>
      <c r="C31" t="inlineStr">
        <is>
          <t>BPS re-model</t>
        </is>
      </c>
    </row>
    <row r="32">
      <c r="A32" t="inlineStr">
        <is>
          <t>Bonus change</t>
        </is>
      </c>
      <c r="B32" t="inlineStr">
        <is>
          <t>Bonus (new rules) minus Bonus</t>
        </is>
      </c>
      <c r="C32" t="inlineStr">
        <is>
          <t>BPS re-model</t>
        </is>
      </c>
    </row>
    <row r="33">
      <c r="A33" t="inlineStr">
        <is>
          <t>BPS</t>
        </is>
      </c>
      <c r="B33" t="inlineStr">
        <is>
          <t>Bonus points system total as scored in 2025/26</t>
        </is>
      </c>
      <c r="C33" t="inlineStr">
        <is>
          <t>FPL</t>
        </is>
      </c>
    </row>
    <row r="34">
      <c r="A34" t="inlineStr">
        <is>
          <t>BPS (new rules)</t>
        </is>
      </c>
      <c r="B34" t="inlineStr">
        <is>
          <t>BPS total under the 2026/27 CBI weighting (1 per 3 actions, was 1 per 2)</t>
        </is>
      </c>
      <c r="C34" t="inlineStr">
        <is>
          <t>BPS re-model</t>
        </is>
      </c>
    </row>
    <row r="35">
      <c r="A35" t="inlineStr">
        <is>
          <t>BPS change</t>
        </is>
      </c>
      <c r="B35" t="inlineStr">
        <is>
          <t>BPS (new rules) minus BPS</t>
        </is>
      </c>
      <c r="C35" t="inlineStr">
        <is>
          <t>BPS re-model</t>
        </is>
      </c>
    </row>
    <row r="36">
      <c r="A36" t="inlineStr">
        <is>
          <t>Points (new rules)</t>
        </is>
      </c>
      <c r="B36" t="inlineStr">
        <is>
          <t>2025/26 total points restated with the new bonus</t>
        </is>
      </c>
      <c r="C36" t="inlineStr">
        <is>
          <t>BPS re-model</t>
        </is>
      </c>
    </row>
    <row r="37">
      <c r="A37" t="inlineStr">
        <is>
          <t>Bonus per point</t>
        </is>
      </c>
      <c r="B37" t="inlineStr">
        <is>
          <t>Bonus divided by total points</t>
        </is>
      </c>
      <c r="C37" t="inlineStr">
        <is>
          <t>derived</t>
        </is>
      </c>
    </row>
    <row r="38">
      <c r="A38" t="inlineStr">
        <is>
          <t>Bonus per non-bonus point</t>
        </is>
      </c>
      <c r="B38" t="inlineStr">
        <is>
          <t>Bonus divided by (total points - bonus). The consistent multiplier to apply to a bonus-exclusive xPts</t>
        </is>
      </c>
      <c r="C38" t="inlineStr">
        <is>
          <t>derived</t>
        </is>
      </c>
    </row>
    <row r="39">
      <c r="A39" t="inlineStr">
        <is>
          <t>DefCon actions</t>
        </is>
      </c>
      <c r="B39" t="inlineStr">
        <is>
          <t>Qualifying defensive actions: CBI+tackles for DEF, plus recoveries for MID/FWD. NOT points</t>
        </is>
      </c>
      <c r="C39" t="inlineStr">
        <is>
          <t>FPL</t>
        </is>
      </c>
    </row>
    <row r="40">
      <c r="A40" t="inlineStr">
        <is>
          <t>DefCon actions/90</t>
        </is>
      </c>
      <c r="B40" t="inlineStr">
        <is>
          <t>Qualifying defensive actions per 90; the threshold is 10 (DEF) / 12 (MID,FWD) per match</t>
        </is>
      </c>
      <c r="C40" t="inlineStr">
        <is>
          <t>derived</t>
        </is>
      </c>
    </row>
    <row r="41">
      <c r="A41" t="inlineStr">
        <is>
          <t>DefCon matches</t>
        </is>
      </c>
      <c r="B41" t="inlineStr">
        <is>
          <t>Matches that actually cleared the threshold - this is what paid points</t>
        </is>
      </c>
      <c r="C41" t="inlineStr">
        <is>
          <t>gameweek data</t>
        </is>
      </c>
    </row>
    <row r="42">
      <c r="A42" t="inlineStr">
        <is>
          <t>DefCon points</t>
        </is>
      </c>
      <c r="B42" t="inlineStr">
        <is>
          <t>2 x DefCon matches: the points the DefCon rule actually delivered in 2025/26</t>
        </is>
      </c>
      <c r="C42" t="inlineStr">
        <is>
          <t>gameweek data</t>
        </is>
      </c>
    </row>
    <row r="43">
      <c r="A43" t="inlineStr">
        <is>
          <t>DefCon hit rate</t>
        </is>
      </c>
      <c r="B43" t="inlineStr">
        <is>
          <t>DefCon matches divided by starts, at the threshold the player faced in 2025/26</t>
        </is>
      </c>
      <c r="C43" t="inlineStr">
        <is>
          <t>gameweek data</t>
        </is>
      </c>
    </row>
    <row r="44">
      <c r="A44" t="inlineStr">
        <is>
          <t>DefCon rate at 10</t>
        </is>
      </c>
      <c r="B44" t="inlineStr">
        <is>
          <t>Share of starts clearing 10 actions - the defender threshold</t>
        </is>
      </c>
      <c r="C44" t="inlineStr">
        <is>
          <t>gameweek data</t>
        </is>
      </c>
    </row>
    <row r="45">
      <c r="A45" t="inlineStr">
        <is>
          <t>DefCon rate at 12</t>
        </is>
      </c>
      <c r="B45" t="inlineStr">
        <is>
          <t>Share of starts clearing 12 actions - the midfielder/forward threshold</t>
        </is>
      </c>
      <c r="C45" t="inlineStr">
        <is>
          <t>gameweek data</t>
        </is>
      </c>
    </row>
    <row r="46">
      <c r="A46" t="inlineStr">
        <is>
          <t>Start rate</t>
        </is>
      </c>
      <c r="B46" t="inlineStr">
        <is>
          <t>Starts divided by 38</t>
        </is>
      </c>
      <c r="C46" t="inlineStr">
        <is>
          <t>gameweek data</t>
        </is>
      </c>
    </row>
    <row r="47">
      <c r="A47" t="inlineStr">
        <is>
          <t>60+ min rate</t>
        </is>
      </c>
      <c r="B47" t="inlineStr">
        <is>
          <t>Share of appearances lasting 60+ minutes (the 2-point threshold)</t>
        </is>
      </c>
      <c r="C47" t="inlineStr">
        <is>
          <t>gameweek data</t>
        </is>
      </c>
    </row>
    <row r="48">
      <c r="A48" t="inlineStr">
        <is>
          <t>Blanks</t>
        </is>
      </c>
      <c r="B48" t="inlineStr">
        <is>
          <t>Matches played returning 2 points or fewer</t>
        </is>
      </c>
      <c r="C48" t="inlineStr">
        <is>
          <t>gameweek data</t>
        </is>
      </c>
    </row>
    <row r="49">
      <c r="A49" t="inlineStr">
        <is>
          <t>Hauls</t>
        </is>
      </c>
      <c r="B49" t="inlineStr">
        <is>
          <t>Matches returning 10+ points</t>
        </is>
      </c>
      <c r="C49" t="inlineStr">
        <is>
          <t>gameweek data</t>
        </is>
      </c>
    </row>
    <row r="50">
      <c r="A50" t="inlineStr">
        <is>
          <t>Points SD</t>
        </is>
      </c>
      <c r="B50" t="inlineStr">
        <is>
          <t>Standard deviation of gameweek points</t>
        </is>
      </c>
      <c r="C50" t="inlineStr">
        <is>
          <t>gameweek data</t>
        </is>
      </c>
    </row>
    <row r="51">
      <c r="A51" t="inlineStr">
        <is>
          <t>Best GW</t>
        </is>
      </c>
      <c r="B51" t="inlineStr">
        <is>
          <t>Highest single-gameweek score</t>
        </is>
      </c>
      <c r="C51" t="inlineStr">
        <is>
          <t>gameweek data</t>
        </is>
      </c>
    </row>
    <row r="52">
      <c r="A52" t="inlineStr">
        <is>
          <t>xG (Opta)</t>
        </is>
      </c>
      <c r="B52" t="inlineStr">
        <is>
          <t>Opta expected goals - best next-season goal predictor tested</t>
        </is>
      </c>
      <c r="C52" t="inlineStr">
        <is>
          <t>FPL</t>
        </is>
      </c>
    </row>
    <row r="53">
      <c r="A53" t="inlineStr">
        <is>
          <t>xG (Understat)</t>
        </is>
      </c>
      <c r="B53" t="inlineStr">
        <is>
          <t>Understat expected goals - runs ~8-15% high vs actual</t>
        </is>
      </c>
      <c r="C53" t="inlineStr">
        <is>
          <t>Understat</t>
        </is>
      </c>
    </row>
    <row r="54">
      <c r="A54" t="inlineStr">
        <is>
          <t>xG (blend)</t>
        </is>
      </c>
      <c r="B54" t="inlineStr">
        <is>
          <t>Mean of the two xG models</t>
        </is>
      </c>
      <c r="C54" t="inlineStr">
        <is>
          <t>derived</t>
        </is>
      </c>
    </row>
    <row r="55">
      <c r="A55" t="inlineStr">
        <is>
          <t>npxG (Understat)</t>
        </is>
      </c>
      <c r="B55" t="inlineStr">
        <is>
          <t>Non-penalty expected goals</t>
        </is>
      </c>
      <c r="C55" t="inlineStr">
        <is>
          <t>Understat</t>
        </is>
      </c>
    </row>
    <row r="56">
      <c r="A56" t="inlineStr">
        <is>
          <t>xG/90 (Opta)</t>
        </is>
      </c>
      <c r="B56" t="inlineStr">
        <is>
          <t>Opta xG per 90</t>
        </is>
      </c>
      <c r="C56" t="inlineStr">
        <is>
          <t>derived</t>
        </is>
      </c>
    </row>
    <row r="57">
      <c r="A57" t="inlineStr">
        <is>
          <t>xG/90 (Understat)</t>
        </is>
      </c>
      <c r="B57" t="inlineStr">
        <is>
          <t>Understat xG per 90</t>
        </is>
      </c>
      <c r="C57" t="inlineStr">
        <is>
          <t>derived</t>
        </is>
      </c>
    </row>
    <row r="58">
      <c r="A58" t="inlineStr">
        <is>
          <t>xG/90 (blend)</t>
        </is>
      </c>
      <c r="B58" t="inlineStr">
        <is>
          <t>Blended xG per 90</t>
        </is>
      </c>
      <c r="C58" t="inlineStr">
        <is>
          <t>derived</t>
        </is>
      </c>
    </row>
    <row r="59">
      <c r="A59" t="inlineStr">
        <is>
          <t>xGOT</t>
        </is>
      </c>
      <c r="B59" t="inlineStr">
        <is>
          <t>Post-shot xG: shot quality AFTER placement. FBref's PSxG equivalent</t>
        </is>
      </c>
      <c r="C59" t="inlineStr">
        <is>
          <t>FotMob</t>
        </is>
      </c>
    </row>
    <row r="60">
      <c r="A60" t="inlineStr">
        <is>
          <t>xGOT/90</t>
        </is>
      </c>
      <c r="B60" t="inlineStr">
        <is>
          <t>xGOT per 90</t>
        </is>
      </c>
      <c r="C60" t="inlineStr">
        <is>
          <t>derived</t>
        </is>
      </c>
    </row>
    <row r="61">
      <c r="A61" t="inlineStr">
        <is>
          <t>Placement ratio</t>
        </is>
      </c>
      <c r="B61" t="inlineStr">
        <is>
          <t>Career xGOT/xG, shrunk toward 1.0 by sample size. Above 1 = places shots better than the chance deserved</t>
        </is>
      </c>
      <c r="C61" t="inlineStr">
        <is>
          <t>derived</t>
        </is>
      </c>
    </row>
    <row r="62">
      <c r="A62" t="inlineStr">
        <is>
          <t>Placement sample xG</t>
        </is>
      </c>
      <c r="B62" t="inlineStr">
        <is>
          <t>Total xG behind the placement ratio, across up to 4 seasons. Low numbers mean the ratio is mostly shrunk back to 1</t>
        </is>
      </c>
      <c r="C62" t="inlineStr">
        <is>
          <t>derived</t>
        </is>
      </c>
    </row>
    <row r="63">
      <c r="A63" t="inlineStr">
        <is>
          <t>Adjusted xGOT</t>
        </is>
      </c>
      <c r="B63" t="inlineStr">
        <is>
          <t>xG re-scaled by the placement ratio: the xGOT this player would post for that xG</t>
        </is>
      </c>
      <c r="C63" t="inlineStr">
        <is>
          <t>derived</t>
        </is>
      </c>
    </row>
    <row r="64">
      <c r="A64" t="inlineStr">
        <is>
          <t>Adjusted xGOT/90</t>
        </is>
      </c>
      <c r="B64" t="inlineStr">
        <is>
          <t>Adjusted xGOT per 90 - the xG input used by the xPts model</t>
        </is>
      </c>
      <c r="C64" t="inlineStr">
        <is>
          <t>derived</t>
        </is>
      </c>
    </row>
    <row r="65">
      <c r="A65" t="inlineStr">
        <is>
          <t>Goals - xG</t>
        </is>
      </c>
      <c r="B65" t="inlineStr">
        <is>
          <t>Over/under-performance of expected goals</t>
        </is>
      </c>
      <c r="C65" t="inlineStr">
        <is>
          <t>derived</t>
        </is>
      </c>
    </row>
    <row r="66">
      <c r="A66" t="inlineStr">
        <is>
          <t>xGOT - xG</t>
        </is>
      </c>
      <c r="B66" t="inlineStr">
        <is>
          <t>Shot placement skill: how much better than average the shots were aimed</t>
        </is>
      </c>
      <c r="C66" t="inlineStr">
        <is>
          <t>derived</t>
        </is>
      </c>
    </row>
    <row r="67">
      <c r="A67" t="inlineStr">
        <is>
          <t>Goals - xGOT</t>
        </is>
      </c>
      <c r="B67" t="inlineStr">
        <is>
          <t>Pure finishing residual after placement is accounted for</t>
        </is>
      </c>
      <c r="C67" t="inlineStr">
        <is>
          <t>derived</t>
        </is>
      </c>
    </row>
    <row r="68">
      <c r="A68" t="inlineStr">
        <is>
          <t>xG model gap</t>
        </is>
      </c>
      <c r="B68" t="inlineStr">
        <is>
          <t>Opta xG minus Understat xG - big gaps flag disputed shot quality</t>
        </is>
      </c>
      <c r="C68" t="inlineStr">
        <is>
          <t>derived</t>
        </is>
      </c>
    </row>
    <row r="69">
      <c r="A69" t="inlineStr">
        <is>
          <t>Shots</t>
        </is>
      </c>
      <c r="B69" t="inlineStr">
        <is>
          <t>Total shots</t>
        </is>
      </c>
      <c r="C69" t="inlineStr">
        <is>
          <t>PL</t>
        </is>
      </c>
    </row>
    <row r="70">
      <c r="A70" t="inlineStr">
        <is>
          <t>Shots on target</t>
        </is>
      </c>
      <c r="B70" t="inlineStr">
        <is>
          <t>Shots on target</t>
        </is>
      </c>
      <c r="C70" t="inlineStr">
        <is>
          <t>PL</t>
        </is>
      </c>
    </row>
    <row r="71">
      <c r="A71" t="inlineStr">
        <is>
          <t>Big chances missed</t>
        </is>
      </c>
      <c r="B71" t="inlineStr">
        <is>
          <t>Clear chances not converted</t>
        </is>
      </c>
      <c r="C71" t="inlineStr">
        <is>
          <t>PL</t>
        </is>
      </c>
    </row>
    <row r="72">
      <c r="A72" t="inlineStr">
        <is>
          <t>Touches in box</t>
        </is>
      </c>
      <c r="B72" t="inlineStr">
        <is>
          <t>Touches in the opposition penalty area</t>
        </is>
      </c>
      <c r="C72" t="inlineStr">
        <is>
          <t>PL</t>
        </is>
      </c>
    </row>
    <row r="73">
      <c r="A73" t="inlineStr">
        <is>
          <t>Touches in box/90</t>
        </is>
      </c>
      <c r="B73" t="inlineStr">
        <is>
          <t>Touches in the box per 90</t>
        </is>
      </c>
      <c r="C73" t="inlineStr">
        <is>
          <t>derived</t>
        </is>
      </c>
    </row>
    <row r="74">
      <c r="A74" t="inlineStr">
        <is>
          <t>Pen goals</t>
        </is>
      </c>
      <c r="B74" t="inlineStr">
        <is>
          <t>Goals from penalties</t>
        </is>
      </c>
      <c r="C74" t="inlineStr">
        <is>
          <t>PL</t>
        </is>
      </c>
    </row>
    <row r="75">
      <c r="A75" t="inlineStr">
        <is>
          <t>Headed goals</t>
        </is>
      </c>
      <c r="B75" t="inlineStr">
        <is>
          <t>Headed goals</t>
        </is>
      </c>
      <c r="C75" t="inlineStr">
        <is>
          <t>PL</t>
        </is>
      </c>
    </row>
    <row r="76">
      <c r="A76" t="inlineStr">
        <is>
          <t>xA (Opta)</t>
        </is>
      </c>
      <c r="B76" t="inlineStr">
        <is>
          <t>Opta expected assists</t>
        </is>
      </c>
      <c r="C76" t="inlineStr">
        <is>
          <t>FPL</t>
        </is>
      </c>
    </row>
    <row r="77">
      <c r="A77" t="inlineStr">
        <is>
          <t>xA (Understat)</t>
        </is>
      </c>
      <c r="B77" t="inlineStr">
        <is>
          <t>Understat expected assists</t>
        </is>
      </c>
      <c r="C77" t="inlineStr">
        <is>
          <t>Understat</t>
        </is>
      </c>
    </row>
    <row r="78">
      <c r="A78" t="inlineStr">
        <is>
          <t>xA (blend)</t>
        </is>
      </c>
      <c r="B78" t="inlineStr">
        <is>
          <t>Mean of the two xA models - best assist predictor tested</t>
        </is>
      </c>
      <c r="C78" t="inlineStr">
        <is>
          <t>derived</t>
        </is>
      </c>
    </row>
    <row r="79">
      <c r="A79" t="inlineStr">
        <is>
          <t>xA/90 (blend)</t>
        </is>
      </c>
      <c r="B79" t="inlineStr">
        <is>
          <t>Blended xA per 90</t>
        </is>
      </c>
      <c r="C79" t="inlineStr">
        <is>
          <t>derived</t>
        </is>
      </c>
    </row>
    <row r="80">
      <c r="A80" t="inlineStr">
        <is>
          <t>xGI (blend)</t>
        </is>
      </c>
      <c r="B80" t="inlineStr">
        <is>
          <t>Blended xG + xA</t>
        </is>
      </c>
      <c r="C80" t="inlineStr">
        <is>
          <t>derived</t>
        </is>
      </c>
    </row>
    <row r="81">
      <c r="A81" t="inlineStr">
        <is>
          <t>xGI/90 (blend)</t>
        </is>
      </c>
      <c r="B81" t="inlineStr">
        <is>
          <t>Blended xG + xA per 90</t>
        </is>
      </c>
      <c r="C81" t="inlineStr">
        <is>
          <t>derived</t>
        </is>
      </c>
    </row>
    <row r="82">
      <c r="A82" t="inlineStr">
        <is>
          <t>Key passes</t>
        </is>
      </c>
      <c r="B82" t="inlineStr">
        <is>
          <t>Passes leading to a shot</t>
        </is>
      </c>
      <c r="C82" t="inlineStr">
        <is>
          <t>Understat</t>
        </is>
      </c>
    </row>
    <row r="83">
      <c r="A83" t="inlineStr">
        <is>
          <t>Big chances created</t>
        </is>
      </c>
      <c r="B83" t="inlineStr">
        <is>
          <t>Clear chances created</t>
        </is>
      </c>
      <c r="C83" t="inlineStr">
        <is>
          <t>PL</t>
        </is>
      </c>
    </row>
    <row r="84">
      <c r="A84" t="inlineStr">
        <is>
          <t>Chances created</t>
        </is>
      </c>
      <c r="B84" t="inlineStr">
        <is>
          <t>All chances created</t>
        </is>
      </c>
      <c r="C84" t="inlineStr">
        <is>
          <t>PL</t>
        </is>
      </c>
    </row>
    <row r="85">
      <c r="A85" t="inlineStr">
        <is>
          <t>Crosses (acc)</t>
        </is>
      </c>
      <c r="B85" t="inlineStr">
        <is>
          <t>Accurate crosses</t>
        </is>
      </c>
      <c r="C85" t="inlineStr">
        <is>
          <t>PL</t>
        </is>
      </c>
    </row>
    <row r="86">
      <c r="A86" t="inlineStr">
        <is>
          <t>Through balls (acc)</t>
        </is>
      </c>
      <c r="B86" t="inlineStr">
        <is>
          <t>Accurate through balls</t>
        </is>
      </c>
      <c r="C86" t="inlineStr">
        <is>
          <t>PL</t>
        </is>
      </c>
    </row>
    <row r="87">
      <c r="A87" t="inlineStr">
        <is>
          <t>Corners taken</t>
        </is>
      </c>
      <c r="B87" t="inlineStr">
        <is>
          <t>Corners taken</t>
        </is>
      </c>
      <c r="C87" t="inlineStr">
        <is>
          <t>PL</t>
        </is>
      </c>
    </row>
    <row r="88">
      <c r="A88" t="inlineStr">
        <is>
          <t>xGChain</t>
        </is>
      </c>
      <c r="B88" t="inlineStr">
        <is>
          <t>Total xG of every possession the player was involved in</t>
        </is>
      </c>
      <c r="C88" t="inlineStr">
        <is>
          <t>Understat</t>
        </is>
      </c>
    </row>
    <row r="89">
      <c r="A89" t="inlineStr">
        <is>
          <t>xGBuildup</t>
        </is>
      </c>
      <c r="B89" t="inlineStr">
        <is>
          <t>xGChain excluding the player's own shots and key passes</t>
        </is>
      </c>
      <c r="C89" t="inlineStr">
        <is>
          <t>Understat</t>
        </is>
      </c>
    </row>
    <row r="90">
      <c r="A90" t="inlineStr">
        <is>
          <t>CBI</t>
        </is>
      </c>
      <c r="B90" t="inlineStr">
        <is>
          <t>Clearances + blocks + interceptions (the DefCon input)</t>
        </is>
      </c>
      <c r="C90" t="inlineStr">
        <is>
          <t>FPL</t>
        </is>
      </c>
    </row>
    <row r="91">
      <c r="A91" t="inlineStr">
        <is>
          <t>Recoveries</t>
        </is>
      </c>
      <c r="B91" t="inlineStr">
        <is>
          <t>Ball recoveries (counts toward DefCon for MID/FWD)</t>
        </is>
      </c>
      <c r="C91" t="inlineStr">
        <is>
          <t>FPL</t>
        </is>
      </c>
    </row>
    <row r="92">
      <c r="A92" t="inlineStr">
        <is>
          <t>Tackles</t>
        </is>
      </c>
      <c r="B92" t="inlineStr">
        <is>
          <t>Tackles (counts toward DefCon)</t>
        </is>
      </c>
      <c r="C92" t="inlineStr">
        <is>
          <t>FPL</t>
        </is>
      </c>
    </row>
    <row r="93">
      <c r="A93" t="inlineStr">
        <is>
          <t>Tackles won</t>
        </is>
      </c>
      <c r="B93" t="inlineStr">
        <is>
          <t>Tackles won</t>
        </is>
      </c>
      <c r="C93" t="inlineStr">
        <is>
          <t>PL</t>
        </is>
      </c>
    </row>
    <row r="94">
      <c r="A94" t="inlineStr">
        <is>
          <t>Interceptions</t>
        </is>
      </c>
      <c r="B94" t="inlineStr">
        <is>
          <t>Interceptions</t>
        </is>
      </c>
      <c r="C94" t="inlineStr">
        <is>
          <t>PL</t>
        </is>
      </c>
    </row>
    <row r="95">
      <c r="A95" t="inlineStr">
        <is>
          <t>Clearances</t>
        </is>
      </c>
      <c r="B95" t="inlineStr">
        <is>
          <t>Effective clearances</t>
        </is>
      </c>
      <c r="C95" t="inlineStr">
        <is>
          <t>PL</t>
        </is>
      </c>
    </row>
    <row r="96">
      <c r="A96" t="inlineStr">
        <is>
          <t>Blocks</t>
        </is>
      </c>
      <c r="B96" t="inlineStr">
        <is>
          <t>Outfield blocks</t>
        </is>
      </c>
      <c r="C96" t="inlineStr">
        <is>
          <t>PL</t>
        </is>
      </c>
    </row>
    <row r="97">
      <c r="A97" t="inlineStr">
        <is>
          <t>Duels won</t>
        </is>
      </c>
      <c r="B97" t="inlineStr">
        <is>
          <t>Duels won</t>
        </is>
      </c>
      <c r="C97" t="inlineStr">
        <is>
          <t>PL</t>
        </is>
      </c>
    </row>
    <row r="98">
      <c r="A98" t="inlineStr">
        <is>
          <t>Aerials won</t>
        </is>
      </c>
      <c r="B98" t="inlineStr">
        <is>
          <t>Aerial duels won</t>
        </is>
      </c>
      <c r="C98" t="inlineStr">
        <is>
          <t>PL</t>
        </is>
      </c>
    </row>
    <row r="99">
      <c r="A99" t="inlineStr">
        <is>
          <t>Poss won att 3rd/90</t>
        </is>
      </c>
      <c r="B99" t="inlineStr">
        <is>
          <t>Possession won in the final third per 90</t>
        </is>
      </c>
      <c r="C99" t="inlineStr">
        <is>
          <t>FotMob</t>
        </is>
      </c>
    </row>
    <row r="100">
      <c r="A100" t="inlineStr">
        <is>
          <t>Errors -&gt; goal</t>
        </is>
      </c>
      <c r="B100" t="inlineStr">
        <is>
          <t>Errors leading directly to a goal</t>
        </is>
      </c>
      <c r="C100" t="inlineStr">
        <is>
          <t>PL</t>
        </is>
      </c>
    </row>
    <row r="101">
      <c r="A101" t="inlineStr">
        <is>
          <t>Errors -&gt; shot</t>
        </is>
      </c>
      <c r="B101" t="inlineStr">
        <is>
          <t>Errors leading directly to a shot</t>
        </is>
      </c>
      <c r="C101" t="inlineStr">
        <is>
          <t>PL</t>
        </is>
      </c>
    </row>
    <row r="102">
      <c r="A102" t="inlineStr">
        <is>
          <t>xGC (Opta)</t>
        </is>
      </c>
      <c r="B102" t="inlineStr">
        <is>
          <t>Expected goals conceded while on the pitch</t>
        </is>
      </c>
      <c r="C102" t="inlineStr">
        <is>
          <t>FPL</t>
        </is>
      </c>
    </row>
    <row r="103">
      <c r="A103" t="inlineStr">
        <is>
          <t>xGC/90</t>
        </is>
      </c>
      <c r="B103" t="inlineStr">
        <is>
          <t>Expected goals conceded per 90 - the clean-sheet driver</t>
        </is>
      </c>
      <c r="C103" t="inlineStr">
        <is>
          <t>derived</t>
        </is>
      </c>
    </row>
    <row r="104">
      <c r="A104" t="inlineStr">
        <is>
          <t>Saves</t>
        </is>
      </c>
      <c r="B104" t="inlineStr">
        <is>
          <t>Saves made</t>
        </is>
      </c>
      <c r="C104" t="inlineStr">
        <is>
          <t>FPL</t>
        </is>
      </c>
    </row>
    <row r="105">
      <c r="A105" t="inlineStr">
        <is>
          <t>Save %</t>
        </is>
      </c>
      <c r="B105" t="inlineStr">
        <is>
          <t>Save percentage</t>
        </is>
      </c>
      <c r="C105" t="inlineStr">
        <is>
          <t>FotMob</t>
        </is>
      </c>
    </row>
    <row r="106">
      <c r="A106" t="inlineStr">
        <is>
          <t>Goals prevented</t>
        </is>
      </c>
      <c r="B106" t="inlineStr">
        <is>
          <t>xGOT faced minus goals conceded: shot-stopping value</t>
        </is>
      </c>
      <c r="C106" t="inlineStr">
        <is>
          <t>FotMob</t>
        </is>
      </c>
    </row>
    <row r="107">
      <c r="A107" t="inlineStr">
        <is>
          <t>Pens saved</t>
        </is>
      </c>
      <c r="B107" t="inlineStr">
        <is>
          <t>Penalties saved</t>
        </is>
      </c>
      <c r="C107" t="inlineStr">
        <is>
          <t>FPL</t>
        </is>
      </c>
    </row>
    <row r="108">
      <c r="A108" t="inlineStr">
        <is>
          <t>High claims</t>
        </is>
      </c>
      <c r="B108" t="inlineStr">
        <is>
          <t>High claims</t>
        </is>
      </c>
      <c r="C108" t="inlineStr">
        <is>
          <t>PL</t>
        </is>
      </c>
    </row>
    <row r="109">
      <c r="A109" t="inlineStr">
        <is>
          <t>Punches</t>
        </is>
      </c>
      <c r="B109" t="inlineStr">
        <is>
          <t>Punched clearances</t>
        </is>
      </c>
      <c r="C109" t="inlineStr">
        <is>
          <t>PL</t>
        </is>
      </c>
    </row>
    <row r="110">
      <c r="A110" t="inlineStr">
        <is>
          <t>FotMob rating</t>
        </is>
      </c>
      <c r="B110" t="inlineStr">
        <is>
          <t>FotMob average match rating</t>
        </is>
      </c>
      <c r="C110" t="inlineStr">
        <is>
          <t>FotMob</t>
        </is>
      </c>
    </row>
    <row r="111">
      <c r="A111" t="inlineStr">
        <is>
          <t>Yellows</t>
        </is>
      </c>
      <c r="B111" t="inlineStr">
        <is>
          <t>Yellow cards</t>
        </is>
      </c>
      <c r="C111" t="inlineStr">
        <is>
          <t>FPL</t>
        </is>
      </c>
    </row>
    <row r="112">
      <c r="A112" t="inlineStr">
        <is>
          <t>Reds</t>
        </is>
      </c>
      <c r="B112" t="inlineStr">
        <is>
          <t>Red cards</t>
        </is>
      </c>
      <c r="C112" t="inlineStr">
        <is>
          <t>FPL</t>
        </is>
      </c>
    </row>
    <row r="113">
      <c r="A113" t="inlineStr">
        <is>
          <t>Fouls</t>
        </is>
      </c>
      <c r="B113" t="inlineStr">
        <is>
          <t>Fouls committed</t>
        </is>
      </c>
      <c r="C113" t="inlineStr">
        <is>
          <t>PL</t>
        </is>
      </c>
    </row>
    <row r="114">
      <c r="A114" t="inlineStr">
        <is>
          <t>Fouled</t>
        </is>
      </c>
      <c r="B114" t="inlineStr">
        <is>
          <t>Times fouled</t>
        </is>
      </c>
      <c r="C114" t="inlineStr">
        <is>
          <t>PL</t>
        </is>
      </c>
    </row>
    <row r="115">
      <c r="A115" t="inlineStr">
        <is>
          <t>Pens won</t>
        </is>
      </c>
      <c r="B115" t="inlineStr">
        <is>
          <t>Penalties won</t>
        </is>
      </c>
      <c r="C115" t="inlineStr">
        <is>
          <t>PL</t>
        </is>
      </c>
    </row>
    <row r="116">
      <c r="A116" t="inlineStr">
        <is>
          <t>Pens conceded</t>
        </is>
      </c>
      <c r="B116" t="inlineStr">
        <is>
          <t>Penalties conceded</t>
        </is>
      </c>
      <c r="C116" t="inlineStr">
        <is>
          <t>PL</t>
        </is>
      </c>
    </row>
    <row r="117">
      <c r="A117" t="inlineStr">
        <is>
          <t>Dribbles won</t>
        </is>
      </c>
      <c r="B117" t="inlineStr">
        <is>
          <t>Take-ons completed</t>
        </is>
      </c>
      <c r="C117" t="inlineStr">
        <is>
          <t>PL</t>
        </is>
      </c>
    </row>
    <row r="118">
      <c r="A118" t="inlineStr">
        <is>
          <t>Dispossessed</t>
        </is>
      </c>
      <c r="B118" t="inlineStr">
        <is>
          <t>Times dispossessed</t>
        </is>
      </c>
      <c r="C118" t="inlineStr">
        <is>
          <t>PL</t>
        </is>
      </c>
    </row>
    <row r="119">
      <c r="A119" t="inlineStr">
        <is>
          <t>Offsides</t>
        </is>
      </c>
      <c r="B119" t="inlineStr">
        <is>
          <t>Times caught offside</t>
        </is>
      </c>
      <c r="C119" t="inlineStr">
        <is>
          <t>PL</t>
        </is>
      </c>
    </row>
    <row r="120">
      <c r="A120" t="inlineStr">
        <is>
          <t>Selected by %</t>
        </is>
      </c>
      <c r="B120" t="inlineStr">
        <is>
          <t>FPL ownership at time of pull</t>
        </is>
      </c>
      <c r="C120" t="inlineStr">
        <is>
          <t>FPL</t>
        </is>
      </c>
    </row>
    <row r="121">
      <c r="A121" t="inlineStr">
        <is>
          <t>Solio season pts</t>
        </is>
      </c>
      <c r="B121" t="inlineStr">
        <is>
          <t>Solio's 19-GW projection extended to a full season, with the second half rebuilt at settled minutes</t>
        </is>
      </c>
      <c r="C121" t="inlineStr">
        <is>
          <t>Solio</t>
        </is>
      </c>
    </row>
    <row r="122">
      <c r="A122" t="inlineStr">
        <is>
          <t>Solio H1 pts (GW1-19)</t>
        </is>
      </c>
      <c r="B122" t="inlineStr">
        <is>
          <t>Solio's projection as published, first half only</t>
        </is>
      </c>
      <c r="C122" t="inlineStr">
        <is>
          <t>Solio</t>
        </is>
      </c>
    </row>
    <row r="123">
      <c r="A123" t="inlineStr">
        <is>
          <t>Solio naive x2</t>
        </is>
      </c>
      <c r="B123" t="inlineStr">
        <is>
          <t>What simply doubling GW1-19 would have given</t>
        </is>
      </c>
      <c r="C123" t="inlineStr">
        <is>
          <t>Solio</t>
        </is>
      </c>
    </row>
    <row r="124">
      <c r="A124" t="inlineStr">
        <is>
          <t>Solio correction</t>
        </is>
      </c>
      <c r="B124" t="inlineStr">
        <is>
          <t>Season points minus naive doubling. Positive = injury/World Cup return the doubling would have double-counted</t>
        </is>
      </c>
      <c r="C124" t="inlineStr">
        <is>
          <t>derived</t>
        </is>
      </c>
    </row>
    <row r="125">
      <c r="A125" t="inlineStr">
        <is>
          <t>Solio xMins (season)</t>
        </is>
      </c>
      <c r="B125" t="inlineStr">
        <is>
          <t>Settled minutes per match x 38 - a ready-made xMins forecast</t>
        </is>
      </c>
      <c r="C125" t="inlineStr">
        <is>
          <t>Solio</t>
        </is>
      </c>
    </row>
    <row r="126">
      <c r="A126" t="inlineStr">
        <is>
          <t>Solio xMins (settled)</t>
        </is>
      </c>
      <c r="B126" t="inlineStr">
        <is>
          <t>Solio's projected minutes per match by GW17-19, once the season has settled</t>
        </is>
      </c>
      <c r="C126" t="inlineStr">
        <is>
          <t>Solio</t>
        </is>
      </c>
    </row>
    <row r="127">
      <c r="A127" t="inlineStr">
        <is>
          <t>Solio xMins pattern</t>
        </is>
      </c>
      <c r="B127" t="inlineStr">
        <is>
          <t>flat, ramp-up (injury or late World Cup return), or fade (projected to lose his place)</t>
        </is>
      </c>
      <c r="C127" t="inlineStr">
        <is>
          <t>derived</t>
        </is>
      </c>
    </row>
    <row r="128">
      <c r="A128" t="inlineStr">
        <is>
          <t>ADP</t>
        </is>
      </c>
      <c r="B128" t="inlineStr">
        <is>
          <t>Average draft position in real FPL Draft leagues, human picks only, normalised to an 8-team board</t>
        </is>
      </c>
      <c r="C128" t="inlineStr">
        <is>
          <t>FPL Draft</t>
        </is>
      </c>
    </row>
    <row r="129">
      <c r="A129" t="inlineStr">
        <is>
          <t>ADP (8-team only)</t>
        </is>
      </c>
      <c r="B129" t="inlineStr">
        <is>
          <t>Same, using only 8-team leagues</t>
        </is>
      </c>
      <c r="C129" t="inlineStr">
        <is>
          <t>FPL Draft</t>
        </is>
      </c>
    </row>
    <row r="130">
      <c r="A130" t="inlineStr">
        <is>
          <t>ADP (last 7 days)</t>
        </is>
      </c>
      <c r="B130" t="inlineStr">
        <is>
          <t>ADP from the last week of drafts only - catches injury news the full sample dilutes</t>
        </is>
      </c>
      <c r="C130" t="inlineStr">
        <is>
          <t>FPL Draft</t>
        </is>
      </c>
    </row>
    <row r="131">
      <c r="A131" t="inlineStr">
        <is>
          <t>ADP move</t>
        </is>
      </c>
      <c r="B131" t="inlineStr">
        <is>
          <t>Recent ADP minus full-sample ADP. Negative = the market is taking him earlier than it was</t>
        </is>
      </c>
      <c r="C131" t="inlineStr">
        <is>
          <t>FPL Draft</t>
        </is>
      </c>
    </row>
    <row r="132">
      <c r="A132" t="inlineStr">
        <is>
          <t>Times drafted (recent)</t>
        </is>
      </c>
      <c r="B132" t="inlineStr">
        <is>
          <t>Human drafts in the last 7 days. Low numbers make the recent ADP noisy</t>
        </is>
      </c>
      <c r="C132" t="inlineStr">
        <is>
          <t>FPL Draft</t>
        </is>
      </c>
    </row>
    <row r="133">
      <c r="A133" t="inlineStr">
        <is>
          <t>ADP spread</t>
        </is>
      </c>
      <c r="B133" t="inlineStr">
        <is>
          <t>Standard deviation of draft position - high means the market disagrees about him</t>
        </is>
      </c>
      <c r="C133" t="inlineStr">
        <is>
          <t>FPL Draft</t>
        </is>
      </c>
    </row>
    <row r="134">
      <c r="A134" t="inlineStr">
        <is>
          <t>ADP earliest</t>
        </is>
      </c>
      <c r="B134" t="inlineStr">
        <is>
          <t>Earliest he was taken in any league</t>
        </is>
      </c>
      <c r="C134" t="inlineStr">
        <is>
          <t>FPL Draft</t>
        </is>
      </c>
    </row>
    <row r="135">
      <c r="A135" t="inlineStr">
        <is>
          <t>ADP latest</t>
        </is>
      </c>
      <c r="B135" t="inlineStr">
        <is>
          <t>Latest he was taken in any league</t>
        </is>
      </c>
      <c r="C135" t="inlineStr">
        <is>
          <t>FPL Draft</t>
        </is>
      </c>
    </row>
    <row r="136">
      <c r="A136" t="inlineStr">
        <is>
          <t>Times drafted</t>
        </is>
      </c>
      <c r="B136" t="inlineStr">
        <is>
          <t>Leagues in which a human drafted him. Low numbers make the ADP unreliable</t>
        </is>
      </c>
      <c r="C136" t="inlineStr">
        <is>
          <t>FPL Draft</t>
        </is>
      </c>
    </row>
    <row r="137">
      <c r="A137" t="inlineStr">
        <is>
          <t>ADP reliable</t>
        </is>
      </c>
      <c r="B137" t="inlineStr">
        <is>
          <t>TRUE once he has been drafted by a human in at least 10 leagues</t>
        </is>
      </c>
      <c r="C137" t="inlineStr">
        <is>
          <t>FPL Draft</t>
        </is>
      </c>
    </row>
    <row r="138">
      <c r="A138" t="inlineStr">
        <is>
          <t>Drafted %</t>
        </is>
      </c>
      <c r="B138" t="inlineStr">
        <is>
          <t>Share of leagues in which he was drafted at all, autodraft included</t>
        </is>
      </c>
      <c r="C138" t="inlineStr">
        <is>
          <t>FPL Draft</t>
        </is>
      </c>
    </row>
    <row r="139">
      <c r="A139" t="inlineStr">
        <is>
          <t>Auto-pick %</t>
        </is>
      </c>
      <c r="B139" t="inlineStr">
        <is>
          <t>Share of his picks made by the autodraft algorithm rather than a human</t>
        </is>
      </c>
      <c r="C139" t="inlineStr">
        <is>
          <t>FPL Draft</t>
        </is>
      </c>
    </row>
    <row r="140">
      <c r="A140" t="inlineStr">
        <is>
          <t>FPL draft rank</t>
        </is>
      </c>
      <c r="B140" t="inlineStr">
        <is>
          <t>The default ordering FPL's own autodraft uses</t>
        </is>
      </c>
      <c r="C140" t="inlineStr">
        <is>
          <t>FPL Draft</t>
        </is>
      </c>
    </row>
    <row r="141">
      <c r="A141" t="inlineStr">
        <is>
          <t>Mins per shot</t>
        </is>
      </c>
      <c r="B141" t="inlineStr">
        <is>
          <t>Minutes divided by pl_total_scoring_att; matches the 'mins per' convention used in last year's sheet</t>
        </is>
      </c>
      <c r="C141" t="inlineStr">
        <is>
          <t>derived</t>
        </is>
      </c>
    </row>
    <row r="142">
      <c r="A142" t="inlineStr">
        <is>
          <t>Mins per touch in box</t>
        </is>
      </c>
      <c r="B142" t="inlineStr">
        <is>
          <t>Minutes divided by pl_touches_in_opp_box; matches the 'mins per' convention used in last year's sheet</t>
        </is>
      </c>
      <c r="C142" t="inlineStr">
        <is>
          <t>derived</t>
        </is>
      </c>
    </row>
    <row r="143">
      <c r="A143" t="inlineStr">
        <is>
          <t>Mins per chance created</t>
        </is>
      </c>
      <c r="B143" t="inlineStr">
        <is>
          <t>Minutes divided by pl_total_att_assist; matches the 'mins per' convention used in last year's sheet</t>
        </is>
      </c>
      <c r="C143" t="inlineStr">
        <is>
          <t>derived</t>
        </is>
      </c>
    </row>
    <row r="144">
      <c r="A144" t="inlineStr">
        <is>
          <t>Mins per xG (blend)</t>
        </is>
      </c>
      <c r="B144" t="inlineStr">
        <is>
          <t>Minutes divided by xG_blend; matches the 'mins per' convention used in last year's sheet</t>
        </is>
      </c>
      <c r="C144" t="inlineStr">
        <is>
          <t>derived</t>
        </is>
      </c>
    </row>
    <row r="145">
      <c r="A145" t="inlineStr">
        <is>
          <t>Mins per xA (blend)</t>
        </is>
      </c>
      <c r="B145" t="inlineStr">
        <is>
          <t>Minutes divided by xA_blend; matches the 'mins per' convention used in last year's sheet</t>
        </is>
      </c>
      <c r="C145" t="inlineStr">
        <is>
          <t>derived</t>
        </is>
      </c>
    </row>
    <row r="146">
      <c r="A146" t="inlineStr">
        <is>
          <t>Mins per xGI (blend)</t>
        </is>
      </c>
      <c r="B146" t="inlineStr">
        <is>
          <t>Minutes divided by xGI_blend; matches the 'mins per' convention used in last year's sheet</t>
        </is>
      </c>
      <c r="C146" t="inlineStr">
        <is>
          <t>derived</t>
        </is>
      </c>
    </row>
    <row r="147">
      <c r="A147" t="inlineStr">
        <is>
          <t>Mins per point</t>
        </is>
      </c>
      <c r="B147" t="inlineStr">
        <is>
          <t>Minutes divided by fpl_total_points; matches the 'mins per' convention used in last year's sheet</t>
        </is>
      </c>
      <c r="C147" t="inlineStr">
        <is>
          <t>derived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sheetData>
    <row r="1">
      <c r="A1" t="inlineStr">
        <is>
          <t>team</t>
        </is>
      </c>
      <c r="B1" t="inlineStr">
        <is>
          <t>team_short</t>
        </is>
      </c>
      <c r="C1" t="inlineStr">
        <is>
          <t>matches</t>
        </is>
      </c>
      <c r="D1" t="inlineStr">
        <is>
          <t>xG</t>
        </is>
      </c>
      <c r="E1" t="inlineStr">
        <is>
          <t>xGA</t>
        </is>
      </c>
      <c r="F1" t="inlineStr">
        <is>
          <t>npxG</t>
        </is>
      </c>
      <c r="G1" t="inlineStr">
        <is>
          <t>npxGA</t>
        </is>
      </c>
      <c r="H1" t="inlineStr">
        <is>
          <t>scored</t>
        </is>
      </c>
      <c r="I1" t="inlineStr">
        <is>
          <t>missed</t>
        </is>
      </c>
      <c r="J1" t="inlineStr">
        <is>
          <t>deep</t>
        </is>
      </c>
      <c r="K1" t="inlineStr">
        <is>
          <t>deep_allowed</t>
        </is>
      </c>
      <c r="L1" t="inlineStr">
        <is>
          <t>xpts</t>
        </is>
      </c>
      <c r="M1" t="inlineStr">
        <is>
          <t>clean_sheets</t>
        </is>
      </c>
      <c r="N1" t="inlineStr">
        <is>
          <t>cs_rate</t>
        </is>
      </c>
      <c r="O1" t="inlineStr">
        <is>
          <t>id</t>
        </is>
      </c>
      <c r="P1" t="inlineStr">
        <is>
          <t>name</t>
        </is>
      </c>
      <c r="Q1" t="inlineStr">
        <is>
          <t>short_name</t>
        </is>
      </c>
      <c r="R1" t="inlineStr">
        <is>
          <t>strength_overall_home</t>
        </is>
      </c>
      <c r="S1" t="inlineStr">
        <is>
          <t>strength_overall_away</t>
        </is>
      </c>
      <c r="T1" t="inlineStr">
        <is>
          <t>strength_attack_home</t>
        </is>
      </c>
      <c r="U1" t="inlineStr">
        <is>
          <t>strength_attack_away</t>
        </is>
      </c>
      <c r="V1" t="inlineStr">
        <is>
          <t>strength_defence_home</t>
        </is>
      </c>
      <c r="W1" t="inlineStr">
        <is>
          <t>strength_defence_away</t>
        </is>
      </c>
    </row>
    <row r="2">
      <c r="A2" t="inlineStr">
        <is>
          <t>Arsenal</t>
        </is>
      </c>
      <c r="B2" t="inlineStr">
        <is>
          <t>ARS</t>
        </is>
      </c>
      <c r="C2" t="n">
        <v>38</v>
      </c>
      <c r="D2" t="n">
        <v>77.48661300000001</v>
      </c>
      <c r="E2" t="n">
        <v>33.1338052</v>
      </c>
      <c r="F2" t="n">
        <v>74.44193300000001</v>
      </c>
      <c r="G2" t="n">
        <v>33.1338052</v>
      </c>
      <c r="H2" t="n">
        <v>71</v>
      </c>
      <c r="I2" t="n">
        <v>27</v>
      </c>
      <c r="J2" t="n">
        <v>349</v>
      </c>
      <c r="K2" t="n">
        <v>142</v>
      </c>
      <c r="L2" t="n">
        <v>79.87489999999998</v>
      </c>
      <c r="M2" t="n">
        <v>19</v>
      </c>
      <c r="N2" t="n">
        <v>0.5</v>
      </c>
      <c r="O2" t="n">
        <v>1</v>
      </c>
      <c r="P2" t="inlineStr">
        <is>
          <t>Arsenal</t>
        </is>
      </c>
      <c r="Q2" t="inlineStr">
        <is>
          <t>ARS</t>
        </is>
      </c>
      <c r="R2" t="n">
        <v>4</v>
      </c>
      <c r="S2" t="n">
        <v>5</v>
      </c>
      <c r="T2" t="n">
        <v>0</v>
      </c>
      <c r="U2" t="n">
        <v>0</v>
      </c>
      <c r="V2" t="n">
        <v>0</v>
      </c>
      <c r="W2" t="n">
        <v>0</v>
      </c>
    </row>
    <row r="3">
      <c r="A3" t="inlineStr">
        <is>
          <t>Aston Villa</t>
        </is>
      </c>
      <c r="B3" t="inlineStr">
        <is>
          <t>AVL</t>
        </is>
      </c>
      <c r="C3" t="n">
        <v>38</v>
      </c>
      <c r="D3" t="n">
        <v>56.20331100000001</v>
      </c>
      <c r="E3" t="n">
        <v>56.682839</v>
      </c>
      <c r="F3" t="n">
        <v>56.20331100000001</v>
      </c>
      <c r="G3" t="n">
        <v>55.160499</v>
      </c>
      <c r="H3" t="n">
        <v>56</v>
      </c>
      <c r="I3" t="n">
        <v>49</v>
      </c>
      <c r="J3" t="n">
        <v>293</v>
      </c>
      <c r="K3" t="n">
        <v>217</v>
      </c>
      <c r="L3" t="n">
        <v>51.0701</v>
      </c>
      <c r="M3" t="n">
        <v>9</v>
      </c>
      <c r="N3" t="n">
        <v>0.2368</v>
      </c>
      <c r="O3" t="n">
        <v>2</v>
      </c>
      <c r="P3" t="inlineStr">
        <is>
          <t>Aston Villa</t>
        </is>
      </c>
      <c r="Q3" t="inlineStr">
        <is>
          <t>AVL</t>
        </is>
      </c>
      <c r="R3" t="n">
        <v>3</v>
      </c>
      <c r="S3" t="n">
        <v>4</v>
      </c>
      <c r="T3" t="n">
        <v>0</v>
      </c>
      <c r="U3" t="n">
        <v>0</v>
      </c>
      <c r="V3" t="n">
        <v>0</v>
      </c>
      <c r="W3" t="n">
        <v>0</v>
      </c>
    </row>
    <row r="4">
      <c r="A4" t="inlineStr">
        <is>
          <t>Brighton</t>
        </is>
      </c>
      <c r="B4" t="inlineStr">
        <is>
          <t>BHA</t>
        </is>
      </c>
      <c r="C4" t="n">
        <v>38</v>
      </c>
      <c r="D4" t="n">
        <v>58.419679</v>
      </c>
      <c r="E4" t="n">
        <v>53.751226</v>
      </c>
      <c r="F4" t="n">
        <v>54.61383799999999</v>
      </c>
      <c r="G4" t="n">
        <v>49.184214</v>
      </c>
      <c r="H4" t="n">
        <v>52</v>
      </c>
      <c r="I4" t="n">
        <v>46</v>
      </c>
      <c r="J4" t="n">
        <v>270</v>
      </c>
      <c r="K4" t="n">
        <v>251</v>
      </c>
      <c r="L4" t="n">
        <v>55.3489</v>
      </c>
      <c r="M4" t="n">
        <v>10</v>
      </c>
      <c r="N4" t="n">
        <v>0.2632</v>
      </c>
      <c r="O4" t="n">
        <v>5</v>
      </c>
      <c r="P4" t="inlineStr">
        <is>
          <t>Brighton</t>
        </is>
      </c>
      <c r="Q4" t="inlineStr">
        <is>
          <t>BHA</t>
        </is>
      </c>
      <c r="R4" t="n">
        <v>2</v>
      </c>
      <c r="S4" t="n">
        <v>3</v>
      </c>
      <c r="T4" t="n">
        <v>0</v>
      </c>
      <c r="U4" t="n">
        <v>0</v>
      </c>
      <c r="V4" t="n">
        <v>0</v>
      </c>
      <c r="W4" t="n">
        <v>0</v>
      </c>
    </row>
    <row r="5">
      <c r="A5" t="inlineStr">
        <is>
          <t>Bournemouth</t>
        </is>
      </c>
      <c r="B5" t="inlineStr">
        <is>
          <t>BOU</t>
        </is>
      </c>
      <c r="C5" t="n">
        <v>38</v>
      </c>
      <c r="D5" t="n">
        <v>66.834552</v>
      </c>
      <c r="E5" t="n">
        <v>56.769789</v>
      </c>
      <c r="F5" t="n">
        <v>62.267542</v>
      </c>
      <c r="G5" t="n">
        <v>52.20280699999999</v>
      </c>
      <c r="H5" t="n">
        <v>58</v>
      </c>
      <c r="I5" t="n">
        <v>54</v>
      </c>
      <c r="J5" t="n">
        <v>275</v>
      </c>
      <c r="K5" t="n">
        <v>274</v>
      </c>
      <c r="L5" t="n">
        <v>60.3276</v>
      </c>
      <c r="M5" t="n">
        <v>11</v>
      </c>
      <c r="N5" t="n">
        <v>0.2895</v>
      </c>
      <c r="O5" t="n">
        <v>3</v>
      </c>
      <c r="P5" t="inlineStr">
        <is>
          <t>Bournemouth</t>
        </is>
      </c>
      <c r="Q5" t="inlineStr">
        <is>
          <t>BOU</t>
        </is>
      </c>
      <c r="R5" t="n">
        <v>3</v>
      </c>
      <c r="S5" t="n">
        <v>3</v>
      </c>
      <c r="T5" t="n">
        <v>0</v>
      </c>
      <c r="U5" t="n">
        <v>0</v>
      </c>
      <c r="V5" t="n">
        <v>0</v>
      </c>
      <c r="W5" t="n">
        <v>0</v>
      </c>
    </row>
    <row r="6">
      <c r="A6" t="inlineStr">
        <is>
          <t>Brentford</t>
        </is>
      </c>
      <c r="B6" t="inlineStr">
        <is>
          <t>BRE</t>
        </is>
      </c>
      <c r="C6" t="n">
        <v>38</v>
      </c>
      <c r="D6" t="n">
        <v>66.25667399999999</v>
      </c>
      <c r="E6" t="n">
        <v>59.11011100000001</v>
      </c>
      <c r="F6" t="n">
        <v>58.64499799999999</v>
      </c>
      <c r="G6" t="n">
        <v>53.02075900000001</v>
      </c>
      <c r="H6" t="n">
        <v>55</v>
      </c>
      <c r="I6" t="n">
        <v>52</v>
      </c>
      <c r="J6" t="n">
        <v>240</v>
      </c>
      <c r="K6" t="n">
        <v>278</v>
      </c>
      <c r="L6" t="n">
        <v>57.2441</v>
      </c>
      <c r="M6" t="n">
        <v>10</v>
      </c>
      <c r="N6" t="n">
        <v>0.2632</v>
      </c>
      <c r="O6" t="n">
        <v>4</v>
      </c>
      <c r="P6" t="inlineStr">
        <is>
          <t>Brentford</t>
        </is>
      </c>
      <c r="Q6" t="inlineStr">
        <is>
          <t>BRE</t>
        </is>
      </c>
      <c r="R6" t="n">
        <v>3</v>
      </c>
      <c r="S6" t="n">
        <v>3</v>
      </c>
      <c r="T6" t="n">
        <v>0</v>
      </c>
      <c r="U6" t="n">
        <v>0</v>
      </c>
      <c r="V6" t="n">
        <v>0</v>
      </c>
      <c r="W6" t="n">
        <v>0</v>
      </c>
    </row>
    <row r="7">
      <c r="A7" t="inlineStr">
        <is>
          <t>Burnley</t>
        </is>
      </c>
      <c r="B7" t="inlineStr">
        <is>
          <t>BUR</t>
        </is>
      </c>
      <c r="C7" t="n">
        <v>38</v>
      </c>
      <c r="D7" t="n">
        <v>36.941275</v>
      </c>
      <c r="E7" t="n">
        <v>82.58407600000001</v>
      </c>
      <c r="F7" t="n">
        <v>35.41894199999999</v>
      </c>
      <c r="G7" t="n">
        <v>76.49472600000001</v>
      </c>
      <c r="H7" t="n">
        <v>38</v>
      </c>
      <c r="I7" t="n">
        <v>75</v>
      </c>
      <c r="J7" t="n">
        <v>163</v>
      </c>
      <c r="K7" t="n">
        <v>363</v>
      </c>
      <c r="L7" t="n">
        <v>24.3057</v>
      </c>
      <c r="M7" t="n">
        <v>4</v>
      </c>
      <c r="N7" t="n">
        <v>0.1053</v>
      </c>
    </row>
    <row r="8">
      <c r="A8" t="inlineStr">
        <is>
          <t>Chelsea</t>
        </is>
      </c>
      <c r="B8" t="inlineStr">
        <is>
          <t>CHE</t>
        </is>
      </c>
      <c r="C8" t="n">
        <v>38</v>
      </c>
      <c r="D8" t="n">
        <v>72.21245999999999</v>
      </c>
      <c r="E8" t="n">
        <v>58.11746299999999</v>
      </c>
      <c r="F8" t="n">
        <v>66.12310100000001</v>
      </c>
      <c r="G8" t="n">
        <v>56.59512599999999</v>
      </c>
      <c r="H8" t="n">
        <v>58</v>
      </c>
      <c r="I8" t="n">
        <v>52</v>
      </c>
      <c r="J8" t="n">
        <v>273</v>
      </c>
      <c r="K8" t="n">
        <v>252</v>
      </c>
      <c r="L8" t="n">
        <v>58.85119999999999</v>
      </c>
      <c r="M8" t="n">
        <v>9</v>
      </c>
      <c r="N8" t="n">
        <v>0.2368</v>
      </c>
      <c r="O8" t="n">
        <v>6</v>
      </c>
      <c r="P8" t="inlineStr">
        <is>
          <t>Chelsea</t>
        </is>
      </c>
      <c r="Q8" t="inlineStr">
        <is>
          <t>CHE</t>
        </is>
      </c>
      <c r="R8" t="n">
        <v>4</v>
      </c>
      <c r="S8" t="n">
        <v>4</v>
      </c>
      <c r="T8" t="n">
        <v>0</v>
      </c>
      <c r="U8" t="n">
        <v>0</v>
      </c>
      <c r="V8" t="n">
        <v>0</v>
      </c>
      <c r="W8" t="n">
        <v>0</v>
      </c>
    </row>
    <row r="9">
      <c r="O9" t="n">
        <v>7</v>
      </c>
      <c r="P9" t="inlineStr">
        <is>
          <t>Coventry City</t>
        </is>
      </c>
      <c r="Q9" t="inlineStr">
        <is>
          <t>COV</t>
        </is>
      </c>
      <c r="R9" t="n">
        <v>2</v>
      </c>
      <c r="S9" t="n">
        <v>2</v>
      </c>
      <c r="T9" t="n">
        <v>0</v>
      </c>
      <c r="U9" t="n">
        <v>0</v>
      </c>
      <c r="V9" t="n">
        <v>0</v>
      </c>
      <c r="W9" t="n">
        <v>0</v>
      </c>
    </row>
    <row r="10">
      <c r="A10" t="inlineStr">
        <is>
          <t>Crystal Palace</t>
        </is>
      </c>
      <c r="B10" t="inlineStr">
        <is>
          <t>CRY</t>
        </is>
      </c>
      <c r="C10" t="n">
        <v>38</v>
      </c>
      <c r="D10" t="n">
        <v>62.456488</v>
      </c>
      <c r="E10" t="n">
        <v>60.046223</v>
      </c>
      <c r="F10" t="n">
        <v>56.367121</v>
      </c>
      <c r="G10" t="n">
        <v>54.71803099999999</v>
      </c>
      <c r="H10" t="n">
        <v>41</v>
      </c>
      <c r="I10" t="n">
        <v>51</v>
      </c>
      <c r="J10" t="n">
        <v>265</v>
      </c>
      <c r="K10" t="n">
        <v>232</v>
      </c>
      <c r="L10" t="n">
        <v>53.8765</v>
      </c>
      <c r="M10" t="n">
        <v>12</v>
      </c>
      <c r="N10" t="n">
        <v>0.3158</v>
      </c>
      <c r="O10" t="n">
        <v>8</v>
      </c>
      <c r="P10" t="inlineStr">
        <is>
          <t>Crystal Palace</t>
        </is>
      </c>
      <c r="Q10" t="inlineStr">
        <is>
          <t>CRY</t>
        </is>
      </c>
      <c r="R10" t="n">
        <v>3</v>
      </c>
      <c r="S10" t="n">
        <v>3</v>
      </c>
      <c r="T10" t="n">
        <v>0</v>
      </c>
      <c r="U10" t="n">
        <v>0</v>
      </c>
      <c r="V10" t="n">
        <v>0</v>
      </c>
      <c r="W10" t="n">
        <v>0</v>
      </c>
    </row>
    <row r="11">
      <c r="A11" t="inlineStr">
        <is>
          <t>Everton</t>
        </is>
      </c>
      <c r="B11" t="inlineStr">
        <is>
          <t>EVE</t>
        </is>
      </c>
      <c r="C11" t="n">
        <v>38</v>
      </c>
      <c r="D11" t="n">
        <v>49.87027500000001</v>
      </c>
      <c r="E11" t="n">
        <v>59.994855</v>
      </c>
      <c r="F11" t="n">
        <v>48.34793500000001</v>
      </c>
      <c r="G11" t="n">
        <v>56.950175</v>
      </c>
      <c r="H11" t="n">
        <v>47</v>
      </c>
      <c r="I11" t="n">
        <v>50</v>
      </c>
      <c r="J11" t="n">
        <v>211</v>
      </c>
      <c r="K11" t="n">
        <v>286</v>
      </c>
      <c r="L11" t="n">
        <v>46.17329999999999</v>
      </c>
      <c r="M11" t="n">
        <v>11</v>
      </c>
      <c r="N11" t="n">
        <v>0.2895</v>
      </c>
      <c r="O11" t="n">
        <v>9</v>
      </c>
      <c r="P11" t="inlineStr">
        <is>
          <t>Everton</t>
        </is>
      </c>
      <c r="Q11" t="inlineStr">
        <is>
          <t>EVE</t>
        </is>
      </c>
      <c r="R11" t="n">
        <v>3</v>
      </c>
      <c r="S11" t="n">
        <v>3</v>
      </c>
      <c r="T11" t="n">
        <v>0</v>
      </c>
      <c r="U11" t="n">
        <v>0</v>
      </c>
      <c r="V11" t="n">
        <v>0</v>
      </c>
      <c r="W11" t="n">
        <v>0</v>
      </c>
    </row>
    <row r="12">
      <c r="A12" t="inlineStr">
        <is>
          <t>Fulham</t>
        </is>
      </c>
      <c r="B12" t="inlineStr">
        <is>
          <t>FUL</t>
        </is>
      </c>
      <c r="C12" t="n">
        <v>38</v>
      </c>
      <c r="D12" t="n">
        <v>49.58108499999999</v>
      </c>
      <c r="E12" t="n">
        <v>60.84382300000001</v>
      </c>
      <c r="F12" t="n">
        <v>45.775238</v>
      </c>
      <c r="G12" t="n">
        <v>57.79914</v>
      </c>
      <c r="H12" t="n">
        <v>47</v>
      </c>
      <c r="I12" t="n">
        <v>51</v>
      </c>
      <c r="J12" t="n">
        <v>295</v>
      </c>
      <c r="K12" t="n">
        <v>257</v>
      </c>
      <c r="L12" t="n">
        <v>45.0773</v>
      </c>
      <c r="M12" t="n">
        <v>9</v>
      </c>
      <c r="N12" t="n">
        <v>0.2368</v>
      </c>
      <c r="O12" t="n">
        <v>10</v>
      </c>
      <c r="P12" t="inlineStr">
        <is>
          <t>Fulham</t>
        </is>
      </c>
      <c r="Q12" t="inlineStr">
        <is>
          <t>FUL</t>
        </is>
      </c>
      <c r="R12" t="n">
        <v>2</v>
      </c>
      <c r="S12" t="n">
        <v>3</v>
      </c>
      <c r="T12" t="n">
        <v>0</v>
      </c>
      <c r="U12" t="n">
        <v>0</v>
      </c>
      <c r="V12" t="n">
        <v>0</v>
      </c>
      <c r="W12" t="n">
        <v>0</v>
      </c>
    </row>
    <row r="13">
      <c r="O13" t="n">
        <v>11</v>
      </c>
      <c r="P13" t="inlineStr">
        <is>
          <t>Hull City</t>
        </is>
      </c>
      <c r="Q13" t="inlineStr">
        <is>
          <t>HUL</t>
        </is>
      </c>
      <c r="R13" t="n">
        <v>2</v>
      </c>
      <c r="S13" t="n">
        <v>2</v>
      </c>
      <c r="T13" t="n">
        <v>0</v>
      </c>
      <c r="U13" t="n">
        <v>0</v>
      </c>
      <c r="V13" t="n">
        <v>0</v>
      </c>
      <c r="W13" t="n">
        <v>0</v>
      </c>
    </row>
    <row r="14">
      <c r="O14" t="n">
        <v>12</v>
      </c>
      <c r="P14" t="inlineStr">
        <is>
          <t>Ipswich Town</t>
        </is>
      </c>
      <c r="Q14" t="inlineStr">
        <is>
          <t>IPS</t>
        </is>
      </c>
      <c r="R14" t="n">
        <v>2</v>
      </c>
      <c r="S14" t="n">
        <v>2</v>
      </c>
      <c r="T14" t="n">
        <v>0</v>
      </c>
      <c r="U14" t="n">
        <v>0</v>
      </c>
      <c r="V14" t="n">
        <v>0</v>
      </c>
      <c r="W14" t="n">
        <v>0</v>
      </c>
    </row>
    <row r="15">
      <c r="A15" t="inlineStr">
        <is>
          <t>Leeds</t>
        </is>
      </c>
      <c r="B15" t="inlineStr">
        <is>
          <t>LEE</t>
        </is>
      </c>
      <c r="C15" t="n">
        <v>38</v>
      </c>
      <c r="D15" t="n">
        <v>59.77065</v>
      </c>
      <c r="E15" t="n">
        <v>56.32590999999999</v>
      </c>
      <c r="F15" t="n">
        <v>53.53135299999999</v>
      </c>
      <c r="G15" t="n">
        <v>51.75889859999999</v>
      </c>
      <c r="H15" t="n">
        <v>49</v>
      </c>
      <c r="I15" t="n">
        <v>56</v>
      </c>
      <c r="J15" t="n">
        <v>200</v>
      </c>
      <c r="K15" t="n">
        <v>238</v>
      </c>
      <c r="L15" t="n">
        <v>56.49570000000001</v>
      </c>
      <c r="M15" t="n">
        <v>8</v>
      </c>
      <c r="N15" t="n">
        <v>0.2105</v>
      </c>
      <c r="O15" t="n">
        <v>13</v>
      </c>
      <c r="P15" t="inlineStr">
        <is>
          <t>Leeds</t>
        </is>
      </c>
      <c r="Q15" t="inlineStr">
        <is>
          <t>LEE</t>
        </is>
      </c>
      <c r="R15" t="n">
        <v>2</v>
      </c>
      <c r="S15" t="n">
        <v>3</v>
      </c>
      <c r="T15" t="n">
        <v>0</v>
      </c>
      <c r="U15" t="n">
        <v>0</v>
      </c>
      <c r="V15" t="n">
        <v>0</v>
      </c>
      <c r="W15" t="n">
        <v>0</v>
      </c>
    </row>
    <row r="16">
      <c r="A16" t="inlineStr">
        <is>
          <t>Liverpool</t>
        </is>
      </c>
      <c r="B16" t="inlineStr">
        <is>
          <t>LIV</t>
        </is>
      </c>
      <c r="C16" t="n">
        <v>38</v>
      </c>
      <c r="D16" t="n">
        <v>67.25873199999999</v>
      </c>
      <c r="E16" t="n">
        <v>53.86980199999999</v>
      </c>
      <c r="F16" t="n">
        <v>65.736392</v>
      </c>
      <c r="G16" t="n">
        <v>50.825129</v>
      </c>
      <c r="H16" t="n">
        <v>63</v>
      </c>
      <c r="I16" t="n">
        <v>53</v>
      </c>
      <c r="J16" t="n">
        <v>373</v>
      </c>
      <c r="K16" t="n">
        <v>214</v>
      </c>
      <c r="L16" t="n">
        <v>61.5376</v>
      </c>
      <c r="M16" t="n">
        <v>10</v>
      </c>
      <c r="N16" t="n">
        <v>0.2632</v>
      </c>
      <c r="O16" t="n">
        <v>14</v>
      </c>
      <c r="P16" t="inlineStr">
        <is>
          <t>Liverpool</t>
        </is>
      </c>
      <c r="Q16" t="inlineStr">
        <is>
          <t>LIV</t>
        </is>
      </c>
      <c r="R16" t="n">
        <v>4</v>
      </c>
      <c r="S16" t="n">
        <v>4</v>
      </c>
      <c r="T16" t="n">
        <v>0</v>
      </c>
      <c r="U16" t="n">
        <v>0</v>
      </c>
      <c r="V16" t="n">
        <v>0</v>
      </c>
      <c r="W16" t="n">
        <v>0</v>
      </c>
    </row>
    <row r="17">
      <c r="A17" t="inlineStr">
        <is>
          <t>Manchester City</t>
        </is>
      </c>
      <c r="B17" t="inlineStr">
        <is>
          <t>MCI</t>
        </is>
      </c>
      <c r="C17" t="n">
        <v>38</v>
      </c>
      <c r="D17" t="n">
        <v>79.359555</v>
      </c>
      <c r="E17" t="n">
        <v>46.49260200000001</v>
      </c>
      <c r="F17" t="n">
        <v>76.314868</v>
      </c>
      <c r="G17" t="n">
        <v>44.82027900000001</v>
      </c>
      <c r="H17" t="n">
        <v>77</v>
      </c>
      <c r="I17" t="n">
        <v>35</v>
      </c>
      <c r="J17" t="n">
        <v>409</v>
      </c>
      <c r="K17" t="n">
        <v>162</v>
      </c>
      <c r="L17" t="n">
        <v>73.94540000000001</v>
      </c>
      <c r="M17" t="n">
        <v>16</v>
      </c>
      <c r="N17" t="n">
        <v>0.4211</v>
      </c>
      <c r="O17" t="n">
        <v>15</v>
      </c>
      <c r="P17" t="inlineStr">
        <is>
          <t>Man City</t>
        </is>
      </c>
      <c r="Q17" t="inlineStr">
        <is>
          <t>MCI</t>
        </is>
      </c>
      <c r="R17" t="n">
        <v>4</v>
      </c>
      <c r="S17" t="n">
        <v>5</v>
      </c>
      <c r="T17" t="n">
        <v>0</v>
      </c>
      <c r="U17" t="n">
        <v>0</v>
      </c>
      <c r="V17" t="n">
        <v>0</v>
      </c>
      <c r="W17" t="n">
        <v>0</v>
      </c>
    </row>
    <row r="18">
      <c r="A18" t="inlineStr">
        <is>
          <t>Manchester United</t>
        </is>
      </c>
      <c r="B18" t="inlineStr">
        <is>
          <t>MUN</t>
        </is>
      </c>
      <c r="C18" t="n">
        <v>38</v>
      </c>
      <c r="D18" t="n">
        <v>72.18837000000001</v>
      </c>
      <c r="E18" t="n">
        <v>50.281424</v>
      </c>
      <c r="F18" t="n">
        <v>67.621346</v>
      </c>
      <c r="G18" t="n">
        <v>47.236744</v>
      </c>
      <c r="H18" t="n">
        <v>69</v>
      </c>
      <c r="I18" t="n">
        <v>50</v>
      </c>
      <c r="J18" t="n">
        <v>285</v>
      </c>
      <c r="K18" t="n">
        <v>266</v>
      </c>
      <c r="L18" t="n">
        <v>64.446</v>
      </c>
      <c r="M18" t="n">
        <v>8</v>
      </c>
      <c r="N18" t="n">
        <v>0.2105</v>
      </c>
      <c r="O18" t="n">
        <v>16</v>
      </c>
      <c r="P18" t="inlineStr">
        <is>
          <t>Man Utd</t>
        </is>
      </c>
      <c r="Q18" t="inlineStr">
        <is>
          <t>MUN</t>
        </is>
      </c>
      <c r="R18" t="n">
        <v>4</v>
      </c>
      <c r="S18" t="n">
        <v>4</v>
      </c>
      <c r="T18" t="n">
        <v>0</v>
      </c>
      <c r="U18" t="n">
        <v>0</v>
      </c>
      <c r="V18" t="n">
        <v>0</v>
      </c>
      <c r="W18" t="n">
        <v>0</v>
      </c>
    </row>
    <row r="19">
      <c r="A19" t="inlineStr">
        <is>
          <t>Newcastle United</t>
        </is>
      </c>
      <c r="B19" t="inlineStr">
        <is>
          <t>NEW</t>
        </is>
      </c>
      <c r="C19" t="n">
        <v>38</v>
      </c>
      <c r="D19" t="n">
        <v>60.613249</v>
      </c>
      <c r="E19" t="n">
        <v>57.312037</v>
      </c>
      <c r="F19" t="n">
        <v>56.046229</v>
      </c>
      <c r="G19" t="n">
        <v>53.50619099999999</v>
      </c>
      <c r="H19" t="n">
        <v>53</v>
      </c>
      <c r="I19" t="n">
        <v>55</v>
      </c>
      <c r="J19" t="n">
        <v>274</v>
      </c>
      <c r="K19" t="n">
        <v>280</v>
      </c>
      <c r="L19" t="n">
        <v>54.83329999999999</v>
      </c>
      <c r="M19" t="n">
        <v>8</v>
      </c>
      <c r="N19" t="n">
        <v>0.2105</v>
      </c>
      <c r="O19" t="n">
        <v>17</v>
      </c>
      <c r="P19" t="inlineStr">
        <is>
          <t>Newcastle</t>
        </is>
      </c>
      <c r="Q19" t="inlineStr">
        <is>
          <t>NEW</t>
        </is>
      </c>
      <c r="R19" t="n">
        <v>2</v>
      </c>
      <c r="S19" t="n">
        <v>3</v>
      </c>
      <c r="T19" t="n">
        <v>0</v>
      </c>
      <c r="U19" t="n">
        <v>0</v>
      </c>
      <c r="V19" t="n">
        <v>0</v>
      </c>
      <c r="W19" t="n">
        <v>0</v>
      </c>
    </row>
    <row r="20">
      <c r="A20" t="inlineStr">
        <is>
          <t>Nottingham Forest</t>
        </is>
      </c>
      <c r="B20" t="inlineStr">
        <is>
          <t>NFO</t>
        </is>
      </c>
      <c r="C20" t="n">
        <v>38</v>
      </c>
      <c r="D20" t="n">
        <v>48.936246</v>
      </c>
      <c r="E20" t="n">
        <v>64.739616</v>
      </c>
      <c r="F20" t="n">
        <v>46.652752</v>
      </c>
      <c r="G20" t="n">
        <v>60.172594</v>
      </c>
      <c r="H20" t="n">
        <v>48</v>
      </c>
      <c r="I20" t="n">
        <v>51</v>
      </c>
      <c r="J20" t="n">
        <v>210</v>
      </c>
      <c r="K20" t="n">
        <v>294</v>
      </c>
      <c r="L20" t="n">
        <v>42.24149999999999</v>
      </c>
      <c r="M20" t="n">
        <v>9</v>
      </c>
      <c r="N20" t="n">
        <v>0.2368</v>
      </c>
      <c r="O20" t="n">
        <v>18</v>
      </c>
      <c r="P20" t="inlineStr">
        <is>
          <t>Nott'm Forest</t>
        </is>
      </c>
      <c r="Q20" t="inlineStr">
        <is>
          <t>NFO</t>
        </is>
      </c>
      <c r="R20" t="n">
        <v>3</v>
      </c>
      <c r="S20" t="n">
        <v>3</v>
      </c>
      <c r="T20" t="n">
        <v>0</v>
      </c>
      <c r="U20" t="n">
        <v>0</v>
      </c>
      <c r="V20" t="n">
        <v>0</v>
      </c>
      <c r="W20" t="n">
        <v>0</v>
      </c>
    </row>
    <row r="21">
      <c r="A21" t="inlineStr">
        <is>
          <t>Sunderland</t>
        </is>
      </c>
      <c r="B21" t="inlineStr">
        <is>
          <t>SUN</t>
        </is>
      </c>
      <c r="C21" t="n">
        <v>38</v>
      </c>
      <c r="D21" t="n">
        <v>43.13638100000001</v>
      </c>
      <c r="E21" t="n">
        <v>60.336975</v>
      </c>
      <c r="F21" t="n">
        <v>39.33057460000001</v>
      </c>
      <c r="G21" t="n">
        <v>58.053469</v>
      </c>
      <c r="H21" t="n">
        <v>42</v>
      </c>
      <c r="I21" t="n">
        <v>48</v>
      </c>
      <c r="J21" t="n">
        <v>212</v>
      </c>
      <c r="K21" t="n">
        <v>305</v>
      </c>
      <c r="L21" t="n">
        <v>42.02859999999999</v>
      </c>
      <c r="M21" t="n">
        <v>11</v>
      </c>
      <c r="N21" t="n">
        <v>0.2895</v>
      </c>
      <c r="O21" t="n">
        <v>20</v>
      </c>
      <c r="P21" t="inlineStr">
        <is>
          <t>Sunderland</t>
        </is>
      </c>
      <c r="Q21" t="inlineStr">
        <is>
          <t>SUN</t>
        </is>
      </c>
      <c r="R21" t="n">
        <v>2</v>
      </c>
      <c r="S21" t="n">
        <v>3</v>
      </c>
      <c r="T21" t="n">
        <v>0</v>
      </c>
      <c r="U21" t="n">
        <v>0</v>
      </c>
      <c r="V21" t="n">
        <v>0</v>
      </c>
      <c r="W21" t="n">
        <v>0</v>
      </c>
    </row>
    <row r="22">
      <c r="A22" t="inlineStr">
        <is>
          <t>Tottenham</t>
        </is>
      </c>
      <c r="B22" t="inlineStr">
        <is>
          <t>TOT</t>
        </is>
      </c>
      <c r="C22" t="n">
        <v>38</v>
      </c>
      <c r="D22" t="n">
        <v>46.7962522</v>
      </c>
      <c r="E22" t="n">
        <v>55.590944</v>
      </c>
      <c r="F22" t="n">
        <v>46.7962522</v>
      </c>
      <c r="G22" t="n">
        <v>53.307434</v>
      </c>
      <c r="H22" t="n">
        <v>48</v>
      </c>
      <c r="I22" t="n">
        <v>57</v>
      </c>
      <c r="J22" t="n">
        <v>206</v>
      </c>
      <c r="K22" t="n">
        <v>257</v>
      </c>
      <c r="L22" t="n">
        <v>49.2538</v>
      </c>
      <c r="M22" t="n">
        <v>9</v>
      </c>
      <c r="N22" t="n">
        <v>0.2368</v>
      </c>
      <c r="O22" t="n">
        <v>19</v>
      </c>
      <c r="P22" t="inlineStr">
        <is>
          <t>Spurs</t>
        </is>
      </c>
      <c r="Q22" t="inlineStr">
        <is>
          <t>TOT</t>
        </is>
      </c>
      <c r="R22" t="n">
        <v>3</v>
      </c>
      <c r="S22" t="n">
        <v>3</v>
      </c>
      <c r="T22" t="n">
        <v>0</v>
      </c>
      <c r="U22" t="n">
        <v>0</v>
      </c>
      <c r="V22" t="n">
        <v>0</v>
      </c>
      <c r="W22" t="n">
        <v>0</v>
      </c>
    </row>
    <row r="23">
      <c r="A23" t="inlineStr">
        <is>
          <t>West Ham</t>
        </is>
      </c>
      <c r="B23" t="inlineStr">
        <is>
          <t>WHU</t>
        </is>
      </c>
      <c r="C23" t="n">
        <v>38</v>
      </c>
      <c r="D23" t="n">
        <v>49.640421</v>
      </c>
      <c r="E23" t="n">
        <v>68.116145</v>
      </c>
      <c r="F23" t="n">
        <v>47.356911</v>
      </c>
      <c r="G23" t="n">
        <v>62.78797099999999</v>
      </c>
      <c r="H23" t="n">
        <v>46</v>
      </c>
      <c r="I23" t="n">
        <v>65</v>
      </c>
      <c r="J23" t="n">
        <v>186</v>
      </c>
      <c r="K23" t="n">
        <v>290</v>
      </c>
      <c r="L23" t="n">
        <v>43.48990000000001</v>
      </c>
      <c r="M23" t="n">
        <v>7</v>
      </c>
      <c r="N23" t="n">
        <v>0.1842</v>
      </c>
    </row>
    <row r="24">
      <c r="A24" t="inlineStr">
        <is>
          <t>Wolverhampton Wanderers</t>
        </is>
      </c>
      <c r="B24" t="inlineStr">
        <is>
          <t>WOL</t>
        </is>
      </c>
      <c r="C24" t="n">
        <v>38</v>
      </c>
      <c r="D24" t="n">
        <v>38.441391</v>
      </c>
      <c r="E24" t="n">
        <v>68.30399400000002</v>
      </c>
      <c r="F24" t="n">
        <v>34.635544</v>
      </c>
      <c r="G24" t="n">
        <v>64.49818900000001</v>
      </c>
      <c r="H24" t="n">
        <v>27</v>
      </c>
      <c r="I24" t="n">
        <v>68</v>
      </c>
      <c r="J24" t="n">
        <v>172</v>
      </c>
      <c r="K24" t="n">
        <v>303</v>
      </c>
      <c r="L24" t="n">
        <v>35.4384</v>
      </c>
      <c r="M24" t="n">
        <v>4</v>
      </c>
      <c r="N24" t="n">
        <v>0.1053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1"/>
  <sheetViews>
    <sheetView workbookViewId="0">
      <selection activeCell="A1" sqref="A1"/>
    </sheetView>
  </sheetViews>
  <sheetFormatPr baseColWidth="8" defaultRowHeight="15"/>
  <sheetData>
    <row r="1">
      <c r="A1" t="inlineStr">
        <is>
          <t>event</t>
        </is>
      </c>
      <c r="B1" t="inlineStr">
        <is>
          <t>kickoff_time</t>
        </is>
      </c>
      <c r="C1" t="inlineStr">
        <is>
          <t>team_h</t>
        </is>
      </c>
      <c r="D1" t="inlineStr">
        <is>
          <t>team_a</t>
        </is>
      </c>
      <c r="E1" t="inlineStr">
        <is>
          <t>team_h_difficulty</t>
        </is>
      </c>
      <c r="F1" t="inlineStr">
        <is>
          <t>team_a_difficulty</t>
        </is>
      </c>
      <c r="G1" t="inlineStr">
        <is>
          <t>home</t>
        </is>
      </c>
      <c r="H1" t="inlineStr">
        <is>
          <t>away</t>
        </is>
      </c>
    </row>
    <row r="2">
      <c r="A2" t="n">
        <v>1</v>
      </c>
      <c r="B2" t="inlineStr">
        <is>
          <t>2026-08-21T19:00:00Z</t>
        </is>
      </c>
      <c r="C2" t="n">
        <v>1</v>
      </c>
      <c r="D2" t="n">
        <v>7</v>
      </c>
      <c r="E2" t="n">
        <v>2</v>
      </c>
      <c r="F2" t="n">
        <v>5</v>
      </c>
      <c r="G2" t="inlineStr">
        <is>
          <t>ARS</t>
        </is>
      </c>
      <c r="H2" t="inlineStr">
        <is>
          <t>COV</t>
        </is>
      </c>
    </row>
    <row r="3">
      <c r="A3" t="n">
        <v>1</v>
      </c>
      <c r="B3" t="inlineStr">
        <is>
          <t>2026-08-22T11:30:00Z</t>
        </is>
      </c>
      <c r="C3" t="n">
        <v>11</v>
      </c>
      <c r="D3" t="n">
        <v>16</v>
      </c>
      <c r="E3" t="n">
        <v>4</v>
      </c>
      <c r="F3" t="n">
        <v>2</v>
      </c>
      <c r="G3" t="inlineStr">
        <is>
          <t>HUL</t>
        </is>
      </c>
      <c r="H3" t="inlineStr">
        <is>
          <t>MUN</t>
        </is>
      </c>
    </row>
    <row r="4">
      <c r="A4" t="n">
        <v>1</v>
      </c>
      <c r="B4" t="inlineStr">
        <is>
          <t>2026-08-22T14:00:00Z</t>
        </is>
      </c>
      <c r="C4" t="n">
        <v>9</v>
      </c>
      <c r="D4" t="n">
        <v>8</v>
      </c>
      <c r="E4" t="n">
        <v>3</v>
      </c>
      <c r="F4" t="n">
        <v>3</v>
      </c>
      <c r="G4" t="inlineStr">
        <is>
          <t>EVE</t>
        </is>
      </c>
      <c r="H4" t="inlineStr">
        <is>
          <t>CRY</t>
        </is>
      </c>
    </row>
    <row r="5">
      <c r="A5" t="n">
        <v>1</v>
      </c>
      <c r="B5" t="inlineStr">
        <is>
          <t>2026-08-22T14:00:00Z</t>
        </is>
      </c>
      <c r="C5" t="n">
        <v>12</v>
      </c>
      <c r="D5" t="n">
        <v>20</v>
      </c>
      <c r="E5" t="n">
        <v>2</v>
      </c>
      <c r="F5" t="n">
        <v>2</v>
      </c>
      <c r="G5" t="inlineStr">
        <is>
          <t>IPS</t>
        </is>
      </c>
      <c r="H5" t="inlineStr">
        <is>
          <t>SUN</t>
        </is>
      </c>
    </row>
    <row r="6">
      <c r="A6" t="n">
        <v>1</v>
      </c>
      <c r="B6" t="inlineStr">
        <is>
          <t>2026-08-22T14:00:00Z</t>
        </is>
      </c>
      <c r="C6" t="n">
        <v>18</v>
      </c>
      <c r="D6" t="n">
        <v>13</v>
      </c>
      <c r="E6" t="n">
        <v>2</v>
      </c>
      <c r="F6" t="n">
        <v>3</v>
      </c>
      <c r="G6" t="inlineStr">
        <is>
          <t>NFO</t>
        </is>
      </c>
      <c r="H6" t="inlineStr">
        <is>
          <t>LEE</t>
        </is>
      </c>
    </row>
    <row r="7">
      <c r="A7" t="n">
        <v>1</v>
      </c>
      <c r="B7" t="inlineStr">
        <is>
          <t>2026-08-22T16:30:00Z</t>
        </is>
      </c>
      <c r="C7" t="n">
        <v>4</v>
      </c>
      <c r="D7" t="n">
        <v>19</v>
      </c>
      <c r="E7" t="n">
        <v>3</v>
      </c>
      <c r="F7" t="n">
        <v>3</v>
      </c>
      <c r="G7" t="inlineStr">
        <is>
          <t>BRE</t>
        </is>
      </c>
      <c r="H7" t="inlineStr">
        <is>
          <t>TOT</t>
        </is>
      </c>
    </row>
    <row r="8">
      <c r="A8" t="n">
        <v>1</v>
      </c>
      <c r="B8" t="inlineStr">
        <is>
          <t>2026-08-23T13:00:00Z</t>
        </is>
      </c>
      <c r="C8" t="n">
        <v>5</v>
      </c>
      <c r="D8" t="n">
        <v>2</v>
      </c>
      <c r="E8" t="n">
        <v>3</v>
      </c>
      <c r="F8" t="n">
        <v>3</v>
      </c>
      <c r="G8" t="inlineStr">
        <is>
          <t>BHA</t>
        </is>
      </c>
      <c r="H8" t="inlineStr">
        <is>
          <t>AVL</t>
        </is>
      </c>
    </row>
    <row r="9">
      <c r="A9" t="n">
        <v>1</v>
      </c>
      <c r="B9" t="inlineStr">
        <is>
          <t>2026-08-23T13:00:00Z</t>
        </is>
      </c>
      <c r="C9" t="n">
        <v>15</v>
      </c>
      <c r="D9" t="n">
        <v>3</v>
      </c>
      <c r="E9" t="n">
        <v>3</v>
      </c>
      <c r="F9" t="n">
        <v>5</v>
      </c>
      <c r="G9" t="inlineStr">
        <is>
          <t>MCI</t>
        </is>
      </c>
      <c r="H9" t="inlineStr">
        <is>
          <t>BOU</t>
        </is>
      </c>
    </row>
    <row r="10">
      <c r="A10" t="n">
        <v>1</v>
      </c>
      <c r="B10" t="inlineStr">
        <is>
          <t>2026-08-23T15:30:00Z</t>
        </is>
      </c>
      <c r="C10" t="n">
        <v>17</v>
      </c>
      <c r="D10" t="n">
        <v>14</v>
      </c>
      <c r="E10" t="n">
        <v>4</v>
      </c>
      <c r="F10" t="n">
        <v>3</v>
      </c>
      <c r="G10" t="inlineStr">
        <is>
          <t>NEW</t>
        </is>
      </c>
      <c r="H10" t="inlineStr">
        <is>
          <t>LIV</t>
        </is>
      </c>
    </row>
    <row r="11">
      <c r="A11" t="n">
        <v>1</v>
      </c>
      <c r="B11" t="inlineStr">
        <is>
          <t>2026-08-24T19:00:00Z</t>
        </is>
      </c>
      <c r="C11" t="n">
        <v>10</v>
      </c>
      <c r="D11" t="n">
        <v>6</v>
      </c>
      <c r="E11" t="n">
        <v>4</v>
      </c>
      <c r="F11" t="n">
        <v>3</v>
      </c>
      <c r="G11" t="inlineStr">
        <is>
          <t>FUL</t>
        </is>
      </c>
      <c r="H11" t="inlineStr">
        <is>
          <t>CHE</t>
        </is>
      </c>
    </row>
    <row r="12">
      <c r="A12" t="n">
        <v>2</v>
      </c>
      <c r="B12" t="inlineStr">
        <is>
          <t>2026-08-28T19:00:00Z</t>
        </is>
      </c>
      <c r="C12" t="n">
        <v>8</v>
      </c>
      <c r="D12" t="n">
        <v>15</v>
      </c>
      <c r="E12" t="n">
        <v>4</v>
      </c>
      <c r="F12" t="n">
        <v>3</v>
      </c>
      <c r="G12" t="inlineStr">
        <is>
          <t>CRY</t>
        </is>
      </c>
      <c r="H12" t="inlineStr">
        <is>
          <t>MCI</t>
        </is>
      </c>
    </row>
    <row r="13">
      <c r="A13" t="n">
        <v>2</v>
      </c>
      <c r="B13" t="inlineStr">
        <is>
          <t>2026-08-29T11:30:00Z</t>
        </is>
      </c>
      <c r="C13" t="n">
        <v>14</v>
      </c>
      <c r="D13" t="n">
        <v>18</v>
      </c>
      <c r="E13" t="n">
        <v>3</v>
      </c>
      <c r="F13" t="n">
        <v>4</v>
      </c>
      <c r="G13" t="inlineStr">
        <is>
          <t>LIV</t>
        </is>
      </c>
      <c r="H13" t="inlineStr">
        <is>
          <t>NFO</t>
        </is>
      </c>
    </row>
    <row r="14">
      <c r="A14" t="n">
        <v>2</v>
      </c>
      <c r="B14" t="inlineStr">
        <is>
          <t>2026-08-29T14:00:00Z</t>
        </is>
      </c>
      <c r="C14" t="n">
        <v>3</v>
      </c>
      <c r="D14" t="n">
        <v>9</v>
      </c>
      <c r="E14" t="n">
        <v>3</v>
      </c>
      <c r="F14" t="n">
        <v>3</v>
      </c>
      <c r="G14" t="inlineStr">
        <is>
          <t>BOU</t>
        </is>
      </c>
      <c r="H14" t="inlineStr">
        <is>
          <t>EVE</t>
        </is>
      </c>
    </row>
    <row r="15">
      <c r="A15" t="n">
        <v>2</v>
      </c>
      <c r="B15" t="inlineStr">
        <is>
          <t>2026-08-29T14:00:00Z</t>
        </is>
      </c>
      <c r="C15" t="n">
        <v>7</v>
      </c>
      <c r="D15" t="n">
        <v>11</v>
      </c>
      <c r="E15" t="n">
        <v>2</v>
      </c>
      <c r="F15" t="n">
        <v>2</v>
      </c>
      <c r="G15" t="inlineStr">
        <is>
          <t>COV</t>
        </is>
      </c>
      <c r="H15" t="inlineStr">
        <is>
          <t>HUL</t>
        </is>
      </c>
    </row>
    <row r="16">
      <c r="A16" t="n">
        <v>2</v>
      </c>
      <c r="B16" t="inlineStr">
        <is>
          <t>2026-08-29T16:30:00Z</t>
        </is>
      </c>
      <c r="C16" t="n">
        <v>19</v>
      </c>
      <c r="D16" t="n">
        <v>17</v>
      </c>
      <c r="E16" t="n">
        <v>2</v>
      </c>
      <c r="F16" t="n">
        <v>3</v>
      </c>
      <c r="G16" t="inlineStr">
        <is>
          <t>TOT</t>
        </is>
      </c>
      <c r="H16" t="inlineStr">
        <is>
          <t>NEW</t>
        </is>
      </c>
    </row>
    <row r="17">
      <c r="A17" t="n">
        <v>2</v>
      </c>
      <c r="B17" t="inlineStr">
        <is>
          <t>2026-08-30T13:00:00Z</t>
        </is>
      </c>
      <c r="C17" t="n">
        <v>6</v>
      </c>
      <c r="D17" t="n">
        <v>5</v>
      </c>
      <c r="E17" t="n">
        <v>2</v>
      </c>
      <c r="F17" t="n">
        <v>4</v>
      </c>
      <c r="G17" t="inlineStr">
        <is>
          <t>CHE</t>
        </is>
      </c>
      <c r="H17" t="inlineStr">
        <is>
          <t>BHA</t>
        </is>
      </c>
    </row>
    <row r="18">
      <c r="A18" t="n">
        <v>2</v>
      </c>
      <c r="B18" t="inlineStr">
        <is>
          <t>2026-08-30T13:00:00Z</t>
        </is>
      </c>
      <c r="C18" t="n">
        <v>13</v>
      </c>
      <c r="D18" t="n">
        <v>4</v>
      </c>
      <c r="E18" t="n">
        <v>3</v>
      </c>
      <c r="F18" t="n">
        <v>3</v>
      </c>
      <c r="G18" t="inlineStr">
        <is>
          <t>LEE</t>
        </is>
      </c>
      <c r="H18" t="inlineStr">
        <is>
          <t>BRE</t>
        </is>
      </c>
    </row>
    <row r="19">
      <c r="A19" t="n">
        <v>2</v>
      </c>
      <c r="B19" t="inlineStr">
        <is>
          <t>2026-08-30T13:00:00Z</t>
        </is>
      </c>
      <c r="C19" t="n">
        <v>20</v>
      </c>
      <c r="D19" t="n">
        <v>10</v>
      </c>
      <c r="E19" t="n">
        <v>2</v>
      </c>
      <c r="F19" t="n">
        <v>3</v>
      </c>
      <c r="G19" t="inlineStr">
        <is>
          <t>SUN</t>
        </is>
      </c>
      <c r="H19" t="inlineStr">
        <is>
          <t>FUL</t>
        </is>
      </c>
    </row>
    <row r="20">
      <c r="A20" t="n">
        <v>2</v>
      </c>
      <c r="B20" t="inlineStr">
        <is>
          <t>2026-08-30T15:30:00Z</t>
        </is>
      </c>
      <c r="C20" t="n">
        <v>16</v>
      </c>
      <c r="D20" t="n">
        <v>12</v>
      </c>
      <c r="E20" t="n">
        <v>2</v>
      </c>
      <c r="F20" t="n">
        <v>4</v>
      </c>
      <c r="G20" t="inlineStr">
        <is>
          <t>MUN</t>
        </is>
      </c>
      <c r="H20" t="inlineStr">
        <is>
          <t>IPS</t>
        </is>
      </c>
    </row>
    <row r="21">
      <c r="A21" t="n">
        <v>2</v>
      </c>
      <c r="B21" t="inlineStr">
        <is>
          <t>2026-08-31T19:00:00Z</t>
        </is>
      </c>
      <c r="C21" t="n">
        <v>2</v>
      </c>
      <c r="D21" t="n">
        <v>1</v>
      </c>
      <c r="E21" t="n">
        <v>4</v>
      </c>
      <c r="F21" t="n">
        <v>4</v>
      </c>
      <c r="G21" t="inlineStr">
        <is>
          <t>AVL</t>
        </is>
      </c>
      <c r="H21" t="inlineStr">
        <is>
          <t>ARS</t>
        </is>
      </c>
    </row>
    <row r="22">
      <c r="A22" t="n">
        <v>3</v>
      </c>
      <c r="B22" t="inlineStr">
        <is>
          <t>2026-09-04T19:00:00Z</t>
        </is>
      </c>
      <c r="C22" t="n">
        <v>12</v>
      </c>
      <c r="D22" t="n">
        <v>14</v>
      </c>
      <c r="E22" t="n">
        <v>4</v>
      </c>
      <c r="F22" t="n">
        <v>2</v>
      </c>
      <c r="G22" t="inlineStr">
        <is>
          <t>IPS</t>
        </is>
      </c>
      <c r="H22" t="inlineStr">
        <is>
          <t>LIV</t>
        </is>
      </c>
    </row>
    <row r="23">
      <c r="A23" t="n">
        <v>3</v>
      </c>
      <c r="B23" t="inlineStr">
        <is>
          <t>2026-09-05T11:30:00Z</t>
        </is>
      </c>
      <c r="C23" t="n">
        <v>17</v>
      </c>
      <c r="D23" t="n">
        <v>3</v>
      </c>
      <c r="E23" t="n">
        <v>3</v>
      </c>
      <c r="F23" t="n">
        <v>3</v>
      </c>
      <c r="G23" t="inlineStr">
        <is>
          <t>NEW</t>
        </is>
      </c>
      <c r="H23" t="inlineStr">
        <is>
          <t>BOU</t>
        </is>
      </c>
    </row>
    <row r="24">
      <c r="A24" t="n">
        <v>3</v>
      </c>
      <c r="B24" t="inlineStr">
        <is>
          <t>2026-09-05T14:00:00Z</t>
        </is>
      </c>
      <c r="C24" t="n">
        <v>4</v>
      </c>
      <c r="D24" t="n">
        <v>20</v>
      </c>
      <c r="E24" t="n">
        <v>2</v>
      </c>
      <c r="F24" t="n">
        <v>3</v>
      </c>
      <c r="G24" t="inlineStr">
        <is>
          <t>BRE</t>
        </is>
      </c>
      <c r="H24" t="inlineStr">
        <is>
          <t>SUN</t>
        </is>
      </c>
    </row>
    <row r="25">
      <c r="A25" t="n">
        <v>3</v>
      </c>
      <c r="B25" t="inlineStr">
        <is>
          <t>2026-09-05T14:00:00Z</t>
        </is>
      </c>
      <c r="C25" t="n">
        <v>5</v>
      </c>
      <c r="D25" t="n">
        <v>13</v>
      </c>
      <c r="E25" t="n">
        <v>2</v>
      </c>
      <c r="F25" t="n">
        <v>3</v>
      </c>
      <c r="G25" t="inlineStr">
        <is>
          <t>BHA</t>
        </is>
      </c>
      <c r="H25" t="inlineStr">
        <is>
          <t>LEE</t>
        </is>
      </c>
    </row>
    <row r="26">
      <c r="A26" t="n">
        <v>3</v>
      </c>
      <c r="B26" t="inlineStr">
        <is>
          <t>2026-09-05T14:00:00Z</t>
        </is>
      </c>
      <c r="C26" t="n">
        <v>10</v>
      </c>
      <c r="D26" t="n">
        <v>8</v>
      </c>
      <c r="E26" t="n">
        <v>3</v>
      </c>
      <c r="F26" t="n">
        <v>3</v>
      </c>
      <c r="G26" t="inlineStr">
        <is>
          <t>FUL</t>
        </is>
      </c>
      <c r="H26" t="inlineStr">
        <is>
          <t>CRY</t>
        </is>
      </c>
    </row>
    <row r="27">
      <c r="A27" t="n">
        <v>3</v>
      </c>
      <c r="B27" t="inlineStr">
        <is>
          <t>2026-09-05T14:00:00Z</t>
        </is>
      </c>
      <c r="C27" t="n">
        <v>15</v>
      </c>
      <c r="D27" t="n">
        <v>7</v>
      </c>
      <c r="E27" t="n">
        <v>2</v>
      </c>
      <c r="F27" t="n">
        <v>5</v>
      </c>
      <c r="G27" t="inlineStr">
        <is>
          <t>MCI</t>
        </is>
      </c>
      <c r="H27" t="inlineStr">
        <is>
          <t>COV</t>
        </is>
      </c>
    </row>
    <row r="28">
      <c r="A28" t="n">
        <v>3</v>
      </c>
      <c r="B28" t="inlineStr">
        <is>
          <t>2026-09-05T14:00:00Z</t>
        </is>
      </c>
      <c r="C28" t="n">
        <v>18</v>
      </c>
      <c r="D28" t="n">
        <v>19</v>
      </c>
      <c r="E28" t="n">
        <v>3</v>
      </c>
      <c r="F28" t="n">
        <v>3</v>
      </c>
      <c r="G28" t="inlineStr">
        <is>
          <t>NFO</t>
        </is>
      </c>
      <c r="H28" t="inlineStr">
        <is>
          <t>TOT</t>
        </is>
      </c>
    </row>
    <row r="29">
      <c r="A29" t="n">
        <v>3</v>
      </c>
      <c r="B29" t="inlineStr">
        <is>
          <t>2026-09-05T16:30:00Z</t>
        </is>
      </c>
      <c r="C29" t="n">
        <v>11</v>
      </c>
      <c r="D29" t="n">
        <v>2</v>
      </c>
      <c r="E29" t="n">
        <v>3</v>
      </c>
      <c r="F29" t="n">
        <v>2</v>
      </c>
      <c r="G29" t="inlineStr">
        <is>
          <t>HUL</t>
        </is>
      </c>
      <c r="H29" t="inlineStr">
        <is>
          <t>AVL</t>
        </is>
      </c>
    </row>
    <row r="30">
      <c r="A30" t="n">
        <v>3</v>
      </c>
      <c r="B30" t="inlineStr">
        <is>
          <t>2026-09-06T13:00:00Z</t>
        </is>
      </c>
      <c r="C30" t="n">
        <v>9</v>
      </c>
      <c r="D30" t="n">
        <v>16</v>
      </c>
      <c r="E30" t="n">
        <v>4</v>
      </c>
      <c r="F30" t="n">
        <v>3</v>
      </c>
      <c r="G30" t="inlineStr">
        <is>
          <t>EVE</t>
        </is>
      </c>
      <c r="H30" t="inlineStr">
        <is>
          <t>MUN</t>
        </is>
      </c>
    </row>
    <row r="31">
      <c r="A31" t="n">
        <v>3</v>
      </c>
      <c r="B31" t="inlineStr">
        <is>
          <t>2026-09-06T15:30:00Z</t>
        </is>
      </c>
      <c r="C31" t="n">
        <v>1</v>
      </c>
      <c r="D31" t="n">
        <v>6</v>
      </c>
      <c r="E31" t="n">
        <v>4</v>
      </c>
      <c r="F31" t="n">
        <v>5</v>
      </c>
      <c r="G31" t="inlineStr">
        <is>
          <t>ARS</t>
        </is>
      </c>
      <c r="H31" t="inlineStr">
        <is>
          <t>CHE</t>
        </is>
      </c>
    </row>
    <row r="32">
      <c r="A32" t="n">
        <v>4</v>
      </c>
      <c r="B32" t="inlineStr">
        <is>
          <t>2026-09-12T14:00:00Z</t>
        </is>
      </c>
      <c r="C32" t="n">
        <v>2</v>
      </c>
      <c r="D32" t="n">
        <v>18</v>
      </c>
      <c r="E32" t="n">
        <v>3</v>
      </c>
      <c r="F32" t="n">
        <v>4</v>
      </c>
      <c r="G32" t="inlineStr">
        <is>
          <t>AVL</t>
        </is>
      </c>
      <c r="H32" t="inlineStr">
        <is>
          <t>NFO</t>
        </is>
      </c>
    </row>
    <row r="33">
      <c r="A33" t="n">
        <v>4</v>
      </c>
      <c r="B33" t="inlineStr">
        <is>
          <t>2026-09-12T14:00:00Z</t>
        </is>
      </c>
      <c r="C33" t="n">
        <v>3</v>
      </c>
      <c r="D33" t="n">
        <v>4</v>
      </c>
      <c r="E33" t="n">
        <v>3</v>
      </c>
      <c r="F33" t="n">
        <v>3</v>
      </c>
      <c r="G33" t="inlineStr">
        <is>
          <t>BOU</t>
        </is>
      </c>
      <c r="H33" t="inlineStr">
        <is>
          <t>BRE</t>
        </is>
      </c>
    </row>
    <row r="34">
      <c r="A34" t="n">
        <v>4</v>
      </c>
      <c r="B34" t="inlineStr">
        <is>
          <t>2026-09-12T14:00:00Z</t>
        </is>
      </c>
      <c r="C34" t="n">
        <v>6</v>
      </c>
      <c r="D34" t="n">
        <v>11</v>
      </c>
      <c r="E34" t="n">
        <v>2</v>
      </c>
      <c r="F34" t="n">
        <v>4</v>
      </c>
      <c r="G34" t="inlineStr">
        <is>
          <t>CHE</t>
        </is>
      </c>
      <c r="H34" t="inlineStr">
        <is>
          <t>HUL</t>
        </is>
      </c>
    </row>
    <row r="35">
      <c r="A35" t="n">
        <v>4</v>
      </c>
      <c r="B35" t="inlineStr">
        <is>
          <t>2026-09-12T14:00:00Z</t>
        </is>
      </c>
      <c r="C35" t="n">
        <v>8</v>
      </c>
      <c r="D35" t="n">
        <v>12</v>
      </c>
      <c r="E35" t="n">
        <v>2</v>
      </c>
      <c r="F35" t="n">
        <v>3</v>
      </c>
      <c r="G35" t="inlineStr">
        <is>
          <t>CRY</t>
        </is>
      </c>
      <c r="H35" t="inlineStr">
        <is>
          <t>IPS</t>
        </is>
      </c>
    </row>
    <row r="36">
      <c r="A36" t="n">
        <v>4</v>
      </c>
      <c r="B36" t="inlineStr">
        <is>
          <t>2026-09-12T14:00:00Z</t>
        </is>
      </c>
      <c r="C36" t="n">
        <v>14</v>
      </c>
      <c r="D36" t="n">
        <v>10</v>
      </c>
      <c r="E36" t="n">
        <v>2</v>
      </c>
      <c r="F36" t="n">
        <v>4</v>
      </c>
      <c r="G36" t="inlineStr">
        <is>
          <t>LIV</t>
        </is>
      </c>
      <c r="H36" t="inlineStr">
        <is>
          <t>FUL</t>
        </is>
      </c>
    </row>
    <row r="37">
      <c r="A37" t="n">
        <v>4</v>
      </c>
      <c r="B37" t="inlineStr">
        <is>
          <t>2026-09-12T16:30:00Z</t>
        </is>
      </c>
      <c r="C37" t="n">
        <v>19</v>
      </c>
      <c r="D37" t="n">
        <v>9</v>
      </c>
      <c r="E37" t="n">
        <v>3</v>
      </c>
      <c r="F37" t="n">
        <v>3</v>
      </c>
      <c r="G37" t="inlineStr">
        <is>
          <t>TOT</t>
        </is>
      </c>
      <c r="H37" t="inlineStr">
        <is>
          <t>EVE</t>
        </is>
      </c>
    </row>
    <row r="38">
      <c r="A38" t="n">
        <v>4</v>
      </c>
      <c r="B38" t="inlineStr">
        <is>
          <t>2026-09-12T19:00:00Z</t>
        </is>
      </c>
      <c r="C38" t="n">
        <v>20</v>
      </c>
      <c r="D38" t="n">
        <v>1</v>
      </c>
      <c r="E38" t="n">
        <v>4</v>
      </c>
      <c r="F38" t="n">
        <v>3</v>
      </c>
      <c r="G38" t="inlineStr">
        <is>
          <t>SUN</t>
        </is>
      </c>
      <c r="H38" t="inlineStr">
        <is>
          <t>ARS</t>
        </is>
      </c>
    </row>
    <row r="39">
      <c r="A39" t="n">
        <v>4</v>
      </c>
      <c r="B39" t="inlineStr">
        <is>
          <t>2026-09-13T13:00:00Z</t>
        </is>
      </c>
      <c r="C39" t="n">
        <v>7</v>
      </c>
      <c r="D39" t="n">
        <v>5</v>
      </c>
      <c r="E39" t="n">
        <v>2</v>
      </c>
      <c r="F39" t="n">
        <v>2</v>
      </c>
      <c r="G39" t="inlineStr">
        <is>
          <t>COV</t>
        </is>
      </c>
      <c r="H39" t="inlineStr">
        <is>
          <t>BHA</t>
        </is>
      </c>
    </row>
    <row r="40">
      <c r="A40" t="n">
        <v>4</v>
      </c>
      <c r="B40" t="inlineStr">
        <is>
          <t>2026-09-13T15:30:00Z</t>
        </is>
      </c>
      <c r="C40" t="n">
        <v>16</v>
      </c>
      <c r="D40" t="n">
        <v>15</v>
      </c>
      <c r="E40" t="n">
        <v>4</v>
      </c>
      <c r="F40" t="n">
        <v>4</v>
      </c>
      <c r="G40" t="inlineStr">
        <is>
          <t>MUN</t>
        </is>
      </c>
      <c r="H40" t="inlineStr">
        <is>
          <t>MCI</t>
        </is>
      </c>
    </row>
    <row r="41">
      <c r="A41" t="n">
        <v>4</v>
      </c>
      <c r="B41" t="inlineStr">
        <is>
          <t>2026-09-14T19:00:00Z</t>
        </is>
      </c>
      <c r="C41" t="n">
        <v>13</v>
      </c>
      <c r="D41" t="n">
        <v>17</v>
      </c>
      <c r="E41" t="n">
        <v>2</v>
      </c>
      <c r="F41" t="n">
        <v>3</v>
      </c>
      <c r="G41" t="inlineStr">
        <is>
          <t>LEE</t>
        </is>
      </c>
      <c r="H41" t="inlineStr">
        <is>
          <t>NEW</t>
        </is>
      </c>
    </row>
    <row r="42">
      <c r="A42" t="n">
        <v>5</v>
      </c>
      <c r="B42" t="inlineStr">
        <is>
          <t>2026-09-18T19:00:00Z</t>
        </is>
      </c>
      <c r="C42" t="n">
        <v>4</v>
      </c>
      <c r="D42" t="n">
        <v>6</v>
      </c>
      <c r="E42" t="n">
        <v>4</v>
      </c>
      <c r="F42" t="n">
        <v>3</v>
      </c>
      <c r="G42" t="inlineStr">
        <is>
          <t>BRE</t>
        </is>
      </c>
      <c r="H42" t="inlineStr">
        <is>
          <t>CHE</t>
        </is>
      </c>
    </row>
    <row r="43">
      <c r="A43" t="n">
        <v>5</v>
      </c>
      <c r="B43" t="inlineStr">
        <is>
          <t>2026-09-19T11:30:00Z</t>
        </is>
      </c>
      <c r="C43" t="n">
        <v>19</v>
      </c>
      <c r="D43" t="n">
        <v>2</v>
      </c>
      <c r="E43" t="n">
        <v>3</v>
      </c>
      <c r="F43" t="n">
        <v>3</v>
      </c>
      <c r="G43" t="inlineStr">
        <is>
          <t>TOT</t>
        </is>
      </c>
      <c r="H43" t="inlineStr">
        <is>
          <t>AVL</t>
        </is>
      </c>
    </row>
    <row r="44">
      <c r="A44" t="n">
        <v>5</v>
      </c>
      <c r="B44" t="inlineStr">
        <is>
          <t>2026-09-19T14:00:00Z</t>
        </is>
      </c>
      <c r="C44" t="n">
        <v>5</v>
      </c>
      <c r="D44" t="n">
        <v>1</v>
      </c>
      <c r="E44" t="n">
        <v>4</v>
      </c>
      <c r="F44" t="n">
        <v>3</v>
      </c>
      <c r="G44" t="inlineStr">
        <is>
          <t>BHA</t>
        </is>
      </c>
      <c r="H44" t="inlineStr">
        <is>
          <t>ARS</t>
        </is>
      </c>
    </row>
    <row r="45">
      <c r="A45" t="n">
        <v>5</v>
      </c>
      <c r="B45" t="inlineStr">
        <is>
          <t>2026-09-19T14:00:00Z</t>
        </is>
      </c>
      <c r="C45" t="n">
        <v>9</v>
      </c>
      <c r="D45" t="n">
        <v>12</v>
      </c>
      <c r="E45" t="n">
        <v>2</v>
      </c>
      <c r="F45" t="n">
        <v>3</v>
      </c>
      <c r="G45" t="inlineStr">
        <is>
          <t>EVE</t>
        </is>
      </c>
      <c r="H45" t="inlineStr">
        <is>
          <t>IPS</t>
        </is>
      </c>
    </row>
    <row r="46">
      <c r="A46" t="n">
        <v>5</v>
      </c>
      <c r="B46" t="inlineStr">
        <is>
          <t>2026-09-19T14:00:00Z</t>
        </is>
      </c>
      <c r="C46" t="n">
        <v>13</v>
      </c>
      <c r="D46" t="n">
        <v>8</v>
      </c>
      <c r="E46" t="n">
        <v>3</v>
      </c>
      <c r="F46" t="n">
        <v>3</v>
      </c>
      <c r="G46" t="inlineStr">
        <is>
          <t>LEE</t>
        </is>
      </c>
      <c r="H46" t="inlineStr">
        <is>
          <t>CRY</t>
        </is>
      </c>
    </row>
    <row r="47">
      <c r="A47" t="n">
        <v>5</v>
      </c>
      <c r="B47" t="inlineStr">
        <is>
          <t>2026-09-19T14:00:00Z</t>
        </is>
      </c>
      <c r="C47" t="n">
        <v>15</v>
      </c>
      <c r="D47" t="n">
        <v>20</v>
      </c>
      <c r="E47" t="n">
        <v>2</v>
      </c>
      <c r="F47" t="n">
        <v>5</v>
      </c>
      <c r="G47" t="inlineStr">
        <is>
          <t>MCI</t>
        </is>
      </c>
      <c r="H47" t="inlineStr">
        <is>
          <t>SUN</t>
        </is>
      </c>
    </row>
    <row r="48">
      <c r="A48" t="n">
        <v>5</v>
      </c>
      <c r="B48" t="inlineStr">
        <is>
          <t>2026-09-19T14:00:00Z</t>
        </is>
      </c>
      <c r="C48" t="n">
        <v>17</v>
      </c>
      <c r="D48" t="n">
        <v>11</v>
      </c>
      <c r="E48" t="n">
        <v>2</v>
      </c>
      <c r="F48" t="n">
        <v>3</v>
      </c>
      <c r="G48" t="inlineStr">
        <is>
          <t>NEW</t>
        </is>
      </c>
      <c r="H48" t="inlineStr">
        <is>
          <t>HUL</t>
        </is>
      </c>
    </row>
    <row r="49">
      <c r="A49" t="n">
        <v>5</v>
      </c>
      <c r="B49" t="inlineStr">
        <is>
          <t>2026-09-19T16:30:00Z</t>
        </is>
      </c>
      <c r="C49" t="n">
        <v>18</v>
      </c>
      <c r="D49" t="n">
        <v>7</v>
      </c>
      <c r="E49" t="n">
        <v>2</v>
      </c>
      <c r="F49" t="n">
        <v>3</v>
      </c>
      <c r="G49" t="inlineStr">
        <is>
          <t>NFO</t>
        </is>
      </c>
      <c r="H49" t="inlineStr">
        <is>
          <t>COV</t>
        </is>
      </c>
    </row>
    <row r="50">
      <c r="A50" t="n">
        <v>5</v>
      </c>
      <c r="B50" t="inlineStr">
        <is>
          <t>2026-09-20T13:00:00Z</t>
        </is>
      </c>
      <c r="C50" t="n">
        <v>3</v>
      </c>
      <c r="D50" t="n">
        <v>14</v>
      </c>
      <c r="E50" t="n">
        <v>4</v>
      </c>
      <c r="F50" t="n">
        <v>3</v>
      </c>
      <c r="G50" t="inlineStr">
        <is>
          <t>BOU</t>
        </is>
      </c>
      <c r="H50" t="inlineStr">
        <is>
          <t>LIV</t>
        </is>
      </c>
    </row>
    <row r="51">
      <c r="A51" t="n">
        <v>5</v>
      </c>
      <c r="B51" t="inlineStr">
        <is>
          <t>2026-09-20T15:30:00Z</t>
        </is>
      </c>
      <c r="C51" t="n">
        <v>10</v>
      </c>
      <c r="D51" t="n">
        <v>16</v>
      </c>
      <c r="E51" t="n">
        <v>4</v>
      </c>
      <c r="F51" t="n">
        <v>3</v>
      </c>
      <c r="G51" t="inlineStr">
        <is>
          <t>FUL</t>
        </is>
      </c>
      <c r="H51" t="inlineStr">
        <is>
          <t>MUN</t>
        </is>
      </c>
    </row>
    <row r="52">
      <c r="A52" t="n">
        <v>6</v>
      </c>
      <c r="B52" t="inlineStr">
        <is>
          <t>2026-10-10T14:00:00Z</t>
        </is>
      </c>
      <c r="C52" t="n">
        <v>1</v>
      </c>
      <c r="D52" t="n">
        <v>13</v>
      </c>
      <c r="E52" t="n">
        <v>2</v>
      </c>
      <c r="F52" t="n">
        <v>5</v>
      </c>
      <c r="G52" t="inlineStr">
        <is>
          <t>ARS</t>
        </is>
      </c>
      <c r="H52" t="inlineStr">
        <is>
          <t>LEE</t>
        </is>
      </c>
    </row>
    <row r="53">
      <c r="A53" t="n">
        <v>6</v>
      </c>
      <c r="B53" t="inlineStr">
        <is>
          <t>2026-10-10T14:00:00Z</t>
        </is>
      </c>
      <c r="C53" t="n">
        <v>2</v>
      </c>
      <c r="D53" t="n">
        <v>4</v>
      </c>
      <c r="E53" t="n">
        <v>3</v>
      </c>
      <c r="F53" t="n">
        <v>4</v>
      </c>
      <c r="G53" t="inlineStr">
        <is>
          <t>AVL</t>
        </is>
      </c>
      <c r="H53" t="inlineStr">
        <is>
          <t>BRE</t>
        </is>
      </c>
    </row>
    <row r="54">
      <c r="A54" t="n">
        <v>6</v>
      </c>
      <c r="B54" t="inlineStr">
        <is>
          <t>2026-10-10T14:00:00Z</t>
        </is>
      </c>
      <c r="C54" t="n">
        <v>6</v>
      </c>
      <c r="D54" t="n">
        <v>3</v>
      </c>
      <c r="E54" t="n">
        <v>3</v>
      </c>
      <c r="F54" t="n">
        <v>4</v>
      </c>
      <c r="G54" t="inlineStr">
        <is>
          <t>CHE</t>
        </is>
      </c>
      <c r="H54" t="inlineStr">
        <is>
          <t>BOU</t>
        </is>
      </c>
    </row>
    <row r="55">
      <c r="A55" t="n">
        <v>6</v>
      </c>
      <c r="B55" t="inlineStr">
        <is>
          <t>2026-10-10T14:00:00Z</t>
        </is>
      </c>
      <c r="C55" t="n">
        <v>7</v>
      </c>
      <c r="D55" t="n">
        <v>17</v>
      </c>
      <c r="E55" t="n">
        <v>2</v>
      </c>
      <c r="F55" t="n">
        <v>2</v>
      </c>
      <c r="G55" t="inlineStr">
        <is>
          <t>COV</t>
        </is>
      </c>
      <c r="H55" t="inlineStr">
        <is>
          <t>NEW</t>
        </is>
      </c>
    </row>
    <row r="56">
      <c r="A56" t="n">
        <v>6</v>
      </c>
      <c r="B56" t="inlineStr">
        <is>
          <t>2026-10-10T14:00:00Z</t>
        </is>
      </c>
      <c r="C56" t="n">
        <v>8</v>
      </c>
      <c r="D56" t="n">
        <v>18</v>
      </c>
      <c r="E56" t="n">
        <v>3</v>
      </c>
      <c r="F56" t="n">
        <v>3</v>
      </c>
      <c r="G56" t="inlineStr">
        <is>
          <t>CRY</t>
        </is>
      </c>
      <c r="H56" t="inlineStr">
        <is>
          <t>NFO</t>
        </is>
      </c>
    </row>
    <row r="57">
      <c r="A57" t="n">
        <v>6</v>
      </c>
      <c r="B57" t="inlineStr">
        <is>
          <t>2026-10-10T14:00:00Z</t>
        </is>
      </c>
      <c r="C57" t="n">
        <v>11</v>
      </c>
      <c r="D57" t="n">
        <v>9</v>
      </c>
      <c r="E57" t="n">
        <v>3</v>
      </c>
      <c r="F57" t="n">
        <v>2</v>
      </c>
      <c r="G57" t="inlineStr">
        <is>
          <t>HUL</t>
        </is>
      </c>
      <c r="H57" t="inlineStr">
        <is>
          <t>EVE</t>
        </is>
      </c>
    </row>
    <row r="58">
      <c r="A58" t="n">
        <v>6</v>
      </c>
      <c r="B58" t="inlineStr">
        <is>
          <t>2026-10-10T14:00:00Z</t>
        </is>
      </c>
      <c r="C58" t="n">
        <v>12</v>
      </c>
      <c r="D58" t="n">
        <v>10</v>
      </c>
      <c r="E58" t="n">
        <v>2</v>
      </c>
      <c r="F58" t="n">
        <v>2</v>
      </c>
      <c r="G58" t="inlineStr">
        <is>
          <t>IPS</t>
        </is>
      </c>
      <c r="H58" t="inlineStr">
        <is>
          <t>FUL</t>
        </is>
      </c>
    </row>
    <row r="59">
      <c r="A59" t="n">
        <v>6</v>
      </c>
      <c r="B59" t="inlineStr">
        <is>
          <t>2026-10-10T14:00:00Z</t>
        </is>
      </c>
      <c r="C59" t="n">
        <v>14</v>
      </c>
      <c r="D59" t="n">
        <v>15</v>
      </c>
      <c r="E59" t="n">
        <v>4</v>
      </c>
      <c r="F59" t="n">
        <v>4</v>
      </c>
      <c r="G59" t="inlineStr">
        <is>
          <t>LIV</t>
        </is>
      </c>
      <c r="H59" t="inlineStr">
        <is>
          <t>MCI</t>
        </is>
      </c>
    </row>
    <row r="60">
      <c r="A60" t="n">
        <v>6</v>
      </c>
      <c r="B60" t="inlineStr">
        <is>
          <t>2026-10-10T14:00:00Z</t>
        </is>
      </c>
      <c r="C60" t="n">
        <v>16</v>
      </c>
      <c r="D60" t="n">
        <v>19</v>
      </c>
      <c r="E60" t="n">
        <v>3</v>
      </c>
      <c r="F60" t="n">
        <v>4</v>
      </c>
      <c r="G60" t="inlineStr">
        <is>
          <t>MUN</t>
        </is>
      </c>
      <c r="H60" t="inlineStr">
        <is>
          <t>TOT</t>
        </is>
      </c>
    </row>
    <row r="61">
      <c r="A61" t="n">
        <v>6</v>
      </c>
      <c r="B61" t="inlineStr">
        <is>
          <t>2026-10-10T14:00:00Z</t>
        </is>
      </c>
      <c r="C61" t="n">
        <v>20</v>
      </c>
      <c r="D61" t="n">
        <v>5</v>
      </c>
      <c r="E61" t="n">
        <v>2</v>
      </c>
      <c r="F61" t="n">
        <v>3</v>
      </c>
      <c r="G61" t="inlineStr">
        <is>
          <t>SUN</t>
        </is>
      </c>
      <c r="H61" t="inlineStr">
        <is>
          <t>BHA</t>
        </is>
      </c>
    </row>
    <row r="62">
      <c r="A62" t="n">
        <v>7</v>
      </c>
      <c r="B62" t="inlineStr">
        <is>
          <t>2026-10-17T14:00:00Z</t>
        </is>
      </c>
      <c r="C62" t="n">
        <v>3</v>
      </c>
      <c r="D62" t="n">
        <v>20</v>
      </c>
      <c r="E62" t="n">
        <v>2</v>
      </c>
      <c r="F62" t="n">
        <v>3</v>
      </c>
      <c r="G62" t="inlineStr">
        <is>
          <t>BOU</t>
        </is>
      </c>
      <c r="H62" t="inlineStr">
        <is>
          <t>SUN</t>
        </is>
      </c>
    </row>
    <row r="63">
      <c r="A63" t="n">
        <v>7</v>
      </c>
      <c r="B63" t="inlineStr">
        <is>
          <t>2026-10-17T14:00:00Z</t>
        </is>
      </c>
      <c r="C63" t="n">
        <v>4</v>
      </c>
      <c r="D63" t="n">
        <v>14</v>
      </c>
      <c r="E63" t="n">
        <v>4</v>
      </c>
      <c r="F63" t="n">
        <v>3</v>
      </c>
      <c r="G63" t="inlineStr">
        <is>
          <t>BRE</t>
        </is>
      </c>
      <c r="H63" t="inlineStr">
        <is>
          <t>LIV</t>
        </is>
      </c>
    </row>
    <row r="64">
      <c r="A64" t="n">
        <v>7</v>
      </c>
      <c r="B64" t="inlineStr">
        <is>
          <t>2026-10-17T14:00:00Z</t>
        </is>
      </c>
      <c r="C64" t="n">
        <v>5</v>
      </c>
      <c r="D64" t="n">
        <v>8</v>
      </c>
      <c r="E64" t="n">
        <v>3</v>
      </c>
      <c r="F64" t="n">
        <v>3</v>
      </c>
      <c r="G64" t="inlineStr">
        <is>
          <t>BHA</t>
        </is>
      </c>
      <c r="H64" t="inlineStr">
        <is>
          <t>CRY</t>
        </is>
      </c>
    </row>
    <row r="65">
      <c r="A65" t="n">
        <v>7</v>
      </c>
      <c r="B65" t="inlineStr">
        <is>
          <t>2026-10-17T14:00:00Z</t>
        </is>
      </c>
      <c r="C65" t="n">
        <v>9</v>
      </c>
      <c r="D65" t="n">
        <v>6</v>
      </c>
      <c r="E65" t="n">
        <v>4</v>
      </c>
      <c r="F65" t="n">
        <v>3</v>
      </c>
      <c r="G65" t="inlineStr">
        <is>
          <t>EVE</t>
        </is>
      </c>
      <c r="H65" t="inlineStr">
        <is>
          <t>CHE</t>
        </is>
      </c>
    </row>
    <row r="66">
      <c r="A66" t="n">
        <v>7</v>
      </c>
      <c r="B66" t="inlineStr">
        <is>
          <t>2026-10-17T14:00:00Z</t>
        </is>
      </c>
      <c r="C66" t="n">
        <v>10</v>
      </c>
      <c r="D66" t="n">
        <v>11</v>
      </c>
      <c r="E66" t="n">
        <v>2</v>
      </c>
      <c r="F66" t="n">
        <v>3</v>
      </c>
      <c r="G66" t="inlineStr">
        <is>
          <t>FUL</t>
        </is>
      </c>
      <c r="H66" t="inlineStr">
        <is>
          <t>HUL</t>
        </is>
      </c>
    </row>
    <row r="67">
      <c r="A67" t="n">
        <v>7</v>
      </c>
      <c r="B67" t="inlineStr">
        <is>
          <t>2026-10-17T14:00:00Z</t>
        </is>
      </c>
      <c r="C67" t="n">
        <v>13</v>
      </c>
      <c r="D67" t="n">
        <v>16</v>
      </c>
      <c r="E67" t="n">
        <v>4</v>
      </c>
      <c r="F67" t="n">
        <v>3</v>
      </c>
      <c r="G67" t="inlineStr">
        <is>
          <t>LEE</t>
        </is>
      </c>
      <c r="H67" t="inlineStr">
        <is>
          <t>MUN</t>
        </is>
      </c>
    </row>
    <row r="68">
      <c r="A68" t="n">
        <v>7</v>
      </c>
      <c r="B68" t="inlineStr">
        <is>
          <t>2026-10-17T14:00:00Z</t>
        </is>
      </c>
      <c r="C68" t="n">
        <v>15</v>
      </c>
      <c r="D68" t="n">
        <v>12</v>
      </c>
      <c r="E68" t="n">
        <v>2</v>
      </c>
      <c r="F68" t="n">
        <v>5</v>
      </c>
      <c r="G68" t="inlineStr">
        <is>
          <t>MCI</t>
        </is>
      </c>
      <c r="H68" t="inlineStr">
        <is>
          <t>IPS</t>
        </is>
      </c>
    </row>
    <row r="69">
      <c r="A69" t="n">
        <v>7</v>
      </c>
      <c r="B69" t="inlineStr">
        <is>
          <t>2026-10-17T14:00:00Z</t>
        </is>
      </c>
      <c r="C69" t="n">
        <v>17</v>
      </c>
      <c r="D69" t="n">
        <v>2</v>
      </c>
      <c r="E69" t="n">
        <v>3</v>
      </c>
      <c r="F69" t="n">
        <v>3</v>
      </c>
      <c r="G69" t="inlineStr">
        <is>
          <t>NEW</t>
        </is>
      </c>
      <c r="H69" t="inlineStr">
        <is>
          <t>AVL</t>
        </is>
      </c>
    </row>
    <row r="70">
      <c r="A70" t="n">
        <v>7</v>
      </c>
      <c r="B70" t="inlineStr">
        <is>
          <t>2026-10-17T14:00:00Z</t>
        </is>
      </c>
      <c r="C70" t="n">
        <v>18</v>
      </c>
      <c r="D70" t="n">
        <v>1</v>
      </c>
      <c r="E70" t="n">
        <v>4</v>
      </c>
      <c r="F70" t="n">
        <v>3</v>
      </c>
      <c r="G70" t="inlineStr">
        <is>
          <t>NFO</t>
        </is>
      </c>
      <c r="H70" t="inlineStr">
        <is>
          <t>ARS</t>
        </is>
      </c>
    </row>
    <row r="71">
      <c r="A71" t="n">
        <v>7</v>
      </c>
      <c r="B71" t="inlineStr">
        <is>
          <t>2026-10-17T14:00:00Z</t>
        </is>
      </c>
      <c r="C71" t="n">
        <v>19</v>
      </c>
      <c r="D71" t="n">
        <v>7</v>
      </c>
      <c r="E71" t="n">
        <v>2</v>
      </c>
      <c r="F71" t="n">
        <v>3</v>
      </c>
      <c r="G71" t="inlineStr">
        <is>
          <t>TOT</t>
        </is>
      </c>
      <c r="H71" t="inlineStr">
        <is>
          <t>COV</t>
        </is>
      </c>
    </row>
    <row r="72">
      <c r="A72" t="n">
        <v>8</v>
      </c>
      <c r="B72" t="inlineStr">
        <is>
          <t>2026-10-24T14:00:00Z</t>
        </is>
      </c>
      <c r="C72" t="n">
        <v>1</v>
      </c>
      <c r="D72" t="n">
        <v>9</v>
      </c>
      <c r="E72" t="n">
        <v>3</v>
      </c>
      <c r="F72" t="n">
        <v>5</v>
      </c>
      <c r="G72" t="inlineStr">
        <is>
          <t>ARS</t>
        </is>
      </c>
      <c r="H72" t="inlineStr">
        <is>
          <t>EVE</t>
        </is>
      </c>
    </row>
    <row r="73">
      <c r="A73" t="n">
        <v>8</v>
      </c>
      <c r="B73" t="inlineStr">
        <is>
          <t>2026-10-24T14:00:00Z</t>
        </is>
      </c>
      <c r="C73" t="n">
        <v>2</v>
      </c>
      <c r="D73" t="n">
        <v>15</v>
      </c>
      <c r="E73" t="n">
        <v>4</v>
      </c>
      <c r="F73" t="n">
        <v>4</v>
      </c>
      <c r="G73" t="inlineStr">
        <is>
          <t>AVL</t>
        </is>
      </c>
      <c r="H73" t="inlineStr">
        <is>
          <t>MCI</t>
        </is>
      </c>
    </row>
    <row r="74">
      <c r="A74" t="n">
        <v>8</v>
      </c>
      <c r="B74" t="inlineStr">
        <is>
          <t>2026-10-24T14:00:00Z</t>
        </is>
      </c>
      <c r="C74" t="n">
        <v>6</v>
      </c>
      <c r="D74" t="n">
        <v>19</v>
      </c>
      <c r="E74" t="n">
        <v>3</v>
      </c>
      <c r="F74" t="n">
        <v>4</v>
      </c>
      <c r="G74" t="inlineStr">
        <is>
          <t>CHE</t>
        </is>
      </c>
      <c r="H74" t="inlineStr">
        <is>
          <t>TOT</t>
        </is>
      </c>
    </row>
    <row r="75">
      <c r="A75" t="n">
        <v>8</v>
      </c>
      <c r="B75" t="inlineStr">
        <is>
          <t>2026-10-24T14:00:00Z</t>
        </is>
      </c>
      <c r="C75" t="n">
        <v>7</v>
      </c>
      <c r="D75" t="n">
        <v>10</v>
      </c>
      <c r="E75" t="n">
        <v>2</v>
      </c>
      <c r="F75" t="n">
        <v>2</v>
      </c>
      <c r="G75" t="inlineStr">
        <is>
          <t>COV</t>
        </is>
      </c>
      <c r="H75" t="inlineStr">
        <is>
          <t>FUL</t>
        </is>
      </c>
    </row>
    <row r="76">
      <c r="A76" t="n">
        <v>8</v>
      </c>
      <c r="B76" t="inlineStr">
        <is>
          <t>2026-10-24T14:00:00Z</t>
        </is>
      </c>
      <c r="C76" t="n">
        <v>8</v>
      </c>
      <c r="D76" t="n">
        <v>17</v>
      </c>
      <c r="E76" t="n">
        <v>2</v>
      </c>
      <c r="F76" t="n">
        <v>3</v>
      </c>
      <c r="G76" t="inlineStr">
        <is>
          <t>CRY</t>
        </is>
      </c>
      <c r="H76" t="inlineStr">
        <is>
          <t>NEW</t>
        </is>
      </c>
    </row>
    <row r="77">
      <c r="A77" t="n">
        <v>8</v>
      </c>
      <c r="B77" t="inlineStr">
        <is>
          <t>2026-10-24T14:00:00Z</t>
        </is>
      </c>
      <c r="C77" t="n">
        <v>11</v>
      </c>
      <c r="D77" t="n">
        <v>4</v>
      </c>
      <c r="E77" t="n">
        <v>3</v>
      </c>
      <c r="F77" t="n">
        <v>2</v>
      </c>
      <c r="G77" t="inlineStr">
        <is>
          <t>HUL</t>
        </is>
      </c>
      <c r="H77" t="inlineStr">
        <is>
          <t>BRE</t>
        </is>
      </c>
    </row>
    <row r="78">
      <c r="A78" t="n">
        <v>8</v>
      </c>
      <c r="B78" t="inlineStr">
        <is>
          <t>2026-10-24T14:00:00Z</t>
        </is>
      </c>
      <c r="C78" t="n">
        <v>12</v>
      </c>
      <c r="D78" t="n">
        <v>18</v>
      </c>
      <c r="E78" t="n">
        <v>3</v>
      </c>
      <c r="F78" t="n">
        <v>2</v>
      </c>
      <c r="G78" t="inlineStr">
        <is>
          <t>IPS</t>
        </is>
      </c>
      <c r="H78" t="inlineStr">
        <is>
          <t>NFO</t>
        </is>
      </c>
    </row>
    <row r="79">
      <c r="A79" t="n">
        <v>8</v>
      </c>
      <c r="B79" t="inlineStr">
        <is>
          <t>2026-10-24T14:00:00Z</t>
        </is>
      </c>
      <c r="C79" t="n">
        <v>14</v>
      </c>
      <c r="D79" t="n">
        <v>5</v>
      </c>
      <c r="E79" t="n">
        <v>2</v>
      </c>
      <c r="F79" t="n">
        <v>4</v>
      </c>
      <c r="G79" t="inlineStr">
        <is>
          <t>LIV</t>
        </is>
      </c>
      <c r="H79" t="inlineStr">
        <is>
          <t>BHA</t>
        </is>
      </c>
    </row>
    <row r="80">
      <c r="A80" t="n">
        <v>8</v>
      </c>
      <c r="B80" t="inlineStr">
        <is>
          <t>2026-10-24T14:00:00Z</t>
        </is>
      </c>
      <c r="C80" t="n">
        <v>16</v>
      </c>
      <c r="D80" t="n">
        <v>3</v>
      </c>
      <c r="E80" t="n">
        <v>3</v>
      </c>
      <c r="F80" t="n">
        <v>4</v>
      </c>
      <c r="G80" t="inlineStr">
        <is>
          <t>MUN</t>
        </is>
      </c>
      <c r="H80" t="inlineStr">
        <is>
          <t>BOU</t>
        </is>
      </c>
    </row>
    <row r="81">
      <c r="A81" t="n">
        <v>8</v>
      </c>
      <c r="B81" t="inlineStr">
        <is>
          <t>2026-10-24T14:00:00Z</t>
        </is>
      </c>
      <c r="C81" t="n">
        <v>20</v>
      </c>
      <c r="D81" t="n">
        <v>13</v>
      </c>
      <c r="E81" t="n">
        <v>2</v>
      </c>
      <c r="F81" t="n">
        <v>3</v>
      </c>
      <c r="G81" t="inlineStr">
        <is>
          <t>SUN</t>
        </is>
      </c>
      <c r="H81" t="inlineStr">
        <is>
          <t>LEE</t>
        </is>
      </c>
    </row>
    <row r="82">
      <c r="A82" t="n">
        <v>9</v>
      </c>
      <c r="B82" t="inlineStr">
        <is>
          <t>2026-10-31T15:00:00Z</t>
        </is>
      </c>
      <c r="C82" t="n">
        <v>2</v>
      </c>
      <c r="D82" t="n">
        <v>10</v>
      </c>
      <c r="E82" t="n">
        <v>2</v>
      </c>
      <c r="F82" t="n">
        <v>4</v>
      </c>
      <c r="G82" t="inlineStr">
        <is>
          <t>AVL</t>
        </is>
      </c>
      <c r="H82" t="inlineStr">
        <is>
          <t>FUL</t>
        </is>
      </c>
    </row>
    <row r="83">
      <c r="A83" t="n">
        <v>9</v>
      </c>
      <c r="B83" t="inlineStr">
        <is>
          <t>2026-10-31T15:00:00Z</t>
        </is>
      </c>
      <c r="C83" t="n">
        <v>3</v>
      </c>
      <c r="D83" t="n">
        <v>13</v>
      </c>
      <c r="E83" t="n">
        <v>2</v>
      </c>
      <c r="F83" t="n">
        <v>3</v>
      </c>
      <c r="G83" t="inlineStr">
        <is>
          <t>BOU</t>
        </is>
      </c>
      <c r="H83" t="inlineStr">
        <is>
          <t>LEE</t>
        </is>
      </c>
    </row>
    <row r="84">
      <c r="A84" t="n">
        <v>9</v>
      </c>
      <c r="B84" t="inlineStr">
        <is>
          <t>2026-10-31T15:00:00Z</t>
        </is>
      </c>
      <c r="C84" t="n">
        <v>4</v>
      </c>
      <c r="D84" t="n">
        <v>18</v>
      </c>
      <c r="E84" t="n">
        <v>3</v>
      </c>
      <c r="F84" t="n">
        <v>3</v>
      </c>
      <c r="G84" t="inlineStr">
        <is>
          <t>BRE</t>
        </is>
      </c>
      <c r="H84" t="inlineStr">
        <is>
          <t>NFO</t>
        </is>
      </c>
    </row>
    <row r="85">
      <c r="A85" t="n">
        <v>9</v>
      </c>
      <c r="B85" t="inlineStr">
        <is>
          <t>2026-10-31T15:00:00Z</t>
        </is>
      </c>
      <c r="C85" t="n">
        <v>6</v>
      </c>
      <c r="D85" t="n">
        <v>16</v>
      </c>
      <c r="E85" t="n">
        <v>4</v>
      </c>
      <c r="F85" t="n">
        <v>4</v>
      </c>
      <c r="G85" t="inlineStr">
        <is>
          <t>CHE</t>
        </is>
      </c>
      <c r="H85" t="inlineStr">
        <is>
          <t>MUN</t>
        </is>
      </c>
    </row>
    <row r="86">
      <c r="A86" t="n">
        <v>9</v>
      </c>
      <c r="B86" t="inlineStr">
        <is>
          <t>2026-10-31T15:00:00Z</t>
        </is>
      </c>
      <c r="C86" t="n">
        <v>7</v>
      </c>
      <c r="D86" t="n">
        <v>20</v>
      </c>
      <c r="E86" t="n">
        <v>2</v>
      </c>
      <c r="F86" t="n">
        <v>2</v>
      </c>
      <c r="G86" t="inlineStr">
        <is>
          <t>COV</t>
        </is>
      </c>
      <c r="H86" t="inlineStr">
        <is>
          <t>SUN</t>
        </is>
      </c>
    </row>
    <row r="87">
      <c r="A87" t="n">
        <v>9</v>
      </c>
      <c r="B87" t="inlineStr">
        <is>
          <t>2026-10-31T15:00:00Z</t>
        </is>
      </c>
      <c r="C87" t="n">
        <v>11</v>
      </c>
      <c r="D87" t="n">
        <v>12</v>
      </c>
      <c r="E87" t="n">
        <v>2</v>
      </c>
      <c r="F87" t="n">
        <v>2</v>
      </c>
      <c r="G87" t="inlineStr">
        <is>
          <t>HUL</t>
        </is>
      </c>
      <c r="H87" t="inlineStr">
        <is>
          <t>IPS</t>
        </is>
      </c>
    </row>
    <row r="88">
      <c r="A88" t="n">
        <v>9</v>
      </c>
      <c r="B88" t="inlineStr">
        <is>
          <t>2026-10-31T15:00:00Z</t>
        </is>
      </c>
      <c r="C88" t="n">
        <v>14</v>
      </c>
      <c r="D88" t="n">
        <v>1</v>
      </c>
      <c r="E88" t="n">
        <v>4</v>
      </c>
      <c r="F88" t="n">
        <v>4</v>
      </c>
      <c r="G88" t="inlineStr">
        <is>
          <t>LIV</t>
        </is>
      </c>
      <c r="H88" t="inlineStr">
        <is>
          <t>ARS</t>
        </is>
      </c>
    </row>
    <row r="89">
      <c r="A89" t="n">
        <v>9</v>
      </c>
      <c r="B89" t="inlineStr">
        <is>
          <t>2026-10-31T15:00:00Z</t>
        </is>
      </c>
      <c r="C89" t="n">
        <v>15</v>
      </c>
      <c r="D89" t="n">
        <v>5</v>
      </c>
      <c r="E89" t="n">
        <v>2</v>
      </c>
      <c r="F89" t="n">
        <v>5</v>
      </c>
      <c r="G89" t="inlineStr">
        <is>
          <t>MCI</t>
        </is>
      </c>
      <c r="H89" t="inlineStr">
        <is>
          <t>BHA</t>
        </is>
      </c>
    </row>
    <row r="90">
      <c r="A90" t="n">
        <v>9</v>
      </c>
      <c r="B90" t="inlineStr">
        <is>
          <t>2026-10-31T15:00:00Z</t>
        </is>
      </c>
      <c r="C90" t="n">
        <v>17</v>
      </c>
      <c r="D90" t="n">
        <v>9</v>
      </c>
      <c r="E90" t="n">
        <v>3</v>
      </c>
      <c r="F90" t="n">
        <v>3</v>
      </c>
      <c r="G90" t="inlineStr">
        <is>
          <t>NEW</t>
        </is>
      </c>
      <c r="H90" t="inlineStr">
        <is>
          <t>EVE</t>
        </is>
      </c>
    </row>
    <row r="91">
      <c r="A91" t="n">
        <v>9</v>
      </c>
      <c r="B91" t="inlineStr">
        <is>
          <t>2026-10-31T15:00:00Z</t>
        </is>
      </c>
      <c r="C91" t="n">
        <v>19</v>
      </c>
      <c r="D91" t="n">
        <v>8</v>
      </c>
      <c r="E91" t="n">
        <v>3</v>
      </c>
      <c r="F91" t="n">
        <v>3</v>
      </c>
      <c r="G91" t="inlineStr">
        <is>
          <t>TOT</t>
        </is>
      </c>
      <c r="H91" t="inlineStr">
        <is>
          <t>CRY</t>
        </is>
      </c>
    </row>
    <row r="92">
      <c r="A92" t="n">
        <v>10</v>
      </c>
      <c r="B92" t="inlineStr">
        <is>
          <t>2026-11-07T15:00:00Z</t>
        </is>
      </c>
      <c r="C92" t="n">
        <v>1</v>
      </c>
      <c r="D92" t="n">
        <v>11</v>
      </c>
      <c r="E92" t="n">
        <v>2</v>
      </c>
      <c r="F92" t="n">
        <v>5</v>
      </c>
      <c r="G92" t="inlineStr">
        <is>
          <t>ARS</t>
        </is>
      </c>
      <c r="H92" t="inlineStr">
        <is>
          <t>HUL</t>
        </is>
      </c>
    </row>
    <row r="93">
      <c r="A93" t="n">
        <v>10</v>
      </c>
      <c r="B93" t="inlineStr">
        <is>
          <t>2026-11-07T15:00:00Z</t>
        </is>
      </c>
      <c r="C93" t="n">
        <v>5</v>
      </c>
      <c r="D93" t="n">
        <v>4</v>
      </c>
      <c r="E93" t="n">
        <v>3</v>
      </c>
      <c r="F93" t="n">
        <v>3</v>
      </c>
      <c r="G93" t="inlineStr">
        <is>
          <t>BHA</t>
        </is>
      </c>
      <c r="H93" t="inlineStr">
        <is>
          <t>BRE</t>
        </is>
      </c>
    </row>
    <row r="94">
      <c r="A94" t="n">
        <v>10</v>
      </c>
      <c r="B94" t="inlineStr">
        <is>
          <t>2026-11-07T15:00:00Z</t>
        </is>
      </c>
      <c r="C94" t="n">
        <v>8</v>
      </c>
      <c r="D94" t="n">
        <v>14</v>
      </c>
      <c r="E94" t="n">
        <v>4</v>
      </c>
      <c r="F94" t="n">
        <v>3</v>
      </c>
      <c r="G94" t="inlineStr">
        <is>
          <t>CRY</t>
        </is>
      </c>
      <c r="H94" t="inlineStr">
        <is>
          <t>LIV</t>
        </is>
      </c>
    </row>
    <row r="95">
      <c r="A95" t="n">
        <v>10</v>
      </c>
      <c r="B95" t="inlineStr">
        <is>
          <t>2026-11-07T15:00:00Z</t>
        </is>
      </c>
      <c r="C95" t="n">
        <v>9</v>
      </c>
      <c r="D95" t="n">
        <v>7</v>
      </c>
      <c r="E95" t="n">
        <v>2</v>
      </c>
      <c r="F95" t="n">
        <v>3</v>
      </c>
      <c r="G95" t="inlineStr">
        <is>
          <t>EVE</t>
        </is>
      </c>
      <c r="H95" t="inlineStr">
        <is>
          <t>COV</t>
        </is>
      </c>
    </row>
    <row r="96">
      <c r="A96" t="n">
        <v>10</v>
      </c>
      <c r="B96" t="inlineStr">
        <is>
          <t>2026-11-07T15:00:00Z</t>
        </is>
      </c>
      <c r="C96" t="n">
        <v>10</v>
      </c>
      <c r="D96" t="n">
        <v>17</v>
      </c>
      <c r="E96" t="n">
        <v>2</v>
      </c>
      <c r="F96" t="n">
        <v>3</v>
      </c>
      <c r="G96" t="inlineStr">
        <is>
          <t>FUL</t>
        </is>
      </c>
      <c r="H96" t="inlineStr">
        <is>
          <t>NEW</t>
        </is>
      </c>
    </row>
    <row r="97">
      <c r="A97" t="n">
        <v>10</v>
      </c>
      <c r="B97" t="inlineStr">
        <is>
          <t>2026-11-07T15:00:00Z</t>
        </is>
      </c>
      <c r="C97" t="n">
        <v>12</v>
      </c>
      <c r="D97" t="n">
        <v>3</v>
      </c>
      <c r="E97" t="n">
        <v>3</v>
      </c>
      <c r="F97" t="n">
        <v>2</v>
      </c>
      <c r="G97" t="inlineStr">
        <is>
          <t>IPS</t>
        </is>
      </c>
      <c r="H97" t="inlineStr">
        <is>
          <t>BOU</t>
        </is>
      </c>
    </row>
    <row r="98">
      <c r="A98" t="n">
        <v>10</v>
      </c>
      <c r="B98" t="inlineStr">
        <is>
          <t>2026-11-07T15:00:00Z</t>
        </is>
      </c>
      <c r="C98" t="n">
        <v>13</v>
      </c>
      <c r="D98" t="n">
        <v>19</v>
      </c>
      <c r="E98" t="n">
        <v>3</v>
      </c>
      <c r="F98" t="n">
        <v>3</v>
      </c>
      <c r="G98" t="inlineStr">
        <is>
          <t>LEE</t>
        </is>
      </c>
      <c r="H98" t="inlineStr">
        <is>
          <t>TOT</t>
        </is>
      </c>
    </row>
    <row r="99">
      <c r="A99" t="n">
        <v>10</v>
      </c>
      <c r="B99" t="inlineStr">
        <is>
          <t>2026-11-07T15:00:00Z</t>
        </is>
      </c>
      <c r="C99" t="n">
        <v>16</v>
      </c>
      <c r="D99" t="n">
        <v>2</v>
      </c>
      <c r="E99" t="n">
        <v>3</v>
      </c>
      <c r="F99" t="n">
        <v>4</v>
      </c>
      <c r="G99" t="inlineStr">
        <is>
          <t>MUN</t>
        </is>
      </c>
      <c r="H99" t="inlineStr">
        <is>
          <t>AVL</t>
        </is>
      </c>
    </row>
    <row r="100">
      <c r="A100" t="n">
        <v>10</v>
      </c>
      <c r="B100" t="inlineStr">
        <is>
          <t>2026-11-07T15:00:00Z</t>
        </is>
      </c>
      <c r="C100" t="n">
        <v>18</v>
      </c>
      <c r="D100" t="n">
        <v>15</v>
      </c>
      <c r="E100" t="n">
        <v>4</v>
      </c>
      <c r="F100" t="n">
        <v>3</v>
      </c>
      <c r="G100" t="inlineStr">
        <is>
          <t>NFO</t>
        </is>
      </c>
      <c r="H100" t="inlineStr">
        <is>
          <t>MCI</t>
        </is>
      </c>
    </row>
    <row r="101">
      <c r="A101" t="n">
        <v>10</v>
      </c>
      <c r="B101" t="inlineStr">
        <is>
          <t>2026-11-07T15:00:00Z</t>
        </is>
      </c>
      <c r="C101" t="n">
        <v>20</v>
      </c>
      <c r="D101" t="n">
        <v>6</v>
      </c>
      <c r="E101" t="n">
        <v>4</v>
      </c>
      <c r="F101" t="n">
        <v>3</v>
      </c>
      <c r="G101" t="inlineStr">
        <is>
          <t>SUN</t>
        </is>
      </c>
      <c r="H101" t="inlineStr">
        <is>
          <t>CHE</t>
        </is>
      </c>
    </row>
    <row r="102">
      <c r="A102" t="n">
        <v>11</v>
      </c>
      <c r="B102" t="inlineStr">
        <is>
          <t>2026-11-21T15:00:00Z</t>
        </is>
      </c>
      <c r="C102" t="n">
        <v>2</v>
      </c>
      <c r="D102" t="n">
        <v>20</v>
      </c>
      <c r="E102" t="n">
        <v>2</v>
      </c>
      <c r="F102" t="n">
        <v>4</v>
      </c>
      <c r="G102" t="inlineStr">
        <is>
          <t>AVL</t>
        </is>
      </c>
      <c r="H102" t="inlineStr">
        <is>
          <t>SUN</t>
        </is>
      </c>
    </row>
    <row r="103">
      <c r="A103" t="n">
        <v>11</v>
      </c>
      <c r="B103" t="inlineStr">
        <is>
          <t>2026-11-21T15:00:00Z</t>
        </is>
      </c>
      <c r="C103" t="n">
        <v>3</v>
      </c>
      <c r="D103" t="n">
        <v>18</v>
      </c>
      <c r="E103" t="n">
        <v>3</v>
      </c>
      <c r="F103" t="n">
        <v>3</v>
      </c>
      <c r="G103" t="inlineStr">
        <is>
          <t>BOU</t>
        </is>
      </c>
      <c r="H103" t="inlineStr">
        <is>
          <t>NFO</t>
        </is>
      </c>
    </row>
    <row r="104">
      <c r="A104" t="n">
        <v>11</v>
      </c>
      <c r="B104" t="inlineStr">
        <is>
          <t>2026-11-21T15:00:00Z</t>
        </is>
      </c>
      <c r="C104" t="n">
        <v>4</v>
      </c>
      <c r="D104" t="n">
        <v>9</v>
      </c>
      <c r="E104" t="n">
        <v>3</v>
      </c>
      <c r="F104" t="n">
        <v>3</v>
      </c>
      <c r="G104" t="inlineStr">
        <is>
          <t>BRE</t>
        </is>
      </c>
      <c r="H104" t="inlineStr">
        <is>
          <t>EVE</t>
        </is>
      </c>
    </row>
    <row r="105">
      <c r="A105" t="n">
        <v>11</v>
      </c>
      <c r="B105" t="inlineStr">
        <is>
          <t>2026-11-21T15:00:00Z</t>
        </is>
      </c>
      <c r="C105" t="n">
        <v>6</v>
      </c>
      <c r="D105" t="n">
        <v>13</v>
      </c>
      <c r="E105" t="n">
        <v>2</v>
      </c>
      <c r="F105" t="n">
        <v>4</v>
      </c>
      <c r="G105" t="inlineStr">
        <is>
          <t>CHE</t>
        </is>
      </c>
      <c r="H105" t="inlineStr">
        <is>
          <t>LEE</t>
        </is>
      </c>
    </row>
    <row r="106">
      <c r="A106" t="n">
        <v>11</v>
      </c>
      <c r="B106" t="inlineStr">
        <is>
          <t>2026-11-21T15:00:00Z</t>
        </is>
      </c>
      <c r="C106" t="n">
        <v>7</v>
      </c>
      <c r="D106" t="n">
        <v>8</v>
      </c>
      <c r="E106" t="n">
        <v>3</v>
      </c>
      <c r="F106" t="n">
        <v>2</v>
      </c>
      <c r="G106" t="inlineStr">
        <is>
          <t>COV</t>
        </is>
      </c>
      <c r="H106" t="inlineStr">
        <is>
          <t>CRY</t>
        </is>
      </c>
    </row>
    <row r="107">
      <c r="A107" t="n">
        <v>11</v>
      </c>
      <c r="B107" t="inlineStr">
        <is>
          <t>2026-11-21T15:00:00Z</t>
        </is>
      </c>
      <c r="C107" t="n">
        <v>11</v>
      </c>
      <c r="D107" t="n">
        <v>5</v>
      </c>
      <c r="E107" t="n">
        <v>2</v>
      </c>
      <c r="F107" t="n">
        <v>2</v>
      </c>
      <c r="G107" t="inlineStr">
        <is>
          <t>HUL</t>
        </is>
      </c>
      <c r="H107" t="inlineStr">
        <is>
          <t>BHA</t>
        </is>
      </c>
    </row>
    <row r="108">
      <c r="A108" t="n">
        <v>11</v>
      </c>
      <c r="B108" t="inlineStr">
        <is>
          <t>2026-11-21T15:00:00Z</t>
        </is>
      </c>
      <c r="C108" t="n">
        <v>14</v>
      </c>
      <c r="D108" t="n">
        <v>16</v>
      </c>
      <c r="E108" t="n">
        <v>4</v>
      </c>
      <c r="F108" t="n">
        <v>4</v>
      </c>
      <c r="G108" t="inlineStr">
        <is>
          <t>LIV</t>
        </is>
      </c>
      <c r="H108" t="inlineStr">
        <is>
          <t>MUN</t>
        </is>
      </c>
    </row>
    <row r="109">
      <c r="A109" t="n">
        <v>11</v>
      </c>
      <c r="B109" t="inlineStr">
        <is>
          <t>2026-11-21T15:00:00Z</t>
        </is>
      </c>
      <c r="C109" t="n">
        <v>15</v>
      </c>
      <c r="D109" t="n">
        <v>10</v>
      </c>
      <c r="E109" t="n">
        <v>2</v>
      </c>
      <c r="F109" t="n">
        <v>5</v>
      </c>
      <c r="G109" t="inlineStr">
        <is>
          <t>MCI</t>
        </is>
      </c>
      <c r="H109" t="inlineStr">
        <is>
          <t>FUL</t>
        </is>
      </c>
    </row>
    <row r="110">
      <c r="A110" t="n">
        <v>11</v>
      </c>
      <c r="B110" t="inlineStr">
        <is>
          <t>2026-11-21T15:00:00Z</t>
        </is>
      </c>
      <c r="C110" t="n">
        <v>17</v>
      </c>
      <c r="D110" t="n">
        <v>1</v>
      </c>
      <c r="E110" t="n">
        <v>4</v>
      </c>
      <c r="F110" t="n">
        <v>3</v>
      </c>
      <c r="G110" t="inlineStr">
        <is>
          <t>NEW</t>
        </is>
      </c>
      <c r="H110" t="inlineStr">
        <is>
          <t>ARS</t>
        </is>
      </c>
    </row>
    <row r="111">
      <c r="A111" t="n">
        <v>11</v>
      </c>
      <c r="B111" t="inlineStr">
        <is>
          <t>2026-11-21T15:00:00Z</t>
        </is>
      </c>
      <c r="C111" t="n">
        <v>19</v>
      </c>
      <c r="D111" t="n">
        <v>12</v>
      </c>
      <c r="E111" t="n">
        <v>2</v>
      </c>
      <c r="F111" t="n">
        <v>3</v>
      </c>
      <c r="G111" t="inlineStr">
        <is>
          <t>TOT</t>
        </is>
      </c>
      <c r="H111" t="inlineStr">
        <is>
          <t>IPS</t>
        </is>
      </c>
    </row>
    <row r="112">
      <c r="A112" t="n">
        <v>12</v>
      </c>
      <c r="B112" t="inlineStr">
        <is>
          <t>2026-11-28T15:00:00Z</t>
        </is>
      </c>
      <c r="C112" t="n">
        <v>1</v>
      </c>
      <c r="D112" t="n">
        <v>15</v>
      </c>
      <c r="E112" t="n">
        <v>4</v>
      </c>
      <c r="F112" t="n">
        <v>5</v>
      </c>
      <c r="G112" t="inlineStr">
        <is>
          <t>ARS</t>
        </is>
      </c>
      <c r="H112" t="inlineStr">
        <is>
          <t>MCI</t>
        </is>
      </c>
    </row>
    <row r="113">
      <c r="A113" t="n">
        <v>12</v>
      </c>
      <c r="B113" t="inlineStr">
        <is>
          <t>2026-11-28T15:00:00Z</t>
        </is>
      </c>
      <c r="C113" t="n">
        <v>5</v>
      </c>
      <c r="D113" t="n">
        <v>17</v>
      </c>
      <c r="E113" t="n">
        <v>2</v>
      </c>
      <c r="F113" t="n">
        <v>3</v>
      </c>
      <c r="G113" t="inlineStr">
        <is>
          <t>BHA</t>
        </is>
      </c>
      <c r="H113" t="inlineStr">
        <is>
          <t>NEW</t>
        </is>
      </c>
    </row>
    <row r="114">
      <c r="A114" t="n">
        <v>12</v>
      </c>
      <c r="B114" t="inlineStr">
        <is>
          <t>2026-11-28T15:00:00Z</t>
        </is>
      </c>
      <c r="C114" t="n">
        <v>8</v>
      </c>
      <c r="D114" t="n">
        <v>11</v>
      </c>
      <c r="E114" t="n">
        <v>2</v>
      </c>
      <c r="F114" t="n">
        <v>3</v>
      </c>
      <c r="G114" t="inlineStr">
        <is>
          <t>CRY</t>
        </is>
      </c>
      <c r="H114" t="inlineStr">
        <is>
          <t>HUL</t>
        </is>
      </c>
    </row>
    <row r="115">
      <c r="A115" t="n">
        <v>12</v>
      </c>
      <c r="B115" t="inlineStr">
        <is>
          <t>2026-11-28T15:00:00Z</t>
        </is>
      </c>
      <c r="C115" t="n">
        <v>9</v>
      </c>
      <c r="D115" t="n">
        <v>14</v>
      </c>
      <c r="E115" t="n">
        <v>4</v>
      </c>
      <c r="F115" t="n">
        <v>3</v>
      </c>
      <c r="G115" t="inlineStr">
        <is>
          <t>EVE</t>
        </is>
      </c>
      <c r="H115" t="inlineStr">
        <is>
          <t>LIV</t>
        </is>
      </c>
    </row>
    <row r="116">
      <c r="A116" t="n">
        <v>12</v>
      </c>
      <c r="B116" t="inlineStr">
        <is>
          <t>2026-11-28T15:00:00Z</t>
        </is>
      </c>
      <c r="C116" t="n">
        <v>10</v>
      </c>
      <c r="D116" t="n">
        <v>3</v>
      </c>
      <c r="E116" t="n">
        <v>3</v>
      </c>
      <c r="F116" t="n">
        <v>3</v>
      </c>
      <c r="G116" t="inlineStr">
        <is>
          <t>FUL</t>
        </is>
      </c>
      <c r="H116" t="inlineStr">
        <is>
          <t>BOU</t>
        </is>
      </c>
    </row>
    <row r="117">
      <c r="A117" t="n">
        <v>12</v>
      </c>
      <c r="B117" t="inlineStr">
        <is>
          <t>2026-11-28T15:00:00Z</t>
        </is>
      </c>
      <c r="C117" t="n">
        <v>12</v>
      </c>
      <c r="D117" t="n">
        <v>2</v>
      </c>
      <c r="E117" t="n">
        <v>3</v>
      </c>
      <c r="F117" t="n">
        <v>2</v>
      </c>
      <c r="G117" t="inlineStr">
        <is>
          <t>IPS</t>
        </is>
      </c>
      <c r="H117" t="inlineStr">
        <is>
          <t>AVL</t>
        </is>
      </c>
    </row>
    <row r="118">
      <c r="A118" t="n">
        <v>12</v>
      </c>
      <c r="B118" t="inlineStr">
        <is>
          <t>2026-11-28T15:00:00Z</t>
        </is>
      </c>
      <c r="C118" t="n">
        <v>13</v>
      </c>
      <c r="D118" t="n">
        <v>7</v>
      </c>
      <c r="E118" t="n">
        <v>2</v>
      </c>
      <c r="F118" t="n">
        <v>3</v>
      </c>
      <c r="G118" t="inlineStr">
        <is>
          <t>LEE</t>
        </is>
      </c>
      <c r="H118" t="inlineStr">
        <is>
          <t>COV</t>
        </is>
      </c>
    </row>
    <row r="119">
      <c r="A119" t="n">
        <v>12</v>
      </c>
      <c r="B119" t="inlineStr">
        <is>
          <t>2026-11-28T15:00:00Z</t>
        </is>
      </c>
      <c r="C119" t="n">
        <v>16</v>
      </c>
      <c r="D119" t="n">
        <v>4</v>
      </c>
      <c r="E119" t="n">
        <v>3</v>
      </c>
      <c r="F119" t="n">
        <v>4</v>
      </c>
      <c r="G119" t="inlineStr">
        <is>
          <t>MUN</t>
        </is>
      </c>
      <c r="H119" t="inlineStr">
        <is>
          <t>BRE</t>
        </is>
      </c>
    </row>
    <row r="120">
      <c r="A120" t="n">
        <v>12</v>
      </c>
      <c r="B120" t="inlineStr">
        <is>
          <t>2026-11-28T15:00:00Z</t>
        </is>
      </c>
      <c r="C120" t="n">
        <v>18</v>
      </c>
      <c r="D120" t="n">
        <v>6</v>
      </c>
      <c r="E120" t="n">
        <v>4</v>
      </c>
      <c r="F120" t="n">
        <v>3</v>
      </c>
      <c r="G120" t="inlineStr">
        <is>
          <t>NFO</t>
        </is>
      </c>
      <c r="H120" t="inlineStr">
        <is>
          <t>CHE</t>
        </is>
      </c>
    </row>
    <row r="121">
      <c r="A121" t="n">
        <v>12</v>
      </c>
      <c r="B121" t="inlineStr">
        <is>
          <t>2026-11-28T15:00:00Z</t>
        </is>
      </c>
      <c r="C121" t="n">
        <v>20</v>
      </c>
      <c r="D121" t="n">
        <v>19</v>
      </c>
      <c r="E121" t="n">
        <v>3</v>
      </c>
      <c r="F121" t="n">
        <v>3</v>
      </c>
      <c r="G121" t="inlineStr">
        <is>
          <t>SUN</t>
        </is>
      </c>
      <c r="H121" t="inlineStr">
        <is>
          <t>TOT</t>
        </is>
      </c>
    </row>
    <row r="122">
      <c r="A122" t="n">
        <v>13</v>
      </c>
      <c r="B122" t="inlineStr">
        <is>
          <t>2026-12-02T20:00:00Z</t>
        </is>
      </c>
      <c r="C122" t="n">
        <v>2</v>
      </c>
      <c r="D122" t="n">
        <v>9</v>
      </c>
      <c r="E122" t="n">
        <v>3</v>
      </c>
      <c r="F122" t="n">
        <v>4</v>
      </c>
      <c r="G122" t="inlineStr">
        <is>
          <t>AVL</t>
        </is>
      </c>
      <c r="H122" t="inlineStr">
        <is>
          <t>EVE</t>
        </is>
      </c>
    </row>
    <row r="123">
      <c r="A123" t="n">
        <v>13</v>
      </c>
      <c r="B123" t="inlineStr">
        <is>
          <t>2026-12-02T20:00:00Z</t>
        </is>
      </c>
      <c r="C123" t="n">
        <v>3</v>
      </c>
      <c r="D123" t="n">
        <v>5</v>
      </c>
      <c r="E123" t="n">
        <v>2</v>
      </c>
      <c r="F123" t="n">
        <v>3</v>
      </c>
      <c r="G123" t="inlineStr">
        <is>
          <t>BOU</t>
        </is>
      </c>
      <c r="H123" t="inlineStr">
        <is>
          <t>BHA</t>
        </is>
      </c>
    </row>
    <row r="124">
      <c r="A124" t="n">
        <v>13</v>
      </c>
      <c r="B124" t="inlineStr">
        <is>
          <t>2026-12-02T20:00:00Z</t>
        </is>
      </c>
      <c r="C124" t="n">
        <v>4</v>
      </c>
      <c r="D124" t="n">
        <v>1</v>
      </c>
      <c r="E124" t="n">
        <v>4</v>
      </c>
      <c r="F124" t="n">
        <v>3</v>
      </c>
      <c r="G124" t="inlineStr">
        <is>
          <t>BRE</t>
        </is>
      </c>
      <c r="H124" t="inlineStr">
        <is>
          <t>ARS</t>
        </is>
      </c>
    </row>
    <row r="125">
      <c r="A125" t="n">
        <v>13</v>
      </c>
      <c r="B125" t="inlineStr">
        <is>
          <t>2026-12-02T20:00:00Z</t>
        </is>
      </c>
      <c r="C125" t="n">
        <v>6</v>
      </c>
      <c r="D125" t="n">
        <v>8</v>
      </c>
      <c r="E125" t="n">
        <v>3</v>
      </c>
      <c r="F125" t="n">
        <v>4</v>
      </c>
      <c r="G125" t="inlineStr">
        <is>
          <t>CHE</t>
        </is>
      </c>
      <c r="H125" t="inlineStr">
        <is>
          <t>CRY</t>
        </is>
      </c>
    </row>
    <row r="126">
      <c r="A126" t="n">
        <v>13</v>
      </c>
      <c r="B126" t="inlineStr">
        <is>
          <t>2026-12-02T20:00:00Z</t>
        </is>
      </c>
      <c r="C126" t="n">
        <v>7</v>
      </c>
      <c r="D126" t="n">
        <v>12</v>
      </c>
      <c r="E126" t="n">
        <v>2</v>
      </c>
      <c r="F126" t="n">
        <v>2</v>
      </c>
      <c r="G126" t="inlineStr">
        <is>
          <t>COV</t>
        </is>
      </c>
      <c r="H126" t="inlineStr">
        <is>
          <t>IPS</t>
        </is>
      </c>
    </row>
    <row r="127">
      <c r="A127" t="n">
        <v>13</v>
      </c>
      <c r="B127" t="inlineStr">
        <is>
          <t>2026-12-02T20:00:00Z</t>
        </is>
      </c>
      <c r="C127" t="n">
        <v>11</v>
      </c>
      <c r="D127" t="n">
        <v>18</v>
      </c>
      <c r="E127" t="n">
        <v>3</v>
      </c>
      <c r="F127" t="n">
        <v>2</v>
      </c>
      <c r="G127" t="inlineStr">
        <is>
          <t>HUL</t>
        </is>
      </c>
      <c r="H127" t="inlineStr">
        <is>
          <t>NFO</t>
        </is>
      </c>
    </row>
    <row r="128">
      <c r="A128" t="n">
        <v>13</v>
      </c>
      <c r="B128" t="inlineStr">
        <is>
          <t>2026-12-02T20:00:00Z</t>
        </is>
      </c>
      <c r="C128" t="n">
        <v>14</v>
      </c>
      <c r="D128" t="n">
        <v>20</v>
      </c>
      <c r="E128" t="n">
        <v>2</v>
      </c>
      <c r="F128" t="n">
        <v>4</v>
      </c>
      <c r="G128" t="inlineStr">
        <is>
          <t>LIV</t>
        </is>
      </c>
      <c r="H128" t="inlineStr">
        <is>
          <t>SUN</t>
        </is>
      </c>
    </row>
    <row r="129">
      <c r="A129" t="n">
        <v>13</v>
      </c>
      <c r="B129" t="inlineStr">
        <is>
          <t>2026-12-02T20:00:00Z</t>
        </is>
      </c>
      <c r="C129" t="n">
        <v>15</v>
      </c>
      <c r="D129" t="n">
        <v>13</v>
      </c>
      <c r="E129" t="n">
        <v>2</v>
      </c>
      <c r="F129" t="n">
        <v>5</v>
      </c>
      <c r="G129" t="inlineStr">
        <is>
          <t>MCI</t>
        </is>
      </c>
      <c r="H129" t="inlineStr">
        <is>
          <t>LEE</t>
        </is>
      </c>
    </row>
    <row r="130">
      <c r="A130" t="n">
        <v>13</v>
      </c>
      <c r="B130" t="inlineStr">
        <is>
          <t>2026-12-02T20:00:00Z</t>
        </is>
      </c>
      <c r="C130" t="n">
        <v>17</v>
      </c>
      <c r="D130" t="n">
        <v>16</v>
      </c>
      <c r="E130" t="n">
        <v>4</v>
      </c>
      <c r="F130" t="n">
        <v>3</v>
      </c>
      <c r="G130" t="inlineStr">
        <is>
          <t>NEW</t>
        </is>
      </c>
      <c r="H130" t="inlineStr">
        <is>
          <t>MUN</t>
        </is>
      </c>
    </row>
    <row r="131">
      <c r="A131" t="n">
        <v>13</v>
      </c>
      <c r="B131" t="inlineStr">
        <is>
          <t>2026-12-02T20:00:00Z</t>
        </is>
      </c>
      <c r="C131" t="n">
        <v>19</v>
      </c>
      <c r="D131" t="n">
        <v>10</v>
      </c>
      <c r="E131" t="n">
        <v>2</v>
      </c>
      <c r="F131" t="n">
        <v>3</v>
      </c>
      <c r="G131" t="inlineStr">
        <is>
          <t>TOT</t>
        </is>
      </c>
      <c r="H131" t="inlineStr">
        <is>
          <t>FUL</t>
        </is>
      </c>
    </row>
    <row r="132">
      <c r="A132" t="n">
        <v>14</v>
      </c>
      <c r="B132" t="inlineStr">
        <is>
          <t>2026-12-05T15:00:00Z</t>
        </is>
      </c>
      <c r="C132" t="n">
        <v>2</v>
      </c>
      <c r="D132" t="n">
        <v>8</v>
      </c>
      <c r="E132" t="n">
        <v>3</v>
      </c>
      <c r="F132" t="n">
        <v>4</v>
      </c>
      <c r="G132" t="inlineStr">
        <is>
          <t>AVL</t>
        </is>
      </c>
      <c r="H132" t="inlineStr">
        <is>
          <t>CRY</t>
        </is>
      </c>
    </row>
    <row r="133">
      <c r="A133" t="n">
        <v>14</v>
      </c>
      <c r="B133" t="inlineStr">
        <is>
          <t>2026-12-05T15:00:00Z</t>
        </is>
      </c>
      <c r="C133" t="n">
        <v>3</v>
      </c>
      <c r="D133" t="n">
        <v>11</v>
      </c>
      <c r="E133" t="n">
        <v>2</v>
      </c>
      <c r="F133" t="n">
        <v>3</v>
      </c>
      <c r="G133" t="inlineStr">
        <is>
          <t>BOU</t>
        </is>
      </c>
      <c r="H133" t="inlineStr">
        <is>
          <t>HUL</t>
        </is>
      </c>
    </row>
    <row r="134">
      <c r="A134" t="n">
        <v>14</v>
      </c>
      <c r="B134" t="inlineStr">
        <is>
          <t>2026-12-05T15:00:00Z</t>
        </is>
      </c>
      <c r="C134" t="n">
        <v>4</v>
      </c>
      <c r="D134" t="n">
        <v>15</v>
      </c>
      <c r="E134" t="n">
        <v>4</v>
      </c>
      <c r="F134" t="n">
        <v>3</v>
      </c>
      <c r="G134" t="inlineStr">
        <is>
          <t>BRE</t>
        </is>
      </c>
      <c r="H134" t="inlineStr">
        <is>
          <t>MCI</t>
        </is>
      </c>
    </row>
    <row r="135">
      <c r="A135" t="n">
        <v>14</v>
      </c>
      <c r="B135" t="inlineStr">
        <is>
          <t>2026-12-05T15:00:00Z</t>
        </is>
      </c>
      <c r="C135" t="n">
        <v>6</v>
      </c>
      <c r="D135" t="n">
        <v>14</v>
      </c>
      <c r="E135" t="n">
        <v>4</v>
      </c>
      <c r="F135" t="n">
        <v>4</v>
      </c>
      <c r="G135" t="inlineStr">
        <is>
          <t>CHE</t>
        </is>
      </c>
      <c r="H135" t="inlineStr">
        <is>
          <t>LIV</t>
        </is>
      </c>
    </row>
    <row r="136">
      <c r="A136" t="n">
        <v>14</v>
      </c>
      <c r="B136" t="inlineStr">
        <is>
          <t>2026-12-05T15:00:00Z</t>
        </is>
      </c>
      <c r="C136" t="n">
        <v>9</v>
      </c>
      <c r="D136" t="n">
        <v>10</v>
      </c>
      <c r="E136" t="n">
        <v>2</v>
      </c>
      <c r="F136" t="n">
        <v>3</v>
      </c>
      <c r="G136" t="inlineStr">
        <is>
          <t>EVE</t>
        </is>
      </c>
      <c r="H136" t="inlineStr">
        <is>
          <t>FUL</t>
        </is>
      </c>
    </row>
    <row r="137">
      <c r="A137" t="n">
        <v>14</v>
      </c>
      <c r="B137" t="inlineStr">
        <is>
          <t>2026-12-05T15:00:00Z</t>
        </is>
      </c>
      <c r="C137" t="n">
        <v>13</v>
      </c>
      <c r="D137" t="n">
        <v>12</v>
      </c>
      <c r="E137" t="n">
        <v>2</v>
      </c>
      <c r="F137" t="n">
        <v>3</v>
      </c>
      <c r="G137" t="inlineStr">
        <is>
          <t>LEE</t>
        </is>
      </c>
      <c r="H137" t="inlineStr">
        <is>
          <t>IPS</t>
        </is>
      </c>
    </row>
    <row r="138">
      <c r="A138" t="n">
        <v>14</v>
      </c>
      <c r="B138" t="inlineStr">
        <is>
          <t>2026-12-05T15:00:00Z</t>
        </is>
      </c>
      <c r="C138" t="n">
        <v>16</v>
      </c>
      <c r="D138" t="n">
        <v>7</v>
      </c>
      <c r="E138" t="n">
        <v>2</v>
      </c>
      <c r="F138" t="n">
        <v>4</v>
      </c>
      <c r="G138" t="inlineStr">
        <is>
          <t>MUN</t>
        </is>
      </c>
      <c r="H138" t="inlineStr">
        <is>
          <t>COV</t>
        </is>
      </c>
    </row>
    <row r="139">
      <c r="A139" t="n">
        <v>14</v>
      </c>
      <c r="B139" t="inlineStr">
        <is>
          <t>2026-12-05T15:00:00Z</t>
        </is>
      </c>
      <c r="C139" t="n">
        <v>17</v>
      </c>
      <c r="D139" t="n">
        <v>20</v>
      </c>
      <c r="E139" t="n">
        <v>2</v>
      </c>
      <c r="F139" t="n">
        <v>3</v>
      </c>
      <c r="G139" t="inlineStr">
        <is>
          <t>NEW</t>
        </is>
      </c>
      <c r="H139" t="inlineStr">
        <is>
          <t>SUN</t>
        </is>
      </c>
    </row>
    <row r="140">
      <c r="A140" t="n">
        <v>14</v>
      </c>
      <c r="B140" t="inlineStr">
        <is>
          <t>2026-12-05T15:00:00Z</t>
        </is>
      </c>
      <c r="C140" t="n">
        <v>18</v>
      </c>
      <c r="D140" t="n">
        <v>5</v>
      </c>
      <c r="E140" t="n">
        <v>2</v>
      </c>
      <c r="F140" t="n">
        <v>3</v>
      </c>
      <c r="G140" t="inlineStr">
        <is>
          <t>NFO</t>
        </is>
      </c>
      <c r="H140" t="inlineStr">
        <is>
          <t>BHA</t>
        </is>
      </c>
    </row>
    <row r="141">
      <c r="A141" t="n">
        <v>14</v>
      </c>
      <c r="B141" t="inlineStr">
        <is>
          <t>2026-12-05T15:00:00Z</t>
        </is>
      </c>
      <c r="C141" t="n">
        <v>19</v>
      </c>
      <c r="D141" t="n">
        <v>1</v>
      </c>
      <c r="E141" t="n">
        <v>4</v>
      </c>
      <c r="F141" t="n">
        <v>3</v>
      </c>
      <c r="G141" t="inlineStr">
        <is>
          <t>TOT</t>
        </is>
      </c>
      <c r="H141" t="inlineStr">
        <is>
          <t>ARS</t>
        </is>
      </c>
    </row>
    <row r="142">
      <c r="A142" t="n">
        <v>15</v>
      </c>
      <c r="B142" t="inlineStr">
        <is>
          <t>2026-12-12T15:00:00Z</t>
        </is>
      </c>
      <c r="C142" t="n">
        <v>1</v>
      </c>
      <c r="D142" t="n">
        <v>3</v>
      </c>
      <c r="E142" t="n">
        <v>3</v>
      </c>
      <c r="F142" t="n">
        <v>5</v>
      </c>
      <c r="G142" t="inlineStr">
        <is>
          <t>ARS</t>
        </is>
      </c>
      <c r="H142" t="inlineStr">
        <is>
          <t>BOU</t>
        </is>
      </c>
    </row>
    <row r="143">
      <c r="A143" t="n">
        <v>15</v>
      </c>
      <c r="B143" t="inlineStr">
        <is>
          <t>2026-12-12T15:00:00Z</t>
        </is>
      </c>
      <c r="C143" t="n">
        <v>5</v>
      </c>
      <c r="D143" t="n">
        <v>9</v>
      </c>
      <c r="E143" t="n">
        <v>3</v>
      </c>
      <c r="F143" t="n">
        <v>3</v>
      </c>
      <c r="G143" t="inlineStr">
        <is>
          <t>BHA</t>
        </is>
      </c>
      <c r="H143" t="inlineStr">
        <is>
          <t>EVE</t>
        </is>
      </c>
    </row>
    <row r="144">
      <c r="A144" t="n">
        <v>15</v>
      </c>
      <c r="B144" t="inlineStr">
        <is>
          <t>2026-12-12T15:00:00Z</t>
        </is>
      </c>
      <c r="C144" t="n">
        <v>7</v>
      </c>
      <c r="D144" t="n">
        <v>2</v>
      </c>
      <c r="E144" t="n">
        <v>3</v>
      </c>
      <c r="F144" t="n">
        <v>2</v>
      </c>
      <c r="G144" t="inlineStr">
        <is>
          <t>COV</t>
        </is>
      </c>
      <c r="H144" t="inlineStr">
        <is>
          <t>AVL</t>
        </is>
      </c>
    </row>
    <row r="145">
      <c r="A145" t="n">
        <v>15</v>
      </c>
      <c r="B145" t="inlineStr">
        <is>
          <t>2026-12-12T15:00:00Z</t>
        </is>
      </c>
      <c r="C145" t="n">
        <v>8</v>
      </c>
      <c r="D145" t="n">
        <v>16</v>
      </c>
      <c r="E145" t="n">
        <v>4</v>
      </c>
      <c r="F145" t="n">
        <v>3</v>
      </c>
      <c r="G145" t="inlineStr">
        <is>
          <t>CRY</t>
        </is>
      </c>
      <c r="H145" t="inlineStr">
        <is>
          <t>MUN</t>
        </is>
      </c>
    </row>
    <row r="146">
      <c r="A146" t="n">
        <v>15</v>
      </c>
      <c r="B146" t="inlineStr">
        <is>
          <t>2026-12-12T15:00:00Z</t>
        </is>
      </c>
      <c r="C146" t="n">
        <v>10</v>
      </c>
      <c r="D146" t="n">
        <v>4</v>
      </c>
      <c r="E146" t="n">
        <v>3</v>
      </c>
      <c r="F146" t="n">
        <v>3</v>
      </c>
      <c r="G146" t="inlineStr">
        <is>
          <t>FUL</t>
        </is>
      </c>
      <c r="H146" t="inlineStr">
        <is>
          <t>BRE</t>
        </is>
      </c>
    </row>
    <row r="147">
      <c r="A147" t="n">
        <v>15</v>
      </c>
      <c r="B147" t="inlineStr">
        <is>
          <t>2026-12-12T15:00:00Z</t>
        </is>
      </c>
      <c r="C147" t="n">
        <v>11</v>
      </c>
      <c r="D147" t="n">
        <v>19</v>
      </c>
      <c r="E147" t="n">
        <v>3</v>
      </c>
      <c r="F147" t="n">
        <v>2</v>
      </c>
      <c r="G147" t="inlineStr">
        <is>
          <t>HUL</t>
        </is>
      </c>
      <c r="H147" t="inlineStr">
        <is>
          <t>TOT</t>
        </is>
      </c>
    </row>
    <row r="148">
      <c r="A148" t="n">
        <v>15</v>
      </c>
      <c r="B148" t="inlineStr">
        <is>
          <t>2026-12-12T15:00:00Z</t>
        </is>
      </c>
      <c r="C148" t="n">
        <v>12</v>
      </c>
      <c r="D148" t="n">
        <v>17</v>
      </c>
      <c r="E148" t="n">
        <v>2</v>
      </c>
      <c r="F148" t="n">
        <v>2</v>
      </c>
      <c r="G148" t="inlineStr">
        <is>
          <t>IPS</t>
        </is>
      </c>
      <c r="H148" t="inlineStr">
        <is>
          <t>NEW</t>
        </is>
      </c>
    </row>
    <row r="149">
      <c r="A149" t="n">
        <v>15</v>
      </c>
      <c r="B149" t="inlineStr">
        <is>
          <t>2026-12-12T15:00:00Z</t>
        </is>
      </c>
      <c r="C149" t="n">
        <v>14</v>
      </c>
      <c r="D149" t="n">
        <v>13</v>
      </c>
      <c r="E149" t="n">
        <v>2</v>
      </c>
      <c r="F149" t="n">
        <v>4</v>
      </c>
      <c r="G149" t="inlineStr">
        <is>
          <t>LIV</t>
        </is>
      </c>
      <c r="H149" t="inlineStr">
        <is>
          <t>LEE</t>
        </is>
      </c>
    </row>
    <row r="150">
      <c r="A150" t="n">
        <v>15</v>
      </c>
      <c r="B150" t="inlineStr">
        <is>
          <t>2026-12-12T15:00:00Z</t>
        </is>
      </c>
      <c r="C150" t="n">
        <v>15</v>
      </c>
      <c r="D150" t="n">
        <v>6</v>
      </c>
      <c r="E150" t="n">
        <v>4</v>
      </c>
      <c r="F150" t="n">
        <v>5</v>
      </c>
      <c r="G150" t="inlineStr">
        <is>
          <t>MCI</t>
        </is>
      </c>
      <c r="H150" t="inlineStr">
        <is>
          <t>CHE</t>
        </is>
      </c>
    </row>
    <row r="151">
      <c r="A151" t="n">
        <v>15</v>
      </c>
      <c r="B151" t="inlineStr">
        <is>
          <t>2026-12-12T15:00:00Z</t>
        </is>
      </c>
      <c r="C151" t="n">
        <v>20</v>
      </c>
      <c r="D151" t="n">
        <v>18</v>
      </c>
      <c r="E151" t="n">
        <v>3</v>
      </c>
      <c r="F151" t="n">
        <v>3</v>
      </c>
      <c r="G151" t="inlineStr">
        <is>
          <t>SUN</t>
        </is>
      </c>
      <c r="H151" t="inlineStr">
        <is>
          <t>NFO</t>
        </is>
      </c>
    </row>
    <row r="152">
      <c r="A152" t="n">
        <v>16</v>
      </c>
      <c r="B152" t="inlineStr">
        <is>
          <t>2026-12-19T15:00:00Z</t>
        </is>
      </c>
      <c r="C152" t="n">
        <v>1</v>
      </c>
      <c r="D152" t="n">
        <v>16</v>
      </c>
      <c r="E152" t="n">
        <v>4</v>
      </c>
      <c r="F152" t="n">
        <v>5</v>
      </c>
      <c r="G152" t="inlineStr">
        <is>
          <t>ARS</t>
        </is>
      </c>
      <c r="H152" t="inlineStr">
        <is>
          <t>MUN</t>
        </is>
      </c>
    </row>
    <row r="153">
      <c r="A153" t="n">
        <v>16</v>
      </c>
      <c r="B153" t="inlineStr">
        <is>
          <t>2026-12-19T15:00:00Z</t>
        </is>
      </c>
      <c r="C153" t="n">
        <v>3</v>
      </c>
      <c r="D153" t="n">
        <v>7</v>
      </c>
      <c r="E153" t="n">
        <v>2</v>
      </c>
      <c r="F153" t="n">
        <v>3</v>
      </c>
      <c r="G153" t="inlineStr">
        <is>
          <t>BOU</t>
        </is>
      </c>
      <c r="H153" t="inlineStr">
        <is>
          <t>COV</t>
        </is>
      </c>
    </row>
    <row r="154">
      <c r="A154" t="n">
        <v>16</v>
      </c>
      <c r="B154" t="inlineStr">
        <is>
          <t>2026-12-19T15:00:00Z</t>
        </is>
      </c>
      <c r="C154" t="n">
        <v>4</v>
      </c>
      <c r="D154" t="n">
        <v>17</v>
      </c>
      <c r="E154" t="n">
        <v>2</v>
      </c>
      <c r="F154" t="n">
        <v>3</v>
      </c>
      <c r="G154" t="inlineStr">
        <is>
          <t>BRE</t>
        </is>
      </c>
      <c r="H154" t="inlineStr">
        <is>
          <t>NEW</t>
        </is>
      </c>
    </row>
    <row r="155">
      <c r="A155" t="n">
        <v>16</v>
      </c>
      <c r="B155" t="inlineStr">
        <is>
          <t>2026-12-19T15:00:00Z</t>
        </is>
      </c>
      <c r="C155" t="n">
        <v>5</v>
      </c>
      <c r="D155" t="n">
        <v>12</v>
      </c>
      <c r="E155" t="n">
        <v>2</v>
      </c>
      <c r="F155" t="n">
        <v>3</v>
      </c>
      <c r="G155" t="inlineStr">
        <is>
          <t>BHA</t>
        </is>
      </c>
      <c r="H155" t="inlineStr">
        <is>
          <t>IPS</t>
        </is>
      </c>
    </row>
    <row r="156">
      <c r="A156" t="n">
        <v>16</v>
      </c>
      <c r="B156" t="inlineStr">
        <is>
          <t>2026-12-19T15:00:00Z</t>
        </is>
      </c>
      <c r="C156" t="n">
        <v>6</v>
      </c>
      <c r="D156" t="n">
        <v>2</v>
      </c>
      <c r="E156" t="n">
        <v>3</v>
      </c>
      <c r="F156" t="n">
        <v>4</v>
      </c>
      <c r="G156" t="inlineStr">
        <is>
          <t>CHE</t>
        </is>
      </c>
      <c r="H156" t="inlineStr">
        <is>
          <t>AVL</t>
        </is>
      </c>
    </row>
    <row r="157">
      <c r="A157" t="n">
        <v>16</v>
      </c>
      <c r="B157" t="inlineStr">
        <is>
          <t>2026-12-19T15:00:00Z</t>
        </is>
      </c>
      <c r="C157" t="n">
        <v>13</v>
      </c>
      <c r="D157" t="n">
        <v>10</v>
      </c>
      <c r="E157" t="n">
        <v>2</v>
      </c>
      <c r="F157" t="n">
        <v>3</v>
      </c>
      <c r="G157" t="inlineStr">
        <is>
          <t>LEE</t>
        </is>
      </c>
      <c r="H157" t="inlineStr">
        <is>
          <t>FUL</t>
        </is>
      </c>
    </row>
    <row r="158">
      <c r="A158" t="n">
        <v>16</v>
      </c>
      <c r="B158" t="inlineStr">
        <is>
          <t>2026-12-19T15:00:00Z</t>
        </is>
      </c>
      <c r="C158" t="n">
        <v>14</v>
      </c>
      <c r="D158" t="n">
        <v>19</v>
      </c>
      <c r="E158" t="n">
        <v>3</v>
      </c>
      <c r="F158" t="n">
        <v>4</v>
      </c>
      <c r="G158" t="inlineStr">
        <is>
          <t>LIV</t>
        </is>
      </c>
      <c r="H158" t="inlineStr">
        <is>
          <t>TOT</t>
        </is>
      </c>
    </row>
    <row r="159">
      <c r="A159" t="n">
        <v>16</v>
      </c>
      <c r="B159" t="inlineStr">
        <is>
          <t>2026-12-19T15:00:00Z</t>
        </is>
      </c>
      <c r="C159" t="n">
        <v>15</v>
      </c>
      <c r="D159" t="n">
        <v>11</v>
      </c>
      <c r="E159" t="n">
        <v>2</v>
      </c>
      <c r="F159" t="n">
        <v>5</v>
      </c>
      <c r="G159" t="inlineStr">
        <is>
          <t>MCI</t>
        </is>
      </c>
      <c r="H159" t="inlineStr">
        <is>
          <t>HUL</t>
        </is>
      </c>
    </row>
    <row r="160">
      <c r="A160" t="n">
        <v>16</v>
      </c>
      <c r="B160" t="inlineStr">
        <is>
          <t>2026-12-19T15:00:00Z</t>
        </is>
      </c>
      <c r="C160" t="n">
        <v>18</v>
      </c>
      <c r="D160" t="n">
        <v>9</v>
      </c>
      <c r="E160" t="n">
        <v>3</v>
      </c>
      <c r="F160" t="n">
        <v>3</v>
      </c>
      <c r="G160" t="inlineStr">
        <is>
          <t>NFO</t>
        </is>
      </c>
      <c r="H160" t="inlineStr">
        <is>
          <t>EVE</t>
        </is>
      </c>
    </row>
    <row r="161">
      <c r="A161" t="n">
        <v>16</v>
      </c>
      <c r="B161" t="inlineStr">
        <is>
          <t>2026-12-19T15:00:00Z</t>
        </is>
      </c>
      <c r="C161" t="n">
        <v>20</v>
      </c>
      <c r="D161" t="n">
        <v>8</v>
      </c>
      <c r="E161" t="n">
        <v>3</v>
      </c>
      <c r="F161" t="n">
        <v>3</v>
      </c>
      <c r="G161" t="inlineStr">
        <is>
          <t>SUN</t>
        </is>
      </c>
      <c r="H161" t="inlineStr">
        <is>
          <t>CRY</t>
        </is>
      </c>
    </row>
    <row r="162">
      <c r="A162" t="n">
        <v>17</v>
      </c>
      <c r="B162" t="inlineStr">
        <is>
          <t>2026-12-26T15:00:00Z</t>
        </is>
      </c>
      <c r="C162" t="n">
        <v>2</v>
      </c>
      <c r="D162" t="n">
        <v>13</v>
      </c>
      <c r="E162" t="n">
        <v>2</v>
      </c>
      <c r="F162" t="n">
        <v>4</v>
      </c>
      <c r="G162" t="inlineStr">
        <is>
          <t>AVL</t>
        </is>
      </c>
      <c r="H162" t="inlineStr">
        <is>
          <t>LEE</t>
        </is>
      </c>
    </row>
    <row r="163">
      <c r="A163" t="n">
        <v>17</v>
      </c>
      <c r="B163" t="inlineStr">
        <is>
          <t>2026-12-26T15:00:00Z</t>
        </is>
      </c>
      <c r="C163" t="n">
        <v>7</v>
      </c>
      <c r="D163" t="n">
        <v>6</v>
      </c>
      <c r="E163" t="n">
        <v>4</v>
      </c>
      <c r="F163" t="n">
        <v>2</v>
      </c>
      <c r="G163" t="inlineStr">
        <is>
          <t>COV</t>
        </is>
      </c>
      <c r="H163" t="inlineStr">
        <is>
          <t>CHE</t>
        </is>
      </c>
    </row>
    <row r="164">
      <c r="A164" t="n">
        <v>17</v>
      </c>
      <c r="B164" t="inlineStr">
        <is>
          <t>2026-12-26T15:00:00Z</t>
        </is>
      </c>
      <c r="C164" t="n">
        <v>8</v>
      </c>
      <c r="D164" t="n">
        <v>1</v>
      </c>
      <c r="E164" t="n">
        <v>4</v>
      </c>
      <c r="F164" t="n">
        <v>3</v>
      </c>
      <c r="G164" t="inlineStr">
        <is>
          <t>CRY</t>
        </is>
      </c>
      <c r="H164" t="inlineStr">
        <is>
          <t>ARS</t>
        </is>
      </c>
    </row>
    <row r="165">
      <c r="A165" t="n">
        <v>17</v>
      </c>
      <c r="B165" t="inlineStr">
        <is>
          <t>2026-12-26T15:00:00Z</t>
        </is>
      </c>
      <c r="C165" t="n">
        <v>9</v>
      </c>
      <c r="D165" t="n">
        <v>20</v>
      </c>
      <c r="E165" t="n">
        <v>2</v>
      </c>
      <c r="F165" t="n">
        <v>3</v>
      </c>
      <c r="G165" t="inlineStr">
        <is>
          <t>EVE</t>
        </is>
      </c>
      <c r="H165" t="inlineStr">
        <is>
          <t>SUN</t>
        </is>
      </c>
    </row>
    <row r="166">
      <c r="A166" t="n">
        <v>17</v>
      </c>
      <c r="B166" t="inlineStr">
        <is>
          <t>2026-12-26T15:00:00Z</t>
        </is>
      </c>
      <c r="C166" t="n">
        <v>10</v>
      </c>
      <c r="D166" t="n">
        <v>5</v>
      </c>
      <c r="E166" t="n">
        <v>2</v>
      </c>
      <c r="F166" t="n">
        <v>3</v>
      </c>
      <c r="G166" t="inlineStr">
        <is>
          <t>FUL</t>
        </is>
      </c>
      <c r="H166" t="inlineStr">
        <is>
          <t>BHA</t>
        </is>
      </c>
    </row>
    <row r="167">
      <c r="A167" t="n">
        <v>17</v>
      </c>
      <c r="B167" t="inlineStr">
        <is>
          <t>2026-12-26T15:00:00Z</t>
        </is>
      </c>
      <c r="C167" t="n">
        <v>11</v>
      </c>
      <c r="D167" t="n">
        <v>14</v>
      </c>
      <c r="E167" t="n">
        <v>4</v>
      </c>
      <c r="F167" t="n">
        <v>2</v>
      </c>
      <c r="G167" t="inlineStr">
        <is>
          <t>HUL</t>
        </is>
      </c>
      <c r="H167" t="inlineStr">
        <is>
          <t>LIV</t>
        </is>
      </c>
    </row>
    <row r="168">
      <c r="A168" t="n">
        <v>17</v>
      </c>
      <c r="B168" t="inlineStr">
        <is>
          <t>2026-12-26T15:00:00Z</t>
        </is>
      </c>
      <c r="C168" t="n">
        <v>12</v>
      </c>
      <c r="D168" t="n">
        <v>4</v>
      </c>
      <c r="E168" t="n">
        <v>3</v>
      </c>
      <c r="F168" t="n">
        <v>2</v>
      </c>
      <c r="G168" t="inlineStr">
        <is>
          <t>IPS</t>
        </is>
      </c>
      <c r="H168" t="inlineStr">
        <is>
          <t>BRE</t>
        </is>
      </c>
    </row>
    <row r="169">
      <c r="A169" t="n">
        <v>17</v>
      </c>
      <c r="B169" t="inlineStr">
        <is>
          <t>2026-12-26T15:00:00Z</t>
        </is>
      </c>
      <c r="C169" t="n">
        <v>16</v>
      </c>
      <c r="D169" t="n">
        <v>18</v>
      </c>
      <c r="E169" t="n">
        <v>3</v>
      </c>
      <c r="F169" t="n">
        <v>4</v>
      </c>
      <c r="G169" t="inlineStr">
        <is>
          <t>MUN</t>
        </is>
      </c>
      <c r="H169" t="inlineStr">
        <is>
          <t>NFO</t>
        </is>
      </c>
    </row>
    <row r="170">
      <c r="A170" t="n">
        <v>17</v>
      </c>
      <c r="B170" t="inlineStr">
        <is>
          <t>2026-12-26T15:00:00Z</t>
        </is>
      </c>
      <c r="C170" t="n">
        <v>17</v>
      </c>
      <c r="D170" t="n">
        <v>15</v>
      </c>
      <c r="E170" t="n">
        <v>4</v>
      </c>
      <c r="F170" t="n">
        <v>3</v>
      </c>
      <c r="G170" t="inlineStr">
        <is>
          <t>NEW</t>
        </is>
      </c>
      <c r="H170" t="inlineStr">
        <is>
          <t>MCI</t>
        </is>
      </c>
    </row>
    <row r="171">
      <c r="A171" t="n">
        <v>17</v>
      </c>
      <c r="B171" t="inlineStr">
        <is>
          <t>2026-12-26T15:00:00Z</t>
        </is>
      </c>
      <c r="C171" t="n">
        <v>19</v>
      </c>
      <c r="D171" t="n">
        <v>3</v>
      </c>
      <c r="E171" t="n">
        <v>3</v>
      </c>
      <c r="F171" t="n">
        <v>3</v>
      </c>
      <c r="G171" t="inlineStr">
        <is>
          <t>TOT</t>
        </is>
      </c>
      <c r="H171" t="inlineStr">
        <is>
          <t>BOU</t>
        </is>
      </c>
    </row>
    <row r="172">
      <c r="A172" t="n">
        <v>18</v>
      </c>
      <c r="B172" t="inlineStr">
        <is>
          <t>2026-12-30T20:00:00Z</t>
        </is>
      </c>
      <c r="C172" t="n">
        <v>2</v>
      </c>
      <c r="D172" t="n">
        <v>14</v>
      </c>
      <c r="E172" t="n">
        <v>4</v>
      </c>
      <c r="F172" t="n">
        <v>4</v>
      </c>
      <c r="G172" t="inlineStr">
        <is>
          <t>AVL</t>
        </is>
      </c>
      <c r="H172" t="inlineStr">
        <is>
          <t>LIV</t>
        </is>
      </c>
    </row>
    <row r="173">
      <c r="A173" t="n">
        <v>18</v>
      </c>
      <c r="B173" t="inlineStr">
        <is>
          <t>2026-12-30T20:00:00Z</t>
        </is>
      </c>
      <c r="C173" t="n">
        <v>7</v>
      </c>
      <c r="D173" t="n">
        <v>4</v>
      </c>
      <c r="E173" t="n">
        <v>3</v>
      </c>
      <c r="F173" t="n">
        <v>2</v>
      </c>
      <c r="G173" t="inlineStr">
        <is>
          <t>COV</t>
        </is>
      </c>
      <c r="H173" t="inlineStr">
        <is>
          <t>BRE</t>
        </is>
      </c>
    </row>
    <row r="174">
      <c r="A174" t="n">
        <v>18</v>
      </c>
      <c r="B174" t="inlineStr">
        <is>
          <t>2026-12-30T20:00:00Z</t>
        </is>
      </c>
      <c r="C174" t="n">
        <v>8</v>
      </c>
      <c r="D174" t="n">
        <v>3</v>
      </c>
      <c r="E174" t="n">
        <v>3</v>
      </c>
      <c r="F174" t="n">
        <v>3</v>
      </c>
      <c r="G174" t="inlineStr">
        <is>
          <t>CRY</t>
        </is>
      </c>
      <c r="H174" t="inlineStr">
        <is>
          <t>BOU</t>
        </is>
      </c>
    </row>
    <row r="175">
      <c r="A175" t="n">
        <v>18</v>
      </c>
      <c r="B175" t="inlineStr">
        <is>
          <t>2026-12-30T20:00:00Z</t>
        </is>
      </c>
      <c r="C175" t="n">
        <v>9</v>
      </c>
      <c r="D175" t="n">
        <v>15</v>
      </c>
      <c r="E175" t="n">
        <v>4</v>
      </c>
      <c r="F175" t="n">
        <v>3</v>
      </c>
      <c r="G175" t="inlineStr">
        <is>
          <t>EVE</t>
        </is>
      </c>
      <c r="H175" t="inlineStr">
        <is>
          <t>MCI</t>
        </is>
      </c>
    </row>
    <row r="176">
      <c r="A176" t="n">
        <v>18</v>
      </c>
      <c r="B176" t="inlineStr">
        <is>
          <t>2026-12-30T20:00:00Z</t>
        </is>
      </c>
      <c r="C176" t="n">
        <v>10</v>
      </c>
      <c r="D176" t="n">
        <v>1</v>
      </c>
      <c r="E176" t="n">
        <v>4</v>
      </c>
      <c r="F176" t="n">
        <v>3</v>
      </c>
      <c r="G176" t="inlineStr">
        <is>
          <t>FUL</t>
        </is>
      </c>
      <c r="H176" t="inlineStr">
        <is>
          <t>ARS</t>
        </is>
      </c>
    </row>
    <row r="177">
      <c r="A177" t="n">
        <v>18</v>
      </c>
      <c r="B177" t="inlineStr">
        <is>
          <t>2026-12-30T20:00:00Z</t>
        </is>
      </c>
      <c r="C177" t="n">
        <v>11</v>
      </c>
      <c r="D177" t="n">
        <v>13</v>
      </c>
      <c r="E177" t="n">
        <v>2</v>
      </c>
      <c r="F177" t="n">
        <v>2</v>
      </c>
      <c r="G177" t="inlineStr">
        <is>
          <t>HUL</t>
        </is>
      </c>
      <c r="H177" t="inlineStr">
        <is>
          <t>LEE</t>
        </is>
      </c>
    </row>
    <row r="178">
      <c r="A178" t="n">
        <v>18</v>
      </c>
      <c r="B178" t="inlineStr">
        <is>
          <t>2026-12-30T20:00:00Z</t>
        </is>
      </c>
      <c r="C178" t="n">
        <v>12</v>
      </c>
      <c r="D178" t="n">
        <v>6</v>
      </c>
      <c r="E178" t="n">
        <v>4</v>
      </c>
      <c r="F178" t="n">
        <v>2</v>
      </c>
      <c r="G178" t="inlineStr">
        <is>
          <t>IPS</t>
        </is>
      </c>
      <c r="H178" t="inlineStr">
        <is>
          <t>CHE</t>
        </is>
      </c>
    </row>
    <row r="179">
      <c r="A179" t="n">
        <v>18</v>
      </c>
      <c r="B179" t="inlineStr">
        <is>
          <t>2026-12-30T20:00:00Z</t>
        </is>
      </c>
      <c r="C179" t="n">
        <v>16</v>
      </c>
      <c r="D179" t="n">
        <v>20</v>
      </c>
      <c r="E179" t="n">
        <v>2</v>
      </c>
      <c r="F179" t="n">
        <v>4</v>
      </c>
      <c r="G179" t="inlineStr">
        <is>
          <t>MUN</t>
        </is>
      </c>
      <c r="H179" t="inlineStr">
        <is>
          <t>SUN</t>
        </is>
      </c>
    </row>
    <row r="180">
      <c r="A180" t="n">
        <v>18</v>
      </c>
      <c r="B180" t="inlineStr">
        <is>
          <t>2026-12-30T20:00:00Z</t>
        </is>
      </c>
      <c r="C180" t="n">
        <v>17</v>
      </c>
      <c r="D180" t="n">
        <v>18</v>
      </c>
      <c r="E180" t="n">
        <v>3</v>
      </c>
      <c r="F180" t="n">
        <v>3</v>
      </c>
      <c r="G180" t="inlineStr">
        <is>
          <t>NEW</t>
        </is>
      </c>
      <c r="H180" t="inlineStr">
        <is>
          <t>NFO</t>
        </is>
      </c>
    </row>
    <row r="181">
      <c r="A181" t="n">
        <v>18</v>
      </c>
      <c r="B181" t="inlineStr">
        <is>
          <t>2026-12-30T20:00:00Z</t>
        </is>
      </c>
      <c r="C181" t="n">
        <v>19</v>
      </c>
      <c r="D181" t="n">
        <v>5</v>
      </c>
      <c r="E181" t="n">
        <v>2</v>
      </c>
      <c r="F181" t="n">
        <v>3</v>
      </c>
      <c r="G181" t="inlineStr">
        <is>
          <t>TOT</t>
        </is>
      </c>
      <c r="H181" t="inlineStr">
        <is>
          <t>BHA</t>
        </is>
      </c>
    </row>
    <row r="182">
      <c r="A182" t="n">
        <v>19</v>
      </c>
      <c r="B182" t="inlineStr">
        <is>
          <t>2027-01-02T15:00:00Z</t>
        </is>
      </c>
      <c r="C182" t="n">
        <v>1</v>
      </c>
      <c r="D182" t="n">
        <v>12</v>
      </c>
      <c r="E182" t="n">
        <v>2</v>
      </c>
      <c r="F182" t="n">
        <v>5</v>
      </c>
      <c r="G182" t="inlineStr">
        <is>
          <t>ARS</t>
        </is>
      </c>
      <c r="H182" t="inlineStr">
        <is>
          <t>IPS</t>
        </is>
      </c>
    </row>
    <row r="183">
      <c r="A183" t="n">
        <v>19</v>
      </c>
      <c r="B183" t="inlineStr">
        <is>
          <t>2027-01-02T15:00:00Z</t>
        </is>
      </c>
      <c r="C183" t="n">
        <v>3</v>
      </c>
      <c r="D183" t="n">
        <v>2</v>
      </c>
      <c r="E183" t="n">
        <v>3</v>
      </c>
      <c r="F183" t="n">
        <v>3</v>
      </c>
      <c r="G183" t="inlineStr">
        <is>
          <t>BOU</t>
        </is>
      </c>
      <c r="H183" t="inlineStr">
        <is>
          <t>AVL</t>
        </is>
      </c>
    </row>
    <row r="184">
      <c r="A184" t="n">
        <v>19</v>
      </c>
      <c r="B184" t="inlineStr">
        <is>
          <t>2027-01-02T15:00:00Z</t>
        </is>
      </c>
      <c r="C184" t="n">
        <v>4</v>
      </c>
      <c r="D184" t="n">
        <v>8</v>
      </c>
      <c r="E184" t="n">
        <v>3</v>
      </c>
      <c r="F184" t="n">
        <v>3</v>
      </c>
      <c r="G184" t="inlineStr">
        <is>
          <t>BRE</t>
        </is>
      </c>
      <c r="H184" t="inlineStr">
        <is>
          <t>CRY</t>
        </is>
      </c>
    </row>
    <row r="185">
      <c r="A185" t="n">
        <v>19</v>
      </c>
      <c r="B185" t="inlineStr">
        <is>
          <t>2027-01-02T15:00:00Z</t>
        </is>
      </c>
      <c r="C185" t="n">
        <v>5</v>
      </c>
      <c r="D185" t="n">
        <v>16</v>
      </c>
      <c r="E185" t="n">
        <v>4</v>
      </c>
      <c r="F185" t="n">
        <v>3</v>
      </c>
      <c r="G185" t="inlineStr">
        <is>
          <t>BHA</t>
        </is>
      </c>
      <c r="H185" t="inlineStr">
        <is>
          <t>MUN</t>
        </is>
      </c>
    </row>
    <row r="186">
      <c r="A186" t="n">
        <v>19</v>
      </c>
      <c r="B186" t="inlineStr">
        <is>
          <t>2027-01-02T15:00:00Z</t>
        </is>
      </c>
      <c r="C186" t="n">
        <v>6</v>
      </c>
      <c r="D186" t="n">
        <v>17</v>
      </c>
      <c r="E186" t="n">
        <v>2</v>
      </c>
      <c r="F186" t="n">
        <v>4</v>
      </c>
      <c r="G186" t="inlineStr">
        <is>
          <t>CHE</t>
        </is>
      </c>
      <c r="H186" t="inlineStr">
        <is>
          <t>NEW</t>
        </is>
      </c>
    </row>
    <row r="187">
      <c r="A187" t="n">
        <v>19</v>
      </c>
      <c r="B187" t="inlineStr">
        <is>
          <t>2027-01-02T15:00:00Z</t>
        </is>
      </c>
      <c r="C187" t="n">
        <v>13</v>
      </c>
      <c r="D187" t="n">
        <v>9</v>
      </c>
      <c r="E187" t="n">
        <v>3</v>
      </c>
      <c r="F187" t="n">
        <v>3</v>
      </c>
      <c r="G187" t="inlineStr">
        <is>
          <t>LEE</t>
        </is>
      </c>
      <c r="H187" t="inlineStr">
        <is>
          <t>EVE</t>
        </is>
      </c>
    </row>
    <row r="188">
      <c r="A188" t="n">
        <v>19</v>
      </c>
      <c r="B188" t="inlineStr">
        <is>
          <t>2027-01-02T15:00:00Z</t>
        </is>
      </c>
      <c r="C188" t="n">
        <v>14</v>
      </c>
      <c r="D188" t="n">
        <v>7</v>
      </c>
      <c r="E188" t="n">
        <v>2</v>
      </c>
      <c r="F188" t="n">
        <v>4</v>
      </c>
      <c r="G188" t="inlineStr">
        <is>
          <t>LIV</t>
        </is>
      </c>
      <c r="H188" t="inlineStr">
        <is>
          <t>COV</t>
        </is>
      </c>
    </row>
    <row r="189">
      <c r="A189" t="n">
        <v>19</v>
      </c>
      <c r="B189" t="inlineStr">
        <is>
          <t>2027-01-02T15:00:00Z</t>
        </is>
      </c>
      <c r="C189" t="n">
        <v>15</v>
      </c>
      <c r="D189" t="n">
        <v>19</v>
      </c>
      <c r="E189" t="n">
        <v>3</v>
      </c>
      <c r="F189" t="n">
        <v>5</v>
      </c>
      <c r="G189" t="inlineStr">
        <is>
          <t>MCI</t>
        </is>
      </c>
      <c r="H189" t="inlineStr">
        <is>
          <t>TOT</t>
        </is>
      </c>
    </row>
    <row r="190">
      <c r="A190" t="n">
        <v>19</v>
      </c>
      <c r="B190" t="inlineStr">
        <is>
          <t>2027-01-02T15:00:00Z</t>
        </is>
      </c>
      <c r="C190" t="n">
        <v>18</v>
      </c>
      <c r="D190" t="n">
        <v>10</v>
      </c>
      <c r="E190" t="n">
        <v>2</v>
      </c>
      <c r="F190" t="n">
        <v>3</v>
      </c>
      <c r="G190" t="inlineStr">
        <is>
          <t>NFO</t>
        </is>
      </c>
      <c r="H190" t="inlineStr">
        <is>
          <t>FUL</t>
        </is>
      </c>
    </row>
    <row r="191">
      <c r="A191" t="n">
        <v>19</v>
      </c>
      <c r="B191" t="inlineStr">
        <is>
          <t>2027-01-02T15:00:00Z</t>
        </is>
      </c>
      <c r="C191" t="n">
        <v>20</v>
      </c>
      <c r="D191" t="n">
        <v>11</v>
      </c>
      <c r="E191" t="n">
        <v>2</v>
      </c>
      <c r="F191" t="n">
        <v>3</v>
      </c>
      <c r="G191" t="inlineStr">
        <is>
          <t>SUN</t>
        </is>
      </c>
      <c r="H191" t="inlineStr">
        <is>
          <t>HUL</t>
        </is>
      </c>
    </row>
    <row r="192">
      <c r="A192" t="n">
        <v>20</v>
      </c>
      <c r="B192" t="inlineStr">
        <is>
          <t>2027-01-06T20:00:00Z</t>
        </is>
      </c>
      <c r="C192" t="n">
        <v>1</v>
      </c>
      <c r="D192" t="n">
        <v>4</v>
      </c>
      <c r="E192" t="n">
        <v>3</v>
      </c>
      <c r="F192" t="n">
        <v>5</v>
      </c>
      <c r="G192" t="inlineStr">
        <is>
          <t>ARS</t>
        </is>
      </c>
      <c r="H192" t="inlineStr">
        <is>
          <t>BRE</t>
        </is>
      </c>
    </row>
    <row r="193">
      <c r="A193" t="n">
        <v>20</v>
      </c>
      <c r="B193" t="inlineStr">
        <is>
          <t>2027-01-06T20:00:00Z</t>
        </is>
      </c>
      <c r="C193" t="n">
        <v>5</v>
      </c>
      <c r="D193" t="n">
        <v>3</v>
      </c>
      <c r="E193" t="n">
        <v>3</v>
      </c>
      <c r="F193" t="n">
        <v>3</v>
      </c>
      <c r="G193" t="inlineStr">
        <is>
          <t>BHA</t>
        </is>
      </c>
      <c r="H193" t="inlineStr">
        <is>
          <t>BOU</t>
        </is>
      </c>
    </row>
    <row r="194">
      <c r="A194" t="n">
        <v>20</v>
      </c>
      <c r="B194" t="inlineStr">
        <is>
          <t>2027-01-06T20:00:00Z</t>
        </is>
      </c>
      <c r="C194" t="n">
        <v>8</v>
      </c>
      <c r="D194" t="n">
        <v>6</v>
      </c>
      <c r="E194" t="n">
        <v>4</v>
      </c>
      <c r="F194" t="n">
        <v>3</v>
      </c>
      <c r="G194" t="inlineStr">
        <is>
          <t>CRY</t>
        </is>
      </c>
      <c r="H194" t="inlineStr">
        <is>
          <t>CHE</t>
        </is>
      </c>
    </row>
    <row r="195">
      <c r="A195" t="n">
        <v>20</v>
      </c>
      <c r="B195" t="inlineStr">
        <is>
          <t>2027-01-06T20:00:00Z</t>
        </is>
      </c>
      <c r="C195" t="n">
        <v>9</v>
      </c>
      <c r="D195" t="n">
        <v>2</v>
      </c>
      <c r="E195" t="n">
        <v>3</v>
      </c>
      <c r="F195" t="n">
        <v>3</v>
      </c>
      <c r="G195" t="inlineStr">
        <is>
          <t>EVE</t>
        </is>
      </c>
      <c r="H195" t="inlineStr">
        <is>
          <t>AVL</t>
        </is>
      </c>
    </row>
    <row r="196">
      <c r="A196" t="n">
        <v>20</v>
      </c>
      <c r="B196" t="inlineStr">
        <is>
          <t>2027-01-06T20:00:00Z</t>
        </is>
      </c>
      <c r="C196" t="n">
        <v>10</v>
      </c>
      <c r="D196" t="n">
        <v>19</v>
      </c>
      <c r="E196" t="n">
        <v>3</v>
      </c>
      <c r="F196" t="n">
        <v>3</v>
      </c>
      <c r="G196" t="inlineStr">
        <is>
          <t>FUL</t>
        </is>
      </c>
      <c r="H196" t="inlineStr">
        <is>
          <t>TOT</t>
        </is>
      </c>
    </row>
    <row r="197">
      <c r="A197" t="n">
        <v>20</v>
      </c>
      <c r="B197" t="inlineStr">
        <is>
          <t>2027-01-06T20:00:00Z</t>
        </is>
      </c>
      <c r="C197" t="n">
        <v>12</v>
      </c>
      <c r="D197" t="n">
        <v>7</v>
      </c>
      <c r="E197" t="n">
        <v>2</v>
      </c>
      <c r="F197" t="n">
        <v>2</v>
      </c>
      <c r="G197" t="inlineStr">
        <is>
          <t>IPS</t>
        </is>
      </c>
      <c r="H197" t="inlineStr">
        <is>
          <t>COV</t>
        </is>
      </c>
    </row>
    <row r="198">
      <c r="A198" t="n">
        <v>20</v>
      </c>
      <c r="B198" t="inlineStr">
        <is>
          <t>2027-01-06T20:00:00Z</t>
        </is>
      </c>
      <c r="C198" t="n">
        <v>13</v>
      </c>
      <c r="D198" t="n">
        <v>15</v>
      </c>
      <c r="E198" t="n">
        <v>4</v>
      </c>
      <c r="F198" t="n">
        <v>3</v>
      </c>
      <c r="G198" t="inlineStr">
        <is>
          <t>LEE</t>
        </is>
      </c>
      <c r="H198" t="inlineStr">
        <is>
          <t>MCI</t>
        </is>
      </c>
    </row>
    <row r="199">
      <c r="A199" t="n">
        <v>20</v>
      </c>
      <c r="B199" t="inlineStr">
        <is>
          <t>2027-01-06T20:00:00Z</t>
        </is>
      </c>
      <c r="C199" t="n">
        <v>16</v>
      </c>
      <c r="D199" t="n">
        <v>17</v>
      </c>
      <c r="E199" t="n">
        <v>2</v>
      </c>
      <c r="F199" t="n">
        <v>4</v>
      </c>
      <c r="G199" t="inlineStr">
        <is>
          <t>MUN</t>
        </is>
      </c>
      <c r="H199" t="inlineStr">
        <is>
          <t>NEW</t>
        </is>
      </c>
    </row>
    <row r="200">
      <c r="A200" t="n">
        <v>20</v>
      </c>
      <c r="B200" t="inlineStr">
        <is>
          <t>2027-01-06T20:00:00Z</t>
        </is>
      </c>
      <c r="C200" t="n">
        <v>18</v>
      </c>
      <c r="D200" t="n">
        <v>11</v>
      </c>
      <c r="E200" t="n">
        <v>2</v>
      </c>
      <c r="F200" t="n">
        <v>3</v>
      </c>
      <c r="G200" t="inlineStr">
        <is>
          <t>NFO</t>
        </is>
      </c>
      <c r="H200" t="inlineStr">
        <is>
          <t>HUL</t>
        </is>
      </c>
    </row>
    <row r="201">
      <c r="A201" t="n">
        <v>20</v>
      </c>
      <c r="B201" t="inlineStr">
        <is>
          <t>2027-01-06T20:00:00Z</t>
        </is>
      </c>
      <c r="C201" t="n">
        <v>20</v>
      </c>
      <c r="D201" t="n">
        <v>14</v>
      </c>
      <c r="E201" t="n">
        <v>4</v>
      </c>
      <c r="F201" t="n">
        <v>3</v>
      </c>
      <c r="G201" t="inlineStr">
        <is>
          <t>SUN</t>
        </is>
      </c>
      <c r="H201" t="inlineStr">
        <is>
          <t>LIV</t>
        </is>
      </c>
    </row>
    <row r="202">
      <c r="A202" t="n">
        <v>21</v>
      </c>
      <c r="B202" t="inlineStr">
        <is>
          <t>2027-01-16T15:00:00Z</t>
        </is>
      </c>
      <c r="C202" t="n">
        <v>2</v>
      </c>
      <c r="D202" t="n">
        <v>16</v>
      </c>
      <c r="E202" t="n">
        <v>4</v>
      </c>
      <c r="F202" t="n">
        <v>4</v>
      </c>
      <c r="G202" t="inlineStr">
        <is>
          <t>AVL</t>
        </is>
      </c>
      <c r="H202" t="inlineStr">
        <is>
          <t>MUN</t>
        </is>
      </c>
    </row>
    <row r="203">
      <c r="A203" t="n">
        <v>21</v>
      </c>
      <c r="B203" t="inlineStr">
        <is>
          <t>2027-01-16T15:00:00Z</t>
        </is>
      </c>
      <c r="C203" t="n">
        <v>3</v>
      </c>
      <c r="D203" t="n">
        <v>12</v>
      </c>
      <c r="E203" t="n">
        <v>2</v>
      </c>
      <c r="F203" t="n">
        <v>3</v>
      </c>
      <c r="G203" t="inlineStr">
        <is>
          <t>BOU</t>
        </is>
      </c>
      <c r="H203" t="inlineStr">
        <is>
          <t>IPS</t>
        </is>
      </c>
    </row>
    <row r="204">
      <c r="A204" t="n">
        <v>21</v>
      </c>
      <c r="B204" t="inlineStr">
        <is>
          <t>2027-01-16T15:00:00Z</t>
        </is>
      </c>
      <c r="C204" t="n">
        <v>4</v>
      </c>
      <c r="D204" t="n">
        <v>5</v>
      </c>
      <c r="E204" t="n">
        <v>2</v>
      </c>
      <c r="F204" t="n">
        <v>3</v>
      </c>
      <c r="G204" t="inlineStr">
        <is>
          <t>BRE</t>
        </is>
      </c>
      <c r="H204" t="inlineStr">
        <is>
          <t>BHA</t>
        </is>
      </c>
    </row>
    <row r="205">
      <c r="A205" t="n">
        <v>21</v>
      </c>
      <c r="B205" t="inlineStr">
        <is>
          <t>2027-01-16T15:00:00Z</t>
        </is>
      </c>
      <c r="C205" t="n">
        <v>6</v>
      </c>
      <c r="D205" t="n">
        <v>20</v>
      </c>
      <c r="E205" t="n">
        <v>2</v>
      </c>
      <c r="F205" t="n">
        <v>4</v>
      </c>
      <c r="G205" t="inlineStr">
        <is>
          <t>CHE</t>
        </is>
      </c>
      <c r="H205" t="inlineStr">
        <is>
          <t>SUN</t>
        </is>
      </c>
    </row>
    <row r="206">
      <c r="A206" t="n">
        <v>21</v>
      </c>
      <c r="B206" t="inlineStr">
        <is>
          <t>2027-01-16T15:00:00Z</t>
        </is>
      </c>
      <c r="C206" t="n">
        <v>7</v>
      </c>
      <c r="D206" t="n">
        <v>9</v>
      </c>
      <c r="E206" t="n">
        <v>3</v>
      </c>
      <c r="F206" t="n">
        <v>2</v>
      </c>
      <c r="G206" t="inlineStr">
        <is>
          <t>COV</t>
        </is>
      </c>
      <c r="H206" t="inlineStr">
        <is>
          <t>EVE</t>
        </is>
      </c>
    </row>
    <row r="207">
      <c r="A207" t="n">
        <v>21</v>
      </c>
      <c r="B207" t="inlineStr">
        <is>
          <t>2027-01-16T15:00:00Z</t>
        </is>
      </c>
      <c r="C207" t="n">
        <v>11</v>
      </c>
      <c r="D207" t="n">
        <v>1</v>
      </c>
      <c r="E207" t="n">
        <v>4</v>
      </c>
      <c r="F207" t="n">
        <v>2</v>
      </c>
      <c r="G207" t="inlineStr">
        <is>
          <t>HUL</t>
        </is>
      </c>
      <c r="H207" t="inlineStr">
        <is>
          <t>ARS</t>
        </is>
      </c>
    </row>
    <row r="208">
      <c r="A208" t="n">
        <v>21</v>
      </c>
      <c r="B208" t="inlineStr">
        <is>
          <t>2027-01-16T15:00:00Z</t>
        </is>
      </c>
      <c r="C208" t="n">
        <v>14</v>
      </c>
      <c r="D208" t="n">
        <v>8</v>
      </c>
      <c r="E208" t="n">
        <v>3</v>
      </c>
      <c r="F208" t="n">
        <v>4</v>
      </c>
      <c r="G208" t="inlineStr">
        <is>
          <t>LIV</t>
        </is>
      </c>
      <c r="H208" t="inlineStr">
        <is>
          <t>CRY</t>
        </is>
      </c>
    </row>
    <row r="209">
      <c r="A209" t="n">
        <v>21</v>
      </c>
      <c r="B209" t="inlineStr">
        <is>
          <t>2027-01-16T15:00:00Z</t>
        </is>
      </c>
      <c r="C209" t="n">
        <v>15</v>
      </c>
      <c r="D209" t="n">
        <v>18</v>
      </c>
      <c r="E209" t="n">
        <v>3</v>
      </c>
      <c r="F209" t="n">
        <v>5</v>
      </c>
      <c r="G209" t="inlineStr">
        <is>
          <t>MCI</t>
        </is>
      </c>
      <c r="H209" t="inlineStr">
        <is>
          <t>NFO</t>
        </is>
      </c>
    </row>
    <row r="210">
      <c r="A210" t="n">
        <v>21</v>
      </c>
      <c r="B210" t="inlineStr">
        <is>
          <t>2027-01-16T15:00:00Z</t>
        </is>
      </c>
      <c r="C210" t="n">
        <v>17</v>
      </c>
      <c r="D210" t="n">
        <v>10</v>
      </c>
      <c r="E210" t="n">
        <v>2</v>
      </c>
      <c r="F210" t="n">
        <v>3</v>
      </c>
      <c r="G210" t="inlineStr">
        <is>
          <t>NEW</t>
        </is>
      </c>
      <c r="H210" t="inlineStr">
        <is>
          <t>FUL</t>
        </is>
      </c>
    </row>
    <row r="211">
      <c r="A211" t="n">
        <v>21</v>
      </c>
      <c r="B211" t="inlineStr">
        <is>
          <t>2027-01-16T15:00:00Z</t>
        </is>
      </c>
      <c r="C211" t="n">
        <v>19</v>
      </c>
      <c r="D211" t="n">
        <v>13</v>
      </c>
      <c r="E211" t="n">
        <v>2</v>
      </c>
      <c r="F211" t="n">
        <v>3</v>
      </c>
      <c r="G211" t="inlineStr">
        <is>
          <t>TOT</t>
        </is>
      </c>
      <c r="H211" t="inlineStr">
        <is>
          <t>LEE</t>
        </is>
      </c>
    </row>
    <row r="212">
      <c r="A212" t="n">
        <v>22</v>
      </c>
      <c r="B212" t="inlineStr">
        <is>
          <t>2027-01-23T15:00:00Z</t>
        </is>
      </c>
      <c r="C212" t="n">
        <v>1</v>
      </c>
      <c r="D212" t="n">
        <v>17</v>
      </c>
      <c r="E212" t="n">
        <v>2</v>
      </c>
      <c r="F212" t="n">
        <v>5</v>
      </c>
      <c r="G212" t="inlineStr">
        <is>
          <t>ARS</t>
        </is>
      </c>
      <c r="H212" t="inlineStr">
        <is>
          <t>NEW</t>
        </is>
      </c>
    </row>
    <row r="213">
      <c r="A213" t="n">
        <v>22</v>
      </c>
      <c r="B213" t="inlineStr">
        <is>
          <t>2027-01-23T15:00:00Z</t>
        </is>
      </c>
      <c r="C213" t="n">
        <v>5</v>
      </c>
      <c r="D213" t="n">
        <v>15</v>
      </c>
      <c r="E213" t="n">
        <v>4</v>
      </c>
      <c r="F213" t="n">
        <v>3</v>
      </c>
      <c r="G213" t="inlineStr">
        <is>
          <t>BHA</t>
        </is>
      </c>
      <c r="H213" t="inlineStr">
        <is>
          <t>MCI</t>
        </is>
      </c>
    </row>
    <row r="214">
      <c r="A214" t="n">
        <v>22</v>
      </c>
      <c r="B214" t="inlineStr">
        <is>
          <t>2027-01-23T15:00:00Z</t>
        </is>
      </c>
      <c r="C214" t="n">
        <v>8</v>
      </c>
      <c r="D214" t="n">
        <v>19</v>
      </c>
      <c r="E214" t="n">
        <v>3</v>
      </c>
      <c r="F214" t="n">
        <v>3</v>
      </c>
      <c r="G214" t="inlineStr">
        <is>
          <t>CRY</t>
        </is>
      </c>
      <c r="H214" t="inlineStr">
        <is>
          <t>TOT</t>
        </is>
      </c>
    </row>
    <row r="215">
      <c r="A215" t="n">
        <v>22</v>
      </c>
      <c r="B215" t="inlineStr">
        <is>
          <t>2027-01-23T15:00:00Z</t>
        </is>
      </c>
      <c r="C215" t="n">
        <v>9</v>
      </c>
      <c r="D215" t="n">
        <v>4</v>
      </c>
      <c r="E215" t="n">
        <v>3</v>
      </c>
      <c r="F215" t="n">
        <v>3</v>
      </c>
      <c r="G215" t="inlineStr">
        <is>
          <t>EVE</t>
        </is>
      </c>
      <c r="H215" t="inlineStr">
        <is>
          <t>BRE</t>
        </is>
      </c>
    </row>
    <row r="216">
      <c r="A216" t="n">
        <v>22</v>
      </c>
      <c r="B216" t="inlineStr">
        <is>
          <t>2027-01-23T15:00:00Z</t>
        </is>
      </c>
      <c r="C216" t="n">
        <v>10</v>
      </c>
      <c r="D216" t="n">
        <v>2</v>
      </c>
      <c r="E216" t="n">
        <v>3</v>
      </c>
      <c r="F216" t="n">
        <v>3</v>
      </c>
      <c r="G216" t="inlineStr">
        <is>
          <t>FUL</t>
        </is>
      </c>
      <c r="H216" t="inlineStr">
        <is>
          <t>AVL</t>
        </is>
      </c>
    </row>
    <row r="217">
      <c r="A217" t="n">
        <v>22</v>
      </c>
      <c r="B217" t="inlineStr">
        <is>
          <t>2027-01-23T15:00:00Z</t>
        </is>
      </c>
      <c r="C217" t="n">
        <v>12</v>
      </c>
      <c r="D217" t="n">
        <v>11</v>
      </c>
      <c r="E217" t="n">
        <v>2</v>
      </c>
      <c r="F217" t="n">
        <v>2</v>
      </c>
      <c r="G217" t="inlineStr">
        <is>
          <t>IPS</t>
        </is>
      </c>
      <c r="H217" t="inlineStr">
        <is>
          <t>HUL</t>
        </is>
      </c>
    </row>
    <row r="218">
      <c r="A218" t="n">
        <v>22</v>
      </c>
      <c r="B218" t="inlineStr">
        <is>
          <t>2027-01-23T15:00:00Z</t>
        </is>
      </c>
      <c r="C218" t="n">
        <v>13</v>
      </c>
      <c r="D218" t="n">
        <v>6</v>
      </c>
      <c r="E218" t="n">
        <v>4</v>
      </c>
      <c r="F218" t="n">
        <v>3</v>
      </c>
      <c r="G218" t="inlineStr">
        <is>
          <t>LEE</t>
        </is>
      </c>
      <c r="H218" t="inlineStr">
        <is>
          <t>CHE</t>
        </is>
      </c>
    </row>
    <row r="219">
      <c r="A219" t="n">
        <v>22</v>
      </c>
      <c r="B219" t="inlineStr">
        <is>
          <t>2027-01-23T15:00:00Z</t>
        </is>
      </c>
      <c r="C219" t="n">
        <v>16</v>
      </c>
      <c r="D219" t="n">
        <v>14</v>
      </c>
      <c r="E219" t="n">
        <v>4</v>
      </c>
      <c r="F219" t="n">
        <v>4</v>
      </c>
      <c r="G219" t="inlineStr">
        <is>
          <t>MUN</t>
        </is>
      </c>
      <c r="H219" t="inlineStr">
        <is>
          <t>LIV</t>
        </is>
      </c>
    </row>
    <row r="220">
      <c r="A220" t="n">
        <v>22</v>
      </c>
      <c r="B220" t="inlineStr">
        <is>
          <t>2027-01-23T15:00:00Z</t>
        </is>
      </c>
      <c r="C220" t="n">
        <v>18</v>
      </c>
      <c r="D220" t="n">
        <v>3</v>
      </c>
      <c r="E220" t="n">
        <v>3</v>
      </c>
      <c r="F220" t="n">
        <v>3</v>
      </c>
      <c r="G220" t="inlineStr">
        <is>
          <t>NFO</t>
        </is>
      </c>
      <c r="H220" t="inlineStr">
        <is>
          <t>BOU</t>
        </is>
      </c>
    </row>
    <row r="221">
      <c r="A221" t="n">
        <v>22</v>
      </c>
      <c r="B221" t="inlineStr">
        <is>
          <t>2027-01-23T15:00:00Z</t>
        </is>
      </c>
      <c r="C221" t="n">
        <v>20</v>
      </c>
      <c r="D221" t="n">
        <v>7</v>
      </c>
      <c r="E221" t="n">
        <v>2</v>
      </c>
      <c r="F221" t="n">
        <v>3</v>
      </c>
      <c r="G221" t="inlineStr">
        <is>
          <t>SUN</t>
        </is>
      </c>
      <c r="H221" t="inlineStr">
        <is>
          <t>COV</t>
        </is>
      </c>
    </row>
    <row r="222">
      <c r="A222" t="n">
        <v>23</v>
      </c>
      <c r="B222" t="inlineStr">
        <is>
          <t>2027-01-30T15:00:00Z</t>
        </is>
      </c>
      <c r="C222" t="n">
        <v>2</v>
      </c>
      <c r="D222" t="n">
        <v>12</v>
      </c>
      <c r="E222" t="n">
        <v>2</v>
      </c>
      <c r="F222" t="n">
        <v>4</v>
      </c>
      <c r="G222" t="inlineStr">
        <is>
          <t>AVL</t>
        </is>
      </c>
      <c r="H222" t="inlineStr">
        <is>
          <t>IPS</t>
        </is>
      </c>
    </row>
    <row r="223">
      <c r="A223" t="n">
        <v>23</v>
      </c>
      <c r="B223" t="inlineStr">
        <is>
          <t>2027-01-30T15:00:00Z</t>
        </is>
      </c>
      <c r="C223" t="n">
        <v>3</v>
      </c>
      <c r="D223" t="n">
        <v>10</v>
      </c>
      <c r="E223" t="n">
        <v>2</v>
      </c>
      <c r="F223" t="n">
        <v>3</v>
      </c>
      <c r="G223" t="inlineStr">
        <is>
          <t>BOU</t>
        </is>
      </c>
      <c r="H223" t="inlineStr">
        <is>
          <t>FUL</t>
        </is>
      </c>
    </row>
    <row r="224">
      <c r="A224" t="n">
        <v>23</v>
      </c>
      <c r="B224" t="inlineStr">
        <is>
          <t>2027-01-30T15:00:00Z</t>
        </is>
      </c>
      <c r="C224" t="n">
        <v>4</v>
      </c>
      <c r="D224" t="n">
        <v>16</v>
      </c>
      <c r="E224" t="n">
        <v>4</v>
      </c>
      <c r="F224" t="n">
        <v>3</v>
      </c>
      <c r="G224" t="inlineStr">
        <is>
          <t>BRE</t>
        </is>
      </c>
      <c r="H224" t="inlineStr">
        <is>
          <t>MUN</t>
        </is>
      </c>
    </row>
    <row r="225">
      <c r="A225" t="n">
        <v>23</v>
      </c>
      <c r="B225" t="inlineStr">
        <is>
          <t>2027-01-30T15:00:00Z</t>
        </is>
      </c>
      <c r="C225" t="n">
        <v>6</v>
      </c>
      <c r="D225" t="n">
        <v>18</v>
      </c>
      <c r="E225" t="n">
        <v>3</v>
      </c>
      <c r="F225" t="n">
        <v>4</v>
      </c>
      <c r="G225" t="inlineStr">
        <is>
          <t>CHE</t>
        </is>
      </c>
      <c r="H225" t="inlineStr">
        <is>
          <t>NFO</t>
        </is>
      </c>
    </row>
    <row r="226">
      <c r="A226" t="n">
        <v>23</v>
      </c>
      <c r="B226" t="inlineStr">
        <is>
          <t>2027-01-30T15:00:00Z</t>
        </is>
      </c>
      <c r="C226" t="n">
        <v>7</v>
      </c>
      <c r="D226" t="n">
        <v>13</v>
      </c>
      <c r="E226" t="n">
        <v>2</v>
      </c>
      <c r="F226" t="n">
        <v>2</v>
      </c>
      <c r="G226" t="inlineStr">
        <is>
          <t>COV</t>
        </is>
      </c>
      <c r="H226" t="inlineStr">
        <is>
          <t>LEE</t>
        </is>
      </c>
    </row>
    <row r="227">
      <c r="A227" t="n">
        <v>23</v>
      </c>
      <c r="B227" t="inlineStr">
        <is>
          <t>2027-01-30T15:00:00Z</t>
        </is>
      </c>
      <c r="C227" t="n">
        <v>11</v>
      </c>
      <c r="D227" t="n">
        <v>8</v>
      </c>
      <c r="E227" t="n">
        <v>3</v>
      </c>
      <c r="F227" t="n">
        <v>2</v>
      </c>
      <c r="G227" t="inlineStr">
        <is>
          <t>HUL</t>
        </is>
      </c>
      <c r="H227" t="inlineStr">
        <is>
          <t>CRY</t>
        </is>
      </c>
    </row>
    <row r="228">
      <c r="A228" t="n">
        <v>23</v>
      </c>
      <c r="B228" t="inlineStr">
        <is>
          <t>2027-01-30T15:00:00Z</t>
        </is>
      </c>
      <c r="C228" t="n">
        <v>14</v>
      </c>
      <c r="D228" t="n">
        <v>9</v>
      </c>
      <c r="E228" t="n">
        <v>3</v>
      </c>
      <c r="F228" t="n">
        <v>4</v>
      </c>
      <c r="G228" t="inlineStr">
        <is>
          <t>LIV</t>
        </is>
      </c>
      <c r="H228" t="inlineStr">
        <is>
          <t>EVE</t>
        </is>
      </c>
    </row>
    <row r="229">
      <c r="A229" t="n">
        <v>23</v>
      </c>
      <c r="B229" t="inlineStr">
        <is>
          <t>2027-01-30T15:00:00Z</t>
        </is>
      </c>
      <c r="C229" t="n">
        <v>15</v>
      </c>
      <c r="D229" t="n">
        <v>1</v>
      </c>
      <c r="E229" t="n">
        <v>4</v>
      </c>
      <c r="F229" t="n">
        <v>5</v>
      </c>
      <c r="G229" t="inlineStr">
        <is>
          <t>MCI</t>
        </is>
      </c>
      <c r="H229" t="inlineStr">
        <is>
          <t>ARS</t>
        </is>
      </c>
    </row>
    <row r="230">
      <c r="A230" t="n">
        <v>23</v>
      </c>
      <c r="B230" t="inlineStr">
        <is>
          <t>2027-01-30T15:00:00Z</t>
        </is>
      </c>
      <c r="C230" t="n">
        <v>17</v>
      </c>
      <c r="D230" t="n">
        <v>5</v>
      </c>
      <c r="E230" t="n">
        <v>2</v>
      </c>
      <c r="F230" t="n">
        <v>3</v>
      </c>
      <c r="G230" t="inlineStr">
        <is>
          <t>NEW</t>
        </is>
      </c>
      <c r="H230" t="inlineStr">
        <is>
          <t>BHA</t>
        </is>
      </c>
    </row>
    <row r="231">
      <c r="A231" t="n">
        <v>23</v>
      </c>
      <c r="B231" t="inlineStr">
        <is>
          <t>2027-01-30T15:00:00Z</t>
        </is>
      </c>
      <c r="C231" t="n">
        <v>19</v>
      </c>
      <c r="D231" t="n">
        <v>20</v>
      </c>
      <c r="E231" t="n">
        <v>2</v>
      </c>
      <c r="F231" t="n">
        <v>3</v>
      </c>
      <c r="G231" t="inlineStr">
        <is>
          <t>TOT</t>
        </is>
      </c>
      <c r="H231" t="inlineStr">
        <is>
          <t>SUN</t>
        </is>
      </c>
    </row>
    <row r="232">
      <c r="A232" t="n">
        <v>24</v>
      </c>
      <c r="B232" t="inlineStr">
        <is>
          <t>2027-02-06T15:00:00Z</t>
        </is>
      </c>
      <c r="C232" t="n">
        <v>1</v>
      </c>
      <c r="D232" t="n">
        <v>14</v>
      </c>
      <c r="E232" t="n">
        <v>4</v>
      </c>
      <c r="F232" t="n">
        <v>5</v>
      </c>
      <c r="G232" t="inlineStr">
        <is>
          <t>ARS</t>
        </is>
      </c>
      <c r="H232" t="inlineStr">
        <is>
          <t>LIV</t>
        </is>
      </c>
    </row>
    <row r="233">
      <c r="A233" t="n">
        <v>24</v>
      </c>
      <c r="B233" t="inlineStr">
        <is>
          <t>2027-02-06T15:00:00Z</t>
        </is>
      </c>
      <c r="C233" t="n">
        <v>5</v>
      </c>
      <c r="D233" t="n">
        <v>11</v>
      </c>
      <c r="E233" t="n">
        <v>2</v>
      </c>
      <c r="F233" t="n">
        <v>3</v>
      </c>
      <c r="G233" t="inlineStr">
        <is>
          <t>BHA</t>
        </is>
      </c>
      <c r="H233" t="inlineStr">
        <is>
          <t>HUL</t>
        </is>
      </c>
    </row>
    <row r="234">
      <c r="A234" t="n">
        <v>24</v>
      </c>
      <c r="B234" t="inlineStr">
        <is>
          <t>2027-02-06T15:00:00Z</t>
        </is>
      </c>
      <c r="C234" t="n">
        <v>8</v>
      </c>
      <c r="D234" t="n">
        <v>7</v>
      </c>
      <c r="E234" t="n">
        <v>2</v>
      </c>
      <c r="F234" t="n">
        <v>3</v>
      </c>
      <c r="G234" t="inlineStr">
        <is>
          <t>CRY</t>
        </is>
      </c>
      <c r="H234" t="inlineStr">
        <is>
          <t>COV</t>
        </is>
      </c>
    </row>
    <row r="235">
      <c r="A235" t="n">
        <v>24</v>
      </c>
      <c r="B235" t="inlineStr">
        <is>
          <t>2027-02-06T15:00:00Z</t>
        </is>
      </c>
      <c r="C235" t="n">
        <v>9</v>
      </c>
      <c r="D235" t="n">
        <v>17</v>
      </c>
      <c r="E235" t="n">
        <v>2</v>
      </c>
      <c r="F235" t="n">
        <v>3</v>
      </c>
      <c r="G235" t="inlineStr">
        <is>
          <t>EVE</t>
        </is>
      </c>
      <c r="H235" t="inlineStr">
        <is>
          <t>NEW</t>
        </is>
      </c>
    </row>
    <row r="236">
      <c r="A236" t="n">
        <v>24</v>
      </c>
      <c r="B236" t="inlineStr">
        <is>
          <t>2027-02-06T15:00:00Z</t>
        </is>
      </c>
      <c r="C236" t="n">
        <v>10</v>
      </c>
      <c r="D236" t="n">
        <v>15</v>
      </c>
      <c r="E236" t="n">
        <v>4</v>
      </c>
      <c r="F236" t="n">
        <v>3</v>
      </c>
      <c r="G236" t="inlineStr">
        <is>
          <t>FUL</t>
        </is>
      </c>
      <c r="H236" t="inlineStr">
        <is>
          <t>MCI</t>
        </is>
      </c>
    </row>
    <row r="237">
      <c r="A237" t="n">
        <v>24</v>
      </c>
      <c r="B237" t="inlineStr">
        <is>
          <t>2027-02-06T15:00:00Z</t>
        </is>
      </c>
      <c r="C237" t="n">
        <v>12</v>
      </c>
      <c r="D237" t="n">
        <v>19</v>
      </c>
      <c r="E237" t="n">
        <v>3</v>
      </c>
      <c r="F237" t="n">
        <v>2</v>
      </c>
      <c r="G237" t="inlineStr">
        <is>
          <t>IPS</t>
        </is>
      </c>
      <c r="H237" t="inlineStr">
        <is>
          <t>TOT</t>
        </is>
      </c>
    </row>
    <row r="238">
      <c r="A238" t="n">
        <v>24</v>
      </c>
      <c r="B238" t="inlineStr">
        <is>
          <t>2027-02-06T15:00:00Z</t>
        </is>
      </c>
      <c r="C238" t="n">
        <v>13</v>
      </c>
      <c r="D238" t="n">
        <v>3</v>
      </c>
      <c r="E238" t="n">
        <v>3</v>
      </c>
      <c r="F238" t="n">
        <v>3</v>
      </c>
      <c r="G238" t="inlineStr">
        <is>
          <t>LEE</t>
        </is>
      </c>
      <c r="H238" t="inlineStr">
        <is>
          <t>BOU</t>
        </is>
      </c>
    </row>
    <row r="239">
      <c r="A239" t="n">
        <v>24</v>
      </c>
      <c r="B239" t="inlineStr">
        <is>
          <t>2027-02-06T15:00:00Z</t>
        </is>
      </c>
      <c r="C239" t="n">
        <v>16</v>
      </c>
      <c r="D239" t="n">
        <v>6</v>
      </c>
      <c r="E239" t="n">
        <v>4</v>
      </c>
      <c r="F239" t="n">
        <v>4</v>
      </c>
      <c r="G239" t="inlineStr">
        <is>
          <t>MUN</t>
        </is>
      </c>
      <c r="H239" t="inlineStr">
        <is>
          <t>CHE</t>
        </is>
      </c>
    </row>
    <row r="240">
      <c r="A240" t="n">
        <v>24</v>
      </c>
      <c r="B240" t="inlineStr">
        <is>
          <t>2027-02-06T15:00:00Z</t>
        </is>
      </c>
      <c r="C240" t="n">
        <v>18</v>
      </c>
      <c r="D240" t="n">
        <v>4</v>
      </c>
      <c r="E240" t="n">
        <v>3</v>
      </c>
      <c r="F240" t="n">
        <v>3</v>
      </c>
      <c r="G240" t="inlineStr">
        <is>
          <t>NFO</t>
        </is>
      </c>
      <c r="H240" t="inlineStr">
        <is>
          <t>BRE</t>
        </is>
      </c>
    </row>
    <row r="241">
      <c r="A241" t="n">
        <v>24</v>
      </c>
      <c r="B241" t="inlineStr">
        <is>
          <t>2027-02-06T15:00:00Z</t>
        </is>
      </c>
      <c r="C241" t="n">
        <v>20</v>
      </c>
      <c r="D241" t="n">
        <v>2</v>
      </c>
      <c r="E241" t="n">
        <v>3</v>
      </c>
      <c r="F241" t="n">
        <v>3</v>
      </c>
      <c r="G241" t="inlineStr">
        <is>
          <t>SUN</t>
        </is>
      </c>
      <c r="H241" t="inlineStr">
        <is>
          <t>AVL</t>
        </is>
      </c>
    </row>
    <row r="242">
      <c r="A242" t="n">
        <v>25</v>
      </c>
      <c r="B242" t="inlineStr">
        <is>
          <t>2027-02-10T20:00:00Z</t>
        </is>
      </c>
      <c r="C242" t="n">
        <v>2</v>
      </c>
      <c r="D242" t="n">
        <v>3</v>
      </c>
      <c r="E242" t="n">
        <v>3</v>
      </c>
      <c r="F242" t="n">
        <v>4</v>
      </c>
      <c r="G242" t="inlineStr">
        <is>
          <t>AVL</t>
        </is>
      </c>
      <c r="H242" t="inlineStr">
        <is>
          <t>BOU</t>
        </is>
      </c>
    </row>
    <row r="243">
      <c r="A243" t="n">
        <v>25</v>
      </c>
      <c r="B243" t="inlineStr">
        <is>
          <t>2027-02-10T20:00:00Z</t>
        </is>
      </c>
      <c r="C243" t="n">
        <v>7</v>
      </c>
      <c r="D243" t="n">
        <v>14</v>
      </c>
      <c r="E243" t="n">
        <v>4</v>
      </c>
      <c r="F243" t="n">
        <v>2</v>
      </c>
      <c r="G243" t="inlineStr">
        <is>
          <t>COV</t>
        </is>
      </c>
      <c r="H243" t="inlineStr">
        <is>
          <t>LIV</t>
        </is>
      </c>
    </row>
    <row r="244">
      <c r="A244" t="n">
        <v>25</v>
      </c>
      <c r="B244" t="inlineStr">
        <is>
          <t>2027-02-10T20:00:00Z</t>
        </is>
      </c>
      <c r="C244" t="n">
        <v>8</v>
      </c>
      <c r="D244" t="n">
        <v>4</v>
      </c>
      <c r="E244" t="n">
        <v>3</v>
      </c>
      <c r="F244" t="n">
        <v>3</v>
      </c>
      <c r="G244" t="inlineStr">
        <is>
          <t>CRY</t>
        </is>
      </c>
      <c r="H244" t="inlineStr">
        <is>
          <t>BRE</t>
        </is>
      </c>
    </row>
    <row r="245">
      <c r="A245" t="n">
        <v>25</v>
      </c>
      <c r="B245" t="inlineStr">
        <is>
          <t>2027-02-10T20:00:00Z</t>
        </is>
      </c>
      <c r="C245" t="n">
        <v>9</v>
      </c>
      <c r="D245" t="n">
        <v>13</v>
      </c>
      <c r="E245" t="n">
        <v>2</v>
      </c>
      <c r="F245" t="n">
        <v>3</v>
      </c>
      <c r="G245" t="inlineStr">
        <is>
          <t>EVE</t>
        </is>
      </c>
      <c r="H245" t="inlineStr">
        <is>
          <t>LEE</t>
        </is>
      </c>
    </row>
    <row r="246">
      <c r="A246" t="n">
        <v>25</v>
      </c>
      <c r="B246" t="inlineStr">
        <is>
          <t>2027-02-10T20:00:00Z</t>
        </is>
      </c>
      <c r="C246" t="n">
        <v>10</v>
      </c>
      <c r="D246" t="n">
        <v>18</v>
      </c>
      <c r="E246" t="n">
        <v>3</v>
      </c>
      <c r="F246" t="n">
        <v>3</v>
      </c>
      <c r="G246" t="inlineStr">
        <is>
          <t>FUL</t>
        </is>
      </c>
      <c r="H246" t="inlineStr">
        <is>
          <t>NFO</t>
        </is>
      </c>
    </row>
    <row r="247">
      <c r="A247" t="n">
        <v>25</v>
      </c>
      <c r="B247" t="inlineStr">
        <is>
          <t>2027-02-10T20:00:00Z</t>
        </is>
      </c>
      <c r="C247" t="n">
        <v>11</v>
      </c>
      <c r="D247" t="n">
        <v>20</v>
      </c>
      <c r="E247" t="n">
        <v>2</v>
      </c>
      <c r="F247" t="n">
        <v>2</v>
      </c>
      <c r="G247" t="inlineStr">
        <is>
          <t>HUL</t>
        </is>
      </c>
      <c r="H247" t="inlineStr">
        <is>
          <t>SUN</t>
        </is>
      </c>
    </row>
    <row r="248">
      <c r="A248" t="n">
        <v>25</v>
      </c>
      <c r="B248" t="inlineStr">
        <is>
          <t>2027-02-10T20:00:00Z</t>
        </is>
      </c>
      <c r="C248" t="n">
        <v>12</v>
      </c>
      <c r="D248" t="n">
        <v>1</v>
      </c>
      <c r="E248" t="n">
        <v>4</v>
      </c>
      <c r="F248" t="n">
        <v>2</v>
      </c>
      <c r="G248" t="inlineStr">
        <is>
          <t>IPS</t>
        </is>
      </c>
      <c r="H248" t="inlineStr">
        <is>
          <t>ARS</t>
        </is>
      </c>
    </row>
    <row r="249">
      <c r="A249" t="n">
        <v>25</v>
      </c>
      <c r="B249" t="inlineStr">
        <is>
          <t>2027-02-10T20:00:00Z</t>
        </is>
      </c>
      <c r="C249" t="n">
        <v>16</v>
      </c>
      <c r="D249" t="n">
        <v>5</v>
      </c>
      <c r="E249" t="n">
        <v>2</v>
      </c>
      <c r="F249" t="n">
        <v>4</v>
      </c>
      <c r="G249" t="inlineStr">
        <is>
          <t>MUN</t>
        </is>
      </c>
      <c r="H249" t="inlineStr">
        <is>
          <t>BHA</t>
        </is>
      </c>
    </row>
    <row r="250">
      <c r="A250" t="n">
        <v>25</v>
      </c>
      <c r="B250" t="inlineStr">
        <is>
          <t>2027-02-10T20:00:00Z</t>
        </is>
      </c>
      <c r="C250" t="n">
        <v>17</v>
      </c>
      <c r="D250" t="n">
        <v>6</v>
      </c>
      <c r="E250" t="n">
        <v>4</v>
      </c>
      <c r="F250" t="n">
        <v>3</v>
      </c>
      <c r="G250" t="inlineStr">
        <is>
          <t>NEW</t>
        </is>
      </c>
      <c r="H250" t="inlineStr">
        <is>
          <t>CHE</t>
        </is>
      </c>
    </row>
    <row r="251">
      <c r="A251" t="n">
        <v>25</v>
      </c>
      <c r="B251" t="inlineStr">
        <is>
          <t>2027-02-10T20:00:00Z</t>
        </is>
      </c>
      <c r="C251" t="n">
        <v>19</v>
      </c>
      <c r="D251" t="n">
        <v>15</v>
      </c>
      <c r="E251" t="n">
        <v>4</v>
      </c>
      <c r="F251" t="n">
        <v>3</v>
      </c>
      <c r="G251" t="inlineStr">
        <is>
          <t>TOT</t>
        </is>
      </c>
      <c r="H251" t="inlineStr">
        <is>
          <t>MCI</t>
        </is>
      </c>
    </row>
    <row r="252">
      <c r="A252" t="n">
        <v>26</v>
      </c>
      <c r="B252" t="inlineStr">
        <is>
          <t>2027-02-20T15:00:00Z</t>
        </is>
      </c>
      <c r="C252" t="n">
        <v>1</v>
      </c>
      <c r="D252" t="n">
        <v>10</v>
      </c>
      <c r="E252" t="n">
        <v>2</v>
      </c>
      <c r="F252" t="n">
        <v>5</v>
      </c>
      <c r="G252" t="inlineStr">
        <is>
          <t>ARS</t>
        </is>
      </c>
      <c r="H252" t="inlineStr">
        <is>
          <t>FUL</t>
        </is>
      </c>
    </row>
    <row r="253">
      <c r="A253" t="n">
        <v>26</v>
      </c>
      <c r="B253" t="inlineStr">
        <is>
          <t>2027-02-20T15:00:00Z</t>
        </is>
      </c>
      <c r="C253" t="n">
        <v>3</v>
      </c>
      <c r="D253" t="n">
        <v>8</v>
      </c>
      <c r="E253" t="n">
        <v>3</v>
      </c>
      <c r="F253" t="n">
        <v>3</v>
      </c>
      <c r="G253" t="inlineStr">
        <is>
          <t>BOU</t>
        </is>
      </c>
      <c r="H253" t="inlineStr">
        <is>
          <t>CRY</t>
        </is>
      </c>
    </row>
    <row r="254">
      <c r="A254" t="n">
        <v>26</v>
      </c>
      <c r="B254" t="inlineStr">
        <is>
          <t>2027-02-20T15:00:00Z</t>
        </is>
      </c>
      <c r="C254" t="n">
        <v>4</v>
      </c>
      <c r="D254" t="n">
        <v>7</v>
      </c>
      <c r="E254" t="n">
        <v>2</v>
      </c>
      <c r="F254" t="n">
        <v>3</v>
      </c>
      <c r="G254" t="inlineStr">
        <is>
          <t>BRE</t>
        </is>
      </c>
      <c r="H254" t="inlineStr">
        <is>
          <t>COV</t>
        </is>
      </c>
    </row>
    <row r="255">
      <c r="A255" t="n">
        <v>26</v>
      </c>
      <c r="B255" t="inlineStr">
        <is>
          <t>2027-02-20T15:00:00Z</t>
        </is>
      </c>
      <c r="C255" t="n">
        <v>5</v>
      </c>
      <c r="D255" t="n">
        <v>19</v>
      </c>
      <c r="E255" t="n">
        <v>3</v>
      </c>
      <c r="F255" t="n">
        <v>3</v>
      </c>
      <c r="G255" t="inlineStr">
        <is>
          <t>BHA</t>
        </is>
      </c>
      <c r="H255" t="inlineStr">
        <is>
          <t>TOT</t>
        </is>
      </c>
    </row>
    <row r="256">
      <c r="A256" t="n">
        <v>26</v>
      </c>
      <c r="B256" t="inlineStr">
        <is>
          <t>2027-02-20T15:00:00Z</t>
        </is>
      </c>
      <c r="C256" t="n">
        <v>6</v>
      </c>
      <c r="D256" t="n">
        <v>12</v>
      </c>
      <c r="E256" t="n">
        <v>2</v>
      </c>
      <c r="F256" t="n">
        <v>4</v>
      </c>
      <c r="G256" t="inlineStr">
        <is>
          <t>CHE</t>
        </is>
      </c>
      <c r="H256" t="inlineStr">
        <is>
          <t>IPS</t>
        </is>
      </c>
    </row>
    <row r="257">
      <c r="A257" t="n">
        <v>26</v>
      </c>
      <c r="B257" t="inlineStr">
        <is>
          <t>2027-02-20T15:00:00Z</t>
        </is>
      </c>
      <c r="C257" t="n">
        <v>13</v>
      </c>
      <c r="D257" t="n">
        <v>2</v>
      </c>
      <c r="E257" t="n">
        <v>3</v>
      </c>
      <c r="F257" t="n">
        <v>3</v>
      </c>
      <c r="G257" t="inlineStr">
        <is>
          <t>LEE</t>
        </is>
      </c>
      <c r="H257" t="inlineStr">
        <is>
          <t>AVL</t>
        </is>
      </c>
    </row>
    <row r="258">
      <c r="A258" t="n">
        <v>26</v>
      </c>
      <c r="B258" t="inlineStr">
        <is>
          <t>2027-02-20T15:00:00Z</t>
        </is>
      </c>
      <c r="C258" t="n">
        <v>14</v>
      </c>
      <c r="D258" t="n">
        <v>11</v>
      </c>
      <c r="E258" t="n">
        <v>2</v>
      </c>
      <c r="F258" t="n">
        <v>4</v>
      </c>
      <c r="G258" t="inlineStr">
        <is>
          <t>LIV</t>
        </is>
      </c>
      <c r="H258" t="inlineStr">
        <is>
          <t>HUL</t>
        </is>
      </c>
    </row>
    <row r="259">
      <c r="A259" t="n">
        <v>26</v>
      </c>
      <c r="B259" t="inlineStr">
        <is>
          <t>2027-02-20T15:00:00Z</t>
        </is>
      </c>
      <c r="C259" t="n">
        <v>15</v>
      </c>
      <c r="D259" t="n">
        <v>17</v>
      </c>
      <c r="E259" t="n">
        <v>2</v>
      </c>
      <c r="F259" t="n">
        <v>5</v>
      </c>
      <c r="G259" t="inlineStr">
        <is>
          <t>MCI</t>
        </is>
      </c>
      <c r="H259" t="inlineStr">
        <is>
          <t>NEW</t>
        </is>
      </c>
    </row>
    <row r="260">
      <c r="A260" t="n">
        <v>26</v>
      </c>
      <c r="B260" t="inlineStr">
        <is>
          <t>2027-02-20T15:00:00Z</t>
        </is>
      </c>
      <c r="C260" t="n">
        <v>18</v>
      </c>
      <c r="D260" t="n">
        <v>16</v>
      </c>
      <c r="E260" t="n">
        <v>4</v>
      </c>
      <c r="F260" t="n">
        <v>3</v>
      </c>
      <c r="G260" t="inlineStr">
        <is>
          <t>NFO</t>
        </is>
      </c>
      <c r="H260" t="inlineStr">
        <is>
          <t>MUN</t>
        </is>
      </c>
    </row>
    <row r="261">
      <c r="A261" t="n">
        <v>26</v>
      </c>
      <c r="B261" t="inlineStr">
        <is>
          <t>2027-02-20T15:00:00Z</t>
        </is>
      </c>
      <c r="C261" t="n">
        <v>20</v>
      </c>
      <c r="D261" t="n">
        <v>9</v>
      </c>
      <c r="E261" t="n">
        <v>3</v>
      </c>
      <c r="F261" t="n">
        <v>3</v>
      </c>
      <c r="G261" t="inlineStr">
        <is>
          <t>SUN</t>
        </is>
      </c>
      <c r="H261" t="inlineStr">
        <is>
          <t>EVE</t>
        </is>
      </c>
    </row>
    <row r="262">
      <c r="A262" t="n">
        <v>27</v>
      </c>
      <c r="B262" t="inlineStr">
        <is>
          <t>2027-02-27T15:00:00Z</t>
        </is>
      </c>
      <c r="C262" t="n">
        <v>2</v>
      </c>
      <c r="D262" t="n">
        <v>6</v>
      </c>
      <c r="E262" t="n">
        <v>4</v>
      </c>
      <c r="F262" t="n">
        <v>4</v>
      </c>
      <c r="G262" t="inlineStr">
        <is>
          <t>AVL</t>
        </is>
      </c>
      <c r="H262" t="inlineStr">
        <is>
          <t>CHE</t>
        </is>
      </c>
    </row>
    <row r="263">
      <c r="A263" t="n">
        <v>27</v>
      </c>
      <c r="B263" t="inlineStr">
        <is>
          <t>2027-02-27T15:00:00Z</t>
        </is>
      </c>
      <c r="C263" t="n">
        <v>7</v>
      </c>
      <c r="D263" t="n">
        <v>3</v>
      </c>
      <c r="E263" t="n">
        <v>3</v>
      </c>
      <c r="F263" t="n">
        <v>2</v>
      </c>
      <c r="G263" t="inlineStr">
        <is>
          <t>COV</t>
        </is>
      </c>
      <c r="H263" t="inlineStr">
        <is>
          <t>BOU</t>
        </is>
      </c>
    </row>
    <row r="264">
      <c r="A264" t="n">
        <v>27</v>
      </c>
      <c r="B264" t="inlineStr">
        <is>
          <t>2027-02-27T15:00:00Z</t>
        </is>
      </c>
      <c r="C264" t="n">
        <v>8</v>
      </c>
      <c r="D264" t="n">
        <v>20</v>
      </c>
      <c r="E264" t="n">
        <v>2</v>
      </c>
      <c r="F264" t="n">
        <v>3</v>
      </c>
      <c r="G264" t="inlineStr">
        <is>
          <t>CRY</t>
        </is>
      </c>
      <c r="H264" t="inlineStr">
        <is>
          <t>SUN</t>
        </is>
      </c>
    </row>
    <row r="265">
      <c r="A265" t="n">
        <v>27</v>
      </c>
      <c r="B265" t="inlineStr">
        <is>
          <t>2027-02-27T15:00:00Z</t>
        </is>
      </c>
      <c r="C265" t="n">
        <v>9</v>
      </c>
      <c r="D265" t="n">
        <v>18</v>
      </c>
      <c r="E265" t="n">
        <v>3</v>
      </c>
      <c r="F265" t="n">
        <v>3</v>
      </c>
      <c r="G265" t="inlineStr">
        <is>
          <t>EVE</t>
        </is>
      </c>
      <c r="H265" t="inlineStr">
        <is>
          <t>NFO</t>
        </is>
      </c>
    </row>
    <row r="266">
      <c r="A266" t="n">
        <v>27</v>
      </c>
      <c r="B266" t="inlineStr">
        <is>
          <t>2027-02-27T15:00:00Z</t>
        </is>
      </c>
      <c r="C266" t="n">
        <v>10</v>
      </c>
      <c r="D266" t="n">
        <v>13</v>
      </c>
      <c r="E266" t="n">
        <v>2</v>
      </c>
      <c r="F266" t="n">
        <v>3</v>
      </c>
      <c r="G266" t="inlineStr">
        <is>
          <t>FUL</t>
        </is>
      </c>
      <c r="H266" t="inlineStr">
        <is>
          <t>LEE</t>
        </is>
      </c>
    </row>
    <row r="267">
      <c r="A267" t="n">
        <v>27</v>
      </c>
      <c r="B267" t="inlineStr">
        <is>
          <t>2027-02-27T15:00:00Z</t>
        </is>
      </c>
      <c r="C267" t="n">
        <v>11</v>
      </c>
      <c r="D267" t="n">
        <v>15</v>
      </c>
      <c r="E267" t="n">
        <v>4</v>
      </c>
      <c r="F267" t="n">
        <v>2</v>
      </c>
      <c r="G267" t="inlineStr">
        <is>
          <t>HUL</t>
        </is>
      </c>
      <c r="H267" t="inlineStr">
        <is>
          <t>MCI</t>
        </is>
      </c>
    </row>
    <row r="268">
      <c r="A268" t="n">
        <v>27</v>
      </c>
      <c r="B268" t="inlineStr">
        <is>
          <t>2027-02-27T15:00:00Z</t>
        </is>
      </c>
      <c r="C268" t="n">
        <v>12</v>
      </c>
      <c r="D268" t="n">
        <v>5</v>
      </c>
      <c r="E268" t="n">
        <v>2</v>
      </c>
      <c r="F268" t="n">
        <v>2</v>
      </c>
      <c r="G268" t="inlineStr">
        <is>
          <t>IPS</t>
        </is>
      </c>
      <c r="H268" t="inlineStr">
        <is>
          <t>BHA</t>
        </is>
      </c>
    </row>
    <row r="269">
      <c r="A269" t="n">
        <v>27</v>
      </c>
      <c r="B269" t="inlineStr">
        <is>
          <t>2027-02-27T15:00:00Z</t>
        </is>
      </c>
      <c r="C269" t="n">
        <v>16</v>
      </c>
      <c r="D269" t="n">
        <v>1</v>
      </c>
      <c r="E269" t="n">
        <v>4</v>
      </c>
      <c r="F269" t="n">
        <v>4</v>
      </c>
      <c r="G269" t="inlineStr">
        <is>
          <t>MUN</t>
        </is>
      </c>
      <c r="H269" t="inlineStr">
        <is>
          <t>ARS</t>
        </is>
      </c>
    </row>
    <row r="270">
      <c r="A270" t="n">
        <v>27</v>
      </c>
      <c r="B270" t="inlineStr">
        <is>
          <t>2027-02-27T15:00:00Z</t>
        </is>
      </c>
      <c r="C270" t="n">
        <v>17</v>
      </c>
      <c r="D270" t="n">
        <v>4</v>
      </c>
      <c r="E270" t="n">
        <v>3</v>
      </c>
      <c r="F270" t="n">
        <v>3</v>
      </c>
      <c r="G270" t="inlineStr">
        <is>
          <t>NEW</t>
        </is>
      </c>
      <c r="H270" t="inlineStr">
        <is>
          <t>BRE</t>
        </is>
      </c>
    </row>
    <row r="271">
      <c r="A271" t="n">
        <v>27</v>
      </c>
      <c r="B271" t="inlineStr">
        <is>
          <t>2027-02-27T15:00:00Z</t>
        </is>
      </c>
      <c r="C271" t="n">
        <v>19</v>
      </c>
      <c r="D271" t="n">
        <v>14</v>
      </c>
      <c r="E271" t="n">
        <v>4</v>
      </c>
      <c r="F271" t="n">
        <v>3</v>
      </c>
      <c r="G271" t="inlineStr">
        <is>
          <t>TOT</t>
        </is>
      </c>
      <c r="H271" t="inlineStr">
        <is>
          <t>LIV</t>
        </is>
      </c>
    </row>
    <row r="272">
      <c r="A272" t="n">
        <v>28</v>
      </c>
      <c r="B272" t="inlineStr">
        <is>
          <t>2027-03-03T20:00:00Z</t>
        </is>
      </c>
      <c r="C272" t="n">
        <v>1</v>
      </c>
      <c r="D272" t="n">
        <v>8</v>
      </c>
      <c r="E272" t="n">
        <v>3</v>
      </c>
      <c r="F272" t="n">
        <v>5</v>
      </c>
      <c r="G272" t="inlineStr">
        <is>
          <t>ARS</t>
        </is>
      </c>
      <c r="H272" t="inlineStr">
        <is>
          <t>CRY</t>
        </is>
      </c>
    </row>
    <row r="273">
      <c r="A273" t="n">
        <v>28</v>
      </c>
      <c r="B273" t="inlineStr">
        <is>
          <t>2027-03-03T20:00:00Z</t>
        </is>
      </c>
      <c r="C273" t="n">
        <v>3</v>
      </c>
      <c r="D273" t="n">
        <v>19</v>
      </c>
      <c r="E273" t="n">
        <v>3</v>
      </c>
      <c r="F273" t="n">
        <v>3</v>
      </c>
      <c r="G273" t="inlineStr">
        <is>
          <t>BOU</t>
        </is>
      </c>
      <c r="H273" t="inlineStr">
        <is>
          <t>TOT</t>
        </is>
      </c>
    </row>
    <row r="274">
      <c r="A274" t="n">
        <v>28</v>
      </c>
      <c r="B274" t="inlineStr">
        <is>
          <t>2027-03-03T20:00:00Z</t>
        </is>
      </c>
      <c r="C274" t="n">
        <v>4</v>
      </c>
      <c r="D274" t="n">
        <v>12</v>
      </c>
      <c r="E274" t="n">
        <v>2</v>
      </c>
      <c r="F274" t="n">
        <v>3</v>
      </c>
      <c r="G274" t="inlineStr">
        <is>
          <t>BRE</t>
        </is>
      </c>
      <c r="H274" t="inlineStr">
        <is>
          <t>IPS</t>
        </is>
      </c>
    </row>
    <row r="275">
      <c r="A275" t="n">
        <v>28</v>
      </c>
      <c r="B275" t="inlineStr">
        <is>
          <t>2027-03-03T20:00:00Z</t>
        </is>
      </c>
      <c r="C275" t="n">
        <v>5</v>
      </c>
      <c r="D275" t="n">
        <v>10</v>
      </c>
      <c r="E275" t="n">
        <v>2</v>
      </c>
      <c r="F275" t="n">
        <v>3</v>
      </c>
      <c r="G275" t="inlineStr">
        <is>
          <t>BHA</t>
        </is>
      </c>
      <c r="H275" t="inlineStr">
        <is>
          <t>FUL</t>
        </is>
      </c>
    </row>
    <row r="276">
      <c r="A276" t="n">
        <v>28</v>
      </c>
      <c r="B276" t="inlineStr">
        <is>
          <t>2027-03-03T20:00:00Z</t>
        </is>
      </c>
      <c r="C276" t="n">
        <v>6</v>
      </c>
      <c r="D276" t="n">
        <v>7</v>
      </c>
      <c r="E276" t="n">
        <v>2</v>
      </c>
      <c r="F276" t="n">
        <v>4</v>
      </c>
      <c r="G276" t="inlineStr">
        <is>
          <t>CHE</t>
        </is>
      </c>
      <c r="H276" t="inlineStr">
        <is>
          <t>COV</t>
        </is>
      </c>
    </row>
    <row r="277">
      <c r="A277" t="n">
        <v>28</v>
      </c>
      <c r="B277" t="inlineStr">
        <is>
          <t>2027-03-03T20:00:00Z</t>
        </is>
      </c>
      <c r="C277" t="n">
        <v>13</v>
      </c>
      <c r="D277" t="n">
        <v>11</v>
      </c>
      <c r="E277" t="n">
        <v>2</v>
      </c>
      <c r="F277" t="n">
        <v>3</v>
      </c>
      <c r="G277" t="inlineStr">
        <is>
          <t>LEE</t>
        </is>
      </c>
      <c r="H277" t="inlineStr">
        <is>
          <t>HUL</t>
        </is>
      </c>
    </row>
    <row r="278">
      <c r="A278" t="n">
        <v>28</v>
      </c>
      <c r="B278" t="inlineStr">
        <is>
          <t>2027-03-03T20:00:00Z</t>
        </is>
      </c>
      <c r="C278" t="n">
        <v>14</v>
      </c>
      <c r="D278" t="n">
        <v>2</v>
      </c>
      <c r="E278" t="n">
        <v>3</v>
      </c>
      <c r="F278" t="n">
        <v>4</v>
      </c>
      <c r="G278" t="inlineStr">
        <is>
          <t>LIV</t>
        </is>
      </c>
      <c r="H278" t="inlineStr">
        <is>
          <t>AVL</t>
        </is>
      </c>
    </row>
    <row r="279">
      <c r="A279" t="n">
        <v>28</v>
      </c>
      <c r="B279" t="inlineStr">
        <is>
          <t>2027-03-03T20:00:00Z</t>
        </is>
      </c>
      <c r="C279" t="n">
        <v>15</v>
      </c>
      <c r="D279" t="n">
        <v>9</v>
      </c>
      <c r="E279" t="n">
        <v>3</v>
      </c>
      <c r="F279" t="n">
        <v>5</v>
      </c>
      <c r="G279" t="inlineStr">
        <is>
          <t>MCI</t>
        </is>
      </c>
      <c r="H279" t="inlineStr">
        <is>
          <t>EVE</t>
        </is>
      </c>
    </row>
    <row r="280">
      <c r="A280" t="n">
        <v>28</v>
      </c>
      <c r="B280" t="inlineStr">
        <is>
          <t>2027-03-03T20:00:00Z</t>
        </is>
      </c>
      <c r="C280" t="n">
        <v>18</v>
      </c>
      <c r="D280" t="n">
        <v>17</v>
      </c>
      <c r="E280" t="n">
        <v>2</v>
      </c>
      <c r="F280" t="n">
        <v>3</v>
      </c>
      <c r="G280" t="inlineStr">
        <is>
          <t>NFO</t>
        </is>
      </c>
      <c r="H280" t="inlineStr">
        <is>
          <t>NEW</t>
        </is>
      </c>
    </row>
    <row r="281">
      <c r="A281" t="n">
        <v>28</v>
      </c>
      <c r="B281" t="inlineStr">
        <is>
          <t>2027-03-03T20:00:00Z</t>
        </is>
      </c>
      <c r="C281" t="n">
        <v>20</v>
      </c>
      <c r="D281" t="n">
        <v>16</v>
      </c>
      <c r="E281" t="n">
        <v>4</v>
      </c>
      <c r="F281" t="n">
        <v>3</v>
      </c>
      <c r="G281" t="inlineStr">
        <is>
          <t>SUN</t>
        </is>
      </c>
      <c r="H281" t="inlineStr">
        <is>
          <t>MUN</t>
        </is>
      </c>
    </row>
    <row r="282">
      <c r="A282" t="n">
        <v>29</v>
      </c>
      <c r="B282" t="inlineStr">
        <is>
          <t>2027-03-13T15:00:00Z</t>
        </is>
      </c>
      <c r="C282" t="n">
        <v>2</v>
      </c>
      <c r="D282" t="n">
        <v>11</v>
      </c>
      <c r="E282" t="n">
        <v>2</v>
      </c>
      <c r="F282" t="n">
        <v>4</v>
      </c>
      <c r="G282" t="inlineStr">
        <is>
          <t>AVL</t>
        </is>
      </c>
      <c r="H282" t="inlineStr">
        <is>
          <t>HUL</t>
        </is>
      </c>
    </row>
    <row r="283">
      <c r="A283" t="n">
        <v>29</v>
      </c>
      <c r="B283" t="inlineStr">
        <is>
          <t>2027-03-13T15:00:00Z</t>
        </is>
      </c>
      <c r="C283" t="n">
        <v>3</v>
      </c>
      <c r="D283" t="n">
        <v>17</v>
      </c>
      <c r="E283" t="n">
        <v>2</v>
      </c>
      <c r="F283" t="n">
        <v>3</v>
      </c>
      <c r="G283" t="inlineStr">
        <is>
          <t>BOU</t>
        </is>
      </c>
      <c r="H283" t="inlineStr">
        <is>
          <t>NEW</t>
        </is>
      </c>
    </row>
    <row r="284">
      <c r="A284" t="n">
        <v>29</v>
      </c>
      <c r="B284" t="inlineStr">
        <is>
          <t>2027-03-13T15:00:00Z</t>
        </is>
      </c>
      <c r="C284" t="n">
        <v>6</v>
      </c>
      <c r="D284" t="n">
        <v>1</v>
      </c>
      <c r="E284" t="n">
        <v>4</v>
      </c>
      <c r="F284" t="n">
        <v>4</v>
      </c>
      <c r="G284" t="inlineStr">
        <is>
          <t>CHE</t>
        </is>
      </c>
      <c r="H284" t="inlineStr">
        <is>
          <t>ARS</t>
        </is>
      </c>
    </row>
    <row r="285">
      <c r="A285" t="n">
        <v>29</v>
      </c>
      <c r="B285" t="inlineStr">
        <is>
          <t>2027-03-13T15:00:00Z</t>
        </is>
      </c>
      <c r="C285" t="n">
        <v>7</v>
      </c>
      <c r="D285" t="n">
        <v>15</v>
      </c>
      <c r="E285" t="n">
        <v>4</v>
      </c>
      <c r="F285" t="n">
        <v>2</v>
      </c>
      <c r="G285" t="inlineStr">
        <is>
          <t>COV</t>
        </is>
      </c>
      <c r="H285" t="inlineStr">
        <is>
          <t>MCI</t>
        </is>
      </c>
    </row>
    <row r="286">
      <c r="A286" t="n">
        <v>29</v>
      </c>
      <c r="B286" t="inlineStr">
        <is>
          <t>2027-03-13T15:00:00Z</t>
        </is>
      </c>
      <c r="C286" t="n">
        <v>8</v>
      </c>
      <c r="D286" t="n">
        <v>10</v>
      </c>
      <c r="E286" t="n">
        <v>2</v>
      </c>
      <c r="F286" t="n">
        <v>3</v>
      </c>
      <c r="G286" t="inlineStr">
        <is>
          <t>CRY</t>
        </is>
      </c>
      <c r="H286" t="inlineStr">
        <is>
          <t>FUL</t>
        </is>
      </c>
    </row>
    <row r="287">
      <c r="A287" t="n">
        <v>29</v>
      </c>
      <c r="B287" t="inlineStr">
        <is>
          <t>2027-03-13T15:00:00Z</t>
        </is>
      </c>
      <c r="C287" t="n">
        <v>13</v>
      </c>
      <c r="D287" t="n">
        <v>5</v>
      </c>
      <c r="E287" t="n">
        <v>2</v>
      </c>
      <c r="F287" t="n">
        <v>3</v>
      </c>
      <c r="G287" t="inlineStr">
        <is>
          <t>LEE</t>
        </is>
      </c>
      <c r="H287" t="inlineStr">
        <is>
          <t>BHA</t>
        </is>
      </c>
    </row>
    <row r="288">
      <c r="A288" t="n">
        <v>29</v>
      </c>
      <c r="B288" t="inlineStr">
        <is>
          <t>2027-03-13T15:00:00Z</t>
        </is>
      </c>
      <c r="C288" t="n">
        <v>14</v>
      </c>
      <c r="D288" t="n">
        <v>12</v>
      </c>
      <c r="E288" t="n">
        <v>2</v>
      </c>
      <c r="F288" t="n">
        <v>4</v>
      </c>
      <c r="G288" t="inlineStr">
        <is>
          <t>LIV</t>
        </is>
      </c>
      <c r="H288" t="inlineStr">
        <is>
          <t>IPS</t>
        </is>
      </c>
    </row>
    <row r="289">
      <c r="A289" t="n">
        <v>29</v>
      </c>
      <c r="B289" t="inlineStr">
        <is>
          <t>2027-03-13T15:00:00Z</t>
        </is>
      </c>
      <c r="C289" t="n">
        <v>16</v>
      </c>
      <c r="D289" t="n">
        <v>9</v>
      </c>
      <c r="E289" t="n">
        <v>3</v>
      </c>
      <c r="F289" t="n">
        <v>4</v>
      </c>
      <c r="G289" t="inlineStr">
        <is>
          <t>MUN</t>
        </is>
      </c>
      <c r="H289" t="inlineStr">
        <is>
          <t>EVE</t>
        </is>
      </c>
    </row>
    <row r="290">
      <c r="A290" t="n">
        <v>29</v>
      </c>
      <c r="B290" t="inlineStr">
        <is>
          <t>2027-03-13T15:00:00Z</t>
        </is>
      </c>
      <c r="C290" t="n">
        <v>19</v>
      </c>
      <c r="D290" t="n">
        <v>18</v>
      </c>
      <c r="E290" t="n">
        <v>3</v>
      </c>
      <c r="F290" t="n">
        <v>3</v>
      </c>
      <c r="G290" t="inlineStr">
        <is>
          <t>TOT</t>
        </is>
      </c>
      <c r="H290" t="inlineStr">
        <is>
          <t>NFO</t>
        </is>
      </c>
    </row>
    <row r="291">
      <c r="A291" t="n">
        <v>29</v>
      </c>
      <c r="B291" t="inlineStr">
        <is>
          <t>2027-03-13T15:00:00Z</t>
        </is>
      </c>
      <c r="C291" t="n">
        <v>20</v>
      </c>
      <c r="D291" t="n">
        <v>4</v>
      </c>
      <c r="E291" t="n">
        <v>3</v>
      </c>
      <c r="F291" t="n">
        <v>3</v>
      </c>
      <c r="G291" t="inlineStr">
        <is>
          <t>SUN</t>
        </is>
      </c>
      <c r="H291" t="inlineStr">
        <is>
          <t>BRE</t>
        </is>
      </c>
    </row>
    <row r="292">
      <c r="A292" t="n">
        <v>30</v>
      </c>
      <c r="B292" t="inlineStr">
        <is>
          <t>2027-03-20T15:00:00Z</t>
        </is>
      </c>
      <c r="C292" t="n">
        <v>1</v>
      </c>
      <c r="D292" t="n">
        <v>20</v>
      </c>
      <c r="E292" t="n">
        <v>2</v>
      </c>
      <c r="F292" t="n">
        <v>5</v>
      </c>
      <c r="G292" t="inlineStr">
        <is>
          <t>ARS</t>
        </is>
      </c>
      <c r="H292" t="inlineStr">
        <is>
          <t>SUN</t>
        </is>
      </c>
    </row>
    <row r="293">
      <c r="A293" t="n">
        <v>30</v>
      </c>
      <c r="B293" t="inlineStr">
        <is>
          <t>2027-03-20T15:00:00Z</t>
        </is>
      </c>
      <c r="C293" t="n">
        <v>4</v>
      </c>
      <c r="D293" t="n">
        <v>3</v>
      </c>
      <c r="E293" t="n">
        <v>3</v>
      </c>
      <c r="F293" t="n">
        <v>3</v>
      </c>
      <c r="G293" t="inlineStr">
        <is>
          <t>BRE</t>
        </is>
      </c>
      <c r="H293" t="inlineStr">
        <is>
          <t>BOU</t>
        </is>
      </c>
    </row>
    <row r="294">
      <c r="A294" t="n">
        <v>30</v>
      </c>
      <c r="B294" t="inlineStr">
        <is>
          <t>2027-03-20T15:00:00Z</t>
        </is>
      </c>
      <c r="C294" t="n">
        <v>5</v>
      </c>
      <c r="D294" t="n">
        <v>7</v>
      </c>
      <c r="E294" t="n">
        <v>2</v>
      </c>
      <c r="F294" t="n">
        <v>3</v>
      </c>
      <c r="G294" t="inlineStr">
        <is>
          <t>BHA</t>
        </is>
      </c>
      <c r="H294" t="inlineStr">
        <is>
          <t>COV</t>
        </is>
      </c>
    </row>
    <row r="295">
      <c r="A295" t="n">
        <v>30</v>
      </c>
      <c r="B295" t="inlineStr">
        <is>
          <t>2027-03-20T15:00:00Z</t>
        </is>
      </c>
      <c r="C295" t="n">
        <v>9</v>
      </c>
      <c r="D295" t="n">
        <v>19</v>
      </c>
      <c r="E295" t="n">
        <v>3</v>
      </c>
      <c r="F295" t="n">
        <v>3</v>
      </c>
      <c r="G295" t="inlineStr">
        <is>
          <t>EVE</t>
        </is>
      </c>
      <c r="H295" t="inlineStr">
        <is>
          <t>TOT</t>
        </is>
      </c>
    </row>
    <row r="296">
      <c r="A296" t="n">
        <v>30</v>
      </c>
      <c r="B296" t="inlineStr">
        <is>
          <t>2027-03-20T15:00:00Z</t>
        </is>
      </c>
      <c r="C296" t="n">
        <v>10</v>
      </c>
      <c r="D296" t="n">
        <v>14</v>
      </c>
      <c r="E296" t="n">
        <v>4</v>
      </c>
      <c r="F296" t="n">
        <v>3</v>
      </c>
      <c r="G296" t="inlineStr">
        <is>
          <t>FUL</t>
        </is>
      </c>
      <c r="H296" t="inlineStr">
        <is>
          <t>LIV</t>
        </is>
      </c>
    </row>
    <row r="297">
      <c r="A297" t="n">
        <v>30</v>
      </c>
      <c r="B297" t="inlineStr">
        <is>
          <t>2027-03-20T15:00:00Z</t>
        </is>
      </c>
      <c r="C297" t="n">
        <v>11</v>
      </c>
      <c r="D297" t="n">
        <v>6</v>
      </c>
      <c r="E297" t="n">
        <v>4</v>
      </c>
      <c r="F297" t="n">
        <v>2</v>
      </c>
      <c r="G297" t="inlineStr">
        <is>
          <t>HUL</t>
        </is>
      </c>
      <c r="H297" t="inlineStr">
        <is>
          <t>CHE</t>
        </is>
      </c>
    </row>
    <row r="298">
      <c r="A298" t="n">
        <v>30</v>
      </c>
      <c r="B298" t="inlineStr">
        <is>
          <t>2027-03-20T15:00:00Z</t>
        </is>
      </c>
      <c r="C298" t="n">
        <v>12</v>
      </c>
      <c r="D298" t="n">
        <v>8</v>
      </c>
      <c r="E298" t="n">
        <v>3</v>
      </c>
      <c r="F298" t="n">
        <v>2</v>
      </c>
      <c r="G298" t="inlineStr">
        <is>
          <t>IPS</t>
        </is>
      </c>
      <c r="H298" t="inlineStr">
        <is>
          <t>CRY</t>
        </is>
      </c>
    </row>
    <row r="299">
      <c r="A299" t="n">
        <v>30</v>
      </c>
      <c r="B299" t="inlineStr">
        <is>
          <t>2027-03-20T15:00:00Z</t>
        </is>
      </c>
      <c r="C299" t="n">
        <v>15</v>
      </c>
      <c r="D299" t="n">
        <v>16</v>
      </c>
      <c r="E299" t="n">
        <v>4</v>
      </c>
      <c r="F299" t="n">
        <v>5</v>
      </c>
      <c r="G299" t="inlineStr">
        <is>
          <t>MCI</t>
        </is>
      </c>
      <c r="H299" t="inlineStr">
        <is>
          <t>MUN</t>
        </is>
      </c>
    </row>
    <row r="300">
      <c r="A300" t="n">
        <v>30</v>
      </c>
      <c r="B300" t="inlineStr">
        <is>
          <t>2027-03-20T15:00:00Z</t>
        </is>
      </c>
      <c r="C300" t="n">
        <v>17</v>
      </c>
      <c r="D300" t="n">
        <v>13</v>
      </c>
      <c r="E300" t="n">
        <v>2</v>
      </c>
      <c r="F300" t="n">
        <v>3</v>
      </c>
      <c r="G300" t="inlineStr">
        <is>
          <t>NEW</t>
        </is>
      </c>
      <c r="H300" t="inlineStr">
        <is>
          <t>LEE</t>
        </is>
      </c>
    </row>
    <row r="301">
      <c r="A301" t="n">
        <v>30</v>
      </c>
      <c r="B301" t="inlineStr">
        <is>
          <t>2027-03-20T15:00:00Z</t>
        </is>
      </c>
      <c r="C301" t="n">
        <v>18</v>
      </c>
      <c r="D301" t="n">
        <v>2</v>
      </c>
      <c r="E301" t="n">
        <v>3</v>
      </c>
      <c r="F301" t="n">
        <v>3</v>
      </c>
      <c r="G301" t="inlineStr">
        <is>
          <t>NFO</t>
        </is>
      </c>
      <c r="H301" t="inlineStr">
        <is>
          <t>AVL</t>
        </is>
      </c>
    </row>
    <row r="302">
      <c r="A302" t="n">
        <v>31</v>
      </c>
      <c r="B302" t="inlineStr">
        <is>
          <t>2027-04-10T14:00:00Z</t>
        </is>
      </c>
      <c r="C302" t="n">
        <v>2</v>
      </c>
      <c r="D302" t="n">
        <v>5</v>
      </c>
      <c r="E302" t="n">
        <v>2</v>
      </c>
      <c r="F302" t="n">
        <v>4</v>
      </c>
      <c r="G302" t="inlineStr">
        <is>
          <t>AVL</t>
        </is>
      </c>
      <c r="H302" t="inlineStr">
        <is>
          <t>BHA</t>
        </is>
      </c>
    </row>
    <row r="303">
      <c r="A303" t="n">
        <v>31</v>
      </c>
      <c r="B303" t="inlineStr">
        <is>
          <t>2027-04-10T14:00:00Z</t>
        </is>
      </c>
      <c r="C303" t="n">
        <v>3</v>
      </c>
      <c r="D303" t="n">
        <v>15</v>
      </c>
      <c r="E303" t="n">
        <v>4</v>
      </c>
      <c r="F303" t="n">
        <v>3</v>
      </c>
      <c r="G303" t="inlineStr">
        <is>
          <t>BOU</t>
        </is>
      </c>
      <c r="H303" t="inlineStr">
        <is>
          <t>MCI</t>
        </is>
      </c>
    </row>
    <row r="304">
      <c r="A304" t="n">
        <v>31</v>
      </c>
      <c r="B304" t="inlineStr">
        <is>
          <t>2027-04-10T14:00:00Z</t>
        </is>
      </c>
      <c r="C304" t="n">
        <v>6</v>
      </c>
      <c r="D304" t="n">
        <v>10</v>
      </c>
      <c r="E304" t="n">
        <v>2</v>
      </c>
      <c r="F304" t="n">
        <v>4</v>
      </c>
      <c r="G304" t="inlineStr">
        <is>
          <t>CHE</t>
        </is>
      </c>
      <c r="H304" t="inlineStr">
        <is>
          <t>FUL</t>
        </is>
      </c>
    </row>
    <row r="305">
      <c r="A305" t="n">
        <v>31</v>
      </c>
      <c r="B305" t="inlineStr">
        <is>
          <t>2027-04-10T14:00:00Z</t>
        </is>
      </c>
      <c r="C305" t="n">
        <v>7</v>
      </c>
      <c r="D305" t="n">
        <v>1</v>
      </c>
      <c r="E305" t="n">
        <v>4</v>
      </c>
      <c r="F305" t="n">
        <v>2</v>
      </c>
      <c r="G305" t="inlineStr">
        <is>
          <t>COV</t>
        </is>
      </c>
      <c r="H305" t="inlineStr">
        <is>
          <t>ARS</t>
        </is>
      </c>
    </row>
    <row r="306">
      <c r="A306" t="n">
        <v>31</v>
      </c>
      <c r="B306" t="inlineStr">
        <is>
          <t>2027-04-10T14:00:00Z</t>
        </is>
      </c>
      <c r="C306" t="n">
        <v>8</v>
      </c>
      <c r="D306" t="n">
        <v>9</v>
      </c>
      <c r="E306" t="n">
        <v>3</v>
      </c>
      <c r="F306" t="n">
        <v>3</v>
      </c>
      <c r="G306" t="inlineStr">
        <is>
          <t>CRY</t>
        </is>
      </c>
      <c r="H306" t="inlineStr">
        <is>
          <t>EVE</t>
        </is>
      </c>
    </row>
    <row r="307">
      <c r="A307" t="n">
        <v>31</v>
      </c>
      <c r="B307" t="inlineStr">
        <is>
          <t>2027-04-10T14:00:00Z</t>
        </is>
      </c>
      <c r="C307" t="n">
        <v>13</v>
      </c>
      <c r="D307" t="n">
        <v>18</v>
      </c>
      <c r="E307" t="n">
        <v>3</v>
      </c>
      <c r="F307" t="n">
        <v>3</v>
      </c>
      <c r="G307" t="inlineStr">
        <is>
          <t>LEE</t>
        </is>
      </c>
      <c r="H307" t="inlineStr">
        <is>
          <t>NFO</t>
        </is>
      </c>
    </row>
    <row r="308">
      <c r="A308" t="n">
        <v>31</v>
      </c>
      <c r="B308" t="inlineStr">
        <is>
          <t>2027-04-10T14:00:00Z</t>
        </is>
      </c>
      <c r="C308" t="n">
        <v>14</v>
      </c>
      <c r="D308" t="n">
        <v>17</v>
      </c>
      <c r="E308" t="n">
        <v>2</v>
      </c>
      <c r="F308" t="n">
        <v>4</v>
      </c>
      <c r="G308" t="inlineStr">
        <is>
          <t>LIV</t>
        </is>
      </c>
      <c r="H308" t="inlineStr">
        <is>
          <t>NEW</t>
        </is>
      </c>
    </row>
    <row r="309">
      <c r="A309" t="n">
        <v>31</v>
      </c>
      <c r="B309" t="inlineStr">
        <is>
          <t>2027-04-10T14:00:00Z</t>
        </is>
      </c>
      <c r="C309" t="n">
        <v>16</v>
      </c>
      <c r="D309" t="n">
        <v>11</v>
      </c>
      <c r="E309" t="n">
        <v>2</v>
      </c>
      <c r="F309" t="n">
        <v>4</v>
      </c>
      <c r="G309" t="inlineStr">
        <is>
          <t>MUN</t>
        </is>
      </c>
      <c r="H309" t="inlineStr">
        <is>
          <t>HUL</t>
        </is>
      </c>
    </row>
    <row r="310">
      <c r="A310" t="n">
        <v>31</v>
      </c>
      <c r="B310" t="inlineStr">
        <is>
          <t>2027-04-10T14:00:00Z</t>
        </is>
      </c>
      <c r="C310" t="n">
        <v>19</v>
      </c>
      <c r="D310" t="n">
        <v>4</v>
      </c>
      <c r="E310" t="n">
        <v>3</v>
      </c>
      <c r="F310" t="n">
        <v>3</v>
      </c>
      <c r="G310" t="inlineStr">
        <is>
          <t>TOT</t>
        </is>
      </c>
      <c r="H310" t="inlineStr">
        <is>
          <t>BRE</t>
        </is>
      </c>
    </row>
    <row r="311">
      <c r="A311" t="n">
        <v>31</v>
      </c>
      <c r="B311" t="inlineStr">
        <is>
          <t>2027-04-10T14:00:00Z</t>
        </is>
      </c>
      <c r="C311" t="n">
        <v>20</v>
      </c>
      <c r="D311" t="n">
        <v>12</v>
      </c>
      <c r="E311" t="n">
        <v>2</v>
      </c>
      <c r="F311" t="n">
        <v>3</v>
      </c>
      <c r="G311" t="inlineStr">
        <is>
          <t>SUN</t>
        </is>
      </c>
      <c r="H311" t="inlineStr">
        <is>
          <t>IPS</t>
        </is>
      </c>
    </row>
    <row r="312">
      <c r="A312" t="n">
        <v>32</v>
      </c>
      <c r="B312" t="inlineStr">
        <is>
          <t>2027-04-17T14:00:00Z</t>
        </is>
      </c>
      <c r="C312" t="n">
        <v>1</v>
      </c>
      <c r="D312" t="n">
        <v>2</v>
      </c>
      <c r="E312" t="n">
        <v>3</v>
      </c>
      <c r="F312" t="n">
        <v>5</v>
      </c>
      <c r="G312" t="inlineStr">
        <is>
          <t>ARS</t>
        </is>
      </c>
      <c r="H312" t="inlineStr">
        <is>
          <t>AVL</t>
        </is>
      </c>
    </row>
    <row r="313">
      <c r="A313" t="n">
        <v>32</v>
      </c>
      <c r="B313" t="inlineStr">
        <is>
          <t>2027-04-17T14:00:00Z</t>
        </is>
      </c>
      <c r="C313" t="n">
        <v>4</v>
      </c>
      <c r="D313" t="n">
        <v>13</v>
      </c>
      <c r="E313" t="n">
        <v>2</v>
      </c>
      <c r="F313" t="n">
        <v>3</v>
      </c>
      <c r="G313" t="inlineStr">
        <is>
          <t>BRE</t>
        </is>
      </c>
      <c r="H313" t="inlineStr">
        <is>
          <t>LEE</t>
        </is>
      </c>
    </row>
    <row r="314">
      <c r="A314" t="n">
        <v>32</v>
      </c>
      <c r="B314" t="inlineStr">
        <is>
          <t>2027-04-17T14:00:00Z</t>
        </is>
      </c>
      <c r="C314" t="n">
        <v>5</v>
      </c>
      <c r="D314" t="n">
        <v>6</v>
      </c>
      <c r="E314" t="n">
        <v>4</v>
      </c>
      <c r="F314" t="n">
        <v>3</v>
      </c>
      <c r="G314" t="inlineStr">
        <is>
          <t>BHA</t>
        </is>
      </c>
      <c r="H314" t="inlineStr">
        <is>
          <t>CHE</t>
        </is>
      </c>
    </row>
    <row r="315">
      <c r="A315" t="n">
        <v>32</v>
      </c>
      <c r="B315" t="inlineStr">
        <is>
          <t>2027-04-17T14:00:00Z</t>
        </is>
      </c>
      <c r="C315" t="n">
        <v>9</v>
      </c>
      <c r="D315" t="n">
        <v>3</v>
      </c>
      <c r="E315" t="n">
        <v>3</v>
      </c>
      <c r="F315" t="n">
        <v>3</v>
      </c>
      <c r="G315" t="inlineStr">
        <is>
          <t>EVE</t>
        </is>
      </c>
      <c r="H315" t="inlineStr">
        <is>
          <t>BOU</t>
        </is>
      </c>
    </row>
    <row r="316">
      <c r="A316" t="n">
        <v>32</v>
      </c>
      <c r="B316" t="inlineStr">
        <is>
          <t>2027-04-17T14:00:00Z</t>
        </is>
      </c>
      <c r="C316" t="n">
        <v>10</v>
      </c>
      <c r="D316" t="n">
        <v>20</v>
      </c>
      <c r="E316" t="n">
        <v>2</v>
      </c>
      <c r="F316" t="n">
        <v>3</v>
      </c>
      <c r="G316" t="inlineStr">
        <is>
          <t>FUL</t>
        </is>
      </c>
      <c r="H316" t="inlineStr">
        <is>
          <t>SUN</t>
        </is>
      </c>
    </row>
    <row r="317">
      <c r="A317" t="n">
        <v>32</v>
      </c>
      <c r="B317" t="inlineStr">
        <is>
          <t>2027-04-17T14:00:00Z</t>
        </is>
      </c>
      <c r="C317" t="n">
        <v>11</v>
      </c>
      <c r="D317" t="n">
        <v>7</v>
      </c>
      <c r="E317" t="n">
        <v>2</v>
      </c>
      <c r="F317" t="n">
        <v>2</v>
      </c>
      <c r="G317" t="inlineStr">
        <is>
          <t>HUL</t>
        </is>
      </c>
      <c r="H317" t="inlineStr">
        <is>
          <t>COV</t>
        </is>
      </c>
    </row>
    <row r="318">
      <c r="A318" t="n">
        <v>32</v>
      </c>
      <c r="B318" t="inlineStr">
        <is>
          <t>2027-04-17T14:00:00Z</t>
        </is>
      </c>
      <c r="C318" t="n">
        <v>12</v>
      </c>
      <c r="D318" t="n">
        <v>16</v>
      </c>
      <c r="E318" t="n">
        <v>4</v>
      </c>
      <c r="F318" t="n">
        <v>2</v>
      </c>
      <c r="G318" t="inlineStr">
        <is>
          <t>IPS</t>
        </is>
      </c>
      <c r="H318" t="inlineStr">
        <is>
          <t>MUN</t>
        </is>
      </c>
    </row>
    <row r="319">
      <c r="A319" t="n">
        <v>32</v>
      </c>
      <c r="B319" t="inlineStr">
        <is>
          <t>2027-04-17T14:00:00Z</t>
        </is>
      </c>
      <c r="C319" t="n">
        <v>15</v>
      </c>
      <c r="D319" t="n">
        <v>8</v>
      </c>
      <c r="E319" t="n">
        <v>3</v>
      </c>
      <c r="F319" t="n">
        <v>5</v>
      </c>
      <c r="G319" t="inlineStr">
        <is>
          <t>MCI</t>
        </is>
      </c>
      <c r="H319" t="inlineStr">
        <is>
          <t>CRY</t>
        </is>
      </c>
    </row>
    <row r="320">
      <c r="A320" t="n">
        <v>32</v>
      </c>
      <c r="B320" t="inlineStr">
        <is>
          <t>2027-04-17T14:00:00Z</t>
        </is>
      </c>
      <c r="C320" t="n">
        <v>17</v>
      </c>
      <c r="D320" t="n">
        <v>19</v>
      </c>
      <c r="E320" t="n">
        <v>3</v>
      </c>
      <c r="F320" t="n">
        <v>3</v>
      </c>
      <c r="G320" t="inlineStr">
        <is>
          <t>NEW</t>
        </is>
      </c>
      <c r="H320" t="inlineStr">
        <is>
          <t>TOT</t>
        </is>
      </c>
    </row>
    <row r="321">
      <c r="A321" t="n">
        <v>32</v>
      </c>
      <c r="B321" t="inlineStr">
        <is>
          <t>2027-04-17T14:00:00Z</t>
        </is>
      </c>
      <c r="C321" t="n">
        <v>18</v>
      </c>
      <c r="D321" t="n">
        <v>14</v>
      </c>
      <c r="E321" t="n">
        <v>4</v>
      </c>
      <c r="F321" t="n">
        <v>3</v>
      </c>
      <c r="G321" t="inlineStr">
        <is>
          <t>NFO</t>
        </is>
      </c>
      <c r="H321" t="inlineStr">
        <is>
          <t>LIV</t>
        </is>
      </c>
    </row>
    <row r="322">
      <c r="A322" t="n">
        <v>33</v>
      </c>
      <c r="B322" t="inlineStr">
        <is>
          <t>2027-04-24T14:00:00Z</t>
        </is>
      </c>
      <c r="C322" t="n">
        <v>2</v>
      </c>
      <c r="D322" t="n">
        <v>7</v>
      </c>
      <c r="E322" t="n">
        <v>2</v>
      </c>
      <c r="F322" t="n">
        <v>4</v>
      </c>
      <c r="G322" t="inlineStr">
        <is>
          <t>AVL</t>
        </is>
      </c>
      <c r="H322" t="inlineStr">
        <is>
          <t>COV</t>
        </is>
      </c>
    </row>
    <row r="323">
      <c r="A323" t="n">
        <v>33</v>
      </c>
      <c r="B323" t="inlineStr">
        <is>
          <t>2027-04-24T14:00:00Z</t>
        </is>
      </c>
      <c r="C323" t="n">
        <v>3</v>
      </c>
      <c r="D323" t="n">
        <v>1</v>
      </c>
      <c r="E323" t="n">
        <v>4</v>
      </c>
      <c r="F323" t="n">
        <v>3</v>
      </c>
      <c r="G323" t="inlineStr">
        <is>
          <t>BOU</t>
        </is>
      </c>
      <c r="H323" t="inlineStr">
        <is>
          <t>ARS</t>
        </is>
      </c>
    </row>
    <row r="324">
      <c r="A324" t="n">
        <v>33</v>
      </c>
      <c r="B324" t="inlineStr">
        <is>
          <t>2027-04-24T14:00:00Z</t>
        </is>
      </c>
      <c r="C324" t="n">
        <v>4</v>
      </c>
      <c r="D324" t="n">
        <v>10</v>
      </c>
      <c r="E324" t="n">
        <v>2</v>
      </c>
      <c r="F324" t="n">
        <v>3</v>
      </c>
      <c r="G324" t="inlineStr">
        <is>
          <t>BRE</t>
        </is>
      </c>
      <c r="H324" t="inlineStr">
        <is>
          <t>FUL</t>
        </is>
      </c>
    </row>
    <row r="325">
      <c r="A325" t="n">
        <v>33</v>
      </c>
      <c r="B325" t="inlineStr">
        <is>
          <t>2027-04-24T14:00:00Z</t>
        </is>
      </c>
      <c r="C325" t="n">
        <v>6</v>
      </c>
      <c r="D325" t="n">
        <v>15</v>
      </c>
      <c r="E325" t="n">
        <v>4</v>
      </c>
      <c r="F325" t="n">
        <v>4</v>
      </c>
      <c r="G325" t="inlineStr">
        <is>
          <t>CHE</t>
        </is>
      </c>
      <c r="H325" t="inlineStr">
        <is>
          <t>MCI</t>
        </is>
      </c>
    </row>
    <row r="326">
      <c r="A326" t="n">
        <v>33</v>
      </c>
      <c r="B326" t="inlineStr">
        <is>
          <t>2027-04-24T14:00:00Z</t>
        </is>
      </c>
      <c r="C326" t="n">
        <v>9</v>
      </c>
      <c r="D326" t="n">
        <v>5</v>
      </c>
      <c r="E326" t="n">
        <v>2</v>
      </c>
      <c r="F326" t="n">
        <v>3</v>
      </c>
      <c r="G326" t="inlineStr">
        <is>
          <t>EVE</t>
        </is>
      </c>
      <c r="H326" t="inlineStr">
        <is>
          <t>BHA</t>
        </is>
      </c>
    </row>
    <row r="327">
      <c r="A327" t="n">
        <v>33</v>
      </c>
      <c r="B327" t="inlineStr">
        <is>
          <t>2027-04-24T14:00:00Z</t>
        </is>
      </c>
      <c r="C327" t="n">
        <v>13</v>
      </c>
      <c r="D327" t="n">
        <v>14</v>
      </c>
      <c r="E327" t="n">
        <v>4</v>
      </c>
      <c r="F327" t="n">
        <v>3</v>
      </c>
      <c r="G327" t="inlineStr">
        <is>
          <t>LEE</t>
        </is>
      </c>
      <c r="H327" t="inlineStr">
        <is>
          <t>LIV</t>
        </is>
      </c>
    </row>
    <row r="328">
      <c r="A328" t="n">
        <v>33</v>
      </c>
      <c r="B328" t="inlineStr">
        <is>
          <t>2027-04-24T14:00:00Z</t>
        </is>
      </c>
      <c r="C328" t="n">
        <v>16</v>
      </c>
      <c r="D328" t="n">
        <v>8</v>
      </c>
      <c r="E328" t="n">
        <v>3</v>
      </c>
      <c r="F328" t="n">
        <v>4</v>
      </c>
      <c r="G328" t="inlineStr">
        <is>
          <t>MUN</t>
        </is>
      </c>
      <c r="H328" t="inlineStr">
        <is>
          <t>CRY</t>
        </is>
      </c>
    </row>
    <row r="329">
      <c r="A329" t="n">
        <v>33</v>
      </c>
      <c r="B329" t="inlineStr">
        <is>
          <t>2027-04-24T14:00:00Z</t>
        </is>
      </c>
      <c r="C329" t="n">
        <v>17</v>
      </c>
      <c r="D329" t="n">
        <v>12</v>
      </c>
      <c r="E329" t="n">
        <v>2</v>
      </c>
      <c r="F329" t="n">
        <v>3</v>
      </c>
      <c r="G329" t="inlineStr">
        <is>
          <t>NEW</t>
        </is>
      </c>
      <c r="H329" t="inlineStr">
        <is>
          <t>IPS</t>
        </is>
      </c>
    </row>
    <row r="330">
      <c r="A330" t="n">
        <v>33</v>
      </c>
      <c r="B330" t="inlineStr">
        <is>
          <t>2027-04-24T14:00:00Z</t>
        </is>
      </c>
      <c r="C330" t="n">
        <v>18</v>
      </c>
      <c r="D330" t="n">
        <v>20</v>
      </c>
      <c r="E330" t="n">
        <v>2</v>
      </c>
      <c r="F330" t="n">
        <v>3</v>
      </c>
      <c r="G330" t="inlineStr">
        <is>
          <t>NFO</t>
        </is>
      </c>
      <c r="H330" t="inlineStr">
        <is>
          <t>SUN</t>
        </is>
      </c>
    </row>
    <row r="331">
      <c r="A331" t="n">
        <v>33</v>
      </c>
      <c r="B331" t="inlineStr">
        <is>
          <t>2027-04-24T14:00:00Z</t>
        </is>
      </c>
      <c r="C331" t="n">
        <v>19</v>
      </c>
      <c r="D331" t="n">
        <v>11</v>
      </c>
      <c r="E331" t="n">
        <v>2</v>
      </c>
      <c r="F331" t="n">
        <v>3</v>
      </c>
      <c r="G331" t="inlineStr">
        <is>
          <t>TOT</t>
        </is>
      </c>
      <c r="H331" t="inlineStr">
        <is>
          <t>HUL</t>
        </is>
      </c>
    </row>
    <row r="332">
      <c r="A332" t="n">
        <v>34</v>
      </c>
      <c r="B332" t="inlineStr">
        <is>
          <t>2027-05-01T14:00:00Z</t>
        </is>
      </c>
      <c r="C332" t="n">
        <v>1</v>
      </c>
      <c r="D332" t="n">
        <v>19</v>
      </c>
      <c r="E332" t="n">
        <v>3</v>
      </c>
      <c r="F332" t="n">
        <v>5</v>
      </c>
      <c r="G332" t="inlineStr">
        <is>
          <t>ARS</t>
        </is>
      </c>
      <c r="H332" t="inlineStr">
        <is>
          <t>TOT</t>
        </is>
      </c>
    </row>
    <row r="333">
      <c r="A333" t="n">
        <v>34</v>
      </c>
      <c r="B333" t="inlineStr">
        <is>
          <t>2027-05-01T14:00:00Z</t>
        </is>
      </c>
      <c r="C333" t="n">
        <v>5</v>
      </c>
      <c r="D333" t="n">
        <v>18</v>
      </c>
      <c r="E333" t="n">
        <v>3</v>
      </c>
      <c r="F333" t="n">
        <v>3</v>
      </c>
      <c r="G333" t="inlineStr">
        <is>
          <t>BHA</t>
        </is>
      </c>
      <c r="H333" t="inlineStr">
        <is>
          <t>NFO</t>
        </is>
      </c>
    </row>
    <row r="334">
      <c r="A334" t="n">
        <v>34</v>
      </c>
      <c r="B334" t="inlineStr">
        <is>
          <t>2027-05-01T14:00:00Z</t>
        </is>
      </c>
      <c r="C334" t="n">
        <v>7</v>
      </c>
      <c r="D334" t="n">
        <v>16</v>
      </c>
      <c r="E334" t="n">
        <v>4</v>
      </c>
      <c r="F334" t="n">
        <v>2</v>
      </c>
      <c r="G334" t="inlineStr">
        <is>
          <t>COV</t>
        </is>
      </c>
      <c r="H334" t="inlineStr">
        <is>
          <t>MUN</t>
        </is>
      </c>
    </row>
    <row r="335">
      <c r="A335" t="n">
        <v>34</v>
      </c>
      <c r="B335" t="inlineStr">
        <is>
          <t>2027-05-01T14:00:00Z</t>
        </is>
      </c>
      <c r="C335" t="n">
        <v>8</v>
      </c>
      <c r="D335" t="n">
        <v>2</v>
      </c>
      <c r="E335" t="n">
        <v>3</v>
      </c>
      <c r="F335" t="n">
        <v>3</v>
      </c>
      <c r="G335" t="inlineStr">
        <is>
          <t>CRY</t>
        </is>
      </c>
      <c r="H335" t="inlineStr">
        <is>
          <t>AVL</t>
        </is>
      </c>
    </row>
    <row r="336">
      <c r="A336" t="n">
        <v>34</v>
      </c>
      <c r="B336" t="inlineStr">
        <is>
          <t>2027-05-01T14:00:00Z</t>
        </is>
      </c>
      <c r="C336" t="n">
        <v>10</v>
      </c>
      <c r="D336" t="n">
        <v>9</v>
      </c>
      <c r="E336" t="n">
        <v>3</v>
      </c>
      <c r="F336" t="n">
        <v>3</v>
      </c>
      <c r="G336" t="inlineStr">
        <is>
          <t>FUL</t>
        </is>
      </c>
      <c r="H336" t="inlineStr">
        <is>
          <t>EVE</t>
        </is>
      </c>
    </row>
    <row r="337">
      <c r="A337" t="n">
        <v>34</v>
      </c>
      <c r="B337" t="inlineStr">
        <is>
          <t>2027-05-01T14:00:00Z</t>
        </is>
      </c>
      <c r="C337" t="n">
        <v>11</v>
      </c>
      <c r="D337" t="n">
        <v>3</v>
      </c>
      <c r="E337" t="n">
        <v>3</v>
      </c>
      <c r="F337" t="n">
        <v>2</v>
      </c>
      <c r="G337" t="inlineStr">
        <is>
          <t>HUL</t>
        </is>
      </c>
      <c r="H337" t="inlineStr">
        <is>
          <t>BOU</t>
        </is>
      </c>
    </row>
    <row r="338">
      <c r="A338" t="n">
        <v>34</v>
      </c>
      <c r="B338" t="inlineStr">
        <is>
          <t>2027-05-01T14:00:00Z</t>
        </is>
      </c>
      <c r="C338" t="n">
        <v>12</v>
      </c>
      <c r="D338" t="n">
        <v>13</v>
      </c>
      <c r="E338" t="n">
        <v>2</v>
      </c>
      <c r="F338" t="n">
        <v>2</v>
      </c>
      <c r="G338" t="inlineStr">
        <is>
          <t>IPS</t>
        </is>
      </c>
      <c r="H338" t="inlineStr">
        <is>
          <t>LEE</t>
        </is>
      </c>
    </row>
    <row r="339">
      <c r="A339" t="n">
        <v>34</v>
      </c>
      <c r="B339" t="inlineStr">
        <is>
          <t>2027-05-01T14:00:00Z</t>
        </is>
      </c>
      <c r="C339" t="n">
        <v>14</v>
      </c>
      <c r="D339" t="n">
        <v>6</v>
      </c>
      <c r="E339" t="n">
        <v>4</v>
      </c>
      <c r="F339" t="n">
        <v>4</v>
      </c>
      <c r="G339" t="inlineStr">
        <is>
          <t>LIV</t>
        </is>
      </c>
      <c r="H339" t="inlineStr">
        <is>
          <t>CHE</t>
        </is>
      </c>
    </row>
    <row r="340">
      <c r="A340" t="n">
        <v>34</v>
      </c>
      <c r="B340" t="inlineStr">
        <is>
          <t>2027-05-01T14:00:00Z</t>
        </is>
      </c>
      <c r="C340" t="n">
        <v>15</v>
      </c>
      <c r="D340" t="n">
        <v>4</v>
      </c>
      <c r="E340" t="n">
        <v>3</v>
      </c>
      <c r="F340" t="n">
        <v>5</v>
      </c>
      <c r="G340" t="inlineStr">
        <is>
          <t>MCI</t>
        </is>
      </c>
      <c r="H340" t="inlineStr">
        <is>
          <t>BRE</t>
        </is>
      </c>
    </row>
    <row r="341">
      <c r="A341" t="n">
        <v>34</v>
      </c>
      <c r="B341" t="inlineStr">
        <is>
          <t>2027-05-01T14:00:00Z</t>
        </is>
      </c>
      <c r="C341" t="n">
        <v>20</v>
      </c>
      <c r="D341" t="n">
        <v>17</v>
      </c>
      <c r="E341" t="n">
        <v>2</v>
      </c>
      <c r="F341" t="n">
        <v>3</v>
      </c>
      <c r="G341" t="inlineStr">
        <is>
          <t>SUN</t>
        </is>
      </c>
      <c r="H341" t="inlineStr">
        <is>
          <t>NEW</t>
        </is>
      </c>
    </row>
    <row r="342">
      <c r="A342" t="n">
        <v>35</v>
      </c>
      <c r="B342" t="inlineStr">
        <is>
          <t>2027-05-08T14:00:00Z</t>
        </is>
      </c>
      <c r="C342" t="n">
        <v>3</v>
      </c>
      <c r="D342" t="n">
        <v>16</v>
      </c>
      <c r="E342" t="n">
        <v>4</v>
      </c>
      <c r="F342" t="n">
        <v>3</v>
      </c>
      <c r="G342" t="inlineStr">
        <is>
          <t>BOU</t>
        </is>
      </c>
      <c r="H342" t="inlineStr">
        <is>
          <t>MUN</t>
        </is>
      </c>
    </row>
    <row r="343">
      <c r="A343" t="n">
        <v>35</v>
      </c>
      <c r="B343" t="inlineStr">
        <is>
          <t>2027-05-08T14:00:00Z</t>
        </is>
      </c>
      <c r="C343" t="n">
        <v>4</v>
      </c>
      <c r="D343" t="n">
        <v>2</v>
      </c>
      <c r="E343" t="n">
        <v>3</v>
      </c>
      <c r="F343" t="n">
        <v>3</v>
      </c>
      <c r="G343" t="inlineStr">
        <is>
          <t>BRE</t>
        </is>
      </c>
      <c r="H343" t="inlineStr">
        <is>
          <t>AVL</t>
        </is>
      </c>
    </row>
    <row r="344">
      <c r="A344" t="n">
        <v>35</v>
      </c>
      <c r="B344" t="inlineStr">
        <is>
          <t>2027-05-08T14:00:00Z</t>
        </is>
      </c>
      <c r="C344" t="n">
        <v>5</v>
      </c>
      <c r="D344" t="n">
        <v>20</v>
      </c>
      <c r="E344" t="n">
        <v>2</v>
      </c>
      <c r="F344" t="n">
        <v>3</v>
      </c>
      <c r="G344" t="inlineStr">
        <is>
          <t>BHA</t>
        </is>
      </c>
      <c r="H344" t="inlineStr">
        <is>
          <t>SUN</t>
        </is>
      </c>
    </row>
    <row r="345">
      <c r="A345" t="n">
        <v>35</v>
      </c>
      <c r="B345" t="inlineStr">
        <is>
          <t>2027-05-08T14:00:00Z</t>
        </is>
      </c>
      <c r="C345" t="n">
        <v>9</v>
      </c>
      <c r="D345" t="n">
        <v>11</v>
      </c>
      <c r="E345" t="n">
        <v>2</v>
      </c>
      <c r="F345" t="n">
        <v>3</v>
      </c>
      <c r="G345" t="inlineStr">
        <is>
          <t>EVE</t>
        </is>
      </c>
      <c r="H345" t="inlineStr">
        <is>
          <t>HUL</t>
        </is>
      </c>
    </row>
    <row r="346">
      <c r="A346" t="n">
        <v>35</v>
      </c>
      <c r="B346" t="inlineStr">
        <is>
          <t>2027-05-08T14:00:00Z</t>
        </is>
      </c>
      <c r="C346" t="n">
        <v>10</v>
      </c>
      <c r="D346" t="n">
        <v>12</v>
      </c>
      <c r="E346" t="n">
        <v>2</v>
      </c>
      <c r="F346" t="n">
        <v>3</v>
      </c>
      <c r="G346" t="inlineStr">
        <is>
          <t>FUL</t>
        </is>
      </c>
      <c r="H346" t="inlineStr">
        <is>
          <t>IPS</t>
        </is>
      </c>
    </row>
    <row r="347">
      <c r="A347" t="n">
        <v>35</v>
      </c>
      <c r="B347" t="inlineStr">
        <is>
          <t>2027-05-08T14:00:00Z</t>
        </is>
      </c>
      <c r="C347" t="n">
        <v>13</v>
      </c>
      <c r="D347" t="n">
        <v>1</v>
      </c>
      <c r="E347" t="n">
        <v>4</v>
      </c>
      <c r="F347" t="n">
        <v>3</v>
      </c>
      <c r="G347" t="inlineStr">
        <is>
          <t>LEE</t>
        </is>
      </c>
      <c r="H347" t="inlineStr">
        <is>
          <t>ARS</t>
        </is>
      </c>
    </row>
    <row r="348">
      <c r="A348" t="n">
        <v>35</v>
      </c>
      <c r="B348" t="inlineStr">
        <is>
          <t>2027-05-08T14:00:00Z</t>
        </is>
      </c>
      <c r="C348" t="n">
        <v>15</v>
      </c>
      <c r="D348" t="n">
        <v>14</v>
      </c>
      <c r="E348" t="n">
        <v>4</v>
      </c>
      <c r="F348" t="n">
        <v>5</v>
      </c>
      <c r="G348" t="inlineStr">
        <is>
          <t>MCI</t>
        </is>
      </c>
      <c r="H348" t="inlineStr">
        <is>
          <t>LIV</t>
        </is>
      </c>
    </row>
    <row r="349">
      <c r="A349" t="n">
        <v>35</v>
      </c>
      <c r="B349" t="inlineStr">
        <is>
          <t>2027-05-08T14:00:00Z</t>
        </is>
      </c>
      <c r="C349" t="n">
        <v>17</v>
      </c>
      <c r="D349" t="n">
        <v>7</v>
      </c>
      <c r="E349" t="n">
        <v>2</v>
      </c>
      <c r="F349" t="n">
        <v>3</v>
      </c>
      <c r="G349" t="inlineStr">
        <is>
          <t>NEW</t>
        </is>
      </c>
      <c r="H349" t="inlineStr">
        <is>
          <t>COV</t>
        </is>
      </c>
    </row>
    <row r="350">
      <c r="A350" t="n">
        <v>35</v>
      </c>
      <c r="B350" t="inlineStr">
        <is>
          <t>2027-05-08T14:00:00Z</t>
        </is>
      </c>
      <c r="C350" t="n">
        <v>18</v>
      </c>
      <c r="D350" t="n">
        <v>8</v>
      </c>
      <c r="E350" t="n">
        <v>3</v>
      </c>
      <c r="F350" t="n">
        <v>3</v>
      </c>
      <c r="G350" t="inlineStr">
        <is>
          <t>NFO</t>
        </is>
      </c>
      <c r="H350" t="inlineStr">
        <is>
          <t>CRY</t>
        </is>
      </c>
    </row>
    <row r="351">
      <c r="A351" t="n">
        <v>35</v>
      </c>
      <c r="B351" t="inlineStr">
        <is>
          <t>2027-05-08T14:00:00Z</t>
        </is>
      </c>
      <c r="C351" t="n">
        <v>19</v>
      </c>
      <c r="D351" t="n">
        <v>6</v>
      </c>
      <c r="E351" t="n">
        <v>4</v>
      </c>
      <c r="F351" t="n">
        <v>3</v>
      </c>
      <c r="G351" t="inlineStr">
        <is>
          <t>TOT</t>
        </is>
      </c>
      <c r="H351" t="inlineStr">
        <is>
          <t>CHE</t>
        </is>
      </c>
    </row>
    <row r="352">
      <c r="A352" t="n">
        <v>36</v>
      </c>
      <c r="B352" t="inlineStr">
        <is>
          <t>2027-05-15T14:00:00Z</t>
        </is>
      </c>
      <c r="C352" t="n">
        <v>1</v>
      </c>
      <c r="D352" t="n">
        <v>18</v>
      </c>
      <c r="E352" t="n">
        <v>3</v>
      </c>
      <c r="F352" t="n">
        <v>5</v>
      </c>
      <c r="G352" t="inlineStr">
        <is>
          <t>ARS</t>
        </is>
      </c>
      <c r="H352" t="inlineStr">
        <is>
          <t>NFO</t>
        </is>
      </c>
    </row>
    <row r="353">
      <c r="A353" t="n">
        <v>36</v>
      </c>
      <c r="B353" t="inlineStr">
        <is>
          <t>2027-05-15T14:00:00Z</t>
        </is>
      </c>
      <c r="C353" t="n">
        <v>2</v>
      </c>
      <c r="D353" t="n">
        <v>17</v>
      </c>
      <c r="E353" t="n">
        <v>2</v>
      </c>
      <c r="F353" t="n">
        <v>4</v>
      </c>
      <c r="G353" t="inlineStr">
        <is>
          <t>AVL</t>
        </is>
      </c>
      <c r="H353" t="inlineStr">
        <is>
          <t>NEW</t>
        </is>
      </c>
    </row>
    <row r="354">
      <c r="A354" t="n">
        <v>36</v>
      </c>
      <c r="B354" t="inlineStr">
        <is>
          <t>2027-05-15T14:00:00Z</t>
        </is>
      </c>
      <c r="C354" t="n">
        <v>6</v>
      </c>
      <c r="D354" t="n">
        <v>9</v>
      </c>
      <c r="E354" t="n">
        <v>3</v>
      </c>
      <c r="F354" t="n">
        <v>4</v>
      </c>
      <c r="G354" t="inlineStr">
        <is>
          <t>CHE</t>
        </is>
      </c>
      <c r="H354" t="inlineStr">
        <is>
          <t>EVE</t>
        </is>
      </c>
    </row>
    <row r="355">
      <c r="A355" t="n">
        <v>36</v>
      </c>
      <c r="B355" t="inlineStr">
        <is>
          <t>2027-05-15T14:00:00Z</t>
        </is>
      </c>
      <c r="C355" t="n">
        <v>7</v>
      </c>
      <c r="D355" t="n">
        <v>19</v>
      </c>
      <c r="E355" t="n">
        <v>3</v>
      </c>
      <c r="F355" t="n">
        <v>2</v>
      </c>
      <c r="G355" t="inlineStr">
        <is>
          <t>COV</t>
        </is>
      </c>
      <c r="H355" t="inlineStr">
        <is>
          <t>TOT</t>
        </is>
      </c>
    </row>
    <row r="356">
      <c r="A356" t="n">
        <v>36</v>
      </c>
      <c r="B356" t="inlineStr">
        <is>
          <t>2027-05-15T14:00:00Z</t>
        </is>
      </c>
      <c r="C356" t="n">
        <v>8</v>
      </c>
      <c r="D356" t="n">
        <v>5</v>
      </c>
      <c r="E356" t="n">
        <v>2</v>
      </c>
      <c r="F356" t="n">
        <v>3</v>
      </c>
      <c r="G356" t="inlineStr">
        <is>
          <t>CRY</t>
        </is>
      </c>
      <c r="H356" t="inlineStr">
        <is>
          <t>BHA</t>
        </is>
      </c>
    </row>
    <row r="357">
      <c r="A357" t="n">
        <v>36</v>
      </c>
      <c r="B357" t="inlineStr">
        <is>
          <t>2027-05-15T14:00:00Z</t>
        </is>
      </c>
      <c r="C357" t="n">
        <v>11</v>
      </c>
      <c r="D357" t="n">
        <v>10</v>
      </c>
      <c r="E357" t="n">
        <v>2</v>
      </c>
      <c r="F357" t="n">
        <v>2</v>
      </c>
      <c r="G357" t="inlineStr">
        <is>
          <t>HUL</t>
        </is>
      </c>
      <c r="H357" t="inlineStr">
        <is>
          <t>FUL</t>
        </is>
      </c>
    </row>
    <row r="358">
      <c r="A358" t="n">
        <v>36</v>
      </c>
      <c r="B358" t="inlineStr">
        <is>
          <t>2027-05-15T14:00:00Z</t>
        </is>
      </c>
      <c r="C358" t="n">
        <v>12</v>
      </c>
      <c r="D358" t="n">
        <v>15</v>
      </c>
      <c r="E358" t="n">
        <v>4</v>
      </c>
      <c r="F358" t="n">
        <v>2</v>
      </c>
      <c r="G358" t="inlineStr">
        <is>
          <t>IPS</t>
        </is>
      </c>
      <c r="H358" t="inlineStr">
        <is>
          <t>MCI</t>
        </is>
      </c>
    </row>
    <row r="359">
      <c r="A359" t="n">
        <v>36</v>
      </c>
      <c r="B359" t="inlineStr">
        <is>
          <t>2027-05-15T14:00:00Z</t>
        </is>
      </c>
      <c r="C359" t="n">
        <v>14</v>
      </c>
      <c r="D359" t="n">
        <v>4</v>
      </c>
      <c r="E359" t="n">
        <v>3</v>
      </c>
      <c r="F359" t="n">
        <v>4</v>
      </c>
      <c r="G359" t="inlineStr">
        <is>
          <t>LIV</t>
        </is>
      </c>
      <c r="H359" t="inlineStr">
        <is>
          <t>BRE</t>
        </is>
      </c>
    </row>
    <row r="360">
      <c r="A360" t="n">
        <v>36</v>
      </c>
      <c r="B360" t="inlineStr">
        <is>
          <t>2027-05-15T14:00:00Z</t>
        </is>
      </c>
      <c r="C360" t="n">
        <v>16</v>
      </c>
      <c r="D360" t="n">
        <v>13</v>
      </c>
      <c r="E360" t="n">
        <v>2</v>
      </c>
      <c r="F360" t="n">
        <v>4</v>
      </c>
      <c r="G360" t="inlineStr">
        <is>
          <t>MUN</t>
        </is>
      </c>
      <c r="H360" t="inlineStr">
        <is>
          <t>LEE</t>
        </is>
      </c>
    </row>
    <row r="361">
      <c r="A361" t="n">
        <v>36</v>
      </c>
      <c r="B361" t="inlineStr">
        <is>
          <t>2027-05-15T14:00:00Z</t>
        </is>
      </c>
      <c r="C361" t="n">
        <v>20</v>
      </c>
      <c r="D361" t="n">
        <v>3</v>
      </c>
      <c r="E361" t="n">
        <v>3</v>
      </c>
      <c r="F361" t="n">
        <v>3</v>
      </c>
      <c r="G361" t="inlineStr">
        <is>
          <t>SUN</t>
        </is>
      </c>
      <c r="H361" t="inlineStr">
        <is>
          <t>BOU</t>
        </is>
      </c>
    </row>
    <row r="362">
      <c r="A362" t="n">
        <v>37</v>
      </c>
      <c r="B362" t="inlineStr">
        <is>
          <t>2027-05-23T14:00:00Z</t>
        </is>
      </c>
      <c r="C362" t="n">
        <v>3</v>
      </c>
      <c r="D362" t="n">
        <v>6</v>
      </c>
      <c r="E362" t="n">
        <v>4</v>
      </c>
      <c r="F362" t="n">
        <v>3</v>
      </c>
      <c r="G362" t="inlineStr">
        <is>
          <t>BOU</t>
        </is>
      </c>
      <c r="H362" t="inlineStr">
        <is>
          <t>CHE</t>
        </is>
      </c>
    </row>
    <row r="363">
      <c r="A363" t="n">
        <v>37</v>
      </c>
      <c r="B363" t="inlineStr">
        <is>
          <t>2027-05-23T14:00:00Z</t>
        </is>
      </c>
      <c r="C363" t="n">
        <v>4</v>
      </c>
      <c r="D363" t="n">
        <v>11</v>
      </c>
      <c r="E363" t="n">
        <v>2</v>
      </c>
      <c r="F363" t="n">
        <v>3</v>
      </c>
      <c r="G363" t="inlineStr">
        <is>
          <t>BRE</t>
        </is>
      </c>
      <c r="H363" t="inlineStr">
        <is>
          <t>HUL</t>
        </is>
      </c>
    </row>
    <row r="364">
      <c r="A364" t="n">
        <v>37</v>
      </c>
      <c r="B364" t="inlineStr">
        <is>
          <t>2027-05-23T14:00:00Z</t>
        </is>
      </c>
      <c r="C364" t="n">
        <v>5</v>
      </c>
      <c r="D364" t="n">
        <v>14</v>
      </c>
      <c r="E364" t="n">
        <v>4</v>
      </c>
      <c r="F364" t="n">
        <v>3</v>
      </c>
      <c r="G364" t="inlineStr">
        <is>
          <t>BHA</t>
        </is>
      </c>
      <c r="H364" t="inlineStr">
        <is>
          <t>LIV</t>
        </is>
      </c>
    </row>
    <row r="365">
      <c r="A365" t="n">
        <v>37</v>
      </c>
      <c r="B365" t="inlineStr">
        <is>
          <t>2027-05-23T14:00:00Z</t>
        </is>
      </c>
      <c r="C365" t="n">
        <v>9</v>
      </c>
      <c r="D365" t="n">
        <v>1</v>
      </c>
      <c r="E365" t="n">
        <v>4</v>
      </c>
      <c r="F365" t="n">
        <v>3</v>
      </c>
      <c r="G365" t="inlineStr">
        <is>
          <t>EVE</t>
        </is>
      </c>
      <c r="H365" t="inlineStr">
        <is>
          <t>ARS</t>
        </is>
      </c>
    </row>
    <row r="366">
      <c r="A366" t="n">
        <v>37</v>
      </c>
      <c r="B366" t="inlineStr">
        <is>
          <t>2027-05-23T14:00:00Z</t>
        </is>
      </c>
      <c r="C366" t="n">
        <v>10</v>
      </c>
      <c r="D366" t="n">
        <v>7</v>
      </c>
      <c r="E366" t="n">
        <v>2</v>
      </c>
      <c r="F366" t="n">
        <v>3</v>
      </c>
      <c r="G366" t="inlineStr">
        <is>
          <t>FUL</t>
        </is>
      </c>
      <c r="H366" t="inlineStr">
        <is>
          <t>COV</t>
        </is>
      </c>
    </row>
    <row r="367">
      <c r="A367" t="n">
        <v>37</v>
      </c>
      <c r="B367" t="inlineStr">
        <is>
          <t>2027-05-23T14:00:00Z</t>
        </is>
      </c>
      <c r="C367" t="n">
        <v>13</v>
      </c>
      <c r="D367" t="n">
        <v>20</v>
      </c>
      <c r="E367" t="n">
        <v>2</v>
      </c>
      <c r="F367" t="n">
        <v>3</v>
      </c>
      <c r="G367" t="inlineStr">
        <is>
          <t>LEE</t>
        </is>
      </c>
      <c r="H367" t="inlineStr">
        <is>
          <t>SUN</t>
        </is>
      </c>
    </row>
    <row r="368">
      <c r="A368" t="n">
        <v>37</v>
      </c>
      <c r="B368" t="inlineStr">
        <is>
          <t>2027-05-23T14:00:00Z</t>
        </is>
      </c>
      <c r="C368" t="n">
        <v>15</v>
      </c>
      <c r="D368" t="n">
        <v>2</v>
      </c>
      <c r="E368" t="n">
        <v>3</v>
      </c>
      <c r="F368" t="n">
        <v>5</v>
      </c>
      <c r="G368" t="inlineStr">
        <is>
          <t>MCI</t>
        </is>
      </c>
      <c r="H368" t="inlineStr">
        <is>
          <t>AVL</t>
        </is>
      </c>
    </row>
    <row r="369">
      <c r="A369" t="n">
        <v>37</v>
      </c>
      <c r="B369" t="inlineStr">
        <is>
          <t>2027-05-23T14:00:00Z</t>
        </is>
      </c>
      <c r="C369" t="n">
        <v>17</v>
      </c>
      <c r="D369" t="n">
        <v>8</v>
      </c>
      <c r="E369" t="n">
        <v>3</v>
      </c>
      <c r="F369" t="n">
        <v>3</v>
      </c>
      <c r="G369" t="inlineStr">
        <is>
          <t>NEW</t>
        </is>
      </c>
      <c r="H369" t="inlineStr">
        <is>
          <t>CRY</t>
        </is>
      </c>
    </row>
    <row r="370">
      <c r="A370" t="n">
        <v>37</v>
      </c>
      <c r="B370" t="inlineStr">
        <is>
          <t>2027-05-23T14:00:00Z</t>
        </is>
      </c>
      <c r="C370" t="n">
        <v>18</v>
      </c>
      <c r="D370" t="n">
        <v>12</v>
      </c>
      <c r="E370" t="n">
        <v>2</v>
      </c>
      <c r="F370" t="n">
        <v>3</v>
      </c>
      <c r="G370" t="inlineStr">
        <is>
          <t>NFO</t>
        </is>
      </c>
      <c r="H370" t="inlineStr">
        <is>
          <t>IPS</t>
        </is>
      </c>
    </row>
    <row r="371">
      <c r="A371" t="n">
        <v>37</v>
      </c>
      <c r="B371" t="inlineStr">
        <is>
          <t>2027-05-23T14:00:00Z</t>
        </is>
      </c>
      <c r="C371" t="n">
        <v>19</v>
      </c>
      <c r="D371" t="n">
        <v>16</v>
      </c>
      <c r="E371" t="n">
        <v>4</v>
      </c>
      <c r="F371" t="n">
        <v>3</v>
      </c>
      <c r="G371" t="inlineStr">
        <is>
          <t>TOT</t>
        </is>
      </c>
      <c r="H371" t="inlineStr">
        <is>
          <t>MUN</t>
        </is>
      </c>
    </row>
    <row r="372">
      <c r="A372" t="n">
        <v>38</v>
      </c>
      <c r="B372" t="inlineStr">
        <is>
          <t>2027-05-30T15:00:00Z</t>
        </is>
      </c>
      <c r="C372" t="n">
        <v>1</v>
      </c>
      <c r="D372" t="n">
        <v>5</v>
      </c>
      <c r="E372" t="n">
        <v>2</v>
      </c>
      <c r="F372" t="n">
        <v>5</v>
      </c>
      <c r="G372" t="inlineStr">
        <is>
          <t>ARS</t>
        </is>
      </c>
      <c r="H372" t="inlineStr">
        <is>
          <t>BHA</t>
        </is>
      </c>
    </row>
    <row r="373">
      <c r="A373" t="n">
        <v>38</v>
      </c>
      <c r="B373" t="inlineStr">
        <is>
          <t>2027-05-30T15:00:00Z</t>
        </is>
      </c>
      <c r="C373" t="n">
        <v>2</v>
      </c>
      <c r="D373" t="n">
        <v>19</v>
      </c>
      <c r="E373" t="n">
        <v>3</v>
      </c>
      <c r="F373" t="n">
        <v>4</v>
      </c>
      <c r="G373" t="inlineStr">
        <is>
          <t>AVL</t>
        </is>
      </c>
      <c r="H373" t="inlineStr">
        <is>
          <t>TOT</t>
        </is>
      </c>
    </row>
    <row r="374">
      <c r="A374" t="n">
        <v>38</v>
      </c>
      <c r="B374" t="inlineStr">
        <is>
          <t>2027-05-30T15:00:00Z</t>
        </is>
      </c>
      <c r="C374" t="n">
        <v>6</v>
      </c>
      <c r="D374" t="n">
        <v>4</v>
      </c>
      <c r="E374" t="n">
        <v>3</v>
      </c>
      <c r="F374" t="n">
        <v>4</v>
      </c>
      <c r="G374" t="inlineStr">
        <is>
          <t>CHE</t>
        </is>
      </c>
      <c r="H374" t="inlineStr">
        <is>
          <t>BRE</t>
        </is>
      </c>
    </row>
    <row r="375">
      <c r="A375" t="n">
        <v>38</v>
      </c>
      <c r="B375" t="inlineStr">
        <is>
          <t>2027-05-30T15:00:00Z</t>
        </is>
      </c>
      <c r="C375" t="n">
        <v>7</v>
      </c>
      <c r="D375" t="n">
        <v>18</v>
      </c>
      <c r="E375" t="n">
        <v>3</v>
      </c>
      <c r="F375" t="n">
        <v>2</v>
      </c>
      <c r="G375" t="inlineStr">
        <is>
          <t>COV</t>
        </is>
      </c>
      <c r="H375" t="inlineStr">
        <is>
          <t>NFO</t>
        </is>
      </c>
    </row>
    <row r="376">
      <c r="A376" t="n">
        <v>38</v>
      </c>
      <c r="B376" t="inlineStr">
        <is>
          <t>2027-05-30T15:00:00Z</t>
        </is>
      </c>
      <c r="C376" t="n">
        <v>8</v>
      </c>
      <c r="D376" t="n">
        <v>13</v>
      </c>
      <c r="E376" t="n">
        <v>2</v>
      </c>
      <c r="F376" t="n">
        <v>3</v>
      </c>
      <c r="G376" t="inlineStr">
        <is>
          <t>CRY</t>
        </is>
      </c>
      <c r="H376" t="inlineStr">
        <is>
          <t>LEE</t>
        </is>
      </c>
    </row>
    <row r="377">
      <c r="A377" t="n">
        <v>38</v>
      </c>
      <c r="B377" t="inlineStr">
        <is>
          <t>2027-05-30T15:00:00Z</t>
        </is>
      </c>
      <c r="C377" t="n">
        <v>11</v>
      </c>
      <c r="D377" t="n">
        <v>17</v>
      </c>
      <c r="E377" t="n">
        <v>2</v>
      </c>
      <c r="F377" t="n">
        <v>2</v>
      </c>
      <c r="G377" t="inlineStr">
        <is>
          <t>HUL</t>
        </is>
      </c>
      <c r="H377" t="inlineStr">
        <is>
          <t>NEW</t>
        </is>
      </c>
    </row>
    <row r="378">
      <c r="A378" t="n">
        <v>38</v>
      </c>
      <c r="B378" t="inlineStr">
        <is>
          <t>2027-05-30T15:00:00Z</t>
        </is>
      </c>
      <c r="C378" t="n">
        <v>12</v>
      </c>
      <c r="D378" t="n">
        <v>9</v>
      </c>
      <c r="E378" t="n">
        <v>3</v>
      </c>
      <c r="F378" t="n">
        <v>2</v>
      </c>
      <c r="G378" t="inlineStr">
        <is>
          <t>IPS</t>
        </is>
      </c>
      <c r="H378" t="inlineStr">
        <is>
          <t>EVE</t>
        </is>
      </c>
    </row>
    <row r="379">
      <c r="A379" t="n">
        <v>38</v>
      </c>
      <c r="B379" t="inlineStr">
        <is>
          <t>2027-05-30T15:00:00Z</t>
        </is>
      </c>
      <c r="C379" t="n">
        <v>14</v>
      </c>
      <c r="D379" t="n">
        <v>3</v>
      </c>
      <c r="E379" t="n">
        <v>3</v>
      </c>
      <c r="F379" t="n">
        <v>4</v>
      </c>
      <c r="G379" t="inlineStr">
        <is>
          <t>LIV</t>
        </is>
      </c>
      <c r="H379" t="inlineStr">
        <is>
          <t>BOU</t>
        </is>
      </c>
    </row>
    <row r="380">
      <c r="A380" t="n">
        <v>38</v>
      </c>
      <c r="B380" t="inlineStr">
        <is>
          <t>2027-05-30T15:00:00Z</t>
        </is>
      </c>
      <c r="C380" t="n">
        <v>16</v>
      </c>
      <c r="D380" t="n">
        <v>10</v>
      </c>
      <c r="E380" t="n">
        <v>2</v>
      </c>
      <c r="F380" t="n">
        <v>4</v>
      </c>
      <c r="G380" t="inlineStr">
        <is>
          <t>MUN</t>
        </is>
      </c>
      <c r="H380" t="inlineStr">
        <is>
          <t>FUL</t>
        </is>
      </c>
    </row>
    <row r="381">
      <c r="A381" t="n">
        <v>38</v>
      </c>
      <c r="B381" t="inlineStr">
        <is>
          <t>2027-05-30T15:00:00Z</t>
        </is>
      </c>
      <c r="C381" t="n">
        <v>20</v>
      </c>
      <c r="D381" t="n">
        <v>15</v>
      </c>
      <c r="E381" t="n">
        <v>4</v>
      </c>
      <c r="F381" t="n">
        <v>3</v>
      </c>
      <c r="G381" t="inlineStr">
        <is>
          <t>SUN</t>
        </is>
      </c>
      <c r="H381" t="inlineStr">
        <is>
          <t>MCI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season</t>
        </is>
      </c>
      <c r="B1" t="inlineStr">
        <is>
          <t>model</t>
        </is>
      </c>
      <c r="C1" t="inlineStr">
        <is>
          <t>n</t>
        </is>
      </c>
      <c r="D1" t="inlineStr">
        <is>
          <t>total_goals</t>
        </is>
      </c>
      <c r="E1" t="inlineStr">
        <is>
          <t>total_xG</t>
        </is>
      </c>
      <c r="F1" t="inlineStr">
        <is>
          <t>bias_%</t>
        </is>
      </c>
      <c r="G1" t="inlineStr">
        <is>
          <t>player_MAE</t>
        </is>
      </c>
    </row>
    <row r="2">
      <c r="A2" t="inlineStr">
        <is>
          <t>2022/23</t>
        </is>
      </c>
      <c r="B2" t="inlineStr">
        <is>
          <t>Opta (FPL)</t>
        </is>
      </c>
      <c r="C2" t="n">
        <v>331</v>
      </c>
      <c r="D2" t="n">
        <v>958</v>
      </c>
      <c r="E2" t="n">
        <v>988.3</v>
      </c>
      <c r="F2" t="n">
        <v>3.2</v>
      </c>
      <c r="G2" t="n">
        <v>1.391</v>
      </c>
    </row>
    <row r="3">
      <c r="A3" t="inlineStr">
        <is>
          <t>2022/23</t>
        </is>
      </c>
      <c r="B3" t="inlineStr">
        <is>
          <t>Understat</t>
        </is>
      </c>
      <c r="C3" t="n">
        <v>331</v>
      </c>
      <c r="D3" t="n">
        <v>958</v>
      </c>
      <c r="E3" t="n">
        <v>1032.6</v>
      </c>
      <c r="F3" t="n">
        <v>7.8</v>
      </c>
      <c r="G3" t="n">
        <v>1.391</v>
      </c>
    </row>
    <row r="4">
      <c r="A4" t="inlineStr">
        <is>
          <t>2022/23</t>
        </is>
      </c>
      <c r="B4" t="inlineStr">
        <is>
          <t>50/50 blend</t>
        </is>
      </c>
      <c r="C4" t="n">
        <v>331</v>
      </c>
      <c r="D4" t="n">
        <v>958</v>
      </c>
      <c r="E4" t="n">
        <v>1010.4</v>
      </c>
      <c r="F4" t="n">
        <v>5.5</v>
      </c>
      <c r="G4" t="n">
        <v>1.362</v>
      </c>
    </row>
    <row r="5">
      <c r="A5" t="inlineStr">
        <is>
          <t>2023/24</t>
        </is>
      </c>
      <c r="B5" t="inlineStr">
        <is>
          <t>Opta (FPL)</t>
        </is>
      </c>
      <c r="C5" t="n">
        <v>338</v>
      </c>
      <c r="D5" t="n">
        <v>1113</v>
      </c>
      <c r="E5" t="n">
        <v>1090.1</v>
      </c>
      <c r="F5" t="n">
        <v>-2.1</v>
      </c>
      <c r="G5" t="n">
        <v>1.283</v>
      </c>
    </row>
    <row r="6">
      <c r="A6" t="inlineStr">
        <is>
          <t>2023/24</t>
        </is>
      </c>
      <c r="B6" t="inlineStr">
        <is>
          <t>Understat</t>
        </is>
      </c>
      <c r="C6" t="n">
        <v>338</v>
      </c>
      <c r="D6" t="n">
        <v>1113</v>
      </c>
      <c r="E6" t="n">
        <v>1188.5</v>
      </c>
      <c r="F6" t="n">
        <v>6.8</v>
      </c>
      <c r="G6" t="n">
        <v>1.272</v>
      </c>
    </row>
    <row r="7">
      <c r="A7" t="inlineStr">
        <is>
          <t>2023/24</t>
        </is>
      </c>
      <c r="B7" t="inlineStr">
        <is>
          <t>50/50 blend</t>
        </is>
      </c>
      <c r="C7" t="n">
        <v>338</v>
      </c>
      <c r="D7" t="n">
        <v>1113</v>
      </c>
      <c r="E7" t="n">
        <v>1139.3</v>
      </c>
      <c r="F7" t="n">
        <v>2.4</v>
      </c>
      <c r="G7" t="n">
        <v>1.244</v>
      </c>
    </row>
    <row r="8">
      <c r="A8" t="inlineStr">
        <is>
          <t>2024/25</t>
        </is>
      </c>
      <c r="B8" t="inlineStr">
        <is>
          <t>Opta (FPL)</t>
        </is>
      </c>
      <c r="C8" t="n">
        <v>321</v>
      </c>
      <c r="D8" t="n">
        <v>980</v>
      </c>
      <c r="E8" t="n">
        <v>987.3</v>
      </c>
      <c r="F8" t="n">
        <v>0.7</v>
      </c>
      <c r="G8" t="n">
        <v>1.24</v>
      </c>
    </row>
    <row r="9">
      <c r="A9" t="inlineStr">
        <is>
          <t>2024/25</t>
        </is>
      </c>
      <c r="B9" t="inlineStr">
        <is>
          <t>Understat</t>
        </is>
      </c>
      <c r="C9" t="n">
        <v>321</v>
      </c>
      <c r="D9" t="n">
        <v>980</v>
      </c>
      <c r="E9" t="n">
        <v>1113.8</v>
      </c>
      <c r="F9" t="n">
        <v>13.7</v>
      </c>
      <c r="G9" t="n">
        <v>1.305</v>
      </c>
    </row>
    <row r="10">
      <c r="A10" t="inlineStr">
        <is>
          <t>2024/25</t>
        </is>
      </c>
      <c r="B10" t="inlineStr">
        <is>
          <t>50/50 blend</t>
        </is>
      </c>
      <c r="C10" t="n">
        <v>321</v>
      </c>
      <c r="D10" t="n">
        <v>980</v>
      </c>
      <c r="E10" t="n">
        <v>1050.6</v>
      </c>
      <c r="F10" t="n">
        <v>7.2</v>
      </c>
      <c r="G10" t="n">
        <v>1.227</v>
      </c>
    </row>
    <row r="11">
      <c r="A11" t="inlineStr">
        <is>
          <t>2025/26</t>
        </is>
      </c>
      <c r="B11" t="inlineStr">
        <is>
          <t>Opta (FPL)</t>
        </is>
      </c>
      <c r="C11" t="n">
        <v>340</v>
      </c>
      <c r="D11" t="n">
        <v>934</v>
      </c>
      <c r="E11" t="n">
        <v>972.1</v>
      </c>
      <c r="F11" t="n">
        <v>4.1</v>
      </c>
      <c r="G11" t="n">
        <v>1.097</v>
      </c>
    </row>
    <row r="12">
      <c r="A12" t="inlineStr">
        <is>
          <t>2025/26</t>
        </is>
      </c>
      <c r="B12" t="inlineStr">
        <is>
          <t>Understat</t>
        </is>
      </c>
      <c r="C12" t="n">
        <v>340</v>
      </c>
      <c r="D12" t="n">
        <v>934</v>
      </c>
      <c r="E12" t="n">
        <v>1073.5</v>
      </c>
      <c r="F12" t="n">
        <v>14.9</v>
      </c>
      <c r="G12" t="n">
        <v>1.182</v>
      </c>
    </row>
    <row r="13">
      <c r="A13" t="inlineStr">
        <is>
          <t>2025/26</t>
        </is>
      </c>
      <c r="B13" t="inlineStr">
        <is>
          <t>50/50 blend</t>
        </is>
      </c>
      <c r="C13" t="n">
        <v>340</v>
      </c>
      <c r="D13" t="n">
        <v>934</v>
      </c>
      <c r="E13" t="n">
        <v>1022.8</v>
      </c>
      <c r="F13" t="n">
        <v>9.5</v>
      </c>
      <c r="G13" t="n">
        <v>1.096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test</t>
        </is>
      </c>
      <c r="B1" t="inlineStr">
        <is>
          <t>target</t>
        </is>
      </c>
      <c r="C1" t="inlineStr">
        <is>
          <t>predictor</t>
        </is>
      </c>
      <c r="D1" t="inlineStr">
        <is>
          <t>n</t>
        </is>
      </c>
      <c r="E1" t="inlineStr">
        <is>
          <t>spearman</t>
        </is>
      </c>
      <c r="F1" t="inlineStr">
        <is>
          <t>r2</t>
        </is>
      </c>
      <c r="G1" t="inlineStr">
        <is>
          <t>rmse_rescaled</t>
        </is>
      </c>
    </row>
    <row r="2">
      <c r="A2" t="inlineStr">
        <is>
          <t>goals</t>
        </is>
      </c>
      <c r="B2" t="inlineStr">
        <is>
          <t>goals/90 next season</t>
        </is>
      </c>
      <c r="C2" t="inlineStr">
        <is>
          <t>goals/90 (baseline)</t>
        </is>
      </c>
      <c r="D2" t="n">
        <v>371</v>
      </c>
      <c r="E2" t="n">
        <v>0.6926</v>
      </c>
      <c r="F2" t="n">
        <v>0.4945</v>
      </c>
      <c r="G2" t="n">
        <v>0.1252</v>
      </c>
    </row>
    <row r="3">
      <c r="A3" t="inlineStr">
        <is>
          <t>goals</t>
        </is>
      </c>
      <c r="B3" t="inlineStr">
        <is>
          <t>goals/90 next season</t>
        </is>
      </c>
      <c r="C3" t="inlineStr">
        <is>
          <t>Opta xG/90</t>
        </is>
      </c>
      <c r="D3" t="n">
        <v>441</v>
      </c>
      <c r="E3" t="n">
        <v>0.7454</v>
      </c>
      <c r="F3" t="n">
        <v>0.5941</v>
      </c>
      <c r="G3" t="n">
        <v>0.1087</v>
      </c>
    </row>
    <row r="4">
      <c r="A4" t="inlineStr">
        <is>
          <t>goals</t>
        </is>
      </c>
      <c r="B4" t="inlineStr">
        <is>
          <t>goals/90 next season</t>
        </is>
      </c>
      <c r="C4" t="inlineStr">
        <is>
          <t>Understat xG/90</t>
        </is>
      </c>
      <c r="D4" t="n">
        <v>441</v>
      </c>
      <c r="E4" t="n">
        <v>0.7342</v>
      </c>
      <c r="F4" t="n">
        <v>0.5682</v>
      </c>
      <c r="G4" t="n">
        <v>0.1121</v>
      </c>
    </row>
    <row r="5">
      <c r="A5" t="inlineStr">
        <is>
          <t>goals</t>
        </is>
      </c>
      <c r="B5" t="inlineStr">
        <is>
          <t>goals/90 next season</t>
        </is>
      </c>
      <c r="C5" t="inlineStr">
        <is>
          <t>Understat npxG/90</t>
        </is>
      </c>
      <c r="D5" t="n">
        <v>441</v>
      </c>
      <c r="E5" t="n">
        <v>0.7256</v>
      </c>
      <c r="F5" t="n">
        <v>0.5472</v>
      </c>
      <c r="G5" t="n">
        <v>0.1148</v>
      </c>
    </row>
    <row r="6">
      <c r="A6" t="inlineStr">
        <is>
          <t>goals</t>
        </is>
      </c>
      <c r="B6" t="inlineStr">
        <is>
          <t>goals/90 next season</t>
        </is>
      </c>
      <c r="C6" t="inlineStr">
        <is>
          <t>50/50 blend xG/90</t>
        </is>
      </c>
      <c r="D6" t="n">
        <v>441</v>
      </c>
      <c r="E6" t="n">
        <v>0.7422</v>
      </c>
      <c r="F6" t="n">
        <v>0.5832000000000001</v>
      </c>
      <c r="G6" t="n">
        <v>0.1101</v>
      </c>
    </row>
    <row r="7">
      <c r="A7" t="inlineStr">
        <is>
          <t>goals</t>
        </is>
      </c>
      <c r="B7" t="inlineStr">
        <is>
          <t>goals/90 next season</t>
        </is>
      </c>
      <c r="C7" t="inlineStr">
        <is>
          <t>FotMob xGOT/90</t>
        </is>
      </c>
      <c r="D7" t="n">
        <v>431</v>
      </c>
      <c r="E7" t="n">
        <v>0.7204</v>
      </c>
      <c r="F7" t="n">
        <v>0.5358000000000001</v>
      </c>
      <c r="G7" t="n">
        <v>0.1166</v>
      </c>
    </row>
    <row r="8">
      <c r="A8" t="inlineStr">
        <is>
          <t>assists</t>
        </is>
      </c>
      <c r="B8" t="inlineStr">
        <is>
          <t>FPL assists/90 next season</t>
        </is>
      </c>
      <c r="C8" t="inlineStr">
        <is>
          <t>FPL assists/90 (baseline)</t>
        </is>
      </c>
      <c r="D8" t="n">
        <v>605</v>
      </c>
      <c r="E8" t="n">
        <v>0.5876</v>
      </c>
      <c r="F8" t="n">
        <v>0.3291</v>
      </c>
      <c r="G8" t="n">
        <v>0.1043</v>
      </c>
    </row>
    <row r="9">
      <c r="A9" t="inlineStr">
        <is>
          <t>assists</t>
        </is>
      </c>
      <c r="B9" t="inlineStr">
        <is>
          <t>FPL assists/90 next season</t>
        </is>
      </c>
      <c r="C9" t="inlineStr">
        <is>
          <t>Opta xA/90</t>
        </is>
      </c>
      <c r="D9" t="n">
        <v>605</v>
      </c>
      <c r="E9" t="n">
        <v>0.6666</v>
      </c>
      <c r="F9" t="n">
        <v>0.4171</v>
      </c>
      <c r="G9" t="n">
        <v>0.09719999999999999</v>
      </c>
    </row>
    <row r="10">
      <c r="A10" t="inlineStr">
        <is>
          <t>assists</t>
        </is>
      </c>
      <c r="B10" t="inlineStr">
        <is>
          <t>FPL assists/90 next season</t>
        </is>
      </c>
      <c r="C10" t="inlineStr">
        <is>
          <t>Understat xA/90</t>
        </is>
      </c>
      <c r="D10" t="n">
        <v>604</v>
      </c>
      <c r="E10" t="n">
        <v>0.6848</v>
      </c>
      <c r="F10" t="n">
        <v>0.4202</v>
      </c>
      <c r="G10" t="n">
        <v>0.097</v>
      </c>
    </row>
    <row r="11">
      <c r="A11" t="inlineStr">
        <is>
          <t>assists</t>
        </is>
      </c>
      <c r="B11" t="inlineStr">
        <is>
          <t>FPL assists/90 next season</t>
        </is>
      </c>
      <c r="C11" t="inlineStr">
        <is>
          <t>50/50 blend xA/90</t>
        </is>
      </c>
      <c r="D11" t="n">
        <v>605</v>
      </c>
      <c r="E11" t="n">
        <v>0.6895</v>
      </c>
      <c r="F11" t="n">
        <v>0.4324</v>
      </c>
      <c r="G11" t="n">
        <v>0.096</v>
      </c>
    </row>
    <row r="12">
      <c r="A12" t="inlineStr">
        <is>
          <t>assists</t>
        </is>
      </c>
      <c r="B12" t="inlineStr">
        <is>
          <t>FPL assists/90 next season</t>
        </is>
      </c>
      <c r="C12" t="inlineStr">
        <is>
          <t>Understat key passes/90</t>
        </is>
      </c>
      <c r="D12" t="n">
        <v>604</v>
      </c>
      <c r="E12" t="n">
        <v>0.6882</v>
      </c>
      <c r="F12" t="n">
        <v>0.423</v>
      </c>
      <c r="G12" t="n">
        <v>0.0968</v>
      </c>
    </row>
    <row r="13">
      <c r="A13" t="inlineStr">
        <is>
          <t>assists</t>
        </is>
      </c>
      <c r="B13" t="inlineStr">
        <is>
          <t>Opta assists/90 next season</t>
        </is>
      </c>
      <c r="C13" t="inlineStr">
        <is>
          <t>FPL assists/90 (baseline)</t>
        </is>
      </c>
      <c r="D13" t="n">
        <v>448</v>
      </c>
      <c r="E13" t="n">
        <v>0.4921</v>
      </c>
      <c r="F13" t="n">
        <v>0.2365</v>
      </c>
      <c r="G13" t="n">
        <v>0.0911</v>
      </c>
    </row>
    <row r="14">
      <c r="A14" t="inlineStr">
        <is>
          <t>assists</t>
        </is>
      </c>
      <c r="B14" t="inlineStr">
        <is>
          <t>Opta assists/90 next season</t>
        </is>
      </c>
      <c r="C14" t="inlineStr">
        <is>
          <t>Opta xA/90</t>
        </is>
      </c>
      <c r="D14" t="n">
        <v>448</v>
      </c>
      <c r="E14" t="n">
        <v>0.5629</v>
      </c>
      <c r="F14" t="n">
        <v>0.3201</v>
      </c>
      <c r="G14" t="n">
        <v>0.08599999999999999</v>
      </c>
    </row>
    <row r="15">
      <c r="A15" t="inlineStr">
        <is>
          <t>assists</t>
        </is>
      </c>
      <c r="B15" t="inlineStr">
        <is>
          <t>Opta assists/90 next season</t>
        </is>
      </c>
      <c r="C15" t="inlineStr">
        <is>
          <t>Understat xA/90</t>
        </is>
      </c>
      <c r="D15" t="n">
        <v>447</v>
      </c>
      <c r="E15" t="n">
        <v>0.5692</v>
      </c>
      <c r="F15" t="n">
        <v>0.3074</v>
      </c>
      <c r="G15" t="n">
        <v>0.0867</v>
      </c>
    </row>
    <row r="16">
      <c r="A16" t="inlineStr">
        <is>
          <t>assists</t>
        </is>
      </c>
      <c r="B16" t="inlineStr">
        <is>
          <t>Opta assists/90 next season</t>
        </is>
      </c>
      <c r="C16" t="inlineStr">
        <is>
          <t>50/50 blend xA/90</t>
        </is>
      </c>
      <c r="D16" t="n">
        <v>448</v>
      </c>
      <c r="E16" t="n">
        <v>0.5786</v>
      </c>
      <c r="F16" t="n">
        <v>0.3249</v>
      </c>
      <c r="G16" t="n">
        <v>0.0857</v>
      </c>
    </row>
    <row r="17">
      <c r="A17" t="inlineStr">
        <is>
          <t>assists</t>
        </is>
      </c>
      <c r="B17" t="inlineStr">
        <is>
          <t>Opta assists/90 next season</t>
        </is>
      </c>
      <c r="C17" t="inlineStr">
        <is>
          <t>Understat key passes/90</t>
        </is>
      </c>
      <c r="D17" t="n">
        <v>447</v>
      </c>
      <c r="E17" t="n">
        <v>0.5831</v>
      </c>
      <c r="F17" t="n">
        <v>0.3205</v>
      </c>
      <c r="G17" t="n">
        <v>0.0859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target</t>
        </is>
      </c>
      <c r="B1" t="inlineStr">
        <is>
          <t>model_A</t>
        </is>
      </c>
      <c r="C1" t="inlineStr">
        <is>
          <t>model_B</t>
        </is>
      </c>
      <c r="D1" t="inlineStr">
        <is>
          <t>n</t>
        </is>
      </c>
      <c r="E1" t="inlineStr">
        <is>
          <t>gap</t>
        </is>
      </c>
      <c r="F1" t="inlineStr">
        <is>
          <t>ci95</t>
        </is>
      </c>
      <c r="G1" t="inlineStr">
        <is>
          <t>wins_%</t>
        </is>
      </c>
    </row>
    <row r="2">
      <c r="A2" t="inlineStr">
        <is>
          <t>goals/90</t>
        </is>
      </c>
      <c r="B2" t="inlineStr">
        <is>
          <t>Opta xG</t>
        </is>
      </c>
      <c r="C2" t="inlineStr">
        <is>
          <t>Understat xG</t>
        </is>
      </c>
      <c r="D2" t="n">
        <v>441</v>
      </c>
      <c r="E2" t="n">
        <v>0.0112</v>
      </c>
      <c r="F2" t="inlineStr">
        <is>
          <t>[-0.0000, +0.0225]</t>
        </is>
      </c>
      <c r="G2" t="n">
        <v>97.40000000000001</v>
      </c>
    </row>
    <row r="3">
      <c r="A3" t="inlineStr">
        <is>
          <t>goals/90</t>
        </is>
      </c>
      <c r="B3" t="inlineStr">
        <is>
          <t>Opta xG</t>
        </is>
      </c>
      <c r="C3" t="inlineStr">
        <is>
          <t>50/50 blend</t>
        </is>
      </c>
      <c r="D3" t="n">
        <v>441</v>
      </c>
      <c r="E3" t="n">
        <v>0.0032</v>
      </c>
      <c r="F3" t="inlineStr">
        <is>
          <t>[-0.0029, +0.0093]</t>
        </is>
      </c>
      <c r="G3" t="n">
        <v>84.40000000000001</v>
      </c>
    </row>
    <row r="4">
      <c r="A4" t="inlineStr">
        <is>
          <t>goals/90</t>
        </is>
      </c>
      <c r="B4" t="inlineStr">
        <is>
          <t>Opta xG</t>
        </is>
      </c>
      <c r="C4" t="inlineStr">
        <is>
          <t>FotMob xGOT</t>
        </is>
      </c>
      <c r="D4" t="n">
        <v>431</v>
      </c>
      <c r="E4" t="n">
        <v>0.0211</v>
      </c>
      <c r="F4" t="inlineStr">
        <is>
          <t>[-0.0024, +0.0451]</t>
        </is>
      </c>
      <c r="G4" t="n">
        <v>96.3</v>
      </c>
    </row>
    <row r="5">
      <c r="A5" t="inlineStr">
        <is>
          <t>goals/90</t>
        </is>
      </c>
      <c r="B5" t="inlineStr">
        <is>
          <t>Opta xG</t>
        </is>
      </c>
      <c r="C5" t="inlineStr">
        <is>
          <t>past goals</t>
        </is>
      </c>
      <c r="D5" t="n">
        <v>371</v>
      </c>
      <c r="E5" t="n">
        <v>0.0498</v>
      </c>
      <c r="F5" t="inlineStr">
        <is>
          <t>[+0.0085, +0.0919]</t>
        </is>
      </c>
      <c r="G5" t="n">
        <v>99.40000000000001</v>
      </c>
    </row>
    <row r="6">
      <c r="A6" t="inlineStr">
        <is>
          <t>FPL assists/90</t>
        </is>
      </c>
      <c r="B6" t="inlineStr">
        <is>
          <t>50/50 blend xA</t>
        </is>
      </c>
      <c r="C6" t="inlineStr">
        <is>
          <t>Opta xA</t>
        </is>
      </c>
      <c r="D6" t="n">
        <v>605</v>
      </c>
      <c r="E6" t="n">
        <v>0.0229</v>
      </c>
      <c r="F6" t="inlineStr">
        <is>
          <t>[+0.0082, +0.0380]</t>
        </is>
      </c>
      <c r="G6" t="n">
        <v>99.8</v>
      </c>
    </row>
    <row r="7">
      <c r="A7" t="inlineStr">
        <is>
          <t>FPL assists/90</t>
        </is>
      </c>
      <c r="B7" t="inlineStr">
        <is>
          <t>50/50 blend xA</t>
        </is>
      </c>
      <c r="C7" t="inlineStr">
        <is>
          <t>Understat xA</t>
        </is>
      </c>
      <c r="D7" t="n">
        <v>604</v>
      </c>
      <c r="E7" t="n">
        <v>0.0042</v>
      </c>
      <c r="F7" t="inlineStr">
        <is>
          <t>[-0.0056, +0.0143]</t>
        </is>
      </c>
      <c r="G7" t="n">
        <v>80</v>
      </c>
    </row>
    <row r="8">
      <c r="A8" t="inlineStr">
        <is>
          <t>FPL assists/90</t>
        </is>
      </c>
      <c r="B8" t="inlineStr">
        <is>
          <t>50/50 blend xA</t>
        </is>
      </c>
      <c r="C8" t="inlineStr">
        <is>
          <t>past assists</t>
        </is>
      </c>
      <c r="D8" t="n">
        <v>605</v>
      </c>
      <c r="E8" t="n">
        <v>0.102</v>
      </c>
      <c r="F8" t="inlineStr">
        <is>
          <t>[+0.0657, +0.1394]</t>
        </is>
      </c>
      <c r="G8"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source</t>
        </is>
      </c>
      <c r="B1" t="inlineStr">
        <is>
          <t>source_name</t>
        </is>
      </c>
      <c r="C1" t="inlineStr">
        <is>
          <t>source_mins</t>
        </is>
      </c>
      <c r="D1" t="inlineStr">
        <is>
          <t>best_guess</t>
        </is>
      </c>
      <c r="E1" t="inlineStr">
        <is>
          <t>best_guess_code</t>
        </is>
      </c>
      <c r="F1" t="inlineStr">
        <is>
          <t>combined</t>
        </is>
      </c>
      <c r="G1" t="inlineStr">
        <is>
          <t>name_score</t>
        </is>
      </c>
      <c r="H1" t="inlineStr">
        <is>
          <t>minute_agreement</t>
        </is>
      </c>
      <c r="I1" t="inlineStr">
        <is>
          <t>decision</t>
        </is>
      </c>
    </row>
    <row r="2">
      <c r="A2" t="inlineStr">
        <is>
          <t>understat</t>
        </is>
      </c>
      <c r="B2" t="inlineStr">
        <is>
          <t>Tom Edozie</t>
        </is>
      </c>
      <c r="C2" t="n">
        <v>6</v>
      </c>
      <c r="F2" t="n">
        <v>0</v>
      </c>
      <c r="G2" t="n">
        <v>0</v>
      </c>
      <c r="H2" t="n">
        <v>0</v>
      </c>
      <c r="I2" t="inlineStr">
        <is>
          <t>unmatched</t>
        </is>
      </c>
    </row>
    <row r="3">
      <c r="A3" t="inlineStr">
        <is>
          <t>understat</t>
        </is>
      </c>
      <c r="B3" t="inlineStr">
        <is>
          <t>Jamaal Lascelles</t>
        </is>
      </c>
      <c r="C3" t="n">
        <v>8</v>
      </c>
      <c r="F3" t="n">
        <v>0</v>
      </c>
      <c r="G3" t="n">
        <v>0</v>
      </c>
      <c r="H3" t="n">
        <v>0</v>
      </c>
      <c r="I3" t="inlineStr">
        <is>
          <t>unmatched</t>
        </is>
      </c>
    </row>
    <row r="4">
      <c r="A4" t="inlineStr">
        <is>
          <t>understat</t>
        </is>
      </c>
      <c r="B4" t="inlineStr">
        <is>
          <t>Odsonne Edouard</t>
        </is>
      </c>
      <c r="C4" t="n">
        <v>1</v>
      </c>
      <c r="F4" t="n">
        <v>0</v>
      </c>
      <c r="G4" t="n">
        <v>0</v>
      </c>
      <c r="H4" t="n">
        <v>0</v>
      </c>
      <c r="I4" t="inlineStr">
        <is>
          <t>unmatched</t>
        </is>
      </c>
    </row>
    <row r="5">
      <c r="A5" t="inlineStr">
        <is>
          <t>understat</t>
        </is>
      </c>
      <c r="B5" t="inlineStr">
        <is>
          <t>Tyrell Malacia</t>
        </is>
      </c>
      <c r="C5" t="n">
        <v>7</v>
      </c>
      <c r="F5" t="n">
        <v>0</v>
      </c>
      <c r="G5" t="n">
        <v>0</v>
      </c>
      <c r="H5" t="n">
        <v>0</v>
      </c>
      <c r="I5" t="inlineStr">
        <is>
          <t>unmatched</t>
        </is>
      </c>
    </row>
    <row r="6">
      <c r="A6" t="inlineStr">
        <is>
          <t>understat</t>
        </is>
      </c>
      <c r="B6" t="inlineStr">
        <is>
          <t>Kaden Rodney</t>
        </is>
      </c>
      <c r="C6" t="n">
        <v>1</v>
      </c>
      <c r="F6" t="n">
        <v>0</v>
      </c>
      <c r="G6" t="n">
        <v>0</v>
      </c>
      <c r="H6" t="n">
        <v>0</v>
      </c>
      <c r="I6" t="inlineStr">
        <is>
          <t>unmatched</t>
        </is>
      </c>
    </row>
    <row r="7">
      <c r="A7" t="inlineStr">
        <is>
          <t>understat</t>
        </is>
      </c>
      <c r="B7" t="inlineStr">
        <is>
          <t>Alex Murphy</t>
        </is>
      </c>
      <c r="C7" t="n">
        <v>2</v>
      </c>
      <c r="F7" t="n">
        <v>0</v>
      </c>
      <c r="G7" t="n">
        <v>0</v>
      </c>
      <c r="H7" t="n">
        <v>0</v>
      </c>
      <c r="I7" t="inlineStr">
        <is>
          <t>unmatched</t>
        </is>
      </c>
    </row>
    <row r="8">
      <c r="A8" t="inlineStr">
        <is>
          <t>understat</t>
        </is>
      </c>
      <c r="B8" t="inlineStr">
        <is>
          <t>Treymaurice Nyoni</t>
        </is>
      </c>
      <c r="C8" t="n">
        <v>13</v>
      </c>
      <c r="D8" t="inlineStr">
        <is>
          <t>Trey Nyoni</t>
        </is>
      </c>
      <c r="E8" t="n">
        <v>591386</v>
      </c>
      <c r="F8" t="n">
        <v>83.40000000000001</v>
      </c>
      <c r="G8" t="n">
        <v>95</v>
      </c>
      <c r="H8" t="n">
        <v>0.619</v>
      </c>
      <c r="I8" t="inlineStr">
        <is>
          <t>review</t>
        </is>
      </c>
    </row>
    <row r="9">
      <c r="A9" t="inlineStr">
        <is>
          <t>understat</t>
        </is>
      </c>
      <c r="B9" t="inlineStr">
        <is>
          <t>Ben Winterburn</t>
        </is>
      </c>
      <c r="C9" t="n">
        <v>3</v>
      </c>
      <c r="F9" t="n">
        <v>0</v>
      </c>
      <c r="G9" t="n">
        <v>0</v>
      </c>
      <c r="H9" t="n">
        <v>0</v>
      </c>
      <c r="I9" t="inlineStr">
        <is>
          <t>unmatched</t>
        </is>
      </c>
    </row>
    <row r="10">
      <c r="A10" t="inlineStr">
        <is>
          <t>understat</t>
        </is>
      </c>
      <c r="B10" t="inlineStr">
        <is>
          <t>Jamaldeen Jimoh</t>
        </is>
      </c>
      <c r="C10" t="n">
        <v>5</v>
      </c>
      <c r="D10" t="inlineStr">
        <is>
          <t>Jamaldeen Jimoh-Aloba</t>
        </is>
      </c>
      <c r="E10" t="n">
        <v>559962</v>
      </c>
      <c r="F10" t="n">
        <v>83.59999999999999</v>
      </c>
      <c r="G10" t="n">
        <v>95</v>
      </c>
      <c r="H10" t="n">
        <v>0.625</v>
      </c>
      <c r="I10" t="inlineStr">
        <is>
          <t>review</t>
        </is>
      </c>
    </row>
    <row r="11">
      <c r="A11" t="inlineStr">
        <is>
          <t>understat</t>
        </is>
      </c>
      <c r="B11" t="inlineStr">
        <is>
          <t>Tyler Fredricson</t>
        </is>
      </c>
      <c r="C11" t="n">
        <v>1</v>
      </c>
      <c r="F11" t="n">
        <v>0</v>
      </c>
      <c r="G11" t="n">
        <v>0</v>
      </c>
      <c r="H11" t="n">
        <v>0</v>
      </c>
      <c r="I11" t="inlineStr">
        <is>
          <t>unmatched</t>
        </is>
      </c>
    </row>
    <row r="12">
      <c r="A12" t="inlineStr">
        <is>
          <t>understat</t>
        </is>
      </c>
      <c r="B12" t="inlineStr">
        <is>
          <t>Sean Neave</t>
        </is>
      </c>
      <c r="C12" t="n">
        <v>7</v>
      </c>
      <c r="F12" t="n">
        <v>0</v>
      </c>
      <c r="G12" t="n">
        <v>0</v>
      </c>
      <c r="H12" t="n">
        <v>0</v>
      </c>
      <c r="I12" t="inlineStr">
        <is>
          <t>unmatched</t>
        </is>
      </c>
    </row>
    <row r="13">
      <c r="A13" t="inlineStr">
        <is>
          <t>understat</t>
        </is>
      </c>
      <c r="B13" t="inlineStr">
        <is>
          <t>Joél Drakes-Thomas</t>
        </is>
      </c>
      <c r="C13" t="n">
        <v>2</v>
      </c>
      <c r="F13" t="n">
        <v>0</v>
      </c>
      <c r="G13" t="n">
        <v>0</v>
      </c>
      <c r="H13" t="n">
        <v>0</v>
      </c>
      <c r="I13" t="inlineStr">
        <is>
          <t>unmatched</t>
        </is>
      </c>
    </row>
    <row r="14">
      <c r="A14" t="inlineStr">
        <is>
          <t>understat</t>
        </is>
      </c>
      <c r="B14" t="inlineStr">
        <is>
          <t>Jerome Abbey</t>
        </is>
      </c>
      <c r="C14" t="n">
        <v>6</v>
      </c>
      <c r="F14" t="n">
        <v>0</v>
      </c>
      <c r="G14" t="n">
        <v>0</v>
      </c>
      <c r="H14" t="n">
        <v>0</v>
      </c>
      <c r="I14" t="inlineStr">
        <is>
          <t>unmatched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2026-08-16T18:16:23Z</dcterms:created>
  <dcterms:modified xsi:type="dcterms:W3CDTF">2026-08-16T18:16:24Z</dcterms:modified>
</cp:coreProperties>
</file>